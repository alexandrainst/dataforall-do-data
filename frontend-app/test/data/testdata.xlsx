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6.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13"/>
  <workbookPr/>
  <mc:AlternateContent xmlns:mc="http://schemas.openxmlformats.org/markup-compatibility/2006">
    <mc:Choice Requires="x15">
      <x15ac:absPath xmlns:x15ac="http://schemas.microsoft.com/office/spreadsheetml/2010/11/ac" url="https://alexandrainstituttet-my.sharepoint.com/personal/jack_ord_alexandra_dk/Documents/Jack Vejle/"/>
    </mc:Choice>
  </mc:AlternateContent>
  <xr:revisionPtr revIDLastSave="0" documentId="8_{3D9C58B8-0B7D-654A-957C-68C568525FD1}" xr6:coauthVersionLast="47" xr6:coauthVersionMax="47" xr10:uidLastSave="{00000000-0000-0000-0000-000000000000}"/>
  <bookViews>
    <workbookView xWindow="37120" yWindow="-3680" windowWidth="41140" windowHeight="26120" tabRatio="952" activeTab="1" xr2:uid="{00000000-000D-0000-FFFF-FFFF00000000}"/>
  </bookViews>
  <sheets>
    <sheet name="Forside" sheetId="17" r:id="rId1"/>
    <sheet name="Stamdata" sheetId="1" r:id="rId2"/>
    <sheet name="Kontaktoplysninger" sheetId="6" r:id="rId3"/>
    <sheet name="Hovedresultater" sheetId="2" r:id="rId4"/>
    <sheet name="Delresultater" sheetId="7" r:id="rId5"/>
    <sheet name="Hovedresultater (GHG)" sheetId="3" r:id="rId6"/>
    <sheet name="Delresultater (GHG)" sheetId="8" r:id="rId7"/>
    <sheet name="E-nøgletal (ESG)" sheetId="11" r:id="rId8"/>
    <sheet name="Scope 3 kategorier" sheetId="10" r:id="rId9"/>
    <sheet name="Største udledningsposter" sheetId="16" r:id="rId10"/>
    <sheet name="Fremskrivning - Hovedresultater" sheetId="12" state="veryHidden" r:id="rId11"/>
    <sheet name="Fremskrivning - Delresultater" sheetId="13" state="veryHidden" r:id="rId12"/>
    <sheet name="Reduktionsmålsætning" sheetId="15" state="veryHidden" r:id="rId13"/>
    <sheet name="Emissionsfaktorer" sheetId="4" r:id="rId14"/>
    <sheet name="Egne emissionsfaktorer" sheetId="5" r:id="rId15"/>
    <sheet name="Fremskrevne emissionsfaktorer" sheetId="14" state="veryHidden" r:id="rId16"/>
    <sheet name="Data (alle poster)" sheetId="9" r:id="rId17"/>
    <sheet name="Data (E-nøgletal)" sheetId="18" r:id="rId18"/>
    <sheet name="Til udviklerne" sheetId="19" state="veryHidden" r:id="rId19"/>
    <sheet name="Tekstnøgler" sheetId="20" state="veryHidden" r:id="rId20"/>
  </sheets>
  <definedNames>
    <definedName name="_xlnm._FilterDatabase" localSheetId="9" hidden="1">'Største udledningsposter'!#REF!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40" i="20" l="1"/>
  <c r="C41" i="11" s="1"/>
  <c r="C239" i="20"/>
  <c r="C21" i="11" s="1"/>
  <c r="C253" i="20"/>
  <c r="D8" i="18" s="1"/>
  <c r="C250" i="20"/>
  <c r="C26" i="11" s="1"/>
  <c r="E49" i="11"/>
  <c r="G48" i="11" s="1"/>
  <c r="F35" i="11"/>
  <c r="C296" i="20"/>
  <c r="C295" i="20"/>
  <c r="C37" i="11" s="1"/>
  <c r="C287" i="20"/>
  <c r="F34" i="11" s="1"/>
  <c r="C286" i="20"/>
  <c r="E34" i="11" s="1"/>
  <c r="C285" i="20"/>
  <c r="D34" i="11" s="1"/>
  <c r="K240" i="20" a="1"/>
  <c r="K239" i="20" a="1"/>
  <c r="K240" i="20" l="1"/>
  <c r="M240" i="20" s="1"/>
  <c r="K239" i="20"/>
  <c r="M239" i="20" s="1"/>
  <c r="D7" i="18"/>
  <c r="C27" i="11"/>
  <c r="D25" i="18"/>
  <c r="D24" i="18"/>
  <c r="G47" i="11"/>
  <c r="G49" i="11"/>
  <c r="G46" i="11"/>
  <c r="C38" i="11"/>
  <c r="C293" i="20"/>
  <c r="C294" i="20"/>
  <c r="C284" i="20"/>
  <c r="E57" i="11"/>
  <c r="C292" i="20"/>
  <c r="C55" i="11" s="1"/>
  <c r="C297" i="20"/>
  <c r="C289" i="20"/>
  <c r="C290" i="20"/>
  <c r="G54" i="11" s="1"/>
  <c r="C254" i="20"/>
  <c r="C46" i="11" s="1"/>
  <c r="C255" i="20"/>
  <c r="C47" i="11" s="1"/>
  <c r="C256" i="20"/>
  <c r="C48" i="11" s="1"/>
  <c r="C246" i="20"/>
  <c r="G45" i="11" s="1"/>
  <c r="C281" i="20"/>
  <c r="C282" i="20"/>
  <c r="C45" i="11" s="1"/>
  <c r="C283" i="20"/>
  <c r="C53" i="11" s="1"/>
  <c r="C288" i="20"/>
  <c r="C291" i="20"/>
  <c r="C298" i="20"/>
  <c r="C110" i="20"/>
  <c r="F22" i="2" s="1"/>
  <c r="C111" i="20"/>
  <c r="D21" i="18" l="1"/>
  <c r="D20" i="18"/>
  <c r="D23" i="18"/>
  <c r="D22" i="18"/>
  <c r="F21" i="18"/>
  <c r="F25" i="18"/>
  <c r="F23" i="18"/>
  <c r="F24" i="18"/>
  <c r="G37" i="11"/>
  <c r="G36" i="11"/>
  <c r="G38" i="11"/>
  <c r="G35" i="11"/>
  <c r="C35" i="11"/>
  <c r="F46" i="11"/>
  <c r="F15" i="18"/>
  <c r="C34" i="11"/>
  <c r="F12" i="18"/>
  <c r="F27" i="18"/>
  <c r="D67" i="11"/>
  <c r="D12" i="18"/>
  <c r="C36" i="11"/>
  <c r="D13" i="18"/>
  <c r="F13" i="18"/>
  <c r="F22" i="18"/>
  <c r="D17" i="18"/>
  <c r="F14" i="18"/>
  <c r="D14" i="18"/>
  <c r="F16" i="18"/>
  <c r="F20" i="18"/>
  <c r="F47" i="11"/>
  <c r="F48" i="11"/>
  <c r="F49" i="11"/>
  <c r="B17" i="1" l="1"/>
  <c r="B14" i="1" l="1"/>
  <c r="C17" i="1" s="1"/>
  <c r="E11" i="12" l="1"/>
  <c r="C226" i="20"/>
  <c r="C21" i="8" s="1"/>
  <c r="D5" i="14" l="1"/>
  <c r="F41" i="17" l="1"/>
  <c r="F40" i="17"/>
  <c r="F39" i="17"/>
  <c r="F38" i="17"/>
  <c r="F37" i="17"/>
  <c r="F34" i="17"/>
  <c r="F33" i="17"/>
  <c r="F32" i="17"/>
  <c r="F29" i="17"/>
  <c r="F28" i="17"/>
  <c r="F27" i="17"/>
  <c r="F26" i="17"/>
  <c r="F25" i="17"/>
  <c r="F24" i="17"/>
  <c r="F23" i="17"/>
  <c r="F20" i="17"/>
  <c r="F19" i="17"/>
  <c r="F18" i="17"/>
  <c r="C11" i="20"/>
  <c r="C876" i="20" l="1"/>
  <c r="C877" i="20"/>
  <c r="C878" i="20"/>
  <c r="C879" i="20"/>
  <c r="C880" i="20"/>
  <c r="C881" i="20"/>
  <c r="C882" i="20"/>
  <c r="C883" i="20"/>
  <c r="C884" i="20"/>
  <c r="C885" i="20"/>
  <c r="C886" i="20"/>
  <c r="C887" i="20"/>
  <c r="C888" i="20"/>
  <c r="C889" i="20"/>
  <c r="C890" i="20"/>
  <c r="C891" i="20"/>
  <c r="C892" i="20"/>
  <c r="C893" i="20"/>
  <c r="C894" i="20"/>
  <c r="C895" i="20"/>
  <c r="C896" i="20"/>
  <c r="C897" i="20"/>
  <c r="C898" i="20"/>
  <c r="C899" i="20"/>
  <c r="C900" i="20"/>
  <c r="C901" i="20"/>
  <c r="C902" i="20"/>
  <c r="C903" i="20"/>
  <c r="C904" i="20"/>
  <c r="C905" i="20"/>
  <c r="C906" i="20"/>
  <c r="C907" i="20"/>
  <c r="C908" i="20"/>
  <c r="C909" i="20"/>
  <c r="C910" i="20"/>
  <c r="C911" i="20"/>
  <c r="C912" i="20"/>
  <c r="C913" i="20"/>
  <c r="C914" i="20"/>
  <c r="C915" i="20"/>
  <c r="C916" i="20"/>
  <c r="C917" i="20"/>
  <c r="C918" i="20"/>
  <c r="C919" i="20"/>
  <c r="C920" i="20"/>
  <c r="C921" i="20"/>
  <c r="C922" i="20"/>
  <c r="C923" i="20"/>
  <c r="C924" i="20"/>
  <c r="C925" i="20"/>
  <c r="C926" i="20"/>
  <c r="C927" i="20"/>
  <c r="C928" i="20"/>
  <c r="C929" i="20"/>
  <c r="C930" i="20"/>
  <c r="C931" i="20"/>
  <c r="C932" i="20"/>
  <c r="C933" i="20"/>
  <c r="C934" i="20"/>
  <c r="C935" i="20"/>
  <c r="C936" i="20"/>
  <c r="C937" i="20"/>
  <c r="C938" i="20"/>
  <c r="C939" i="20"/>
  <c r="C940" i="20"/>
  <c r="C941" i="20"/>
  <c r="C942" i="20"/>
  <c r="C943" i="20"/>
  <c r="C944" i="20"/>
  <c r="C945" i="20"/>
  <c r="C946" i="20"/>
  <c r="C947" i="20"/>
  <c r="C948" i="20"/>
  <c r="C949" i="20"/>
  <c r="C950" i="20"/>
  <c r="C951" i="20"/>
  <c r="C952" i="20"/>
  <c r="C953" i="20"/>
  <c r="C954" i="20"/>
  <c r="C955" i="20"/>
  <c r="C956" i="20"/>
  <c r="C957" i="20"/>
  <c r="C958" i="20"/>
  <c r="C959" i="20"/>
  <c r="C960" i="20"/>
  <c r="C961" i="20"/>
  <c r="C962" i="20"/>
  <c r="C963" i="20"/>
  <c r="C964" i="20"/>
  <c r="C965" i="20"/>
  <c r="C966" i="20"/>
  <c r="C967" i="20"/>
  <c r="C968" i="20"/>
  <c r="C969" i="20"/>
  <c r="C970" i="20"/>
  <c r="C971" i="20"/>
  <c r="C972" i="20"/>
  <c r="C973" i="20"/>
  <c r="C974" i="20"/>
  <c r="C975" i="20"/>
  <c r="C976" i="20"/>
  <c r="C977" i="20"/>
  <c r="C978" i="20"/>
  <c r="C979" i="20"/>
  <c r="C980" i="20"/>
  <c r="C981" i="20"/>
  <c r="C982" i="20"/>
  <c r="C983" i="20"/>
  <c r="C984" i="20"/>
  <c r="C985" i="20"/>
  <c r="C986" i="20"/>
  <c r="C987" i="20"/>
  <c r="C988" i="20"/>
  <c r="C989" i="20"/>
  <c r="C990" i="20"/>
  <c r="C991" i="20"/>
  <c r="C992" i="20"/>
  <c r="C993" i="20"/>
  <c r="C994" i="20"/>
  <c r="C995" i="20"/>
  <c r="C996" i="20"/>
  <c r="C997" i="20"/>
  <c r="C998" i="20"/>
  <c r="C999" i="20"/>
  <c r="C1000" i="20"/>
  <c r="C1001" i="20"/>
  <c r="C1002" i="20"/>
  <c r="C1003" i="20"/>
  <c r="C1004" i="20"/>
  <c r="C1005" i="20"/>
  <c r="C1006" i="20"/>
  <c r="C1007" i="20"/>
  <c r="C1008" i="20"/>
  <c r="C1009" i="20"/>
  <c r="C1010" i="20"/>
  <c r="C1011" i="20"/>
  <c r="C1012" i="20"/>
  <c r="C1013" i="20"/>
  <c r="C1014" i="20"/>
  <c r="C1015" i="20"/>
  <c r="C1016" i="20"/>
  <c r="C1017" i="20"/>
  <c r="C1018" i="20"/>
  <c r="C1019" i="20"/>
  <c r="C1020" i="20"/>
  <c r="C1021" i="20"/>
  <c r="C1022" i="20"/>
  <c r="C1023" i="20"/>
  <c r="C1024" i="20"/>
  <c r="C1025" i="20"/>
  <c r="C1026" i="20"/>
  <c r="C1027" i="20"/>
  <c r="C1028" i="20"/>
  <c r="C1029" i="20"/>
  <c r="C1030" i="20"/>
  <c r="C1031" i="20"/>
  <c r="C1032" i="20"/>
  <c r="C1033" i="20"/>
  <c r="C1034" i="20"/>
  <c r="C1035" i="20"/>
  <c r="C1036" i="20"/>
  <c r="C1037" i="20"/>
  <c r="C1038" i="20"/>
  <c r="C1039" i="20"/>
  <c r="C1040" i="20"/>
  <c r="C1041" i="20"/>
  <c r="C1042" i="20"/>
  <c r="C1043" i="20"/>
  <c r="C1044" i="20"/>
  <c r="C1045" i="20"/>
  <c r="C1046" i="20"/>
  <c r="C1047" i="20"/>
  <c r="C1048" i="20"/>
  <c r="C1049" i="20"/>
  <c r="C1050" i="20"/>
  <c r="C1051" i="20"/>
  <c r="C1052" i="20"/>
  <c r="C1053" i="20"/>
  <c r="C1054" i="20"/>
  <c r="C1055" i="20"/>
  <c r="C1056" i="20"/>
  <c r="C1057" i="20"/>
  <c r="C1058" i="20"/>
  <c r="C1059" i="20"/>
  <c r="C1060" i="20"/>
  <c r="C1061" i="20"/>
  <c r="C1062" i="20"/>
  <c r="C1063" i="20"/>
  <c r="C1064" i="20"/>
  <c r="C1065" i="20"/>
  <c r="C1066" i="20"/>
  <c r="C1067" i="20"/>
  <c r="C1068" i="20"/>
  <c r="C1069" i="20"/>
  <c r="C1070" i="20"/>
  <c r="C1071" i="20"/>
  <c r="C1072" i="20"/>
  <c r="C1073" i="20"/>
  <c r="C1074" i="20"/>
  <c r="C1075" i="20"/>
  <c r="C1076" i="20"/>
  <c r="C1077" i="20"/>
  <c r="C1078" i="20"/>
  <c r="C1079" i="20"/>
  <c r="C1080" i="20"/>
  <c r="C1081" i="20"/>
  <c r="C1082" i="20"/>
  <c r="C1083" i="20"/>
  <c r="C1084" i="20"/>
  <c r="C1085" i="20"/>
  <c r="C1086" i="20"/>
  <c r="C1087" i="20"/>
  <c r="C1088" i="20"/>
  <c r="C1089" i="20"/>
  <c r="C1090" i="20"/>
  <c r="C1091" i="20"/>
  <c r="C1092" i="20"/>
  <c r="C1093" i="20"/>
  <c r="C1094" i="20"/>
  <c r="C1095" i="20"/>
  <c r="C1096" i="20"/>
  <c r="C1097" i="20"/>
  <c r="C1098" i="20"/>
  <c r="C1099" i="20"/>
  <c r="C1100" i="20"/>
  <c r="C1101" i="20"/>
  <c r="C1102" i="20"/>
  <c r="C1103" i="20"/>
  <c r="C1104" i="20"/>
  <c r="C1105" i="20"/>
  <c r="C1106" i="20"/>
  <c r="C1107" i="20"/>
  <c r="C1108" i="20"/>
  <c r="C1109" i="20"/>
  <c r="C1110" i="20"/>
  <c r="C1111" i="20"/>
  <c r="C1112" i="20"/>
  <c r="C1113" i="20"/>
  <c r="C1114" i="20"/>
  <c r="C1115" i="20"/>
  <c r="C1116" i="20"/>
  <c r="C1117" i="20"/>
  <c r="C1118" i="20"/>
  <c r="C1119" i="20"/>
  <c r="C1120" i="20"/>
  <c r="C1121" i="20"/>
  <c r="C1122" i="20"/>
  <c r="C1123" i="20"/>
  <c r="C1124" i="20"/>
  <c r="C1125" i="20"/>
  <c r="C1126" i="20"/>
  <c r="C1127" i="20"/>
  <c r="C1128" i="20"/>
  <c r="C1129" i="20"/>
  <c r="C1130" i="20"/>
  <c r="C1131" i="20"/>
  <c r="C1132" i="20"/>
  <c r="C1133" i="20"/>
  <c r="C1134" i="20"/>
  <c r="C1135" i="20"/>
  <c r="C1136" i="20"/>
  <c r="C1137" i="20"/>
  <c r="C1138" i="20"/>
  <c r="C1139" i="20"/>
  <c r="C1140" i="20"/>
  <c r="C1141" i="20"/>
  <c r="C1142" i="20"/>
  <c r="C1143" i="20"/>
  <c r="C1144" i="20"/>
  <c r="C1145" i="20"/>
  <c r="C1146" i="20"/>
  <c r="C1147" i="20"/>
  <c r="C1148" i="20"/>
  <c r="C1149" i="20"/>
  <c r="C1150" i="20"/>
  <c r="C1151" i="20"/>
  <c r="C1152" i="20"/>
  <c r="C1153" i="20"/>
  <c r="C1154" i="20"/>
  <c r="C1155" i="20"/>
  <c r="C1156" i="20"/>
  <c r="C1157" i="20"/>
  <c r="C1158" i="20"/>
  <c r="C1159" i="20"/>
  <c r="C1160" i="20"/>
  <c r="C1161" i="20"/>
  <c r="C1162" i="20"/>
  <c r="C1163" i="20"/>
  <c r="C1164" i="20"/>
  <c r="C1165" i="20"/>
  <c r="C1166" i="20"/>
  <c r="C1167" i="20"/>
  <c r="C1168" i="20"/>
  <c r="C1169" i="20"/>
  <c r="C1170" i="20"/>
  <c r="C1171" i="20"/>
  <c r="C1172" i="20"/>
  <c r="C1173" i="20"/>
  <c r="C1174" i="20"/>
  <c r="C1175" i="20"/>
  <c r="C1176" i="20"/>
  <c r="C1177" i="20"/>
  <c r="C1178" i="20"/>
  <c r="C1179" i="20"/>
  <c r="C1180" i="20"/>
  <c r="C1181" i="20"/>
  <c r="C1182" i="20"/>
  <c r="C1183" i="20"/>
  <c r="C1184" i="20"/>
  <c r="C1185" i="20"/>
  <c r="C1186" i="20"/>
  <c r="C1187" i="20"/>
  <c r="C1188" i="20"/>
  <c r="C1189" i="20"/>
  <c r="C1190" i="20"/>
  <c r="C1191" i="20"/>
  <c r="C1192" i="20"/>
  <c r="C1193" i="20"/>
  <c r="C1194" i="20"/>
  <c r="C1195" i="20"/>
  <c r="C1196" i="20"/>
  <c r="C1197" i="20"/>
  <c r="C1198" i="20"/>
  <c r="C1199" i="20"/>
  <c r="C1200" i="20"/>
  <c r="C1201" i="20"/>
  <c r="C1202" i="20"/>
  <c r="C1203" i="20"/>
  <c r="C1204" i="20"/>
  <c r="C1205" i="20"/>
  <c r="C1206" i="20"/>
  <c r="C1207" i="20"/>
  <c r="C1208" i="20"/>
  <c r="C1209" i="20"/>
  <c r="C1210" i="20"/>
  <c r="C1211" i="20"/>
  <c r="C1212" i="20"/>
  <c r="C1213" i="20"/>
  <c r="C576" i="20"/>
  <c r="C577" i="20"/>
  <c r="C578" i="20"/>
  <c r="C579" i="20"/>
  <c r="C580" i="20"/>
  <c r="H40" i="16" s="1"/>
  <c r="C581" i="20"/>
  <c r="I40" i="16" s="1"/>
  <c r="C582" i="20"/>
  <c r="C583" i="20"/>
  <c r="C19" i="16" s="1"/>
  <c r="C584" i="20"/>
  <c r="C21" i="16" s="1"/>
  <c r="C585" i="20"/>
  <c r="C586" i="20"/>
  <c r="C587" i="20"/>
  <c r="F17" i="17" s="1"/>
  <c r="C588" i="20"/>
  <c r="C589" i="20"/>
  <c r="C590" i="20"/>
  <c r="D4" i="14" s="1"/>
  <c r="C591" i="20"/>
  <c r="C592" i="20"/>
  <c r="C593" i="20"/>
  <c r="C594" i="20"/>
  <c r="C595" i="20"/>
  <c r="C596" i="20"/>
  <c r="C597" i="20"/>
  <c r="C105" i="15" s="1"/>
  <c r="C598" i="20"/>
  <c r="C599" i="20"/>
  <c r="C104" i="15" s="1"/>
  <c r="C600" i="20"/>
  <c r="C43" i="11" s="1"/>
  <c r="C601" i="20"/>
  <c r="C51" i="11" s="1"/>
  <c r="C602" i="20"/>
  <c r="C32" i="11" s="1"/>
  <c r="C603" i="20"/>
  <c r="C604" i="20"/>
  <c r="C605" i="20"/>
  <c r="C606" i="20"/>
  <c r="C607" i="20"/>
  <c r="C608" i="20"/>
  <c r="C609" i="20"/>
  <c r="J10" i="5" s="1"/>
  <c r="C610" i="20"/>
  <c r="C611" i="20"/>
  <c r="C612" i="20"/>
  <c r="C613" i="20"/>
  <c r="C614" i="20"/>
  <c r="C615" i="20"/>
  <c r="C616" i="20"/>
  <c r="C617" i="20"/>
  <c r="C618" i="20"/>
  <c r="C619" i="20"/>
  <c r="C620" i="20"/>
  <c r="C621" i="20"/>
  <c r="C622" i="20"/>
  <c r="C623" i="20"/>
  <c r="C624" i="20"/>
  <c r="C625" i="20"/>
  <c r="C626" i="20"/>
  <c r="C627" i="20"/>
  <c r="C628" i="20"/>
  <c r="C629" i="20"/>
  <c r="C630" i="20"/>
  <c r="C631" i="20"/>
  <c r="C632" i="20"/>
  <c r="C633" i="20"/>
  <c r="C634" i="20"/>
  <c r="C635" i="20"/>
  <c r="C636" i="20"/>
  <c r="C637" i="20"/>
  <c r="C638" i="20"/>
  <c r="C639" i="20"/>
  <c r="C640" i="20"/>
  <c r="C641" i="20"/>
  <c r="C642" i="20"/>
  <c r="C643" i="20"/>
  <c r="C644" i="20"/>
  <c r="C645" i="20"/>
  <c r="C646" i="20"/>
  <c r="C647" i="20"/>
  <c r="C648" i="20"/>
  <c r="C649" i="20"/>
  <c r="C650" i="20"/>
  <c r="C651" i="20"/>
  <c r="C652" i="20"/>
  <c r="C653" i="20"/>
  <c r="C654" i="20"/>
  <c r="C655" i="20"/>
  <c r="C656" i="20"/>
  <c r="C657" i="20"/>
  <c r="C658" i="20"/>
  <c r="C659" i="20"/>
  <c r="C660" i="20"/>
  <c r="C661" i="20"/>
  <c r="C662" i="20"/>
  <c r="C663" i="20"/>
  <c r="C664" i="20"/>
  <c r="C665" i="20"/>
  <c r="C666" i="20"/>
  <c r="C667" i="20"/>
  <c r="C668" i="20"/>
  <c r="C669" i="20"/>
  <c r="C670" i="20"/>
  <c r="C671" i="20"/>
  <c r="C672" i="20"/>
  <c r="C673" i="20"/>
  <c r="C674" i="20"/>
  <c r="C675" i="20"/>
  <c r="C676" i="20"/>
  <c r="C677" i="20"/>
  <c r="C678" i="20"/>
  <c r="C679" i="20"/>
  <c r="C680" i="20"/>
  <c r="C681" i="20"/>
  <c r="C682" i="20"/>
  <c r="C683" i="20"/>
  <c r="C684" i="20"/>
  <c r="C685" i="20"/>
  <c r="C686" i="20"/>
  <c r="C687" i="20"/>
  <c r="C688" i="20"/>
  <c r="C689" i="20"/>
  <c r="C690" i="20"/>
  <c r="C691" i="20"/>
  <c r="C692" i="20"/>
  <c r="C693" i="20"/>
  <c r="C694" i="20"/>
  <c r="C695" i="20"/>
  <c r="C696" i="20"/>
  <c r="C697" i="20"/>
  <c r="C698" i="20"/>
  <c r="C699" i="20"/>
  <c r="C700" i="20"/>
  <c r="C701" i="20"/>
  <c r="C702" i="20"/>
  <c r="C703" i="20"/>
  <c r="C704" i="20"/>
  <c r="C705" i="20"/>
  <c r="C706" i="20"/>
  <c r="C707" i="20"/>
  <c r="C708" i="20"/>
  <c r="C709" i="20"/>
  <c r="C710" i="20"/>
  <c r="C711" i="20"/>
  <c r="C712" i="20"/>
  <c r="C713" i="20"/>
  <c r="C714" i="20"/>
  <c r="C715" i="20"/>
  <c r="C716" i="20"/>
  <c r="C717" i="20"/>
  <c r="C718" i="20"/>
  <c r="C719" i="20"/>
  <c r="C720" i="20"/>
  <c r="C721" i="20"/>
  <c r="C722" i="20"/>
  <c r="C723" i="20"/>
  <c r="C724" i="20"/>
  <c r="C725" i="20"/>
  <c r="C726" i="20"/>
  <c r="C727" i="20"/>
  <c r="C728" i="20"/>
  <c r="C729" i="20"/>
  <c r="C730" i="20"/>
  <c r="C731" i="20"/>
  <c r="C732" i="20"/>
  <c r="C733" i="20"/>
  <c r="C734" i="20"/>
  <c r="C735" i="20"/>
  <c r="C736" i="20"/>
  <c r="C737" i="20"/>
  <c r="C738" i="20"/>
  <c r="C739" i="20"/>
  <c r="C740" i="20"/>
  <c r="C741" i="20"/>
  <c r="C742" i="20"/>
  <c r="C743" i="20"/>
  <c r="C744" i="20"/>
  <c r="C745" i="20"/>
  <c r="C746" i="20"/>
  <c r="C747" i="20"/>
  <c r="C748" i="20"/>
  <c r="C749" i="20"/>
  <c r="C750" i="20"/>
  <c r="C751" i="20"/>
  <c r="C752" i="20"/>
  <c r="C753" i="20"/>
  <c r="C754" i="20"/>
  <c r="C755" i="20"/>
  <c r="C756" i="20"/>
  <c r="C757" i="20"/>
  <c r="C758" i="20"/>
  <c r="C759" i="20"/>
  <c r="C760" i="20"/>
  <c r="C761" i="20"/>
  <c r="C762" i="20"/>
  <c r="C763" i="20"/>
  <c r="C764" i="20"/>
  <c r="C765" i="20"/>
  <c r="C766" i="20"/>
  <c r="C767" i="20"/>
  <c r="C768" i="20"/>
  <c r="C769" i="20"/>
  <c r="C770" i="20"/>
  <c r="C771" i="20"/>
  <c r="C772" i="20"/>
  <c r="C773" i="20"/>
  <c r="C774" i="20"/>
  <c r="C775" i="20"/>
  <c r="C776" i="20"/>
  <c r="C777" i="20"/>
  <c r="C778" i="20"/>
  <c r="C779" i="20"/>
  <c r="C780" i="20"/>
  <c r="C781" i="20"/>
  <c r="C782" i="20"/>
  <c r="C783" i="20"/>
  <c r="C784" i="20"/>
  <c r="C785" i="20"/>
  <c r="C786" i="20"/>
  <c r="C787" i="20"/>
  <c r="C788" i="20"/>
  <c r="C789" i="20"/>
  <c r="C790" i="20"/>
  <c r="C791" i="20"/>
  <c r="C792" i="20"/>
  <c r="C793" i="20"/>
  <c r="C794" i="20"/>
  <c r="C795" i="20"/>
  <c r="C796" i="20"/>
  <c r="C797" i="20"/>
  <c r="C798" i="20"/>
  <c r="C799" i="20"/>
  <c r="C800" i="20"/>
  <c r="C801" i="20"/>
  <c r="C802" i="20"/>
  <c r="C803" i="20"/>
  <c r="C804" i="20"/>
  <c r="C805" i="20"/>
  <c r="C806" i="20"/>
  <c r="C807" i="20"/>
  <c r="C808" i="20"/>
  <c r="C809" i="20"/>
  <c r="C810" i="20"/>
  <c r="C811" i="20"/>
  <c r="C812" i="20"/>
  <c r="C813" i="20"/>
  <c r="C814" i="20"/>
  <c r="C815" i="20"/>
  <c r="C816" i="20"/>
  <c r="C817" i="20"/>
  <c r="C818" i="20"/>
  <c r="C819" i="20"/>
  <c r="C820" i="20"/>
  <c r="C821" i="20"/>
  <c r="C822" i="20"/>
  <c r="C823" i="20"/>
  <c r="C824" i="20"/>
  <c r="C825" i="20"/>
  <c r="C826" i="20"/>
  <c r="C827" i="20"/>
  <c r="C828" i="20"/>
  <c r="C829" i="20"/>
  <c r="C830" i="20"/>
  <c r="C831" i="20"/>
  <c r="C832" i="20"/>
  <c r="C833" i="20"/>
  <c r="C834" i="20"/>
  <c r="C835" i="20"/>
  <c r="C836" i="20"/>
  <c r="C837" i="20"/>
  <c r="C838" i="20"/>
  <c r="C839" i="20"/>
  <c r="C840" i="20"/>
  <c r="C841" i="20"/>
  <c r="C842" i="20"/>
  <c r="C843" i="20"/>
  <c r="C844" i="20"/>
  <c r="C845" i="20"/>
  <c r="C846" i="20"/>
  <c r="C847" i="20"/>
  <c r="C848" i="20"/>
  <c r="C849" i="20"/>
  <c r="C850" i="20"/>
  <c r="C851" i="20"/>
  <c r="C852" i="20"/>
  <c r="C853" i="20"/>
  <c r="C854" i="20"/>
  <c r="C855" i="20"/>
  <c r="C856" i="20"/>
  <c r="C857" i="20"/>
  <c r="C858" i="20"/>
  <c r="C859" i="20"/>
  <c r="C860" i="20"/>
  <c r="C861" i="20"/>
  <c r="C862" i="20"/>
  <c r="C863" i="20"/>
  <c r="C864" i="20"/>
  <c r="C865" i="20"/>
  <c r="C866" i="20"/>
  <c r="C867" i="20"/>
  <c r="C868" i="20"/>
  <c r="C869" i="20"/>
  <c r="C870" i="20"/>
  <c r="C871" i="20"/>
  <c r="C872" i="20"/>
  <c r="C873" i="20"/>
  <c r="C874" i="20"/>
  <c r="C875" i="20"/>
  <c r="B8" i="18" l="1"/>
  <c r="B7" i="18"/>
  <c r="A8" i="18"/>
  <c r="A7" i="18"/>
  <c r="B23" i="18"/>
  <c r="B24" i="18"/>
  <c r="B21" i="18"/>
  <c r="B25" i="18"/>
  <c r="A21" i="18"/>
  <c r="A23" i="18"/>
  <c r="A24" i="18"/>
  <c r="A25" i="18"/>
  <c r="B15" i="18"/>
  <c r="A15" i="18"/>
  <c r="J9" i="5"/>
  <c r="K9" i="4"/>
  <c r="N10" i="5"/>
  <c r="N10" i="4"/>
  <c r="M10" i="5"/>
  <c r="M10" i="4"/>
  <c r="K10" i="5"/>
  <c r="K10" i="4"/>
  <c r="L10" i="5"/>
  <c r="L10" i="4"/>
  <c r="B20" i="18"/>
  <c r="B22" i="18"/>
  <c r="B17" i="18"/>
  <c r="B18" i="18"/>
  <c r="B19" i="18"/>
  <c r="A18" i="18"/>
  <c r="A22" i="18"/>
  <c r="A19" i="18"/>
  <c r="A17" i="18"/>
  <c r="A20" i="18"/>
  <c r="B4" i="5"/>
  <c r="C4" i="4"/>
  <c r="E10" i="12"/>
  <c r="B4" i="4"/>
  <c r="A27" i="18"/>
  <c r="A5" i="18"/>
  <c r="A16" i="18"/>
  <c r="A11" i="18"/>
  <c r="A30" i="18"/>
  <c r="A10" i="18"/>
  <c r="A26" i="18"/>
  <c r="A29" i="18"/>
  <c r="A9" i="18"/>
  <c r="A28" i="18"/>
  <c r="A6" i="18"/>
  <c r="A14" i="18"/>
  <c r="A13" i="18"/>
  <c r="A12" i="18"/>
  <c r="C30" i="18"/>
  <c r="C29" i="18"/>
  <c r="C27" i="18"/>
  <c r="C26" i="18"/>
  <c r="C28" i="18"/>
  <c r="B29" i="18"/>
  <c r="B30" i="18"/>
  <c r="B27" i="18"/>
  <c r="B28" i="18"/>
  <c r="B26" i="18"/>
  <c r="B16" i="18"/>
  <c r="B14" i="18"/>
  <c r="B13" i="18"/>
  <c r="B6" i="18"/>
  <c r="B5" i="18"/>
  <c r="B10" i="18"/>
  <c r="B9" i="18"/>
  <c r="B12" i="18"/>
  <c r="B11" i="18"/>
  <c r="C555" i="20"/>
  <c r="C556" i="20"/>
  <c r="C557" i="20"/>
  <c r="C558" i="20"/>
  <c r="C559" i="20"/>
  <c r="C560" i="20"/>
  <c r="C561" i="20"/>
  <c r="C562" i="20"/>
  <c r="C563" i="20"/>
  <c r="C564" i="20"/>
  <c r="C565" i="20"/>
  <c r="C566" i="20"/>
  <c r="C567" i="20"/>
  <c r="C568" i="20"/>
  <c r="C569" i="20"/>
  <c r="C570" i="20"/>
  <c r="C571" i="20"/>
  <c r="C572" i="20"/>
  <c r="C573" i="20"/>
  <c r="C574" i="20"/>
  <c r="C575" i="20"/>
  <c r="F61" i="16" l="1"/>
  <c r="G61" i="16"/>
  <c r="E61" i="16"/>
  <c r="H60" i="16" l="1"/>
  <c r="H49" i="16"/>
  <c r="H50" i="16"/>
  <c r="H51" i="16"/>
  <c r="H52" i="16"/>
  <c r="H53" i="16"/>
  <c r="H54" i="16"/>
  <c r="H55" i="16"/>
  <c r="H56" i="16"/>
  <c r="H57" i="16"/>
  <c r="H58" i="16"/>
  <c r="H59" i="16"/>
  <c r="C545" i="20" l="1"/>
  <c r="C546" i="20"/>
  <c r="C547" i="20"/>
  <c r="C548" i="20"/>
  <c r="C549" i="20"/>
  <c r="C550" i="20"/>
  <c r="C551" i="20"/>
  <c r="C552" i="20"/>
  <c r="C553" i="20"/>
  <c r="C554" i="20"/>
  <c r="C544" i="20"/>
  <c r="C539" i="20"/>
  <c r="H48" i="16"/>
  <c r="O72" i="20"/>
  <c r="O78" i="20" a="1"/>
  <c r="O78" i="20" s="1"/>
  <c r="C538" i="20" l="1"/>
  <c r="C469" i="20"/>
  <c r="C468" i="20"/>
  <c r="C467" i="20"/>
  <c r="C466" i="20"/>
  <c r="C465" i="20"/>
  <c r="C470" i="20"/>
  <c r="C464" i="20"/>
  <c r="C389" i="20"/>
  <c r="C388" i="20"/>
  <c r="C387" i="20"/>
  <c r="C386" i="20"/>
  <c r="C419" i="20"/>
  <c r="C420" i="20"/>
  <c r="C421" i="20"/>
  <c r="C422" i="20"/>
  <c r="C423" i="20"/>
  <c r="C424" i="20"/>
  <c r="C425" i="20"/>
  <c r="C426" i="20"/>
  <c r="C53" i="15" s="1"/>
  <c r="C427" i="20"/>
  <c r="C428" i="20"/>
  <c r="C429" i="20"/>
  <c r="C537" i="20" l="1"/>
  <c r="F70" i="11" s="1"/>
  <c r="C536" i="20"/>
  <c r="C535" i="20"/>
  <c r="C534" i="20"/>
  <c r="C533" i="20"/>
  <c r="C530" i="20"/>
  <c r="D4" i="18" s="1"/>
  <c r="C527" i="20"/>
  <c r="V4" i="9" s="1"/>
  <c r="C526" i="20"/>
  <c r="U4" i="9" s="1"/>
  <c r="C525" i="20"/>
  <c r="T4" i="9" s="1"/>
  <c r="C524" i="20"/>
  <c r="S4" i="9" s="1"/>
  <c r="C523" i="20"/>
  <c r="R4" i="9" s="1"/>
  <c r="C522" i="20"/>
  <c r="Q4" i="9" s="1"/>
  <c r="C521" i="20"/>
  <c r="P4" i="9" s="1"/>
  <c r="C520" i="20"/>
  <c r="O4" i="9" s="1"/>
  <c r="C519" i="20"/>
  <c r="N4" i="9" s="1"/>
  <c r="C518" i="20"/>
  <c r="F4" i="18" s="1"/>
  <c r="C517" i="20"/>
  <c r="L4" i="9" s="1"/>
  <c r="C516" i="20"/>
  <c r="K4" i="9" s="1"/>
  <c r="C515" i="20"/>
  <c r="J4" i="9" s="1"/>
  <c r="C514" i="20"/>
  <c r="I4" i="9" s="1"/>
  <c r="C513" i="20"/>
  <c r="H4" i="9" s="1"/>
  <c r="C512" i="20"/>
  <c r="G4" i="9" s="1"/>
  <c r="C511" i="20"/>
  <c r="F4" i="9" s="1"/>
  <c r="C510" i="20"/>
  <c r="E4" i="9" s="1"/>
  <c r="C509" i="20"/>
  <c r="D4" i="9" s="1"/>
  <c r="C508" i="20"/>
  <c r="C4" i="9" s="1"/>
  <c r="C507" i="20"/>
  <c r="B4" i="9" s="1"/>
  <c r="C506" i="20"/>
  <c r="A4" i="9" s="1"/>
  <c r="C503" i="20"/>
  <c r="B8" i="14" s="1"/>
  <c r="C502" i="20"/>
  <c r="C4" i="14" s="1"/>
  <c r="C501" i="20"/>
  <c r="B4" i="14" s="1"/>
  <c r="C500" i="20"/>
  <c r="B2" i="14" s="1"/>
  <c r="C497" i="20"/>
  <c r="C496" i="20"/>
  <c r="C495" i="20"/>
  <c r="C494" i="20"/>
  <c r="C493" i="20"/>
  <c r="E10" i="5" s="1"/>
  <c r="C492" i="20"/>
  <c r="D10" i="5" s="1"/>
  <c r="C491" i="20"/>
  <c r="C490" i="20"/>
  <c r="B10" i="5" s="1"/>
  <c r="C489" i="20"/>
  <c r="B8" i="5" s="1"/>
  <c r="C488" i="20"/>
  <c r="C487" i="20"/>
  <c r="B2" i="5" s="1"/>
  <c r="C484" i="20"/>
  <c r="O10" i="4" s="1"/>
  <c r="C483" i="20"/>
  <c r="J10" i="4" s="1"/>
  <c r="C482" i="20"/>
  <c r="I10" i="4" s="1"/>
  <c r="C481" i="20"/>
  <c r="H10" i="4" s="1"/>
  <c r="C480" i="20"/>
  <c r="G10" i="4" s="1"/>
  <c r="C479" i="20"/>
  <c r="F10" i="14" s="1"/>
  <c r="C478" i="20"/>
  <c r="E10" i="14" s="1"/>
  <c r="C477" i="20"/>
  <c r="D10" i="14" s="1"/>
  <c r="C476" i="20"/>
  <c r="B10" i="4" s="1"/>
  <c r="C475" i="20"/>
  <c r="B8" i="4" s="1"/>
  <c r="C474" i="20"/>
  <c r="C473" i="20"/>
  <c r="B2" i="4" s="1"/>
  <c r="C435" i="20"/>
  <c r="C455" i="20"/>
  <c r="C126" i="15" s="1"/>
  <c r="C454" i="20"/>
  <c r="C118" i="15" s="1"/>
  <c r="C437" i="20"/>
  <c r="C463" i="20"/>
  <c r="G135" i="15" s="1"/>
  <c r="C462" i="20"/>
  <c r="C135" i="15" s="1"/>
  <c r="C461" i="20"/>
  <c r="C133" i="15" s="1"/>
  <c r="C460" i="20"/>
  <c r="C131" i="15" s="1"/>
  <c r="C459" i="20"/>
  <c r="C130" i="15" s="1"/>
  <c r="C458" i="20"/>
  <c r="C129" i="15" s="1"/>
  <c r="C457" i="20"/>
  <c r="C128" i="15" s="1"/>
  <c r="C456" i="20"/>
  <c r="C127" i="15" s="1"/>
  <c r="C453" i="20"/>
  <c r="C117" i="15" s="1"/>
  <c r="C452" i="20"/>
  <c r="C115" i="15" s="1"/>
  <c r="C451" i="20"/>
  <c r="C450" i="20"/>
  <c r="C449" i="20"/>
  <c r="C448" i="20"/>
  <c r="C447" i="20"/>
  <c r="C446" i="20"/>
  <c r="C100" i="15" s="1"/>
  <c r="C445" i="20"/>
  <c r="C98" i="15" s="1"/>
  <c r="C444" i="20"/>
  <c r="C77" i="15" s="1"/>
  <c r="Q443" i="20"/>
  <c r="C442" i="20"/>
  <c r="C65" i="15" s="1"/>
  <c r="C441" i="20"/>
  <c r="C63" i="15" s="1"/>
  <c r="C440" i="20"/>
  <c r="C439" i="20"/>
  <c r="C438" i="20"/>
  <c r="C436" i="20"/>
  <c r="C52" i="15" s="1"/>
  <c r="C434" i="20"/>
  <c r="C47" i="15" s="1"/>
  <c r="C433" i="20"/>
  <c r="C46" i="15" s="1"/>
  <c r="C432" i="20"/>
  <c r="C23" i="15" s="1"/>
  <c r="C430" i="20"/>
  <c r="C18" i="15"/>
  <c r="C71" i="15"/>
  <c r="C16" i="15"/>
  <c r="C69" i="15"/>
  <c r="C68" i="15"/>
  <c r="C13" i="15"/>
  <c r="C11" i="15"/>
  <c r="C9" i="15"/>
  <c r="C5" i="15"/>
  <c r="C2" i="15"/>
  <c r="C407" i="20"/>
  <c r="C416" i="20"/>
  <c r="C116" i="13" s="1"/>
  <c r="C415" i="20"/>
  <c r="C114" i="13" s="1"/>
  <c r="C414" i="20"/>
  <c r="C112" i="13" s="1"/>
  <c r="C413" i="20"/>
  <c r="CH34" i="13" s="1"/>
  <c r="C412" i="20"/>
  <c r="G33" i="13" s="1"/>
  <c r="C411" i="20"/>
  <c r="F33" i="13" s="1"/>
  <c r="C410" i="20"/>
  <c r="E33" i="13" s="1"/>
  <c r="C409" i="20"/>
  <c r="D33" i="13" s="1"/>
  <c r="C408" i="20"/>
  <c r="C31" i="13" s="1"/>
  <c r="C406" i="20"/>
  <c r="C405" i="20"/>
  <c r="C404" i="20"/>
  <c r="C403" i="20"/>
  <c r="C402" i="20"/>
  <c r="C19" i="13" s="1"/>
  <c r="C401" i="20"/>
  <c r="C400" i="20"/>
  <c r="C399" i="20"/>
  <c r="C398" i="20"/>
  <c r="C397" i="20"/>
  <c r="C13" i="13" s="1"/>
  <c r="C396" i="20"/>
  <c r="C12" i="13" s="1"/>
  <c r="C395" i="20"/>
  <c r="C10" i="13" s="1"/>
  <c r="C394" i="20"/>
  <c r="C6" i="13" s="1"/>
  <c r="C393" i="20"/>
  <c r="C5" i="13" s="1"/>
  <c r="C392" i="20"/>
  <c r="C2" i="13" s="1"/>
  <c r="C365" i="20"/>
  <c r="C361" i="20"/>
  <c r="C357" i="20"/>
  <c r="K462" i="20" a="1"/>
  <c r="K415" i="20" a="1"/>
  <c r="K508" i="20" a="1"/>
  <c r="K460" i="20" a="1"/>
  <c r="K435" i="20" a="1"/>
  <c r="K444" i="20" a="1"/>
  <c r="K476" i="20" a="1"/>
  <c r="K530" i="20" a="1"/>
  <c r="K419" i="20" a="1"/>
  <c r="K441" i="20" a="1"/>
  <c r="K516" i="20" a="1"/>
  <c r="K520" i="20" a="1"/>
  <c r="K410" i="20" a="1"/>
  <c r="K512" i="20" a="1"/>
  <c r="K490" i="20" a="1"/>
  <c r="K402" i="20" a="1"/>
  <c r="K515" i="20" a="1"/>
  <c r="K463" i="20" a="1"/>
  <c r="K393" i="20" a="1"/>
  <c r="K396" i="20" a="1"/>
  <c r="K473" i="20" a="1"/>
  <c r="K489" i="20" a="1"/>
  <c r="K482" i="20" a="1"/>
  <c r="K517" i="20" a="1"/>
  <c r="K507" i="20" a="1"/>
  <c r="K492" i="20" a="1"/>
  <c r="K420" i="20" a="1"/>
  <c r="K434" i="20" a="1"/>
  <c r="K527" i="20" a="1"/>
  <c r="K416" i="20" a="1"/>
  <c r="K457" i="20" a="1"/>
  <c r="K506" i="20" a="1"/>
  <c r="K510" i="20" a="1"/>
  <c r="K481" i="20" a="1"/>
  <c r="K524" i="20" a="1"/>
  <c r="K445" i="20" a="1"/>
  <c r="K503" i="20" a="1"/>
  <c r="K422" i="20" a="1"/>
  <c r="K523" i="20" a="1"/>
  <c r="K514" i="20" a="1"/>
  <c r="K409" i="20" a="1"/>
  <c r="K522" i="20" a="1"/>
  <c r="K432" i="20" a="1"/>
  <c r="K509" i="20" a="1"/>
  <c r="K458" i="20" a="1"/>
  <c r="K502" i="20" a="1"/>
  <c r="K521" i="20" a="1"/>
  <c r="K428" i="20" a="1"/>
  <c r="K461" i="20" a="1"/>
  <c r="K426" i="20" a="1"/>
  <c r="K421" i="20" a="1"/>
  <c r="T49" i="15" l="1"/>
  <c r="T102" i="15"/>
  <c r="C10" i="5"/>
  <c r="C10" i="4"/>
  <c r="C10" i="14"/>
  <c r="I10" i="5"/>
  <c r="CL10" i="14"/>
  <c r="CD10" i="14"/>
  <c r="BV10" i="14"/>
  <c r="BN10" i="14"/>
  <c r="BF10" i="14"/>
  <c r="AX10" i="14"/>
  <c r="AP10" i="14"/>
  <c r="AH10" i="14"/>
  <c r="Z10" i="14"/>
  <c r="R10" i="14"/>
  <c r="J10" i="14"/>
  <c r="CH10" i="14"/>
  <c r="BZ10" i="14"/>
  <c r="BR10" i="14"/>
  <c r="BJ10" i="14"/>
  <c r="BB10" i="14"/>
  <c r="AT10" i="14"/>
  <c r="AL10" i="14"/>
  <c r="AD10" i="14"/>
  <c r="V10" i="14"/>
  <c r="N10" i="14"/>
  <c r="CE10" i="14"/>
  <c r="BW10" i="14"/>
  <c r="BO10" i="14"/>
  <c r="BG10" i="14"/>
  <c r="AY10" i="14"/>
  <c r="AQ10" i="14"/>
  <c r="AI10" i="14"/>
  <c r="AA10" i="14"/>
  <c r="S10" i="14"/>
  <c r="K10" i="14"/>
  <c r="CI10" i="14"/>
  <c r="CA10" i="14"/>
  <c r="BS10" i="14"/>
  <c r="BK10" i="14"/>
  <c r="BC10" i="14"/>
  <c r="AU10" i="14"/>
  <c r="AM10" i="14"/>
  <c r="AE10" i="14"/>
  <c r="W10" i="14"/>
  <c r="O10" i="14"/>
  <c r="G10" i="14"/>
  <c r="F10" i="5"/>
  <c r="CF10" i="14"/>
  <c r="BH10" i="14"/>
  <c r="AZ10" i="14"/>
  <c r="AJ10" i="14"/>
  <c r="L10" i="14"/>
  <c r="CJ10" i="14"/>
  <c r="CB10" i="14"/>
  <c r="BT10" i="14"/>
  <c r="BL10" i="14"/>
  <c r="BD10" i="14"/>
  <c r="AV10" i="14"/>
  <c r="AN10" i="14"/>
  <c r="AF10" i="14"/>
  <c r="X10" i="14"/>
  <c r="P10" i="14"/>
  <c r="H10" i="14"/>
  <c r="BP10" i="14"/>
  <c r="AB10" i="14"/>
  <c r="G10" i="5"/>
  <c r="BX10" i="14"/>
  <c r="AR10" i="14"/>
  <c r="T10" i="14"/>
  <c r="CK10" i="14"/>
  <c r="CC10" i="14"/>
  <c r="BU10" i="14"/>
  <c r="BM10" i="14"/>
  <c r="BE10" i="14"/>
  <c r="AW10" i="14"/>
  <c r="AO10" i="14"/>
  <c r="AG10" i="14"/>
  <c r="Y10" i="14"/>
  <c r="Q10" i="14"/>
  <c r="I10" i="14"/>
  <c r="H10" i="5"/>
  <c r="BY10" i="14"/>
  <c r="BQ10" i="14"/>
  <c r="BI10" i="14"/>
  <c r="BA10" i="14"/>
  <c r="AS10" i="14"/>
  <c r="AK10" i="14"/>
  <c r="AC10" i="14"/>
  <c r="U10" i="14"/>
  <c r="M10" i="14"/>
  <c r="CG10" i="14"/>
  <c r="K426" i="20"/>
  <c r="M426" i="20" s="1"/>
  <c r="K419" i="20"/>
  <c r="M419" i="20" s="1"/>
  <c r="K420" i="20"/>
  <c r="M420" i="20" s="1"/>
  <c r="K428" i="20"/>
  <c r="M428" i="20" s="1"/>
  <c r="K421" i="20"/>
  <c r="M421" i="20" s="1"/>
  <c r="K422" i="20"/>
  <c r="M422" i="20" s="1"/>
  <c r="M4" i="9"/>
  <c r="A4" i="18"/>
  <c r="B4" i="18"/>
  <c r="C4" i="18"/>
  <c r="D10" i="4"/>
  <c r="E4" i="18"/>
  <c r="E10" i="4"/>
  <c r="K530" i="20"/>
  <c r="M530" i="20" s="1"/>
  <c r="F10" i="4"/>
  <c r="B10" i="14"/>
  <c r="K523" i="20"/>
  <c r="M523" i="20" s="1"/>
  <c r="K510" i="20"/>
  <c r="M510" i="20" s="1"/>
  <c r="K507" i="20"/>
  <c r="M507" i="20" s="1"/>
  <c r="K521" i="20"/>
  <c r="M521" i="20" s="1"/>
  <c r="K520" i="20"/>
  <c r="M520" i="20" s="1"/>
  <c r="K508" i="20"/>
  <c r="M508" i="20" s="1"/>
  <c r="K516" i="20"/>
  <c r="M516" i="20" s="1"/>
  <c r="K524" i="20"/>
  <c r="M524" i="20" s="1"/>
  <c r="K527" i="20"/>
  <c r="M527" i="20" s="1"/>
  <c r="K512" i="20"/>
  <c r="M512" i="20" s="1"/>
  <c r="K515" i="20"/>
  <c r="M515" i="20" s="1"/>
  <c r="K506" i="20"/>
  <c r="M506" i="20" s="1"/>
  <c r="K514" i="20"/>
  <c r="M514" i="20" s="1"/>
  <c r="K522" i="20"/>
  <c r="M522" i="20" s="1"/>
  <c r="K509" i="20"/>
  <c r="M509" i="20" s="1"/>
  <c r="K517" i="20"/>
  <c r="M517" i="20" s="1"/>
  <c r="K502" i="20"/>
  <c r="M502" i="20" s="1"/>
  <c r="K503" i="20"/>
  <c r="M503" i="20" s="1"/>
  <c r="K490" i="20"/>
  <c r="M490" i="20" s="1"/>
  <c r="K489" i="20"/>
  <c r="M489" i="20" s="1"/>
  <c r="K492" i="20"/>
  <c r="M492" i="20" s="1"/>
  <c r="K473" i="20"/>
  <c r="M473" i="20" s="1"/>
  <c r="K481" i="20"/>
  <c r="M481" i="20" s="1"/>
  <c r="K476" i="20"/>
  <c r="M476" i="20" s="1"/>
  <c r="K482" i="20"/>
  <c r="M482" i="20" s="1"/>
  <c r="K435" i="20"/>
  <c r="M435" i="20" s="1"/>
  <c r="C125" i="15"/>
  <c r="C15" i="15"/>
  <c r="C122" i="15"/>
  <c r="C70" i="15"/>
  <c r="C123" i="15"/>
  <c r="C72" i="15"/>
  <c r="C124" i="15"/>
  <c r="C14" i="15"/>
  <c r="C67" i="15"/>
  <c r="C17" i="15"/>
  <c r="K463" i="20"/>
  <c r="M463" i="20" s="1"/>
  <c r="BP33" i="13"/>
  <c r="F118" i="13"/>
  <c r="N118" i="13"/>
  <c r="V118" i="13"/>
  <c r="E118" i="13"/>
  <c r="U118" i="13"/>
  <c r="BT33" i="13"/>
  <c r="G118" i="13"/>
  <c r="O118" i="13"/>
  <c r="W118" i="13"/>
  <c r="AZ33" i="13"/>
  <c r="M118" i="13"/>
  <c r="CF33" i="13"/>
  <c r="H118" i="13"/>
  <c r="P118" i="13"/>
  <c r="X118" i="13"/>
  <c r="I118" i="13"/>
  <c r="Q118" i="13"/>
  <c r="H33" i="13"/>
  <c r="T33" i="13"/>
  <c r="J118" i="13"/>
  <c r="R118" i="13"/>
  <c r="AJ33" i="13"/>
  <c r="K118" i="13"/>
  <c r="S118" i="13"/>
  <c r="AN33" i="13"/>
  <c r="D118" i="13"/>
  <c r="L118" i="13"/>
  <c r="T118" i="13"/>
  <c r="K461" i="20"/>
  <c r="M461" i="20" s="1"/>
  <c r="K444" i="20"/>
  <c r="M444" i="20" s="1"/>
  <c r="K462" i="20"/>
  <c r="M462" i="20" s="1"/>
  <c r="K457" i="20"/>
  <c r="M457" i="20" s="1"/>
  <c r="K434" i="20"/>
  <c r="M434" i="20" s="1"/>
  <c r="K460" i="20"/>
  <c r="M460" i="20" s="1"/>
  <c r="K445" i="20"/>
  <c r="M445" i="20" s="1"/>
  <c r="K432" i="20"/>
  <c r="M432" i="20" s="1"/>
  <c r="K441" i="20"/>
  <c r="M441" i="20" s="1"/>
  <c r="K458" i="20"/>
  <c r="M458" i="20" s="1"/>
  <c r="L33" i="13"/>
  <c r="AR33" i="13"/>
  <c r="BX33" i="13"/>
  <c r="P33" i="13"/>
  <c r="AV33" i="13"/>
  <c r="CB33" i="13"/>
  <c r="X33" i="13"/>
  <c r="BD33" i="13"/>
  <c r="AB33" i="13"/>
  <c r="BH33" i="13"/>
  <c r="AF33" i="13"/>
  <c r="BL33" i="13"/>
  <c r="S34" i="13"/>
  <c r="I33" i="13"/>
  <c r="M33" i="13"/>
  <c r="Q33" i="13"/>
  <c r="U33" i="13"/>
  <c r="Y33" i="13"/>
  <c r="AC33" i="13"/>
  <c r="AG33" i="13"/>
  <c r="AK33" i="13"/>
  <c r="AO33" i="13"/>
  <c r="AS33" i="13"/>
  <c r="AW33" i="13"/>
  <c r="BA33" i="13"/>
  <c r="BE33" i="13"/>
  <c r="BI33" i="13"/>
  <c r="BM33" i="13"/>
  <c r="BQ33" i="13"/>
  <c r="BU33" i="13"/>
  <c r="BY33" i="13"/>
  <c r="CC33" i="13"/>
  <c r="CG33" i="13"/>
  <c r="K34" i="13"/>
  <c r="AY34" i="13"/>
  <c r="CA34" i="13"/>
  <c r="J33" i="13"/>
  <c r="N33" i="13"/>
  <c r="R33" i="13"/>
  <c r="V33" i="13"/>
  <c r="Z33" i="13"/>
  <c r="AD33" i="13"/>
  <c r="AH33" i="13"/>
  <c r="AL33" i="13"/>
  <c r="AP33" i="13"/>
  <c r="AT33" i="13"/>
  <c r="AX33" i="13"/>
  <c r="BB33" i="13"/>
  <c r="BF33" i="13"/>
  <c r="BJ33" i="13"/>
  <c r="BN33" i="13"/>
  <c r="BR33" i="13"/>
  <c r="BV33" i="13"/>
  <c r="BZ33" i="13"/>
  <c r="CD33" i="13"/>
  <c r="CH33" i="13"/>
  <c r="W34" i="13"/>
  <c r="AI34" i="13"/>
  <c r="BC34" i="13"/>
  <c r="BK34" i="13"/>
  <c r="CE34" i="13"/>
  <c r="K33" i="13"/>
  <c r="O33" i="13"/>
  <c r="S33" i="13"/>
  <c r="W33" i="13"/>
  <c r="AA33" i="13"/>
  <c r="AE33" i="13"/>
  <c r="AI33" i="13"/>
  <c r="AM33" i="13"/>
  <c r="AQ33" i="13"/>
  <c r="AU33" i="13"/>
  <c r="AY33" i="13"/>
  <c r="BC33" i="13"/>
  <c r="BG33" i="13"/>
  <c r="BK33" i="13"/>
  <c r="BO33" i="13"/>
  <c r="BS33" i="13"/>
  <c r="BW33" i="13"/>
  <c r="CA33" i="13"/>
  <c r="CE33" i="13"/>
  <c r="CI33" i="13"/>
  <c r="C109" i="13"/>
  <c r="AA34" i="13"/>
  <c r="AQ34" i="13"/>
  <c r="BW34" i="13"/>
  <c r="D34" i="13"/>
  <c r="H34" i="13"/>
  <c r="L34" i="13"/>
  <c r="P34" i="13"/>
  <c r="T34" i="13"/>
  <c r="X34" i="13"/>
  <c r="AB34" i="13"/>
  <c r="AF34" i="13"/>
  <c r="AJ34" i="13"/>
  <c r="AN34" i="13"/>
  <c r="AR34" i="13"/>
  <c r="AV34" i="13"/>
  <c r="AZ34" i="13"/>
  <c r="BD34" i="13"/>
  <c r="BH34" i="13"/>
  <c r="BL34" i="13"/>
  <c r="BP34" i="13"/>
  <c r="BT34" i="13"/>
  <c r="BX34" i="13"/>
  <c r="CB34" i="13"/>
  <c r="CF34" i="13"/>
  <c r="C193" i="13"/>
  <c r="G34" i="13"/>
  <c r="AE34" i="13"/>
  <c r="AU34" i="13"/>
  <c r="BG34" i="13"/>
  <c r="BO34" i="13"/>
  <c r="CI34" i="13"/>
  <c r="E34" i="13"/>
  <c r="I34" i="13"/>
  <c r="M34" i="13"/>
  <c r="Q34" i="13"/>
  <c r="U34" i="13"/>
  <c r="Y34" i="13"/>
  <c r="AC34" i="13"/>
  <c r="AG34" i="13"/>
  <c r="AK34" i="13"/>
  <c r="AO34" i="13"/>
  <c r="AS34" i="13"/>
  <c r="AW34" i="13"/>
  <c r="BA34" i="13"/>
  <c r="BE34" i="13"/>
  <c r="BI34" i="13"/>
  <c r="BM34" i="13"/>
  <c r="BQ34" i="13"/>
  <c r="BU34" i="13"/>
  <c r="BY34" i="13"/>
  <c r="CC34" i="13"/>
  <c r="CG34" i="13"/>
  <c r="O34" i="13"/>
  <c r="AM34" i="13"/>
  <c r="BS34" i="13"/>
  <c r="F34" i="13"/>
  <c r="J34" i="13"/>
  <c r="N34" i="13"/>
  <c r="R34" i="13"/>
  <c r="V34" i="13"/>
  <c r="Z34" i="13"/>
  <c r="AD34" i="13"/>
  <c r="AH34" i="13"/>
  <c r="AL34" i="13"/>
  <c r="AP34" i="13"/>
  <c r="AT34" i="13"/>
  <c r="AX34" i="13"/>
  <c r="BB34" i="13"/>
  <c r="BF34" i="13"/>
  <c r="BJ34" i="13"/>
  <c r="BN34" i="13"/>
  <c r="BR34" i="13"/>
  <c r="BV34" i="13"/>
  <c r="BZ34" i="13"/>
  <c r="CD34" i="13"/>
  <c r="K396" i="20"/>
  <c r="M396" i="20" s="1"/>
  <c r="K409" i="20"/>
  <c r="M409" i="20" s="1"/>
  <c r="K410" i="20"/>
  <c r="M410" i="20" s="1"/>
  <c r="K402" i="20"/>
  <c r="M402" i="20" s="1"/>
  <c r="K393" i="20"/>
  <c r="M393" i="20" s="1"/>
  <c r="K415" i="20"/>
  <c r="M415" i="20" s="1"/>
  <c r="K416" i="20"/>
  <c r="M416" i="20" s="1"/>
  <c r="C362" i="20"/>
  <c r="C366" i="20"/>
  <c r="C367" i="20"/>
  <c r="C363" i="20"/>
  <c r="C364" i="20"/>
  <c r="C360" i="20"/>
  <c r="C359" i="20"/>
  <c r="C356" i="20"/>
  <c r="C355" i="20"/>
  <c r="C29" i="12" s="1"/>
  <c r="C44" i="20"/>
  <c r="C43" i="20"/>
  <c r="C42" i="20"/>
  <c r="C41" i="20"/>
  <c r="K495" i="20" a="1"/>
  <c r="K479" i="20" a="1"/>
  <c r="K407" i="20" a="1"/>
  <c r="K488" i="20" a="1"/>
  <c r="K338" i="20" a="1"/>
  <c r="K518" i="20" a="1"/>
  <c r="K397" i="20" a="1"/>
  <c r="K423" i="20" a="1"/>
  <c r="K491" i="20" a="1"/>
  <c r="K459" i="20" a="1"/>
  <c r="K436" i="20" a="1"/>
  <c r="K497" i="20" a="1"/>
  <c r="K392" i="20" a="1"/>
  <c r="K442" i="20" a="1"/>
  <c r="K483" i="20" a="1"/>
  <c r="K519" i="20" a="1"/>
  <c r="K480" i="20" a="1"/>
  <c r="K487" i="20" a="1"/>
  <c r="K475" i="20" a="1"/>
  <c r="K496" i="20" a="1"/>
  <c r="K408" i="20" a="1"/>
  <c r="K425" i="20" a="1"/>
  <c r="K484" i="20" a="1"/>
  <c r="K453" i="20" a="1"/>
  <c r="K454" i="20" a="1"/>
  <c r="K456" i="20" a="1"/>
  <c r="K395" i="20" a="1"/>
  <c r="K427" i="20" a="1"/>
  <c r="K477" i="20" a="1"/>
  <c r="K446" i="20" a="1"/>
  <c r="K411" i="20" a="1"/>
  <c r="K500" i="20" a="1"/>
  <c r="K413" i="20" a="1"/>
  <c r="K414" i="20" a="1"/>
  <c r="K455" i="20" a="1"/>
  <c r="K525" i="20" a="1"/>
  <c r="K494" i="20" a="1"/>
  <c r="K511" i="20" a="1"/>
  <c r="K452" i="20" a="1"/>
  <c r="K412" i="20" a="1"/>
  <c r="K478" i="20" a="1"/>
  <c r="K474" i="20" a="1"/>
  <c r="K501" i="20" a="1"/>
  <c r="K513" i="20" a="1"/>
  <c r="K424" i="20" a="1"/>
  <c r="K433" i="20" a="1"/>
  <c r="K493" i="20" a="1"/>
  <c r="K394" i="20" a="1"/>
  <c r="K526" i="20" a="1"/>
  <c r="K456" i="20" l="1"/>
  <c r="M456" i="20" s="1"/>
  <c r="K455" i="20"/>
  <c r="M455" i="20" s="1"/>
  <c r="K513" i="20"/>
  <c r="M513" i="20" s="1"/>
  <c r="K433" i="20"/>
  <c r="M433" i="20" s="1"/>
  <c r="K475" i="20"/>
  <c r="M475" i="20" s="1"/>
  <c r="K511" i="20"/>
  <c r="M511" i="20" s="1"/>
  <c r="K459" i="20"/>
  <c r="M459" i="20" s="1"/>
  <c r="K394" i="20"/>
  <c r="M394" i="20" s="1"/>
  <c r="K412" i="20"/>
  <c r="M412" i="20" s="1"/>
  <c r="K397" i="20"/>
  <c r="M397" i="20" s="1"/>
  <c r="K338" i="20"/>
  <c r="K442" i="20"/>
  <c r="M442" i="20" s="1"/>
  <c r="K408" i="20"/>
  <c r="M408" i="20" s="1"/>
  <c r="K488" i="20"/>
  <c r="M488" i="20" s="1"/>
  <c r="K483" i="20"/>
  <c r="M483" i="20" s="1"/>
  <c r="K501" i="20"/>
  <c r="M501" i="20" s="1"/>
  <c r="K452" i="20"/>
  <c r="M452" i="20" s="1"/>
  <c r="K436" i="20"/>
  <c r="M436" i="20" s="1"/>
  <c r="K525" i="20"/>
  <c r="M525" i="20" s="1"/>
  <c r="K500" i="20"/>
  <c r="M500" i="20" s="1"/>
  <c r="K454" i="20"/>
  <c r="M454" i="20" s="1"/>
  <c r="K411" i="20"/>
  <c r="M411" i="20" s="1"/>
  <c r="K407" i="20"/>
  <c r="M407" i="20" s="1"/>
  <c r="K395" i="20"/>
  <c r="M395" i="20" s="1"/>
  <c r="K453" i="20"/>
  <c r="M453" i="20" s="1"/>
  <c r="K474" i="20"/>
  <c r="M474" i="20" s="1"/>
  <c r="K519" i="20"/>
  <c r="M519" i="20" s="1"/>
  <c r="K484" i="20"/>
  <c r="M484" i="20" s="1"/>
  <c r="K414" i="20"/>
  <c r="M414" i="20" s="1"/>
  <c r="K493" i="20"/>
  <c r="M493" i="20" s="1"/>
  <c r="K446" i="20"/>
  <c r="M446" i="20" s="1"/>
  <c r="K526" i="20"/>
  <c r="M526" i="20" s="1"/>
  <c r="K487" i="20"/>
  <c r="M487" i="20" s="1"/>
  <c r="K423" i="20"/>
  <c r="M423" i="20" s="1"/>
  <c r="K392" i="20"/>
  <c r="M392" i="20" s="1"/>
  <c r="K491" i="20"/>
  <c r="M491" i="20" s="1"/>
  <c r="K480" i="20"/>
  <c r="M480" i="20" s="1"/>
  <c r="K496" i="20"/>
  <c r="M496" i="20" s="1"/>
  <c r="K497" i="20"/>
  <c r="M497" i="20" s="1"/>
  <c r="K425" i="20"/>
  <c r="M425" i="20" s="1"/>
  <c r="K424" i="20"/>
  <c r="M424" i="20" s="1"/>
  <c r="K427" i="20"/>
  <c r="M427" i="20" s="1"/>
  <c r="K518" i="20"/>
  <c r="M518" i="20" s="1"/>
  <c r="K478" i="20"/>
  <c r="M478" i="20" s="1"/>
  <c r="K477" i="20"/>
  <c r="M477" i="20" s="1"/>
  <c r="K479" i="20"/>
  <c r="M479" i="20" s="1"/>
  <c r="K495" i="20"/>
  <c r="M495" i="20" s="1"/>
  <c r="K494" i="20"/>
  <c r="M494" i="20" s="1"/>
  <c r="K413" i="20"/>
  <c r="M413" i="20" s="1"/>
  <c r="C325" i="20"/>
  <c r="C335" i="20"/>
  <c r="C2" i="12" s="1"/>
  <c r="C337" i="20"/>
  <c r="C7" i="12" s="1"/>
  <c r="C385" i="20"/>
  <c r="F118" i="12" s="1"/>
  <c r="C384" i="20"/>
  <c r="C118" i="12" s="1"/>
  <c r="C383" i="20"/>
  <c r="F98" i="12" s="1"/>
  <c r="C382" i="20"/>
  <c r="C98" i="12" s="1"/>
  <c r="C381" i="20"/>
  <c r="C77" i="12" s="1"/>
  <c r="C380" i="20"/>
  <c r="C76" i="12" s="1"/>
  <c r="C379" i="20"/>
  <c r="C74" i="12" s="1"/>
  <c r="C378" i="20"/>
  <c r="C70" i="12" s="1"/>
  <c r="C377" i="20"/>
  <c r="C69" i="12" s="1"/>
  <c r="C376" i="20"/>
  <c r="C68" i="12" s="1"/>
  <c r="C375" i="20"/>
  <c r="C67" i="12" s="1"/>
  <c r="C374" i="20"/>
  <c r="C66" i="12" s="1"/>
  <c r="C373" i="20"/>
  <c r="C65" i="12" s="1"/>
  <c r="C372" i="20"/>
  <c r="C64" i="12" s="1"/>
  <c r="C371" i="20"/>
  <c r="F63" i="12" s="1"/>
  <c r="C370" i="20"/>
  <c r="D63" i="12" s="1"/>
  <c r="C368" i="20"/>
  <c r="C62" i="12" s="1"/>
  <c r="C358" i="20"/>
  <c r="C354" i="20"/>
  <c r="C353" i="20"/>
  <c r="C27" i="12" s="1"/>
  <c r="C352" i="20"/>
  <c r="C26" i="12" s="1"/>
  <c r="C351" i="20"/>
  <c r="C25" i="12" s="1"/>
  <c r="C350" i="20"/>
  <c r="C349" i="20"/>
  <c r="F23" i="12" s="1"/>
  <c r="C348" i="20"/>
  <c r="C347" i="20"/>
  <c r="C23" i="12" s="1"/>
  <c r="C346" i="20"/>
  <c r="C22" i="12" s="1"/>
  <c r="C345" i="20"/>
  <c r="C344" i="20"/>
  <c r="C18" i="12" s="1"/>
  <c r="C343" i="20"/>
  <c r="C15" i="12" s="1"/>
  <c r="C342" i="20"/>
  <c r="C14" i="12" s="1"/>
  <c r="C341" i="20"/>
  <c r="C13" i="12" s="1"/>
  <c r="C340" i="20"/>
  <c r="D10" i="12" s="1"/>
  <c r="C339" i="20"/>
  <c r="C10" i="12" s="1"/>
  <c r="C336" i="20"/>
  <c r="C5" i="12" s="1"/>
  <c r="K355" i="20" a="1"/>
  <c r="K384" i="20" a="1"/>
  <c r="K385" i="20" a="1"/>
  <c r="K369" i="20" a="1"/>
  <c r="D101" i="15" l="1"/>
  <c r="D48" i="15"/>
  <c r="D23" i="12"/>
  <c r="K355" i="20"/>
  <c r="M355" i="20" s="1"/>
  <c r="K384" i="20"/>
  <c r="M384" i="20" s="1"/>
  <c r="K385" i="20"/>
  <c r="M385" i="20" s="1"/>
  <c r="K369" i="20"/>
  <c r="C332" i="20" l="1"/>
  <c r="C331" i="20"/>
  <c r="C330" i="20"/>
  <c r="D40" i="16" s="1"/>
  <c r="C329" i="20"/>
  <c r="C40" i="16" s="1"/>
  <c r="C328" i="20"/>
  <c r="C39" i="16" s="1"/>
  <c r="C327" i="20"/>
  <c r="C326" i="20"/>
  <c r="C17" i="16"/>
  <c r="C322" i="20"/>
  <c r="C42" i="10" s="1"/>
  <c r="C321" i="20"/>
  <c r="C41" i="10" s="1"/>
  <c r="C320" i="20"/>
  <c r="C39" i="10" s="1"/>
  <c r="C319" i="20"/>
  <c r="C37" i="10" s="1"/>
  <c r="C318" i="20"/>
  <c r="C36" i="10" s="1"/>
  <c r="C317" i="20"/>
  <c r="C35" i="10" s="1"/>
  <c r="C316" i="20"/>
  <c r="C34" i="10" s="1"/>
  <c r="C315" i="20"/>
  <c r="C33" i="10" s="1"/>
  <c r="C314" i="20"/>
  <c r="C32" i="10" s="1"/>
  <c r="C313" i="20"/>
  <c r="C31" i="10" s="1"/>
  <c r="C312" i="20"/>
  <c r="C30" i="10" s="1"/>
  <c r="C311" i="20"/>
  <c r="C29" i="10" s="1"/>
  <c r="C310" i="20"/>
  <c r="C309" i="20"/>
  <c r="C308" i="20"/>
  <c r="C26" i="10" s="1"/>
  <c r="C307" i="20"/>
  <c r="C25" i="10" s="1"/>
  <c r="C306" i="20"/>
  <c r="C24" i="10" s="1"/>
  <c r="C305" i="20"/>
  <c r="C304" i="20"/>
  <c r="C303" i="20"/>
  <c r="D22" i="10" s="1"/>
  <c r="C302" i="20"/>
  <c r="C22" i="10" s="1"/>
  <c r="C301" i="20"/>
  <c r="C21" i="10" s="1"/>
  <c r="C300" i="20"/>
  <c r="C19" i="10" s="1"/>
  <c r="C299" i="20"/>
  <c r="C17" i="10" s="1"/>
  <c r="C280" i="20"/>
  <c r="C279" i="20"/>
  <c r="C278" i="20"/>
  <c r="F26" i="18" s="1"/>
  <c r="C277" i="20"/>
  <c r="C276" i="20"/>
  <c r="C275" i="20"/>
  <c r="C274" i="20"/>
  <c r="C273" i="20"/>
  <c r="C272" i="20"/>
  <c r="C64" i="11" s="1"/>
  <c r="C271" i="20"/>
  <c r="C270" i="20"/>
  <c r="C269" i="20"/>
  <c r="F36" i="11" s="1"/>
  <c r="C268" i="20"/>
  <c r="C267" i="20"/>
  <c r="C266" i="20"/>
  <c r="C265" i="20"/>
  <c r="C264" i="20"/>
  <c r="C263" i="20"/>
  <c r="C262" i="20"/>
  <c r="C261" i="20"/>
  <c r="C260" i="20"/>
  <c r="C54" i="11" s="1"/>
  <c r="C259" i="20"/>
  <c r="C258" i="20"/>
  <c r="C257" i="20"/>
  <c r="C252" i="20"/>
  <c r="C251" i="20"/>
  <c r="C249" i="20"/>
  <c r="C248" i="20"/>
  <c r="C247" i="20"/>
  <c r="C245" i="20"/>
  <c r="C244" i="20"/>
  <c r="C243" i="20"/>
  <c r="C242" i="20"/>
  <c r="C23" i="11" s="1"/>
  <c r="C241" i="20"/>
  <c r="C19" i="11" s="1"/>
  <c r="C238" i="20"/>
  <c r="C17" i="11" s="1"/>
  <c r="C234" i="20"/>
  <c r="D106" i="8" s="1"/>
  <c r="C233" i="20"/>
  <c r="C105" i="8" s="1"/>
  <c r="C232" i="20"/>
  <c r="C103" i="8" s="1"/>
  <c r="C231" i="20"/>
  <c r="C101" i="8" s="1"/>
  <c r="C235" i="20"/>
  <c r="C182" i="8" s="1"/>
  <c r="C80" i="20"/>
  <c r="C79" i="20"/>
  <c r="C78" i="20"/>
  <c r="C77" i="20"/>
  <c r="C81" i="20"/>
  <c r="C17" i="2" s="1"/>
  <c r="C82" i="20"/>
  <c r="C19" i="2" s="1"/>
  <c r="C230" i="20"/>
  <c r="G22" i="8" s="1"/>
  <c r="C229" i="20"/>
  <c r="G23" i="8" s="1"/>
  <c r="C228" i="20"/>
  <c r="C19" i="8" s="1"/>
  <c r="C227" i="20"/>
  <c r="C17" i="8" s="1"/>
  <c r="C224" i="20"/>
  <c r="C66" i="3" s="1"/>
  <c r="C223" i="20"/>
  <c r="E65" i="3" s="1"/>
  <c r="C222" i="20"/>
  <c r="D65" i="3" s="1"/>
  <c r="C221" i="20"/>
  <c r="C65" i="3" s="1"/>
  <c r="C220" i="20"/>
  <c r="C64" i="3" s="1"/>
  <c r="C219" i="20"/>
  <c r="C62" i="3" s="1"/>
  <c r="C218" i="20"/>
  <c r="C60" i="3" s="1"/>
  <c r="C217" i="20"/>
  <c r="C57" i="3" s="1"/>
  <c r="C216" i="20"/>
  <c r="C56" i="3" s="1"/>
  <c r="C215" i="20"/>
  <c r="C55" i="3" s="1"/>
  <c r="C214" i="20"/>
  <c r="E54" i="3" s="1"/>
  <c r="C213" i="20"/>
  <c r="C54" i="3" s="1"/>
  <c r="C212" i="20"/>
  <c r="C52" i="3" s="1"/>
  <c r="C211" i="20"/>
  <c r="C50" i="3" s="1"/>
  <c r="C210" i="20"/>
  <c r="H31" i="3" s="1"/>
  <c r="C209" i="20"/>
  <c r="C31" i="3" s="1"/>
  <c r="C208" i="20"/>
  <c r="C30" i="3" s="1"/>
  <c r="C207" i="20"/>
  <c r="C28" i="3" s="1"/>
  <c r="C206" i="20"/>
  <c r="C205" i="20"/>
  <c r="C103" i="15" s="1"/>
  <c r="C204" i="20"/>
  <c r="C51" i="15" s="1"/>
  <c r="C203" i="20"/>
  <c r="C50" i="15" s="1"/>
  <c r="C202" i="20"/>
  <c r="E21" i="3" s="1"/>
  <c r="C201" i="20"/>
  <c r="D21" i="3" s="1"/>
  <c r="C200" i="20"/>
  <c r="C199" i="20"/>
  <c r="C20" i="3" s="1"/>
  <c r="C198" i="20"/>
  <c r="C19" i="3" s="1"/>
  <c r="C197" i="20"/>
  <c r="C17" i="3" s="1"/>
  <c r="C196" i="20"/>
  <c r="C2" i="3" s="1"/>
  <c r="C193" i="20"/>
  <c r="C192" i="20"/>
  <c r="C191" i="20"/>
  <c r="C190" i="20"/>
  <c r="C189" i="20"/>
  <c r="C188" i="20"/>
  <c r="C187" i="20"/>
  <c r="C186" i="20"/>
  <c r="C185" i="20"/>
  <c r="C184" i="20"/>
  <c r="C183" i="20"/>
  <c r="C182" i="20"/>
  <c r="C181" i="20"/>
  <c r="C180" i="20"/>
  <c r="C179" i="20"/>
  <c r="C178" i="20"/>
  <c r="C177" i="20"/>
  <c r="C176" i="20"/>
  <c r="C175" i="20"/>
  <c r="C174" i="20"/>
  <c r="C173" i="20"/>
  <c r="C172" i="20"/>
  <c r="C171" i="20"/>
  <c r="C170" i="20"/>
  <c r="C169" i="20"/>
  <c r="C168" i="20"/>
  <c r="C167" i="20"/>
  <c r="C166" i="20"/>
  <c r="C165" i="20"/>
  <c r="C164" i="20"/>
  <c r="C163" i="20"/>
  <c r="C162" i="20"/>
  <c r="C161" i="20"/>
  <c r="C160" i="20"/>
  <c r="C159" i="20"/>
  <c r="C158" i="20"/>
  <c r="C157" i="20"/>
  <c r="C156" i="20"/>
  <c r="C155" i="20"/>
  <c r="C154" i="20"/>
  <c r="C153" i="20"/>
  <c r="C152" i="20"/>
  <c r="C151" i="20"/>
  <c r="C150" i="20"/>
  <c r="C149" i="20"/>
  <c r="C148" i="20"/>
  <c r="C147" i="20"/>
  <c r="C146" i="20"/>
  <c r="C145" i="20"/>
  <c r="C144" i="20"/>
  <c r="C143" i="20"/>
  <c r="C142" i="20"/>
  <c r="C141" i="20"/>
  <c r="C140" i="20"/>
  <c r="C139" i="20"/>
  <c r="C138" i="20"/>
  <c r="C137" i="20"/>
  <c r="C136" i="20"/>
  <c r="C135" i="20"/>
  <c r="C134" i="20"/>
  <c r="C133" i="20"/>
  <c r="C132" i="20"/>
  <c r="C131" i="20"/>
  <c r="C130" i="20"/>
  <c r="C129" i="20"/>
  <c r="C128" i="20"/>
  <c r="C127" i="20"/>
  <c r="C126" i="20"/>
  <c r="C125" i="20"/>
  <c r="C124" i="20"/>
  <c r="C123" i="20"/>
  <c r="C122" i="20"/>
  <c r="C121" i="20"/>
  <c r="C120" i="20"/>
  <c r="C118" i="20"/>
  <c r="C117" i="20"/>
  <c r="C119" i="20"/>
  <c r="C116" i="20"/>
  <c r="C115" i="20"/>
  <c r="C117" i="13" s="1"/>
  <c r="C114" i="20"/>
  <c r="C21" i="7" s="1"/>
  <c r="C113" i="20"/>
  <c r="C19" i="7" s="1"/>
  <c r="C112" i="20"/>
  <c r="C17" i="7" s="1"/>
  <c r="C109" i="20"/>
  <c r="C87" i="2" s="1"/>
  <c r="C108" i="20"/>
  <c r="C84" i="2" s="1"/>
  <c r="C107" i="20"/>
  <c r="C83" i="2" s="1"/>
  <c r="C106" i="20"/>
  <c r="C82" i="2" s="1"/>
  <c r="C105" i="20"/>
  <c r="D14" i="13" s="1"/>
  <c r="C104" i="20"/>
  <c r="C81" i="2" s="1"/>
  <c r="C103" i="20"/>
  <c r="C80" i="2" s="1"/>
  <c r="C102" i="20"/>
  <c r="C78" i="2" s="1"/>
  <c r="C101" i="20"/>
  <c r="C100" i="20"/>
  <c r="C57" i="2" s="1"/>
  <c r="C99" i="20"/>
  <c r="G36" i="2" s="1"/>
  <c r="C98" i="20"/>
  <c r="C36" i="2" s="1"/>
  <c r="C97" i="20"/>
  <c r="C34" i="2" s="1"/>
  <c r="C96" i="20"/>
  <c r="C32" i="2" s="1"/>
  <c r="C95" i="20"/>
  <c r="C94" i="20"/>
  <c r="C28" i="2" s="1"/>
  <c r="C93" i="20"/>
  <c r="C27" i="2" s="1"/>
  <c r="C92" i="20"/>
  <c r="C26" i="2" s="1"/>
  <c r="C91" i="20"/>
  <c r="C90" i="20"/>
  <c r="C24" i="2" s="1"/>
  <c r="C89" i="20"/>
  <c r="C88" i="20"/>
  <c r="C87" i="20"/>
  <c r="C86" i="20"/>
  <c r="E22" i="2" s="1"/>
  <c r="C85" i="20"/>
  <c r="D22" i="2" s="1"/>
  <c r="C84" i="20"/>
  <c r="C83" i="20"/>
  <c r="C21" i="2" s="1"/>
  <c r="C76" i="20"/>
  <c r="C14" i="2" s="1"/>
  <c r="C75" i="20"/>
  <c r="C13" i="2" s="1"/>
  <c r="C74" i="20"/>
  <c r="E12" i="2" s="1"/>
  <c r="C73" i="20"/>
  <c r="C12" i="2" s="1"/>
  <c r="C72" i="20"/>
  <c r="C10" i="2" s="1"/>
  <c r="C71" i="20"/>
  <c r="C8" i="2" s="1"/>
  <c r="C70" i="20"/>
  <c r="B19" i="6" s="1"/>
  <c r="C69" i="20"/>
  <c r="B16" i="6" s="1"/>
  <c r="C68" i="20"/>
  <c r="B13" i="6" s="1"/>
  <c r="C67" i="20"/>
  <c r="B11" i="6" s="1"/>
  <c r="C66" i="20"/>
  <c r="B7" i="6" s="1"/>
  <c r="C65" i="20"/>
  <c r="B5" i="6" s="1"/>
  <c r="C64" i="20"/>
  <c r="B2" i="6" s="1"/>
  <c r="C2" i="20"/>
  <c r="C59" i="20"/>
  <c r="C58" i="20"/>
  <c r="C57" i="20"/>
  <c r="C56" i="20"/>
  <c r="C55" i="20"/>
  <c r="C54" i="20"/>
  <c r="C63" i="20"/>
  <c r="B61" i="1" s="1"/>
  <c r="C62" i="20"/>
  <c r="B58" i="1" s="1"/>
  <c r="C61" i="20"/>
  <c r="B55" i="1" s="1"/>
  <c r="C60" i="20"/>
  <c r="B53" i="1" s="1"/>
  <c r="C53" i="20"/>
  <c r="B45" i="1" s="1"/>
  <c r="C52" i="20"/>
  <c r="B36" i="1" s="1"/>
  <c r="C51" i="20"/>
  <c r="B34" i="1" s="1"/>
  <c r="C50" i="20"/>
  <c r="B29" i="1" s="1"/>
  <c r="C49" i="20"/>
  <c r="B26" i="1" s="1"/>
  <c r="C48" i="20"/>
  <c r="B24" i="1" s="1"/>
  <c r="C47" i="20"/>
  <c r="B19" i="1" s="1"/>
  <c r="C46" i="20"/>
  <c r="B16" i="1" s="1"/>
  <c r="C45" i="20"/>
  <c r="B13" i="1" s="1"/>
  <c r="B11" i="1"/>
  <c r="C40" i="20"/>
  <c r="B10" i="1" s="1"/>
  <c r="C39" i="20"/>
  <c r="B7" i="1" s="1"/>
  <c r="C38" i="20"/>
  <c r="B5" i="1" s="1"/>
  <c r="C37" i="20"/>
  <c r="B2" i="1" s="1"/>
  <c r="C34" i="20"/>
  <c r="C5" i="2" s="1"/>
  <c r="B5" i="17" s="1"/>
  <c r="C36" i="20"/>
  <c r="C35" i="20"/>
  <c r="C33" i="20"/>
  <c r="B2" i="17" s="1"/>
  <c r="C31" i="20"/>
  <c r="C44" i="17" s="1"/>
  <c r="C32" i="20"/>
  <c r="C45" i="17" s="1"/>
  <c r="C30" i="20"/>
  <c r="C29" i="20"/>
  <c r="C28" i="20"/>
  <c r="C27" i="20"/>
  <c r="C39" i="17" s="1"/>
  <c r="C26" i="20"/>
  <c r="C38" i="17" s="1"/>
  <c r="C25" i="20"/>
  <c r="C37" i="17" s="1"/>
  <c r="C24" i="20"/>
  <c r="B36" i="17" s="1"/>
  <c r="C23" i="20"/>
  <c r="C34" i="17" s="1"/>
  <c r="C22" i="20"/>
  <c r="C33" i="17" s="1"/>
  <c r="C21" i="20"/>
  <c r="C32" i="17" s="1"/>
  <c r="C20" i="20"/>
  <c r="B31" i="17" s="1"/>
  <c r="C19" i="20"/>
  <c r="C29" i="17" s="1"/>
  <c r="C18" i="20"/>
  <c r="C28" i="17" s="1"/>
  <c r="C17" i="20"/>
  <c r="C27" i="17" s="1"/>
  <c r="C16" i="20"/>
  <c r="C26" i="17" s="1"/>
  <c r="C15" i="20"/>
  <c r="C25" i="17" s="1"/>
  <c r="C14" i="20"/>
  <c r="C24" i="17" s="1"/>
  <c r="C13" i="20"/>
  <c r="C23" i="17" s="1"/>
  <c r="C12" i="20"/>
  <c r="B22" i="17" s="1"/>
  <c r="C20" i="17"/>
  <c r="C10" i="20"/>
  <c r="C19" i="17" s="1"/>
  <c r="C9" i="20"/>
  <c r="C18" i="17" s="1"/>
  <c r="C8" i="20"/>
  <c r="B17" i="17" s="1"/>
  <c r="C7" i="20"/>
  <c r="B15" i="17" s="1"/>
  <c r="C6" i="20"/>
  <c r="E12" i="17" s="1"/>
  <c r="C5" i="20"/>
  <c r="B12" i="17" s="1"/>
  <c r="C4" i="20"/>
  <c r="B10" i="17" s="1"/>
  <c r="C3" i="20"/>
  <c r="B8" i="17" s="1"/>
  <c r="C5" i="14"/>
  <c r="Y49" i="13"/>
  <c r="C14" i="1"/>
  <c r="K85" i="20" a="1"/>
  <c r="K12" i="20" a="1"/>
  <c r="K34" i="20" a="1"/>
  <c r="O74" i="20" a="1"/>
  <c r="K269" i="20" a="1"/>
  <c r="K8" i="20" a="1"/>
  <c r="K227" i="20" a="1"/>
  <c r="K21" i="20" a="1"/>
  <c r="K14" i="20" a="1"/>
  <c r="K329" i="20" a="1"/>
  <c r="K377" i="20" a="1"/>
  <c r="K82" i="20" a="1"/>
  <c r="K213" i="20" a="1"/>
  <c r="K202" i="20" a="1"/>
  <c r="K68" i="20" a="1"/>
  <c r="K315" i="20" a="1"/>
  <c r="K102" i="20" a="1"/>
  <c r="K41" i="20" a="1"/>
  <c r="K96" i="20" a="1"/>
  <c r="K70" i="20" a="1"/>
  <c r="K90" i="20" a="1"/>
  <c r="K327" i="20" a="1"/>
  <c r="K212" i="20" a="1"/>
  <c r="K216" i="20" a="1"/>
  <c r="K340" i="20" a="1"/>
  <c r="K306" i="20" a="1"/>
  <c r="K94" i="20" a="1"/>
  <c r="K223" i="20" a="1"/>
  <c r="K331" i="20" a="1"/>
  <c r="K302" i="20" a="1"/>
  <c r="K534" i="20" a="1"/>
  <c r="K51" i="20" a="1"/>
  <c r="K75" i="20" a="1"/>
  <c r="K231" i="20" a="1"/>
  <c r="K320" i="20" a="1"/>
  <c r="K368" i="20" a="1"/>
  <c r="K372" i="20" a="1"/>
  <c r="K11" i="20" a="1"/>
  <c r="K398" i="20" a="1"/>
  <c r="K42" i="20" a="1"/>
  <c r="K73" i="20" a="1"/>
  <c r="K222" i="20" a="1"/>
  <c r="K53" i="20" a="1"/>
  <c r="K230" i="20" a="1"/>
  <c r="K3" i="20" a="1"/>
  <c r="K533" i="20" a="1"/>
  <c r="K7" i="20" a="1"/>
  <c r="K64" i="20" a="1"/>
  <c r="K303" i="20" a="1"/>
  <c r="K228" i="20" a="1"/>
  <c r="K201" i="20" a="1"/>
  <c r="K341" i="20" a="1"/>
  <c r="K371" i="20" a="1"/>
  <c r="K319" i="20" a="1"/>
  <c r="K67" i="20" a="1"/>
  <c r="K9" i="20" a="1"/>
  <c r="K314" i="20" a="1"/>
  <c r="K312" i="20" a="1"/>
  <c r="K22" i="20" a="1"/>
  <c r="K10" i="20" a="1"/>
  <c r="K72" i="20" a="1"/>
  <c r="K382" i="20" a="1"/>
  <c r="K32" i="20" a="1"/>
  <c r="K196" i="20" a="1"/>
  <c r="K209" i="20" a="1"/>
  <c r="K197" i="20" a="1"/>
  <c r="K6" i="20" a="1"/>
  <c r="K17" i="20" a="1"/>
  <c r="K86" i="20" a="1"/>
  <c r="K235" i="20" a="1"/>
  <c r="K43" i="20" a="1"/>
  <c r="K62" i="20" a="1"/>
  <c r="K313" i="20" a="1"/>
  <c r="K308" i="20" a="1"/>
  <c r="K321" i="20" a="1"/>
  <c r="K447" i="20" a="1"/>
  <c r="K352" i="20" a="1"/>
  <c r="K112" i="20" a="1"/>
  <c r="K332" i="20" a="1"/>
  <c r="K99" i="20" a="1"/>
  <c r="K40" i="20" a="1"/>
  <c r="K61" i="20" a="1"/>
  <c r="K119" i="20" a="1"/>
  <c r="K335" i="20" a="1"/>
  <c r="K113" i="20" a="1"/>
  <c r="K381" i="20" a="1"/>
  <c r="K76" i="20" a="1"/>
  <c r="K54" i="20" a="1"/>
  <c r="K325" i="20" a="1"/>
  <c r="K26" i="20" a="1"/>
  <c r="K347" i="20" a="1"/>
  <c r="K98" i="20" a="1"/>
  <c r="K221" i="20" a="1"/>
  <c r="K370" i="20" a="1"/>
  <c r="K343" i="20" a="1"/>
  <c r="K24" i="20" a="1"/>
  <c r="K103" i="20" a="1"/>
  <c r="K348" i="20" a="1"/>
  <c r="K198" i="20" a="1"/>
  <c r="K55" i="20" a="1"/>
  <c r="K36" i="20" a="1"/>
  <c r="K330" i="20" a="1"/>
  <c r="K317" i="20" a="1"/>
  <c r="K219" i="20" a="1"/>
  <c r="K71" i="20" a="1"/>
  <c r="K241" i="20" a="1"/>
  <c r="K57" i="20" a="1"/>
  <c r="K60" i="20" a="1"/>
  <c r="K69" i="20" a="1"/>
  <c r="K100" i="20" a="1"/>
  <c r="K48" i="20" a="1"/>
  <c r="K375" i="20" a="1"/>
  <c r="K5" i="20" a="1"/>
  <c r="K207" i="20" a="1"/>
  <c r="K336" i="20" a="1"/>
  <c r="K109" i="20" a="1"/>
  <c r="K89" i="20" a="1"/>
  <c r="K318" i="20" a="1"/>
  <c r="K19" i="20" a="1"/>
  <c r="K13" i="20" a="1"/>
  <c r="K344" i="20" a="1"/>
  <c r="K104" i="20" a="1"/>
  <c r="K300" i="20" a="1"/>
  <c r="K88" i="20" a="1"/>
  <c r="K37" i="20" a="1"/>
  <c r="K322" i="20" a="1"/>
  <c r="K342" i="20" a="1"/>
  <c r="K49" i="20" a="1"/>
  <c r="K20" i="20" a="1"/>
  <c r="K45" i="20" a="1"/>
  <c r="K50" i="20" a="1"/>
  <c r="K52" i="20" a="1"/>
  <c r="K44" i="20" a="1"/>
  <c r="K31" i="20" a="1"/>
  <c r="K18" i="20" a="1"/>
  <c r="K101" i="20" a="1"/>
  <c r="K35" i="20" a="1"/>
  <c r="K383" i="20" a="1"/>
  <c r="K270" i="20" a="1"/>
  <c r="K373" i="20" a="1"/>
  <c r="K4" i="20" a="1"/>
  <c r="K233" i="20" a="1"/>
  <c r="K199" i="20" a="1"/>
  <c r="K81" i="20" a="1"/>
  <c r="K46" i="20" a="1"/>
  <c r="K307" i="20" a="1"/>
  <c r="K349" i="20" a="1"/>
  <c r="K108" i="20" a="1"/>
  <c r="K47" i="20" a="1"/>
  <c r="K23" i="20" a="1"/>
  <c r="K217" i="20" a="1"/>
  <c r="K15" i="20" a="1"/>
  <c r="K346" i="20" a="1"/>
  <c r="K214" i="20" a="1"/>
  <c r="K301" i="20" a="1"/>
  <c r="K220" i="20" a="1"/>
  <c r="K350" i="20" a="1"/>
  <c r="K27" i="20" a="1"/>
  <c r="K339" i="20" a="1"/>
  <c r="K208" i="20" a="1"/>
  <c r="K97" i="20" a="1"/>
  <c r="K83" i="20" a="1"/>
  <c r="K224" i="20" a="1"/>
  <c r="K63" i="20" a="1"/>
  <c r="K379" i="20" a="1"/>
  <c r="K337" i="20" a="1"/>
  <c r="K326" i="20" a="1"/>
  <c r="K87" i="20" a="1"/>
  <c r="K39" i="20" a="1"/>
  <c r="K311" i="20" a="1"/>
  <c r="K328" i="20" a="1"/>
  <c r="K106" i="20" a="1"/>
  <c r="K107" i="20" a="1"/>
  <c r="K316" i="20" a="1"/>
  <c r="K299" i="20" a="1"/>
  <c r="K66" i="20" a="1"/>
  <c r="K234" i="20" a="1"/>
  <c r="K16" i="20" a="1"/>
  <c r="K351" i="20" a="1"/>
  <c r="K211" i="20" a="1"/>
  <c r="K114" i="20" a="1"/>
  <c r="K215" i="20" a="1"/>
  <c r="K92" i="20" a="1"/>
  <c r="K353" i="20" a="1"/>
  <c r="K25" i="20" a="1"/>
  <c r="K65" i="20" a="1"/>
  <c r="K210" i="20" a="1"/>
  <c r="K376" i="20" a="1"/>
  <c r="K238" i="20" a="1"/>
  <c r="K58" i="20" a="1"/>
  <c r="K74" i="20" a="1"/>
  <c r="K38" i="20" a="1"/>
  <c r="K378" i="20" a="1"/>
  <c r="K218" i="20" a="1"/>
  <c r="K232" i="20" a="1"/>
  <c r="K59" i="20" a="1"/>
  <c r="K56" i="20" a="1"/>
  <c r="K93" i="20" a="1"/>
  <c r="K374" i="20" a="1"/>
  <c r="K380" i="20" a="1"/>
  <c r="C22" i="2" l="1"/>
  <c r="F7" i="18"/>
  <c r="G26" i="11"/>
  <c r="F11" i="18"/>
  <c r="F8" i="18"/>
  <c r="G27" i="11"/>
  <c r="G34" i="11"/>
  <c r="G53" i="11"/>
  <c r="F45" i="11"/>
  <c r="G23" i="11"/>
  <c r="E53" i="11"/>
  <c r="E45" i="11"/>
  <c r="E23" i="11"/>
  <c r="K398" i="20"/>
  <c r="M398" i="20" s="1"/>
  <c r="C49" i="11"/>
  <c r="D15" i="18"/>
  <c r="F19" i="18"/>
  <c r="F18" i="18"/>
  <c r="G55" i="11"/>
  <c r="F30" i="18"/>
  <c r="F29" i="18"/>
  <c r="F28" i="18"/>
  <c r="F17" i="18"/>
  <c r="C56" i="11"/>
  <c r="D18" i="18"/>
  <c r="G29" i="11"/>
  <c r="F10" i="18"/>
  <c r="F5" i="18"/>
  <c r="F6" i="18"/>
  <c r="F9" i="18"/>
  <c r="C57" i="11"/>
  <c r="D19" i="18"/>
  <c r="G56" i="11"/>
  <c r="G57" i="11"/>
  <c r="C27" i="10"/>
  <c r="E65" i="11"/>
  <c r="K447" i="20"/>
  <c r="M447" i="20" s="1"/>
  <c r="D66" i="11"/>
  <c r="D70" i="11"/>
  <c r="C28" i="10"/>
  <c r="E66" i="11"/>
  <c r="E27" i="11" s="1"/>
  <c r="C41" i="17"/>
  <c r="B2" i="18"/>
  <c r="C60" i="11"/>
  <c r="F2" i="14"/>
  <c r="E2" i="9"/>
  <c r="E2" i="18"/>
  <c r="C62" i="11"/>
  <c r="C40" i="17"/>
  <c r="B2" i="9"/>
  <c r="E22" i="10"/>
  <c r="C23" i="10"/>
  <c r="G30" i="11"/>
  <c r="O76" i="20"/>
  <c r="C28" i="11"/>
  <c r="D9" i="18"/>
  <c r="C29" i="11"/>
  <c r="D10" i="18"/>
  <c r="C25" i="11"/>
  <c r="D6" i="18"/>
  <c r="C70" i="11"/>
  <c r="D30" i="18"/>
  <c r="C30" i="11"/>
  <c r="D11" i="18"/>
  <c r="D16" i="18"/>
  <c r="C66" i="11"/>
  <c r="D26" i="18"/>
  <c r="C67" i="11"/>
  <c r="D27" i="18"/>
  <c r="C68" i="11"/>
  <c r="D28" i="18"/>
  <c r="C24" i="11"/>
  <c r="D5" i="18"/>
  <c r="C69" i="11"/>
  <c r="D29" i="18"/>
  <c r="O74" i="20"/>
  <c r="E13" i="2"/>
  <c r="D13" i="7" s="1"/>
  <c r="O77" i="20"/>
  <c r="K81" i="20"/>
  <c r="M81" i="20" s="1"/>
  <c r="C25" i="2"/>
  <c r="C36" i="8"/>
  <c r="C120" i="8" s="1"/>
  <c r="K534" i="20"/>
  <c r="M534" i="20" s="1"/>
  <c r="K533" i="20"/>
  <c r="M533" i="20" s="1"/>
  <c r="E2" i="5"/>
  <c r="E2" i="4"/>
  <c r="E81" i="2"/>
  <c r="D126" i="15"/>
  <c r="C101" i="15"/>
  <c r="C48" i="15"/>
  <c r="H2" i="2"/>
  <c r="J2" i="15"/>
  <c r="J2" i="13"/>
  <c r="H2" i="12"/>
  <c r="C22" i="8"/>
  <c r="C106" i="8" s="1"/>
  <c r="C33" i="13"/>
  <c r="C23" i="3"/>
  <c r="C17" i="13"/>
  <c r="C24" i="3"/>
  <c r="C18" i="13"/>
  <c r="D22" i="8"/>
  <c r="C16" i="13"/>
  <c r="C21" i="3"/>
  <c r="C14" i="13"/>
  <c r="C34" i="7"/>
  <c r="C129" i="13"/>
  <c r="C45" i="13"/>
  <c r="C50" i="7"/>
  <c r="C61" i="13"/>
  <c r="C145" i="13"/>
  <c r="C66" i="7"/>
  <c r="C77" i="13"/>
  <c r="C161" i="13"/>
  <c r="C82" i="7"/>
  <c r="C177" i="13"/>
  <c r="C93" i="13"/>
  <c r="C27" i="7"/>
  <c r="C38" i="13"/>
  <c r="C122" i="13"/>
  <c r="C35" i="7"/>
  <c r="C46" i="13"/>
  <c r="C130" i="13"/>
  <c r="C43" i="7"/>
  <c r="C54" i="13"/>
  <c r="C138" i="13"/>
  <c r="C51" i="7"/>
  <c r="C62" i="13"/>
  <c r="C146" i="13"/>
  <c r="C59" i="7"/>
  <c r="C70" i="13"/>
  <c r="C154" i="13"/>
  <c r="C67" i="7"/>
  <c r="C78" i="13"/>
  <c r="C162" i="13"/>
  <c r="C75" i="7"/>
  <c r="C86" i="13"/>
  <c r="C170" i="13"/>
  <c r="C83" i="7"/>
  <c r="C94" i="13"/>
  <c r="C178" i="13"/>
  <c r="C91" i="7"/>
  <c r="C102" i="13"/>
  <c r="C186" i="13"/>
  <c r="C26" i="7"/>
  <c r="C37" i="13"/>
  <c r="C121" i="13"/>
  <c r="C58" i="7"/>
  <c r="C69" i="13"/>
  <c r="C153" i="13"/>
  <c r="C74" i="7"/>
  <c r="C169" i="13"/>
  <c r="C85" i="13"/>
  <c r="C90" i="7"/>
  <c r="C101" i="13"/>
  <c r="C185" i="13"/>
  <c r="C28" i="7"/>
  <c r="C123" i="13"/>
  <c r="C39" i="13"/>
  <c r="C131" i="13"/>
  <c r="C47" i="13"/>
  <c r="C44" i="7"/>
  <c r="C55" i="13"/>
  <c r="C139" i="13"/>
  <c r="C52" i="7"/>
  <c r="C147" i="13"/>
  <c r="C63" i="13"/>
  <c r="C60" i="7"/>
  <c r="C155" i="13"/>
  <c r="C71" i="13"/>
  <c r="C68" i="7"/>
  <c r="C163" i="13"/>
  <c r="C79" i="13"/>
  <c r="C76" i="7"/>
  <c r="C171" i="13"/>
  <c r="C87" i="13"/>
  <c r="C95" i="13"/>
  <c r="C179" i="13"/>
  <c r="C92" i="7"/>
  <c r="C187" i="13"/>
  <c r="C103" i="13"/>
  <c r="C42" i="7"/>
  <c r="C53" i="13"/>
  <c r="C137" i="13"/>
  <c r="C29" i="7"/>
  <c r="C124" i="13"/>
  <c r="C40" i="13"/>
  <c r="C37" i="7"/>
  <c r="C132" i="13"/>
  <c r="C48" i="13"/>
  <c r="C45" i="7"/>
  <c r="C140" i="13"/>
  <c r="C56" i="13"/>
  <c r="C53" i="7"/>
  <c r="C148" i="13"/>
  <c r="C64" i="13"/>
  <c r="C61" i="7"/>
  <c r="C156" i="13"/>
  <c r="C72" i="13"/>
  <c r="C69" i="7"/>
  <c r="C164" i="13"/>
  <c r="C80" i="13"/>
  <c r="C77" i="7"/>
  <c r="C172" i="13"/>
  <c r="C88" i="13"/>
  <c r="C85" i="7"/>
  <c r="C180" i="13"/>
  <c r="C96" i="13"/>
  <c r="C93" i="7"/>
  <c r="C188" i="13"/>
  <c r="C104" i="13"/>
  <c r="C30" i="7"/>
  <c r="C125" i="13"/>
  <c r="C41" i="13"/>
  <c r="C38" i="7"/>
  <c r="C133" i="13"/>
  <c r="C49" i="13"/>
  <c r="C46" i="7"/>
  <c r="C141" i="13"/>
  <c r="C57" i="13"/>
  <c r="C54" i="7"/>
  <c r="C149" i="13"/>
  <c r="C65" i="13"/>
  <c r="C62" i="7"/>
  <c r="C157" i="13"/>
  <c r="C73" i="13"/>
  <c r="C70" i="7"/>
  <c r="C165" i="13"/>
  <c r="C81" i="13"/>
  <c r="C78" i="7"/>
  <c r="C173" i="13"/>
  <c r="C89" i="13"/>
  <c r="C86" i="7"/>
  <c r="C181" i="13"/>
  <c r="C97" i="13"/>
  <c r="C94" i="7"/>
  <c r="C189" i="13"/>
  <c r="C105" i="13"/>
  <c r="C31" i="7"/>
  <c r="C126" i="13"/>
  <c r="C42" i="13"/>
  <c r="C39" i="7"/>
  <c r="C134" i="13"/>
  <c r="C50" i="13"/>
  <c r="C47" i="7"/>
  <c r="C142" i="13"/>
  <c r="C58" i="13"/>
  <c r="C55" i="7"/>
  <c r="C150" i="13"/>
  <c r="C66" i="13"/>
  <c r="C63" i="7"/>
  <c r="C158" i="13"/>
  <c r="C74" i="13"/>
  <c r="C71" i="7"/>
  <c r="C166" i="13"/>
  <c r="C82" i="13"/>
  <c r="C79" i="7"/>
  <c r="C174" i="13"/>
  <c r="C90" i="13"/>
  <c r="C87" i="7"/>
  <c r="C182" i="13"/>
  <c r="C98" i="13"/>
  <c r="C95" i="7"/>
  <c r="C190" i="13"/>
  <c r="C106" i="13"/>
  <c r="C119" i="13"/>
  <c r="C35" i="13"/>
  <c r="C32" i="7"/>
  <c r="C43" i="13"/>
  <c r="C127" i="13"/>
  <c r="C40" i="7"/>
  <c r="C51" i="13"/>
  <c r="C135" i="13"/>
  <c r="C48" i="7"/>
  <c r="C143" i="13"/>
  <c r="C59" i="13"/>
  <c r="C56" i="7"/>
  <c r="C151" i="13"/>
  <c r="C67" i="13"/>
  <c r="C64" i="7"/>
  <c r="C159" i="13"/>
  <c r="C75" i="13"/>
  <c r="C72" i="7"/>
  <c r="C167" i="13"/>
  <c r="C83" i="13"/>
  <c r="C80" i="7"/>
  <c r="C175" i="13"/>
  <c r="C91" i="13"/>
  <c r="C88" i="7"/>
  <c r="C183" i="13"/>
  <c r="C99" i="13"/>
  <c r="C96" i="7"/>
  <c r="C191" i="13"/>
  <c r="C107" i="13"/>
  <c r="C25" i="7"/>
  <c r="C120" i="13"/>
  <c r="C36" i="13"/>
  <c r="C33" i="7"/>
  <c r="C128" i="13"/>
  <c r="C44" i="13"/>
  <c r="C41" i="7"/>
  <c r="C136" i="13"/>
  <c r="C52" i="13"/>
  <c r="C49" i="7"/>
  <c r="C144" i="13"/>
  <c r="C60" i="13"/>
  <c r="C57" i="7"/>
  <c r="C152" i="13"/>
  <c r="C68" i="13"/>
  <c r="C160" i="13"/>
  <c r="C76" i="13"/>
  <c r="C73" i="7"/>
  <c r="C168" i="13"/>
  <c r="C84" i="13"/>
  <c r="C81" i="7"/>
  <c r="C176" i="13"/>
  <c r="C92" i="13"/>
  <c r="C184" i="13"/>
  <c r="C100" i="13"/>
  <c r="C97" i="7"/>
  <c r="C192" i="13"/>
  <c r="C108" i="13"/>
  <c r="K43" i="20"/>
  <c r="M43" i="20" s="1"/>
  <c r="K44" i="20"/>
  <c r="M44" i="20" s="1"/>
  <c r="K42" i="20"/>
  <c r="M42" i="20" s="1"/>
  <c r="C29" i="2"/>
  <c r="C28" i="12"/>
  <c r="K350" i="20"/>
  <c r="M350" i="20" s="1"/>
  <c r="K347" i="20"/>
  <c r="M347" i="20" s="1"/>
  <c r="K348" i="20"/>
  <c r="M348" i="20" s="1"/>
  <c r="K346" i="20"/>
  <c r="M346" i="20" s="1"/>
  <c r="M338" i="20"/>
  <c r="K376" i="20"/>
  <c r="M376" i="20" s="1"/>
  <c r="K341" i="20"/>
  <c r="M341" i="20" s="1"/>
  <c r="K351" i="20"/>
  <c r="M351" i="20" s="1"/>
  <c r="K371" i="20"/>
  <c r="M371" i="20" s="1"/>
  <c r="K379" i="20"/>
  <c r="M379" i="20" s="1"/>
  <c r="K368" i="20"/>
  <c r="M368" i="20" s="1"/>
  <c r="K336" i="20"/>
  <c r="M336" i="20" s="1"/>
  <c r="K344" i="20"/>
  <c r="M344" i="20" s="1"/>
  <c r="K374" i="20"/>
  <c r="M374" i="20" s="1"/>
  <c r="K382" i="20"/>
  <c r="M382" i="20" s="1"/>
  <c r="K339" i="20"/>
  <c r="M339" i="20" s="1"/>
  <c r="K377" i="20"/>
  <c r="M377" i="20" s="1"/>
  <c r="K342" i="20"/>
  <c r="M342" i="20" s="1"/>
  <c r="K352" i="20"/>
  <c r="M352" i="20" s="1"/>
  <c r="K372" i="20"/>
  <c r="M372" i="20" s="1"/>
  <c r="K380" i="20"/>
  <c r="M380" i="20" s="1"/>
  <c r="M369" i="20"/>
  <c r="K337" i="20"/>
  <c r="M337" i="20" s="1"/>
  <c r="K375" i="20"/>
  <c r="M375" i="20" s="1"/>
  <c r="K383" i="20"/>
  <c r="M383" i="20" s="1"/>
  <c r="K349" i="20"/>
  <c r="M349" i="20" s="1"/>
  <c r="K340" i="20"/>
  <c r="M340" i="20" s="1"/>
  <c r="K370" i="20"/>
  <c r="M370" i="20" s="1"/>
  <c r="K378" i="20"/>
  <c r="M378" i="20" s="1"/>
  <c r="K335" i="20"/>
  <c r="M335" i="20" s="1"/>
  <c r="K343" i="20"/>
  <c r="M343" i="20" s="1"/>
  <c r="K353" i="20"/>
  <c r="M353" i="20" s="1"/>
  <c r="K373" i="20"/>
  <c r="M373" i="20" s="1"/>
  <c r="K381" i="20"/>
  <c r="M381" i="20" s="1"/>
  <c r="E40" i="16"/>
  <c r="F40" i="16"/>
  <c r="G40" i="16"/>
  <c r="C61" i="16"/>
  <c r="K331" i="20"/>
  <c r="M331" i="20" s="1"/>
  <c r="K332" i="20"/>
  <c r="M332" i="20" s="1"/>
  <c r="E2" i="16"/>
  <c r="C10" i="10"/>
  <c r="C8" i="10"/>
  <c r="C12" i="11"/>
  <c r="C8" i="16"/>
  <c r="C12" i="10"/>
  <c r="C10" i="16"/>
  <c r="D12" i="10"/>
  <c r="C12" i="16"/>
  <c r="C2" i="10"/>
  <c r="C13" i="10"/>
  <c r="D12" i="16"/>
  <c r="E2" i="10"/>
  <c r="C14" i="10"/>
  <c r="C13" i="16"/>
  <c r="C2" i="16"/>
  <c r="C14" i="16"/>
  <c r="K326" i="20"/>
  <c r="M326" i="20" s="1"/>
  <c r="K328" i="20"/>
  <c r="M328" i="20" s="1"/>
  <c r="K327" i="20"/>
  <c r="M327" i="20" s="1"/>
  <c r="K329" i="20"/>
  <c r="M329" i="20" s="1"/>
  <c r="K330" i="20"/>
  <c r="M330" i="20" s="1"/>
  <c r="K325" i="20"/>
  <c r="M325" i="20" s="1"/>
  <c r="K307" i="20"/>
  <c r="M307" i="20" s="1"/>
  <c r="K302" i="20"/>
  <c r="M302" i="20" s="1"/>
  <c r="K318" i="20"/>
  <c r="M318" i="20" s="1"/>
  <c r="K321" i="20"/>
  <c r="M321" i="20" s="1"/>
  <c r="K300" i="20"/>
  <c r="M300" i="20" s="1"/>
  <c r="K308" i="20"/>
  <c r="M308" i="20" s="1"/>
  <c r="K316" i="20"/>
  <c r="M316" i="20" s="1"/>
  <c r="K315" i="20"/>
  <c r="M315" i="20" s="1"/>
  <c r="K303" i="20"/>
  <c r="M303" i="20" s="1"/>
  <c r="K311" i="20"/>
  <c r="M311" i="20" s="1"/>
  <c r="K319" i="20"/>
  <c r="M319" i="20" s="1"/>
  <c r="K306" i="20"/>
  <c r="M306" i="20" s="1"/>
  <c r="K314" i="20"/>
  <c r="M314" i="20" s="1"/>
  <c r="K322" i="20"/>
  <c r="M322" i="20" s="1"/>
  <c r="K299" i="20"/>
  <c r="M299" i="20" s="1"/>
  <c r="K313" i="20"/>
  <c r="M313" i="20" s="1"/>
  <c r="K301" i="20"/>
  <c r="M301" i="20" s="1"/>
  <c r="K317" i="20"/>
  <c r="M317" i="20" s="1"/>
  <c r="K312" i="20"/>
  <c r="M312" i="20" s="1"/>
  <c r="K320" i="20"/>
  <c r="M320" i="20" s="1"/>
  <c r="D65" i="11"/>
  <c r="C65" i="11"/>
  <c r="G24" i="11"/>
  <c r="D68" i="11"/>
  <c r="G25" i="11"/>
  <c r="D69" i="11"/>
  <c r="G28" i="11"/>
  <c r="E2" i="11"/>
  <c r="C2" i="11"/>
  <c r="C8" i="11"/>
  <c r="E14" i="2"/>
  <c r="E14" i="3" s="1"/>
  <c r="C10" i="11"/>
  <c r="D12" i="11"/>
  <c r="C13" i="11"/>
  <c r="D107" i="8"/>
  <c r="C14" i="11"/>
  <c r="K241" i="20"/>
  <c r="M241" i="20" s="1"/>
  <c r="K269" i="20"/>
  <c r="M269" i="20" s="1"/>
  <c r="K270" i="20"/>
  <c r="M270" i="20" s="1"/>
  <c r="K238" i="20"/>
  <c r="M238" i="20" s="1"/>
  <c r="K233" i="20"/>
  <c r="M233" i="20" s="1"/>
  <c r="K231" i="20"/>
  <c r="M231" i="20" s="1"/>
  <c r="K234" i="20"/>
  <c r="M234" i="20" s="1"/>
  <c r="K232" i="20"/>
  <c r="M232" i="20" s="1"/>
  <c r="K235" i="20"/>
  <c r="M235" i="20" s="1"/>
  <c r="K82" i="20"/>
  <c r="M82" i="20" s="1"/>
  <c r="C56" i="8"/>
  <c r="C140" i="8" s="1"/>
  <c r="C22" i="3"/>
  <c r="C32" i="8"/>
  <c r="C116" i="8" s="1"/>
  <c r="C64" i="8"/>
  <c r="C148" i="8" s="1"/>
  <c r="C84" i="8"/>
  <c r="C168" i="8" s="1"/>
  <c r="F22" i="8"/>
  <c r="C27" i="8"/>
  <c r="C111" i="8" s="1"/>
  <c r="C59" i="8"/>
  <c r="C143" i="8" s="1"/>
  <c r="C88" i="8"/>
  <c r="C172" i="8" s="1"/>
  <c r="C91" i="8"/>
  <c r="C175" i="8" s="1"/>
  <c r="C35" i="8"/>
  <c r="C119" i="8" s="1"/>
  <c r="C67" i="8"/>
  <c r="C151" i="8" s="1"/>
  <c r="C96" i="8"/>
  <c r="C180" i="8" s="1"/>
  <c r="C5" i="7"/>
  <c r="C40" i="8"/>
  <c r="C124" i="8" s="1"/>
  <c r="C72" i="8"/>
  <c r="C156" i="8" s="1"/>
  <c r="C43" i="8"/>
  <c r="C127" i="8" s="1"/>
  <c r="C75" i="8"/>
  <c r="C159" i="8" s="1"/>
  <c r="C48" i="8"/>
  <c r="C132" i="8" s="1"/>
  <c r="C80" i="8"/>
  <c r="C164" i="8" s="1"/>
  <c r="E22" i="8"/>
  <c r="C51" i="8"/>
  <c r="C135" i="8" s="1"/>
  <c r="C83" i="8"/>
  <c r="C167" i="8" s="1"/>
  <c r="F2" i="8"/>
  <c r="C2" i="8"/>
  <c r="C14" i="8"/>
  <c r="C25" i="8"/>
  <c r="C109" i="8" s="1"/>
  <c r="C33" i="8"/>
  <c r="C117" i="8" s="1"/>
  <c r="C41" i="8"/>
  <c r="C125" i="8" s="1"/>
  <c r="C49" i="8"/>
  <c r="C133" i="8" s="1"/>
  <c r="C57" i="8"/>
  <c r="C141" i="8" s="1"/>
  <c r="C65" i="8"/>
  <c r="C149" i="8" s="1"/>
  <c r="C73" i="8"/>
  <c r="C157" i="8" s="1"/>
  <c r="C81" i="8"/>
  <c r="C165" i="8" s="1"/>
  <c r="C89" i="8"/>
  <c r="C173" i="8" s="1"/>
  <c r="C97" i="8"/>
  <c r="C181" i="8" s="1"/>
  <c r="C28" i="8"/>
  <c r="C112" i="8" s="1"/>
  <c r="C52" i="8"/>
  <c r="C136" i="8" s="1"/>
  <c r="C92" i="8"/>
  <c r="C176" i="8" s="1"/>
  <c r="C13" i="8"/>
  <c r="C24" i="8"/>
  <c r="C108" i="8" s="1"/>
  <c r="C26" i="8"/>
  <c r="C110" i="8" s="1"/>
  <c r="C34" i="8"/>
  <c r="C118" i="8" s="1"/>
  <c r="C42" i="8"/>
  <c r="C126" i="8" s="1"/>
  <c r="C50" i="8"/>
  <c r="C134" i="8" s="1"/>
  <c r="C58" i="8"/>
  <c r="C142" i="8" s="1"/>
  <c r="C66" i="8"/>
  <c r="C150" i="8" s="1"/>
  <c r="C74" i="8"/>
  <c r="C158" i="8" s="1"/>
  <c r="C82" i="8"/>
  <c r="C166" i="8" s="1"/>
  <c r="C90" i="8"/>
  <c r="C174" i="8" s="1"/>
  <c r="C98" i="8"/>
  <c r="C44" i="8"/>
  <c r="C128" i="8" s="1"/>
  <c r="C10" i="8"/>
  <c r="C29" i="8"/>
  <c r="C113" i="8" s="1"/>
  <c r="C37" i="8"/>
  <c r="C121" i="8" s="1"/>
  <c r="C45" i="8"/>
  <c r="C129" i="8" s="1"/>
  <c r="C53" i="8"/>
  <c r="C137" i="8" s="1"/>
  <c r="C61" i="8"/>
  <c r="C145" i="8" s="1"/>
  <c r="C69" i="8"/>
  <c r="C153" i="8" s="1"/>
  <c r="C77" i="8"/>
  <c r="C161" i="8" s="1"/>
  <c r="C85" i="8"/>
  <c r="C169" i="8" s="1"/>
  <c r="C93" i="8"/>
  <c r="C177" i="8" s="1"/>
  <c r="C68" i="8"/>
  <c r="C152" i="8" s="1"/>
  <c r="C12" i="8"/>
  <c r="C22" i="7"/>
  <c r="C30" i="8"/>
  <c r="C114" i="8" s="1"/>
  <c r="C38" i="8"/>
  <c r="C122" i="8" s="1"/>
  <c r="C46" i="8"/>
  <c r="C130" i="8" s="1"/>
  <c r="C54" i="8"/>
  <c r="C138" i="8" s="1"/>
  <c r="C62" i="8"/>
  <c r="C146" i="8" s="1"/>
  <c r="C70" i="8"/>
  <c r="C154" i="8" s="1"/>
  <c r="C78" i="8"/>
  <c r="C162" i="8" s="1"/>
  <c r="C86" i="8"/>
  <c r="C170" i="8" s="1"/>
  <c r="C94" i="8"/>
  <c r="C178" i="8" s="1"/>
  <c r="C8" i="8"/>
  <c r="C60" i="8"/>
  <c r="C144" i="8" s="1"/>
  <c r="C76" i="8"/>
  <c r="C160" i="8" s="1"/>
  <c r="D12" i="8"/>
  <c r="C31" i="8"/>
  <c r="C115" i="8" s="1"/>
  <c r="C39" i="8"/>
  <c r="C123" i="8" s="1"/>
  <c r="C47" i="8"/>
  <c r="C131" i="8" s="1"/>
  <c r="C55" i="8"/>
  <c r="C139" i="8" s="1"/>
  <c r="C63" i="8"/>
  <c r="C147" i="8" s="1"/>
  <c r="C71" i="8"/>
  <c r="C155" i="8" s="1"/>
  <c r="C79" i="8"/>
  <c r="C163" i="8" s="1"/>
  <c r="C87" i="8"/>
  <c r="C171" i="8" s="1"/>
  <c r="C95" i="8"/>
  <c r="C179" i="8" s="1"/>
  <c r="D23" i="8"/>
  <c r="E23" i="8"/>
  <c r="F23" i="8"/>
  <c r="K227" i="20"/>
  <c r="M227" i="20" s="1"/>
  <c r="K230" i="20"/>
  <c r="M230" i="20" s="1"/>
  <c r="K228" i="20"/>
  <c r="M228" i="20" s="1"/>
  <c r="F2" i="7"/>
  <c r="I2" i="3"/>
  <c r="C25" i="3"/>
  <c r="C10" i="3"/>
  <c r="C13" i="3"/>
  <c r="C69" i="3"/>
  <c r="K196" i="20"/>
  <c r="M196" i="20" s="1"/>
  <c r="K213" i="20"/>
  <c r="M213" i="20" s="1"/>
  <c r="K221" i="20"/>
  <c r="M221" i="20" s="1"/>
  <c r="K208" i="20"/>
  <c r="M208" i="20" s="1"/>
  <c r="K216" i="20"/>
  <c r="M216" i="20" s="1"/>
  <c r="K224" i="20"/>
  <c r="M224" i="20" s="1"/>
  <c r="K211" i="20"/>
  <c r="M211" i="20" s="1"/>
  <c r="K219" i="20"/>
  <c r="M219" i="20" s="1"/>
  <c r="K214" i="20"/>
  <c r="M214" i="20" s="1"/>
  <c r="K222" i="20"/>
  <c r="M222" i="20" s="1"/>
  <c r="K218" i="20"/>
  <c r="M218" i="20" s="1"/>
  <c r="K209" i="20"/>
  <c r="M209" i="20" s="1"/>
  <c r="K217" i="20"/>
  <c r="M217" i="20" s="1"/>
  <c r="K212" i="20"/>
  <c r="M212" i="20" s="1"/>
  <c r="K220" i="20"/>
  <c r="M220" i="20" s="1"/>
  <c r="K210" i="20"/>
  <c r="M210" i="20" s="1"/>
  <c r="K207" i="20"/>
  <c r="M207" i="20" s="1"/>
  <c r="K215" i="20"/>
  <c r="M215" i="20" s="1"/>
  <c r="K223" i="20"/>
  <c r="M223" i="20" s="1"/>
  <c r="K197" i="20"/>
  <c r="M197" i="20" s="1"/>
  <c r="K199" i="20"/>
  <c r="M199" i="20" s="1"/>
  <c r="K202" i="20"/>
  <c r="M202" i="20" s="1"/>
  <c r="K198" i="20"/>
  <c r="M198" i="20" s="1"/>
  <c r="K201" i="20"/>
  <c r="M201" i="20" s="1"/>
  <c r="C12" i="3"/>
  <c r="E12" i="3"/>
  <c r="C14" i="3"/>
  <c r="C8" i="3"/>
  <c r="C10" i="7"/>
  <c r="C36" i="7"/>
  <c r="C8" i="7"/>
  <c r="C65" i="7"/>
  <c r="C84" i="7"/>
  <c r="C12" i="7"/>
  <c r="C89" i="7"/>
  <c r="D22" i="7"/>
  <c r="C98" i="7"/>
  <c r="E22" i="7"/>
  <c r="C2" i="7"/>
  <c r="C13" i="7"/>
  <c r="F22" i="7"/>
  <c r="C14" i="7"/>
  <c r="C24" i="7"/>
  <c r="D12" i="7"/>
  <c r="K114" i="20"/>
  <c r="M114" i="20" s="1"/>
  <c r="K113" i="20"/>
  <c r="M113" i="20" s="1"/>
  <c r="K119" i="20"/>
  <c r="M119" i="20" s="1"/>
  <c r="K112" i="20"/>
  <c r="M112" i="20" s="1"/>
  <c r="K103" i="20"/>
  <c r="M103" i="20" s="1"/>
  <c r="K107" i="20"/>
  <c r="M107" i="20" s="1"/>
  <c r="K102" i="20"/>
  <c r="M102" i="20" s="1"/>
  <c r="K106" i="20"/>
  <c r="M106" i="20" s="1"/>
  <c r="K104" i="20"/>
  <c r="M104" i="20" s="1"/>
  <c r="K108" i="20"/>
  <c r="M108" i="20" s="1"/>
  <c r="K101" i="20"/>
  <c r="M101" i="20" s="1"/>
  <c r="K109" i="20"/>
  <c r="M109" i="20" s="1"/>
  <c r="K100" i="20"/>
  <c r="M100" i="20" s="1"/>
  <c r="K99" i="20"/>
  <c r="M99" i="20" s="1"/>
  <c r="K98" i="20"/>
  <c r="M98" i="20" s="1"/>
  <c r="K97" i="20"/>
  <c r="M97" i="20" s="1"/>
  <c r="K96" i="20"/>
  <c r="M96" i="20" s="1"/>
  <c r="K88" i="20"/>
  <c r="M88" i="20" s="1"/>
  <c r="K89" i="20"/>
  <c r="M89" i="20" s="1"/>
  <c r="K92" i="20"/>
  <c r="M92" i="20" s="1"/>
  <c r="K93" i="20"/>
  <c r="M93" i="20" s="1"/>
  <c r="K90" i="20"/>
  <c r="M90" i="20" s="1"/>
  <c r="K94" i="20"/>
  <c r="M94" i="20" s="1"/>
  <c r="K87" i="20"/>
  <c r="M87" i="20" s="1"/>
  <c r="K86" i="20"/>
  <c r="M86" i="20" s="1"/>
  <c r="K85" i="20"/>
  <c r="M85" i="20" s="1"/>
  <c r="K83" i="20"/>
  <c r="M83" i="20" s="1"/>
  <c r="K76" i="20"/>
  <c r="M76" i="20" s="1"/>
  <c r="K75" i="20"/>
  <c r="M75" i="20" s="1"/>
  <c r="K74" i="20"/>
  <c r="M74" i="20" s="1"/>
  <c r="K73" i="20"/>
  <c r="K72" i="20"/>
  <c r="M72" i="20" s="1"/>
  <c r="K71" i="20"/>
  <c r="M71" i="20" s="1"/>
  <c r="B42" i="1"/>
  <c r="I2" i="1"/>
  <c r="I2" i="6"/>
  <c r="C2" i="2"/>
  <c r="K70" i="20"/>
  <c r="M70" i="20" s="1"/>
  <c r="K69" i="20"/>
  <c r="M69" i="20" s="1"/>
  <c r="K68" i="20"/>
  <c r="M68" i="20" s="1"/>
  <c r="K67" i="20"/>
  <c r="M67" i="20" s="1"/>
  <c r="K66" i="20"/>
  <c r="M66" i="20" s="1"/>
  <c r="K65" i="20"/>
  <c r="M65" i="20" s="1"/>
  <c r="K64" i="20"/>
  <c r="M64" i="20" s="1"/>
  <c r="B39" i="1"/>
  <c r="K59" i="20"/>
  <c r="M59" i="20" s="1"/>
  <c r="K58" i="20"/>
  <c r="M58" i="20" s="1"/>
  <c r="K57" i="20"/>
  <c r="M57" i="20" s="1"/>
  <c r="K56" i="20"/>
  <c r="M56" i="20" s="1"/>
  <c r="K55" i="20"/>
  <c r="M55" i="20" s="1"/>
  <c r="K54" i="20"/>
  <c r="M54" i="20" s="1"/>
  <c r="K47" i="20"/>
  <c r="M47" i="20" s="1"/>
  <c r="K53" i="20"/>
  <c r="M53" i="20" s="1"/>
  <c r="K39" i="20"/>
  <c r="M39" i="20" s="1"/>
  <c r="K50" i="20"/>
  <c r="M50" i="20" s="1"/>
  <c r="K62" i="20"/>
  <c r="M62" i="20" s="1"/>
  <c r="K61" i="20"/>
  <c r="M61" i="20" s="1"/>
  <c r="K36" i="20"/>
  <c r="M36" i="20" s="1"/>
  <c r="K45" i="20"/>
  <c r="M45" i="20" s="1"/>
  <c r="K37" i="20"/>
  <c r="M37" i="20" s="1"/>
  <c r="K48" i="20"/>
  <c r="M48" i="20" s="1"/>
  <c r="K60" i="20"/>
  <c r="M60" i="20" s="1"/>
  <c r="K49" i="20"/>
  <c r="M49" i="20" s="1"/>
  <c r="K41" i="20"/>
  <c r="M41" i="20" s="1"/>
  <c r="K40" i="20"/>
  <c r="M40" i="20" s="1"/>
  <c r="K51" i="20"/>
  <c r="M51" i="20" s="1"/>
  <c r="K63" i="20"/>
  <c r="M63" i="20" s="1"/>
  <c r="K38" i="20"/>
  <c r="M38" i="20" s="1"/>
  <c r="K52" i="20"/>
  <c r="M52" i="20" s="1"/>
  <c r="K46" i="20"/>
  <c r="M46" i="20" s="1"/>
  <c r="K34" i="20"/>
  <c r="M34" i="20" s="1"/>
  <c r="K35" i="20"/>
  <c r="M35" i="20" s="1"/>
  <c r="K31" i="20"/>
  <c r="M31" i="20" s="1"/>
  <c r="K9" i="20"/>
  <c r="M9" i="20" s="1"/>
  <c r="K17" i="20"/>
  <c r="M17" i="20" s="1"/>
  <c r="K12" i="20"/>
  <c r="M12" i="20" s="1"/>
  <c r="K7" i="20"/>
  <c r="M7" i="20" s="1"/>
  <c r="K23" i="20"/>
  <c r="M23" i="20" s="1"/>
  <c r="K32" i="20"/>
  <c r="M32" i="20" s="1"/>
  <c r="K18" i="20"/>
  <c r="M18" i="20" s="1"/>
  <c r="K5" i="20"/>
  <c r="M5" i="20" s="1"/>
  <c r="K13" i="20"/>
  <c r="M13" i="20" s="1"/>
  <c r="K21" i="20"/>
  <c r="M21" i="20" s="1"/>
  <c r="K8" i="20"/>
  <c r="M8" i="20" s="1"/>
  <c r="K16" i="20"/>
  <c r="M16" i="20" s="1"/>
  <c r="K24" i="20"/>
  <c r="M24" i="20" s="1"/>
  <c r="K15" i="20"/>
  <c r="M15" i="20" s="1"/>
  <c r="K10" i="20"/>
  <c r="M10" i="20" s="1"/>
  <c r="K26" i="20"/>
  <c r="M26" i="20" s="1"/>
  <c r="K11" i="20"/>
  <c r="M11" i="20" s="1"/>
  <c r="K19" i="20"/>
  <c r="M19" i="20" s="1"/>
  <c r="K27" i="20"/>
  <c r="M27" i="20" s="1"/>
  <c r="K25" i="20"/>
  <c r="M25" i="20" s="1"/>
  <c r="K20" i="20"/>
  <c r="M20" i="20" s="1"/>
  <c r="K6" i="20"/>
  <c r="M6" i="20" s="1"/>
  <c r="K14" i="20"/>
  <c r="M14" i="20" s="1"/>
  <c r="K22" i="20"/>
  <c r="M22" i="20" s="1"/>
  <c r="B43" i="17"/>
  <c r="K3" i="20"/>
  <c r="M3" i="20" s="1"/>
  <c r="K4" i="20"/>
  <c r="M4" i="20" s="1"/>
  <c r="K279" i="20" a="1"/>
  <c r="K157" i="20" a="1"/>
  <c r="K139" i="20" a="1"/>
  <c r="K257" i="20" a="1"/>
  <c r="K251" i="20" a="1"/>
  <c r="K200" i="20" a="1"/>
  <c r="K278" i="20" a="1"/>
  <c r="K188" i="20" a="1"/>
  <c r="K401" i="20" a="1"/>
  <c r="K193" i="20" a="1"/>
  <c r="K252" i="20" a="1"/>
  <c r="K156" i="20" a="1"/>
  <c r="K204" i="20" a="1"/>
  <c r="K261" i="20" a="1"/>
  <c r="K155" i="20" a="1"/>
  <c r="K140" i="20" a="1"/>
  <c r="K274" i="20" a="1"/>
  <c r="K141" i="20" a="1"/>
  <c r="K159" i="20" a="1"/>
  <c r="K133" i="20" a="1"/>
  <c r="K161" i="20" a="1"/>
  <c r="K137" i="20" a="1"/>
  <c r="K175" i="20" a="1"/>
  <c r="K186" i="20" a="1"/>
  <c r="K242" i="20" a="1"/>
  <c r="K205" i="20" a="1"/>
  <c r="K536" i="20" a="1"/>
  <c r="K310" i="20" a="1"/>
  <c r="K121" i="20" a="1"/>
  <c r="K185" i="20" a="1"/>
  <c r="K28" i="20" a="1"/>
  <c r="K266" i="20" a="1"/>
  <c r="K229" i="20" a="1"/>
  <c r="K154" i="20" a="1"/>
  <c r="K2" i="20" a="1"/>
  <c r="K170" i="20" a="1"/>
  <c r="K146" i="20" a="1"/>
  <c r="K268" i="20" a="1"/>
  <c r="K184" i="20" a="1"/>
  <c r="K129" i="20" a="1"/>
  <c r="K30" i="20" a="1"/>
  <c r="K272" i="20" a="1"/>
  <c r="K118" i="20" a="1"/>
  <c r="K126" i="20" a="1"/>
  <c r="K305" i="20" a="1"/>
  <c r="K275" i="20" a="1"/>
  <c r="K120" i="20" a="1"/>
  <c r="K160" i="20" a="1"/>
  <c r="K29" i="20" a="1"/>
  <c r="K192" i="20" a="1"/>
  <c r="K172" i="20" a="1"/>
  <c r="K258" i="20" a="1"/>
  <c r="K180" i="20" a="1"/>
  <c r="K354" i="20" a="1"/>
  <c r="K123" i="20" a="1"/>
  <c r="K174" i="20" a="1"/>
  <c r="K309" i="20" a="1"/>
  <c r="K138" i="20" a="1"/>
  <c r="K187" i="20" a="1"/>
  <c r="K148" i="20" a="1"/>
  <c r="K95" i="20" a="1"/>
  <c r="K125" i="20" a="1"/>
  <c r="K116" i="20" a="1"/>
  <c r="K203" i="20" a="1"/>
  <c r="K153" i="20" a="1"/>
  <c r="K124" i="20" a="1"/>
  <c r="K250" i="20" a="1"/>
  <c r="K152" i="20" a="1"/>
  <c r="K267" i="20" a="1"/>
  <c r="K145" i="20" a="1"/>
  <c r="K165" i="20" a="1"/>
  <c r="K280" i="20" a="1"/>
  <c r="K176" i="20" a="1"/>
  <c r="K163" i="20" a="1"/>
  <c r="K84" i="20" a="1"/>
  <c r="K248" i="20" a="1"/>
  <c r="K142" i="20" a="1"/>
  <c r="K182" i="20" a="1"/>
  <c r="K249" i="20" a="1"/>
  <c r="K276" i="20" a="1"/>
  <c r="K122" i="20" a="1"/>
  <c r="K33" i="20" a="1"/>
  <c r="K277" i="20" a="1"/>
  <c r="K171" i="20" a="1"/>
  <c r="K400" i="20" a="1"/>
  <c r="K260" i="20" a="1"/>
  <c r="K243" i="20" a="1"/>
  <c r="K130" i="20" a="1"/>
  <c r="K149" i="20" a="1"/>
  <c r="K151" i="20" a="1"/>
  <c r="K304" i="20" a="1"/>
  <c r="K247" i="20" a="1"/>
  <c r="K178" i="20" a="1"/>
  <c r="K144" i="20" a="1"/>
  <c r="K150" i="20" a="1"/>
  <c r="K167" i="20" a="1"/>
  <c r="K537" i="20" a="1"/>
  <c r="K127" i="20" a="1"/>
  <c r="K91" i="20" a="1"/>
  <c r="K134" i="20" a="1"/>
  <c r="K115" i="20" a="1"/>
  <c r="K271" i="20" a="1"/>
  <c r="K273" i="20" a="1"/>
  <c r="K105" i="20" a="1"/>
  <c r="K168" i="20" a="1"/>
  <c r="K164" i="20" a="1"/>
  <c r="K190" i="20" a="1"/>
  <c r="K132" i="20" a="1"/>
  <c r="K173" i="20" a="1"/>
  <c r="K181" i="20" a="1"/>
  <c r="K162" i="20" a="1"/>
  <c r="K147" i="20" a="1"/>
  <c r="K179" i="20" a="1"/>
  <c r="K253" i="20" a="1"/>
  <c r="K259" i="20" a="1"/>
  <c r="K166" i="20" a="1"/>
  <c r="K191" i="20" a="1"/>
  <c r="K206" i="20" a="1"/>
  <c r="K117" i="20" a="1"/>
  <c r="K183" i="20" a="1"/>
  <c r="K158" i="20" a="1"/>
  <c r="K136" i="20" a="1"/>
  <c r="K177" i="20" a="1"/>
  <c r="K143" i="20" a="1"/>
  <c r="K135" i="20" a="1"/>
  <c r="K399" i="20" a="1"/>
  <c r="K131" i="20" a="1"/>
  <c r="K169" i="20" a="1"/>
  <c r="K262" i="20" a="1"/>
  <c r="K189" i="20" a="1"/>
  <c r="K128" i="20" a="1"/>
  <c r="K537" i="20" l="1"/>
  <c r="M537" i="20" s="1"/>
  <c r="K536" i="20"/>
  <c r="M536" i="20" s="1"/>
  <c r="K242" i="20"/>
  <c r="M242" i="20" s="1"/>
  <c r="K84" i="20"/>
  <c r="M84" i="20" s="1"/>
  <c r="K253" i="20"/>
  <c r="M253" i="20" s="1"/>
  <c r="K250" i="20"/>
  <c r="M250" i="20" s="1"/>
  <c r="K309" i="20"/>
  <c r="M309" i="20" s="1"/>
  <c r="K243" i="20"/>
  <c r="M243" i="20" s="1"/>
  <c r="K29" i="20"/>
  <c r="M29" i="20" s="1"/>
  <c r="K304" i="20"/>
  <c r="M304" i="20" s="1"/>
  <c r="K28" i="20"/>
  <c r="M28" i="20" s="1"/>
  <c r="K310" i="20"/>
  <c r="M310" i="20" s="1"/>
  <c r="K271" i="20"/>
  <c r="M271" i="20" s="1"/>
  <c r="K272" i="20"/>
  <c r="M272" i="20" s="1"/>
  <c r="K305" i="20"/>
  <c r="M305" i="20" s="1"/>
  <c r="K268" i="20"/>
  <c r="M268" i="20" s="1"/>
  <c r="K266" i="20"/>
  <c r="M266" i="20" s="1"/>
  <c r="K279" i="20"/>
  <c r="M279" i="20" s="1"/>
  <c r="K278" i="20"/>
  <c r="M278" i="20" s="1"/>
  <c r="K262" i="20"/>
  <c r="M262" i="20" s="1"/>
  <c r="K257" i="20"/>
  <c r="M257" i="20" s="1"/>
  <c r="K273" i="20"/>
  <c r="M273" i="20" s="1"/>
  <c r="K252" i="20"/>
  <c r="M252" i="20" s="1"/>
  <c r="K276" i="20"/>
  <c r="M276" i="20" s="1"/>
  <c r="K261" i="20"/>
  <c r="M261" i="20" s="1"/>
  <c r="K277" i="20"/>
  <c r="M277" i="20" s="1"/>
  <c r="K247" i="20"/>
  <c r="M247" i="20" s="1"/>
  <c r="K260" i="20"/>
  <c r="M260" i="20" s="1"/>
  <c r="K248" i="20"/>
  <c r="M248" i="20" s="1"/>
  <c r="K275" i="20"/>
  <c r="M275" i="20" s="1"/>
  <c r="K259" i="20"/>
  <c r="M259" i="20" s="1"/>
  <c r="K251" i="20"/>
  <c r="M251" i="20" s="1"/>
  <c r="K274" i="20"/>
  <c r="M274" i="20" s="1"/>
  <c r="K258" i="20"/>
  <c r="M258" i="20" s="1"/>
  <c r="K249" i="20"/>
  <c r="M249" i="20" s="1"/>
  <c r="M73" i="20"/>
  <c r="K91" i="20"/>
  <c r="M91" i="20" s="1"/>
  <c r="K105" i="20"/>
  <c r="M105" i="20" s="1"/>
  <c r="K200" i="20"/>
  <c r="M200" i="20" s="1"/>
  <c r="K399" i="20"/>
  <c r="M399" i="20" s="1"/>
  <c r="K401" i="20"/>
  <c r="M401" i="20" s="1"/>
  <c r="K205" i="20"/>
  <c r="M205" i="20" s="1"/>
  <c r="K400" i="20"/>
  <c r="M400" i="20" s="1"/>
  <c r="K204" i="20"/>
  <c r="M204" i="20" s="1"/>
  <c r="K184" i="20"/>
  <c r="M184" i="20" s="1"/>
  <c r="K175" i="20"/>
  <c r="M175" i="20" s="1"/>
  <c r="K182" i="20"/>
  <c r="M182" i="20" s="1"/>
  <c r="K189" i="20"/>
  <c r="M189" i="20" s="1"/>
  <c r="K125" i="20"/>
  <c r="M125" i="20" s="1"/>
  <c r="K122" i="20"/>
  <c r="M122" i="20" s="1"/>
  <c r="K131" i="20"/>
  <c r="M131" i="20" s="1"/>
  <c r="K193" i="20"/>
  <c r="M193" i="20" s="1"/>
  <c r="K169" i="20"/>
  <c r="M169" i="20" s="1"/>
  <c r="K145" i="20"/>
  <c r="M145" i="20" s="1"/>
  <c r="K160" i="20"/>
  <c r="M160" i="20" s="1"/>
  <c r="K151" i="20"/>
  <c r="M151" i="20" s="1"/>
  <c r="K158" i="20"/>
  <c r="M158" i="20" s="1"/>
  <c r="K165" i="20"/>
  <c r="M165" i="20" s="1"/>
  <c r="K156" i="20"/>
  <c r="M156" i="20" s="1"/>
  <c r="K171" i="20"/>
  <c r="M171" i="20" s="1"/>
  <c r="K162" i="20"/>
  <c r="M162" i="20" s="1"/>
  <c r="K121" i="20"/>
  <c r="M121" i="20" s="1"/>
  <c r="K136" i="20"/>
  <c r="M136" i="20" s="1"/>
  <c r="K191" i="20"/>
  <c r="M191" i="20" s="1"/>
  <c r="K127" i="20"/>
  <c r="M127" i="20" s="1"/>
  <c r="K134" i="20"/>
  <c r="M134" i="20" s="1"/>
  <c r="K141" i="20"/>
  <c r="M141" i="20" s="1"/>
  <c r="K170" i="20"/>
  <c r="M170" i="20" s="1"/>
  <c r="K147" i="20"/>
  <c r="M147" i="20" s="1"/>
  <c r="K176" i="20"/>
  <c r="M176" i="20" s="1"/>
  <c r="K167" i="20"/>
  <c r="M167" i="20" s="1"/>
  <c r="K174" i="20"/>
  <c r="M174" i="20" s="1"/>
  <c r="K181" i="20"/>
  <c r="M181" i="20" s="1"/>
  <c r="K138" i="20"/>
  <c r="M138" i="20" s="1"/>
  <c r="K172" i="20"/>
  <c r="M172" i="20" s="1"/>
  <c r="K187" i="20"/>
  <c r="M187" i="20" s="1"/>
  <c r="K123" i="20"/>
  <c r="M123" i="20" s="1"/>
  <c r="K137" i="20"/>
  <c r="M137" i="20" s="1"/>
  <c r="K152" i="20"/>
  <c r="M152" i="20" s="1"/>
  <c r="K143" i="20"/>
  <c r="M143" i="20" s="1"/>
  <c r="K150" i="20"/>
  <c r="M150" i="20" s="1"/>
  <c r="K157" i="20"/>
  <c r="M157" i="20" s="1"/>
  <c r="K148" i="20"/>
  <c r="M148" i="20" s="1"/>
  <c r="K124" i="20"/>
  <c r="M124" i="20" s="1"/>
  <c r="K163" i="20"/>
  <c r="M163" i="20" s="1"/>
  <c r="K146" i="20"/>
  <c r="M146" i="20" s="1"/>
  <c r="K192" i="20"/>
  <c r="M192" i="20" s="1"/>
  <c r="K128" i="20"/>
  <c r="M128" i="20" s="1"/>
  <c r="K183" i="20"/>
  <c r="M183" i="20" s="1"/>
  <c r="K190" i="20"/>
  <c r="M190" i="20" s="1"/>
  <c r="K126" i="20"/>
  <c r="M126" i="20" s="1"/>
  <c r="K133" i="20"/>
  <c r="M133" i="20" s="1"/>
  <c r="K154" i="20"/>
  <c r="M154" i="20" s="1"/>
  <c r="K139" i="20"/>
  <c r="M139" i="20" s="1"/>
  <c r="K177" i="20"/>
  <c r="M177" i="20" s="1"/>
  <c r="K153" i="20"/>
  <c r="M153" i="20" s="1"/>
  <c r="K168" i="20"/>
  <c r="M168" i="20" s="1"/>
  <c r="K159" i="20"/>
  <c r="M159" i="20" s="1"/>
  <c r="K166" i="20"/>
  <c r="M166" i="20" s="1"/>
  <c r="K173" i="20"/>
  <c r="M173" i="20" s="1"/>
  <c r="K188" i="20"/>
  <c r="M188" i="20" s="1"/>
  <c r="K164" i="20"/>
  <c r="M164" i="20" s="1"/>
  <c r="K179" i="20"/>
  <c r="M179" i="20" s="1"/>
  <c r="K178" i="20"/>
  <c r="M178" i="20" s="1"/>
  <c r="K129" i="20"/>
  <c r="M129" i="20" s="1"/>
  <c r="K144" i="20"/>
  <c r="M144" i="20" s="1"/>
  <c r="K135" i="20"/>
  <c r="M135" i="20" s="1"/>
  <c r="K142" i="20"/>
  <c r="M142" i="20" s="1"/>
  <c r="K149" i="20"/>
  <c r="M149" i="20" s="1"/>
  <c r="K140" i="20"/>
  <c r="M140" i="20" s="1"/>
  <c r="K186" i="20"/>
  <c r="M186" i="20" s="1"/>
  <c r="K155" i="20"/>
  <c r="M155" i="20" s="1"/>
  <c r="K130" i="20"/>
  <c r="M130" i="20" s="1"/>
  <c r="N43" i="20"/>
  <c r="N44" i="20"/>
  <c r="N41" i="20"/>
  <c r="N42" i="20"/>
  <c r="K354" i="20"/>
  <c r="M354" i="20" s="1"/>
  <c r="K95" i="20"/>
  <c r="M95" i="20" s="1"/>
  <c r="C5" i="10"/>
  <c r="C5" i="16"/>
  <c r="K267" i="20"/>
  <c r="M267" i="20" s="1"/>
  <c r="K280" i="20"/>
  <c r="M280" i="20" s="1"/>
  <c r="E13" i="3"/>
  <c r="D14" i="7"/>
  <c r="C5" i="8"/>
  <c r="C5" i="11"/>
  <c r="K203" i="20"/>
  <c r="M203" i="20" s="1"/>
  <c r="K229" i="20"/>
  <c r="M229" i="20" s="1"/>
  <c r="K115" i="20"/>
  <c r="M115" i="20" s="1"/>
  <c r="K206" i="20"/>
  <c r="M206" i="20" s="1"/>
  <c r="C5" i="3"/>
  <c r="K132" i="20"/>
  <c r="M132" i="20" s="1"/>
  <c r="K117" i="20"/>
  <c r="M117" i="20" s="1"/>
  <c r="K116" i="20"/>
  <c r="M116" i="20" s="1"/>
  <c r="K120" i="20"/>
  <c r="M120" i="20" s="1"/>
  <c r="K185" i="20"/>
  <c r="M185" i="20" s="1"/>
  <c r="K118" i="20"/>
  <c r="M118" i="20" s="1"/>
  <c r="K180" i="20"/>
  <c r="M180" i="20" s="1"/>
  <c r="K161" i="20"/>
  <c r="M161" i="20" s="1"/>
  <c r="K2" i="20"/>
  <c r="M2" i="20" s="1"/>
  <c r="K33" i="20"/>
  <c r="M33" i="20" s="1"/>
  <c r="K30" i="20"/>
  <c r="M30" i="20" s="1"/>
  <c r="K66" i="19"/>
  <c r="K68" i="19"/>
  <c r="K69" i="19"/>
  <c r="K70" i="19"/>
  <c r="E125" i="15"/>
  <c r="E70" i="15"/>
  <c r="E16" i="15"/>
  <c r="E124" i="15"/>
  <c r="F29" i="19"/>
  <c r="D70" i="8"/>
  <c r="E79" i="8"/>
  <c r="B5" i="5" l="1"/>
  <c r="F24" i="12"/>
  <c r="M80" i="19"/>
  <c r="F97" i="7"/>
  <c r="F90" i="7"/>
  <c r="F88" i="7"/>
  <c r="F83" i="7"/>
  <c r="F35" i="7"/>
  <c r="F96" i="7"/>
  <c r="F95" i="7"/>
  <c r="F93" i="7"/>
  <c r="F92" i="7"/>
  <c r="F87" i="7"/>
  <c r="F86" i="7"/>
  <c r="F82" i="7"/>
  <c r="F81" i="7"/>
  <c r="F80" i="7"/>
  <c r="F78" i="7"/>
  <c r="F77" i="7"/>
  <c r="F76" i="7"/>
  <c r="F74" i="7"/>
  <c r="F73" i="7"/>
  <c r="F72" i="7"/>
  <c r="F71" i="7"/>
  <c r="F69" i="7"/>
  <c r="F68" i="7"/>
  <c r="F67" i="7"/>
  <c r="F64" i="7"/>
  <c r="F63" i="7"/>
  <c r="F61" i="7"/>
  <c r="F60" i="7"/>
  <c r="F59" i="7"/>
  <c r="F58" i="7"/>
  <c r="F56" i="7"/>
  <c r="F55" i="7"/>
  <c r="F54" i="7"/>
  <c r="F53" i="7"/>
  <c r="F50" i="7"/>
  <c r="F49" i="7"/>
  <c r="F47" i="7"/>
  <c r="F46" i="7"/>
  <c r="F45" i="7"/>
  <c r="F44" i="7"/>
  <c r="F42" i="7"/>
  <c r="F41" i="7"/>
  <c r="F40" i="7"/>
  <c r="F39" i="7"/>
  <c r="F34" i="7"/>
  <c r="F33" i="7"/>
  <c r="F31" i="7"/>
  <c r="F30" i="7"/>
  <c r="F29" i="7"/>
  <c r="F27" i="7"/>
  <c r="F26" i="7"/>
  <c r="D97" i="7"/>
  <c r="D90" i="7"/>
  <c r="D88" i="7"/>
  <c r="D83" i="7"/>
  <c r="D35" i="7"/>
  <c r="D96" i="7"/>
  <c r="D95" i="7"/>
  <c r="D93" i="7"/>
  <c r="D92" i="7"/>
  <c r="D87" i="7"/>
  <c r="D86" i="7"/>
  <c r="D82" i="7"/>
  <c r="D81" i="7"/>
  <c r="D80" i="7"/>
  <c r="D78" i="7"/>
  <c r="D77" i="7"/>
  <c r="D76" i="7"/>
  <c r="D74" i="7"/>
  <c r="D73" i="7"/>
  <c r="D72" i="7"/>
  <c r="D71" i="7"/>
  <c r="D69" i="7"/>
  <c r="D68" i="7"/>
  <c r="D67" i="7"/>
  <c r="D64" i="7"/>
  <c r="D63" i="7"/>
  <c r="D61" i="7"/>
  <c r="D60" i="7"/>
  <c r="D59" i="7"/>
  <c r="D58" i="7"/>
  <c r="D56" i="7"/>
  <c r="D55" i="7"/>
  <c r="D54" i="7"/>
  <c r="D53" i="7"/>
  <c r="D50" i="7"/>
  <c r="D49" i="7"/>
  <c r="D47" i="7"/>
  <c r="D46" i="7"/>
  <c r="D45" i="7"/>
  <c r="D44" i="7"/>
  <c r="D42" i="7"/>
  <c r="D41" i="7"/>
  <c r="D40" i="7"/>
  <c r="D39" i="7"/>
  <c r="D34" i="7"/>
  <c r="D33" i="7"/>
  <c r="D31" i="7"/>
  <c r="D30" i="7"/>
  <c r="D29" i="7"/>
  <c r="D27" i="7"/>
  <c r="D26" i="7"/>
  <c r="CH39" i="13"/>
  <c r="CG39" i="13"/>
  <c r="CF39" i="13"/>
  <c r="CD39" i="13"/>
  <c r="CC39" i="13"/>
  <c r="CB39" i="13"/>
  <c r="BZ39" i="13"/>
  <c r="BY39" i="13"/>
  <c r="BX39" i="13"/>
  <c r="BV39" i="13"/>
  <c r="BU39" i="13"/>
  <c r="BT39" i="13"/>
  <c r="BR39" i="13"/>
  <c r="BQ39" i="13"/>
  <c r="BP39" i="13"/>
  <c r="BN39" i="13"/>
  <c r="BM39" i="13"/>
  <c r="BL39" i="13"/>
  <c r="BJ39" i="13"/>
  <c r="BI39" i="13"/>
  <c r="BH39" i="13"/>
  <c r="BF39" i="13"/>
  <c r="BE39" i="13"/>
  <c r="BD39" i="13"/>
  <c r="BB39" i="13"/>
  <c r="BA39" i="13"/>
  <c r="AZ39" i="13"/>
  <c r="AX39" i="13"/>
  <c r="AW39" i="13"/>
  <c r="AV39" i="13"/>
  <c r="AT39" i="13"/>
  <c r="AS39" i="13"/>
  <c r="AR39" i="13"/>
  <c r="AP39" i="13"/>
  <c r="AO39" i="13"/>
  <c r="AN39" i="13"/>
  <c r="AL39" i="13"/>
  <c r="AK39" i="13"/>
  <c r="AJ39" i="13"/>
  <c r="AH39" i="13"/>
  <c r="AG39" i="13"/>
  <c r="AF39" i="13"/>
  <c r="AD39" i="13"/>
  <c r="AC39" i="13"/>
  <c r="AB39" i="13"/>
  <c r="Z39" i="13"/>
  <c r="Y39" i="13"/>
  <c r="X39" i="13"/>
  <c r="V39" i="13"/>
  <c r="U39" i="13"/>
  <c r="T39" i="13"/>
  <c r="R39" i="13"/>
  <c r="Q39" i="13"/>
  <c r="P39" i="13"/>
  <c r="N39" i="13"/>
  <c r="M39" i="13"/>
  <c r="L39" i="13"/>
  <c r="J39" i="13"/>
  <c r="I39" i="13"/>
  <c r="H39" i="13"/>
  <c r="CI108" i="13"/>
  <c r="CI107" i="13"/>
  <c r="CI106" i="13"/>
  <c r="CI104" i="13"/>
  <c r="CI103" i="13"/>
  <c r="CI102" i="13" s="1"/>
  <c r="CI101" i="13"/>
  <c r="CI99" i="13"/>
  <c r="CI98" i="13"/>
  <c r="CI97" i="13"/>
  <c r="CI94" i="13"/>
  <c r="CI93" i="13"/>
  <c r="CI92" i="13"/>
  <c r="CI91" i="13"/>
  <c r="CI89" i="13"/>
  <c r="CI88" i="13"/>
  <c r="CI87" i="13"/>
  <c r="CI85" i="13"/>
  <c r="CI84" i="13"/>
  <c r="CI83" i="13"/>
  <c r="CI82" i="13"/>
  <c r="CI80" i="13"/>
  <c r="CI79" i="13"/>
  <c r="CI78" i="13"/>
  <c r="CI75" i="13"/>
  <c r="CI74" i="13"/>
  <c r="CI72" i="13"/>
  <c r="CI71" i="13"/>
  <c r="CI70" i="13"/>
  <c r="CI69" i="13"/>
  <c r="CI67" i="13"/>
  <c r="CI66" i="13"/>
  <c r="CI65" i="13"/>
  <c r="CI64" i="13"/>
  <c r="CI61" i="13"/>
  <c r="CI60" i="13"/>
  <c r="CI58" i="13"/>
  <c r="CI57" i="13"/>
  <c r="CI56" i="13"/>
  <c r="CI55" i="13"/>
  <c r="CI53" i="13"/>
  <c r="CI52" i="13"/>
  <c r="CI51" i="13"/>
  <c r="CI50" i="13"/>
  <c r="CI46" i="13"/>
  <c r="CI45" i="13"/>
  <c r="CI44" i="13"/>
  <c r="CI42" i="13"/>
  <c r="CI41" i="13"/>
  <c r="CI40" i="13"/>
  <c r="CI38" i="13"/>
  <c r="CI37" i="13"/>
  <c r="CE108" i="13"/>
  <c r="CE107" i="13"/>
  <c r="CE106" i="13"/>
  <c r="CE104" i="13"/>
  <c r="CE103" i="13"/>
  <c r="CE101" i="13"/>
  <c r="CE99" i="13"/>
  <c r="CE98" i="13"/>
  <c r="CE97" i="13"/>
  <c r="CE94" i="13"/>
  <c r="CE93" i="13"/>
  <c r="CE92" i="13"/>
  <c r="CE91" i="13"/>
  <c r="CE89" i="13"/>
  <c r="CE88" i="13"/>
  <c r="CE87" i="13"/>
  <c r="CE85" i="13"/>
  <c r="CE84" i="13"/>
  <c r="CE83" i="13"/>
  <c r="CE82" i="13"/>
  <c r="CE80" i="13"/>
  <c r="CE79" i="13"/>
  <c r="CE78" i="13"/>
  <c r="CE75" i="13"/>
  <c r="CE74" i="13"/>
  <c r="CE72" i="13"/>
  <c r="CE71" i="13"/>
  <c r="CE70" i="13"/>
  <c r="CE69" i="13"/>
  <c r="CE67" i="13"/>
  <c r="CE66" i="13"/>
  <c r="CE65" i="13"/>
  <c r="CE64" i="13"/>
  <c r="CE61" i="13"/>
  <c r="CE60" i="13"/>
  <c r="CE58" i="13"/>
  <c r="CE57" i="13"/>
  <c r="CE56" i="13"/>
  <c r="CE55" i="13"/>
  <c r="CE53" i="13"/>
  <c r="CE52" i="13"/>
  <c r="CE51" i="13"/>
  <c r="CE50" i="13"/>
  <c r="CE46" i="13"/>
  <c r="CE45" i="13"/>
  <c r="CE44" i="13"/>
  <c r="CE42" i="13"/>
  <c r="CE41" i="13"/>
  <c r="CE40" i="13"/>
  <c r="CE38" i="13"/>
  <c r="CE37" i="13"/>
  <c r="CA108" i="13"/>
  <c r="CA107" i="13"/>
  <c r="CA106" i="13"/>
  <c r="CA104" i="13"/>
  <c r="CA103" i="13"/>
  <c r="CA101" i="13"/>
  <c r="CA99" i="13"/>
  <c r="CA98" i="13"/>
  <c r="CA97" i="13"/>
  <c r="CA94" i="13"/>
  <c r="CA93" i="13"/>
  <c r="CA92" i="13"/>
  <c r="CA91" i="13"/>
  <c r="CA89" i="13"/>
  <c r="CA88" i="13"/>
  <c r="CA87" i="13"/>
  <c r="CA85" i="13"/>
  <c r="CA84" i="13"/>
  <c r="CA83" i="13"/>
  <c r="CA82" i="13"/>
  <c r="CA80" i="13"/>
  <c r="CA79" i="13"/>
  <c r="CA78" i="13"/>
  <c r="CA75" i="13"/>
  <c r="CA74" i="13"/>
  <c r="CA72" i="13"/>
  <c r="CA71" i="13"/>
  <c r="CA70" i="13"/>
  <c r="CA69" i="13"/>
  <c r="CA67" i="13"/>
  <c r="CA66" i="13"/>
  <c r="CA65" i="13"/>
  <c r="CA64" i="13"/>
  <c r="CA61" i="13"/>
  <c r="CA60" i="13"/>
  <c r="CA58" i="13"/>
  <c r="CA57" i="13"/>
  <c r="CA56" i="13"/>
  <c r="CA55" i="13"/>
  <c r="CA53" i="13"/>
  <c r="CA52" i="13"/>
  <c r="CA51" i="13"/>
  <c r="CA50" i="13"/>
  <c r="CA46" i="13"/>
  <c r="CA45" i="13"/>
  <c r="CA44" i="13"/>
  <c r="CA42" i="13"/>
  <c r="CA41" i="13"/>
  <c r="CA40" i="13"/>
  <c r="CA38" i="13"/>
  <c r="CA37" i="13"/>
  <c r="BW108" i="13"/>
  <c r="BW107" i="13"/>
  <c r="BW106" i="13"/>
  <c r="BW104" i="13"/>
  <c r="BW103" i="13"/>
  <c r="BW101" i="13"/>
  <c r="BW99" i="13"/>
  <c r="BW98" i="13"/>
  <c r="BW97" i="13"/>
  <c r="BW94" i="13"/>
  <c r="BW93" i="13"/>
  <c r="BW92" i="13"/>
  <c r="BW91" i="13"/>
  <c r="BW89" i="13"/>
  <c r="BW88" i="13"/>
  <c r="BW87" i="13"/>
  <c r="BW85" i="13"/>
  <c r="BW84" i="13"/>
  <c r="BW83" i="13"/>
  <c r="BW82" i="13"/>
  <c r="BW80" i="13"/>
  <c r="BW79" i="13"/>
  <c r="BW78" i="13"/>
  <c r="BW75" i="13"/>
  <c r="BW74" i="13"/>
  <c r="BW72" i="13"/>
  <c r="BW71" i="13"/>
  <c r="BW70" i="13"/>
  <c r="BW69" i="13"/>
  <c r="BW67" i="13"/>
  <c r="BW66" i="13"/>
  <c r="BW65" i="13"/>
  <c r="BW64" i="13"/>
  <c r="BW61" i="13"/>
  <c r="BW60" i="13"/>
  <c r="BW58" i="13"/>
  <c r="BW57" i="13"/>
  <c r="BW56" i="13"/>
  <c r="BW55" i="13"/>
  <c r="BW53" i="13"/>
  <c r="BW52" i="13"/>
  <c r="BW51" i="13"/>
  <c r="BW50" i="13"/>
  <c r="BW46" i="13"/>
  <c r="BW45" i="13"/>
  <c r="BW44" i="13"/>
  <c r="BW42" i="13"/>
  <c r="BW41" i="13"/>
  <c r="BW40" i="13"/>
  <c r="BW38" i="13"/>
  <c r="BW37" i="13"/>
  <c r="BS108" i="13"/>
  <c r="BS107" i="13"/>
  <c r="BS106" i="13"/>
  <c r="BS104" i="13"/>
  <c r="BS103" i="13"/>
  <c r="BS101" i="13"/>
  <c r="BS99" i="13"/>
  <c r="BS98" i="13"/>
  <c r="BS97" i="13"/>
  <c r="BS94" i="13"/>
  <c r="BS93" i="13"/>
  <c r="BS92" i="13"/>
  <c r="BS91" i="13"/>
  <c r="BS89" i="13"/>
  <c r="BS88" i="13"/>
  <c r="BS87" i="13"/>
  <c r="BS85" i="13"/>
  <c r="BS84" i="13"/>
  <c r="BS83" i="13"/>
  <c r="BS82" i="13"/>
  <c r="BS80" i="13"/>
  <c r="BS79" i="13"/>
  <c r="BS78" i="13"/>
  <c r="BS75" i="13"/>
  <c r="BS74" i="13"/>
  <c r="BS72" i="13"/>
  <c r="BS71" i="13"/>
  <c r="BS70" i="13"/>
  <c r="BS69" i="13"/>
  <c r="BS67" i="13"/>
  <c r="BS66" i="13"/>
  <c r="BS65" i="13"/>
  <c r="BS64" i="13"/>
  <c r="BS61" i="13"/>
  <c r="BS60" i="13"/>
  <c r="BS59" i="13" s="1"/>
  <c r="BS58" i="13"/>
  <c r="BS57" i="13"/>
  <c r="BS56" i="13"/>
  <c r="BS55" i="13"/>
  <c r="BS53" i="13"/>
  <c r="BS52" i="13"/>
  <c r="BS51" i="13"/>
  <c r="BS50" i="13"/>
  <c r="BS46" i="13"/>
  <c r="BS45" i="13"/>
  <c r="BS44" i="13"/>
  <c r="BS42" i="13"/>
  <c r="BS41" i="13"/>
  <c r="BS40" i="13"/>
  <c r="BS38" i="13"/>
  <c r="BS37" i="13"/>
  <c r="BO108" i="13"/>
  <c r="BO107" i="13"/>
  <c r="BO106" i="13"/>
  <c r="BO104" i="13"/>
  <c r="BO103" i="13"/>
  <c r="BO101" i="13"/>
  <c r="BO99" i="13"/>
  <c r="BO98" i="13"/>
  <c r="BO97" i="13"/>
  <c r="BO94" i="13"/>
  <c r="BO93" i="13"/>
  <c r="BO92" i="13"/>
  <c r="BO91" i="13"/>
  <c r="BO89" i="13"/>
  <c r="BO88" i="13"/>
  <c r="BO87" i="13"/>
  <c r="BO85" i="13"/>
  <c r="BO84" i="13"/>
  <c r="BO83" i="13"/>
  <c r="BO82" i="13"/>
  <c r="BO80" i="13"/>
  <c r="BO79" i="13"/>
  <c r="BO78" i="13"/>
  <c r="BO75" i="13"/>
  <c r="BO74" i="13"/>
  <c r="BO72" i="13"/>
  <c r="BO71" i="13"/>
  <c r="BO70" i="13"/>
  <c r="BO69" i="13"/>
  <c r="BO67" i="13"/>
  <c r="BO66" i="13"/>
  <c r="BO65" i="13"/>
  <c r="BO64" i="13"/>
  <c r="BO61" i="13"/>
  <c r="BO60" i="13"/>
  <c r="BO58" i="13"/>
  <c r="BO57" i="13"/>
  <c r="BO56" i="13"/>
  <c r="BO55" i="13"/>
  <c r="BO53" i="13"/>
  <c r="BO52" i="13"/>
  <c r="BO51" i="13"/>
  <c r="BO50" i="13"/>
  <c r="BO46" i="13"/>
  <c r="BO45" i="13"/>
  <c r="BO44" i="13"/>
  <c r="BO42" i="13"/>
  <c r="BO41" i="13"/>
  <c r="BO40" i="13"/>
  <c r="BO38" i="13"/>
  <c r="BO37" i="13"/>
  <c r="BK108" i="13"/>
  <c r="BK107" i="13"/>
  <c r="BK106" i="13"/>
  <c r="BK104" i="13"/>
  <c r="BK103" i="13"/>
  <c r="BK101" i="13"/>
  <c r="BK99" i="13"/>
  <c r="BK98" i="13"/>
  <c r="BK97" i="13"/>
  <c r="BK94" i="13"/>
  <c r="BK93" i="13"/>
  <c r="BK92" i="13"/>
  <c r="BK91" i="13"/>
  <c r="BK89" i="13"/>
  <c r="BK88" i="13"/>
  <c r="BK87" i="13"/>
  <c r="BK85" i="13"/>
  <c r="BK84" i="13"/>
  <c r="BK83" i="13"/>
  <c r="BK82" i="13"/>
  <c r="BK80" i="13"/>
  <c r="BK79" i="13"/>
  <c r="BK78" i="13"/>
  <c r="BK75" i="13"/>
  <c r="BK74" i="13"/>
  <c r="BK72" i="13"/>
  <c r="BK71" i="13"/>
  <c r="BK70" i="13"/>
  <c r="BK69" i="13"/>
  <c r="BK67" i="13"/>
  <c r="BK66" i="13"/>
  <c r="BK65" i="13"/>
  <c r="BK64" i="13"/>
  <c r="BK61" i="13"/>
  <c r="BK60" i="13"/>
  <c r="BK58" i="13"/>
  <c r="BK57" i="13"/>
  <c r="BK56" i="13"/>
  <c r="BK55" i="13"/>
  <c r="BK53" i="13"/>
  <c r="BK52" i="13"/>
  <c r="BK51" i="13"/>
  <c r="BK50" i="13"/>
  <c r="BK46" i="13"/>
  <c r="BK45" i="13"/>
  <c r="BK44" i="13"/>
  <c r="BK42" i="13"/>
  <c r="BK41" i="13"/>
  <c r="BK40" i="13"/>
  <c r="BK38" i="13"/>
  <c r="BK37" i="13"/>
  <c r="BG108" i="13"/>
  <c r="BG107" i="13"/>
  <c r="BG106" i="13"/>
  <c r="BG104" i="13"/>
  <c r="BG103" i="13"/>
  <c r="BG101" i="13"/>
  <c r="BG99" i="13"/>
  <c r="BG98" i="13"/>
  <c r="BG96" i="13" s="1"/>
  <c r="BG97" i="13"/>
  <c r="BG94" i="13"/>
  <c r="BG93" i="13"/>
  <c r="BG92" i="13"/>
  <c r="BG91" i="13"/>
  <c r="BG89" i="13"/>
  <c r="BG88" i="13"/>
  <c r="BG87" i="13"/>
  <c r="BG85" i="13"/>
  <c r="BG84" i="13"/>
  <c r="BG83" i="13"/>
  <c r="BG82" i="13"/>
  <c r="BG80" i="13"/>
  <c r="BG79" i="13"/>
  <c r="BG78" i="13"/>
  <c r="BG75" i="13"/>
  <c r="BG74" i="13"/>
  <c r="BG72" i="13"/>
  <c r="BG71" i="13"/>
  <c r="BG70" i="13"/>
  <c r="BG69" i="13"/>
  <c r="BG67" i="13"/>
  <c r="BG66" i="13"/>
  <c r="BG65" i="13"/>
  <c r="BG64" i="13"/>
  <c r="BG61" i="13"/>
  <c r="BG60" i="13"/>
  <c r="BG58" i="13"/>
  <c r="BG57" i="13"/>
  <c r="BG56" i="13"/>
  <c r="BG55" i="13"/>
  <c r="BG53" i="13"/>
  <c r="BG52" i="13"/>
  <c r="BG51" i="13"/>
  <c r="BG50" i="13"/>
  <c r="BG46" i="13"/>
  <c r="BG45" i="13"/>
  <c r="BG44" i="13"/>
  <c r="BG42" i="13"/>
  <c r="BG41" i="13"/>
  <c r="BG40" i="13"/>
  <c r="BG38" i="13"/>
  <c r="BG37" i="13"/>
  <c r="BC108" i="13"/>
  <c r="BC107" i="13"/>
  <c r="BC106" i="13"/>
  <c r="BC104" i="13"/>
  <c r="BC103" i="13"/>
  <c r="BC101" i="13"/>
  <c r="BC99" i="13"/>
  <c r="BC98" i="13"/>
  <c r="BC97" i="13"/>
  <c r="BC94" i="13"/>
  <c r="BC93" i="13"/>
  <c r="BC92" i="13"/>
  <c r="BC91" i="13"/>
  <c r="BC89" i="13"/>
  <c r="BC88" i="13"/>
  <c r="BC87" i="13"/>
  <c r="BC85" i="13"/>
  <c r="BC84" i="13"/>
  <c r="BC83" i="13"/>
  <c r="BC82" i="13"/>
  <c r="BC80" i="13"/>
  <c r="BC79" i="13"/>
  <c r="BC78" i="13"/>
  <c r="BC75" i="13"/>
  <c r="BC74" i="13"/>
  <c r="BC73" i="13" s="1"/>
  <c r="BC72" i="13"/>
  <c r="BC71" i="13"/>
  <c r="BC70" i="13"/>
  <c r="BC69" i="13"/>
  <c r="BC67" i="13"/>
  <c r="BC66" i="13"/>
  <c r="BC65" i="13"/>
  <c r="BC64" i="13"/>
  <c r="BC61" i="13"/>
  <c r="BC60" i="13"/>
  <c r="BC58" i="13"/>
  <c r="BC57" i="13"/>
  <c r="BC56" i="13"/>
  <c r="BC55" i="13"/>
  <c r="BC53" i="13"/>
  <c r="BC52" i="13"/>
  <c r="BC51" i="13"/>
  <c r="BC50" i="13"/>
  <c r="BC46" i="13"/>
  <c r="BC45" i="13"/>
  <c r="BC44" i="13"/>
  <c r="BC42" i="13"/>
  <c r="BC41" i="13"/>
  <c r="BC40" i="13"/>
  <c r="BC38" i="13"/>
  <c r="BC37" i="13"/>
  <c r="AY108" i="13"/>
  <c r="AY107" i="13"/>
  <c r="AY106" i="13"/>
  <c r="AY104" i="13"/>
  <c r="AY103" i="13"/>
  <c r="AY101" i="13"/>
  <c r="AY99" i="13"/>
  <c r="AY98" i="13"/>
  <c r="AY97" i="13"/>
  <c r="AY94" i="13"/>
  <c r="AY93" i="13"/>
  <c r="AY92" i="13"/>
  <c r="AY91" i="13"/>
  <c r="AY89" i="13"/>
  <c r="AY88" i="13"/>
  <c r="AY87" i="13"/>
  <c r="AY85" i="13"/>
  <c r="AY84" i="13"/>
  <c r="AY83" i="13"/>
  <c r="AY82" i="13"/>
  <c r="AY80" i="13"/>
  <c r="AY79" i="13"/>
  <c r="AY78" i="13"/>
  <c r="AY75" i="13"/>
  <c r="AY74" i="13"/>
  <c r="AY72" i="13"/>
  <c r="AY71" i="13"/>
  <c r="AY70" i="13"/>
  <c r="AY69" i="13"/>
  <c r="AY67" i="13"/>
  <c r="AY66" i="13"/>
  <c r="AY65" i="13"/>
  <c r="AY64" i="13"/>
  <c r="AY61" i="13"/>
  <c r="AY60" i="13"/>
  <c r="AY58" i="13"/>
  <c r="AY57" i="13"/>
  <c r="AY56" i="13"/>
  <c r="AY55" i="13"/>
  <c r="AY53" i="13"/>
  <c r="AY52" i="13"/>
  <c r="AY51" i="13"/>
  <c r="AY50" i="13"/>
  <c r="AY46" i="13"/>
  <c r="AY45" i="13"/>
  <c r="AY44" i="13"/>
  <c r="AY42" i="13"/>
  <c r="AY41" i="13"/>
  <c r="AY40" i="13"/>
  <c r="AY38" i="13"/>
  <c r="AY37" i="13"/>
  <c r="AU108" i="13"/>
  <c r="AU107" i="13"/>
  <c r="AU106" i="13"/>
  <c r="AU104" i="13"/>
  <c r="AU103" i="13"/>
  <c r="AU101" i="13"/>
  <c r="AU99" i="13"/>
  <c r="AU98" i="13"/>
  <c r="AU97" i="13"/>
  <c r="AU94" i="13"/>
  <c r="AU93" i="13"/>
  <c r="AU92" i="13"/>
  <c r="AU91" i="13"/>
  <c r="AU89" i="13"/>
  <c r="AU88" i="13"/>
  <c r="AU87" i="13"/>
  <c r="AU85" i="13"/>
  <c r="AU84" i="13"/>
  <c r="AU83" i="13"/>
  <c r="AU82" i="13"/>
  <c r="AU80" i="13"/>
  <c r="AU79" i="13"/>
  <c r="AU78" i="13"/>
  <c r="AU75" i="13"/>
  <c r="AU74" i="13"/>
  <c r="AU73" i="13" s="1"/>
  <c r="AU72" i="13"/>
  <c r="AU71" i="13"/>
  <c r="AU70" i="13"/>
  <c r="AU69" i="13"/>
  <c r="AU67" i="13"/>
  <c r="AU66" i="13"/>
  <c r="AU65" i="13"/>
  <c r="AU64" i="13"/>
  <c r="AU61" i="13"/>
  <c r="AU60" i="13"/>
  <c r="AU58" i="13"/>
  <c r="AU57" i="13"/>
  <c r="AU56" i="13"/>
  <c r="AU55" i="13"/>
  <c r="AU53" i="13"/>
  <c r="AU52" i="13"/>
  <c r="AU51" i="13"/>
  <c r="AU50" i="13"/>
  <c r="AU46" i="13"/>
  <c r="AU45" i="13"/>
  <c r="AU44" i="13"/>
  <c r="AU42" i="13"/>
  <c r="AU41" i="13"/>
  <c r="AU40" i="13"/>
  <c r="AU38" i="13"/>
  <c r="AU37" i="13"/>
  <c r="AQ108" i="13"/>
  <c r="AQ107" i="13"/>
  <c r="AQ106" i="13"/>
  <c r="AQ104" i="13"/>
  <c r="AQ103" i="13"/>
  <c r="AQ101" i="13"/>
  <c r="AQ99" i="13"/>
  <c r="AQ98" i="13"/>
  <c r="AQ97" i="13"/>
  <c r="AQ94" i="13"/>
  <c r="AQ93" i="13"/>
  <c r="AQ92" i="13"/>
  <c r="AQ91" i="13"/>
  <c r="AQ89" i="13"/>
  <c r="AQ88" i="13"/>
  <c r="AQ87" i="13"/>
  <c r="AQ85" i="13"/>
  <c r="AQ84" i="13"/>
  <c r="AQ83" i="13"/>
  <c r="AQ82" i="13"/>
  <c r="AQ80" i="13"/>
  <c r="AQ79" i="13"/>
  <c r="AQ78" i="13"/>
  <c r="AQ75" i="13"/>
  <c r="AQ74" i="13"/>
  <c r="AQ72" i="13"/>
  <c r="AQ71" i="13"/>
  <c r="AQ70" i="13"/>
  <c r="AQ69" i="13"/>
  <c r="AQ67" i="13"/>
  <c r="AQ66" i="13"/>
  <c r="AQ65" i="13"/>
  <c r="AQ64" i="13"/>
  <c r="AQ61" i="13"/>
  <c r="AQ60" i="13"/>
  <c r="AQ58" i="13"/>
  <c r="AQ57" i="13"/>
  <c r="AQ56" i="13"/>
  <c r="AQ55" i="13"/>
  <c r="AQ53" i="13"/>
  <c r="AQ52" i="13"/>
  <c r="AQ51" i="13"/>
  <c r="AQ50" i="13"/>
  <c r="AQ46" i="13"/>
  <c r="AQ45" i="13"/>
  <c r="AQ44" i="13"/>
  <c r="AQ42" i="13"/>
  <c r="AQ41" i="13"/>
  <c r="AQ40" i="13"/>
  <c r="AQ38" i="13"/>
  <c r="AQ37" i="13"/>
  <c r="AM108" i="13"/>
  <c r="AM107" i="13"/>
  <c r="AM106" i="13"/>
  <c r="AM104" i="13"/>
  <c r="AM103" i="13"/>
  <c r="AM101" i="13"/>
  <c r="AM99" i="13"/>
  <c r="AM98" i="13"/>
  <c r="AM97" i="13"/>
  <c r="AM94" i="13"/>
  <c r="AM93" i="13"/>
  <c r="AM92" i="13"/>
  <c r="AM91" i="13"/>
  <c r="AM89" i="13"/>
  <c r="AM88" i="13"/>
  <c r="AM87" i="13"/>
  <c r="AM85" i="13"/>
  <c r="AM84" i="13"/>
  <c r="AM83" i="13"/>
  <c r="AM82" i="13"/>
  <c r="AM80" i="13"/>
  <c r="AM79" i="13"/>
  <c r="AM78" i="13"/>
  <c r="AM75" i="13"/>
  <c r="AM74" i="13"/>
  <c r="AM72" i="13"/>
  <c r="AM71" i="13"/>
  <c r="AM70" i="13"/>
  <c r="AM69" i="13"/>
  <c r="AM67" i="13"/>
  <c r="AM66" i="13"/>
  <c r="AM65" i="13"/>
  <c r="AM64" i="13"/>
  <c r="AM61" i="13"/>
  <c r="AM60" i="13"/>
  <c r="AM58" i="13"/>
  <c r="AM57" i="13"/>
  <c r="AM56" i="13"/>
  <c r="AM55" i="13"/>
  <c r="AM53" i="13"/>
  <c r="AM52" i="13"/>
  <c r="AM51" i="13"/>
  <c r="AM50" i="13"/>
  <c r="AM46" i="13"/>
  <c r="AM45" i="13"/>
  <c r="AM44" i="13"/>
  <c r="AM42" i="13"/>
  <c r="AM41" i="13"/>
  <c r="AM40" i="13"/>
  <c r="AM38" i="13"/>
  <c r="AM37" i="13"/>
  <c r="AL36" i="13"/>
  <c r="AL43" i="13"/>
  <c r="AL49" i="13"/>
  <c r="AL54" i="13"/>
  <c r="AL59" i="13"/>
  <c r="AL63" i="13"/>
  <c r="AL68" i="13"/>
  <c r="AL73" i="13"/>
  <c r="AL77" i="13"/>
  <c r="AL81" i="13"/>
  <c r="AL86" i="13"/>
  <c r="AL90" i="13"/>
  <c r="AL96" i="13"/>
  <c r="AL95" i="13" s="1"/>
  <c r="AL102" i="13"/>
  <c r="AL105" i="13"/>
  <c r="AI108" i="13"/>
  <c r="AI107" i="13"/>
  <c r="AI106" i="13"/>
  <c r="AI104" i="13"/>
  <c r="AI103" i="13"/>
  <c r="AI101" i="13"/>
  <c r="AI99" i="13"/>
  <c r="AI98" i="13"/>
  <c r="AI97" i="13"/>
  <c r="AI94" i="13"/>
  <c r="AI93" i="13"/>
  <c r="AI92" i="13"/>
  <c r="AI91" i="13"/>
  <c r="AI89" i="13"/>
  <c r="AI88" i="13"/>
  <c r="AI87" i="13"/>
  <c r="AI85" i="13"/>
  <c r="AI84" i="13"/>
  <c r="AI83" i="13"/>
  <c r="AI82" i="13"/>
  <c r="AI80" i="13"/>
  <c r="AI79" i="13"/>
  <c r="AI78" i="13"/>
  <c r="AI75" i="13"/>
  <c r="AI74" i="13"/>
  <c r="AI73" i="13" s="1"/>
  <c r="AI72" i="13"/>
  <c r="AI71" i="13"/>
  <c r="AI70" i="13"/>
  <c r="AI69" i="13"/>
  <c r="AI67" i="13"/>
  <c r="AI66" i="13"/>
  <c r="AI65" i="13"/>
  <c r="AI64" i="13"/>
  <c r="AI61" i="13"/>
  <c r="AI60" i="13"/>
  <c r="AI58" i="13"/>
  <c r="AI57" i="13"/>
  <c r="AI56" i="13"/>
  <c r="AI55" i="13"/>
  <c r="AI53" i="13"/>
  <c r="AI52" i="13"/>
  <c r="AI51" i="13"/>
  <c r="AI50" i="13"/>
  <c r="AI46" i="13"/>
  <c r="AI45" i="13"/>
  <c r="AI44" i="13"/>
  <c r="AI42" i="13"/>
  <c r="AI41" i="13"/>
  <c r="AI40" i="13"/>
  <c r="AI38" i="13"/>
  <c r="AI37" i="13"/>
  <c r="AE108" i="13"/>
  <c r="AE107" i="13"/>
  <c r="AE106" i="13"/>
  <c r="AE104" i="13"/>
  <c r="AE103" i="13"/>
  <c r="AE101" i="13"/>
  <c r="AE99" i="13"/>
  <c r="AE98" i="13"/>
  <c r="AE97" i="13"/>
  <c r="AE94" i="13"/>
  <c r="AE93" i="13"/>
  <c r="AE92" i="13"/>
  <c r="AE91" i="13"/>
  <c r="AE89" i="13"/>
  <c r="AE88" i="13"/>
  <c r="AE87" i="13"/>
  <c r="AE85" i="13"/>
  <c r="AE84" i="13"/>
  <c r="AE83" i="13"/>
  <c r="AE82" i="13"/>
  <c r="AE80" i="13"/>
  <c r="AE79" i="13"/>
  <c r="AE78" i="13"/>
  <c r="AE75" i="13"/>
  <c r="AE74" i="13"/>
  <c r="AE72" i="13"/>
  <c r="AE71" i="13"/>
  <c r="AE70" i="13"/>
  <c r="AE69" i="13"/>
  <c r="AE67" i="13"/>
  <c r="AE66" i="13"/>
  <c r="AE65" i="13"/>
  <c r="AE64" i="13"/>
  <c r="AE61" i="13"/>
  <c r="AE60" i="13"/>
  <c r="AE58" i="13"/>
  <c r="AE57" i="13"/>
  <c r="AE56" i="13"/>
  <c r="AE55" i="13"/>
  <c r="AE53" i="13"/>
  <c r="AE52" i="13"/>
  <c r="AE51" i="13"/>
  <c r="AE50" i="13"/>
  <c r="AE46" i="13"/>
  <c r="AE45" i="13"/>
  <c r="AE44" i="13"/>
  <c r="AE43" i="13" s="1"/>
  <c r="AE42" i="13"/>
  <c r="AE41" i="13"/>
  <c r="AE40" i="13"/>
  <c r="AE38" i="13"/>
  <c r="AE37" i="13"/>
  <c r="AA108" i="13"/>
  <c r="AA107" i="13"/>
  <c r="AA106" i="13"/>
  <c r="AA104" i="13"/>
  <c r="AA103" i="13"/>
  <c r="AA101" i="13"/>
  <c r="AA99" i="13"/>
  <c r="AA98" i="13"/>
  <c r="AA97" i="13"/>
  <c r="AA94" i="13"/>
  <c r="AA93" i="13"/>
  <c r="AA92" i="13"/>
  <c r="AA91" i="13"/>
  <c r="AA89" i="13"/>
  <c r="AA88" i="13"/>
  <c r="AA87" i="13"/>
  <c r="AA85" i="13"/>
  <c r="AA84" i="13"/>
  <c r="AA83" i="13"/>
  <c r="AA82" i="13"/>
  <c r="AA80" i="13"/>
  <c r="AA79" i="13"/>
  <c r="AA78" i="13"/>
  <c r="AA75" i="13"/>
  <c r="AA74" i="13"/>
  <c r="AA72" i="13"/>
  <c r="AA71" i="13"/>
  <c r="AA70" i="13"/>
  <c r="AA69" i="13"/>
  <c r="AA67" i="13"/>
  <c r="AA66" i="13"/>
  <c r="AA65" i="13"/>
  <c r="AA64" i="13"/>
  <c r="AA61" i="13"/>
  <c r="AA60" i="13"/>
  <c r="AA58" i="13"/>
  <c r="AA57" i="13"/>
  <c r="AA56" i="13"/>
  <c r="AA55" i="13"/>
  <c r="AA53" i="13"/>
  <c r="AA52" i="13"/>
  <c r="AA51" i="13"/>
  <c r="AA50" i="13"/>
  <c r="AA46" i="13"/>
  <c r="AA45" i="13"/>
  <c r="AA44" i="13"/>
  <c r="AA42" i="13"/>
  <c r="AA41" i="13"/>
  <c r="AA40" i="13"/>
  <c r="AA38" i="13"/>
  <c r="AA37" i="13"/>
  <c r="W108" i="13"/>
  <c r="W107" i="13"/>
  <c r="W106" i="13"/>
  <c r="W104" i="13"/>
  <c r="W103" i="13"/>
  <c r="W101" i="13"/>
  <c r="W99" i="13"/>
  <c r="W98" i="13"/>
  <c r="W97" i="13"/>
  <c r="W94" i="13"/>
  <c r="W93" i="13"/>
  <c r="W92" i="13"/>
  <c r="W91" i="13"/>
  <c r="W89" i="13"/>
  <c r="W88" i="13"/>
  <c r="W87" i="13"/>
  <c r="W85" i="13"/>
  <c r="W84" i="13"/>
  <c r="W83" i="13"/>
  <c r="W82" i="13"/>
  <c r="W80" i="13"/>
  <c r="W79" i="13"/>
  <c r="W78" i="13"/>
  <c r="W75" i="13"/>
  <c r="W74" i="13"/>
  <c r="W72" i="13"/>
  <c r="W71" i="13"/>
  <c r="W70" i="13"/>
  <c r="W69" i="13"/>
  <c r="W67" i="13"/>
  <c r="W66" i="13"/>
  <c r="W65" i="13"/>
  <c r="W64" i="13"/>
  <c r="W61" i="13"/>
  <c r="W60" i="13"/>
  <c r="W58" i="13"/>
  <c r="W57" i="13"/>
  <c r="W56" i="13"/>
  <c r="W55" i="13"/>
  <c r="W53" i="13"/>
  <c r="W52" i="13"/>
  <c r="W51" i="13"/>
  <c r="W50" i="13"/>
  <c r="W46" i="13"/>
  <c r="W45" i="13"/>
  <c r="W44" i="13"/>
  <c r="W42" i="13"/>
  <c r="W41" i="13"/>
  <c r="W40" i="13"/>
  <c r="W38" i="13"/>
  <c r="W37" i="13"/>
  <c r="S108" i="13"/>
  <c r="S107" i="13"/>
  <c r="S106" i="13"/>
  <c r="S104" i="13"/>
  <c r="S103" i="13"/>
  <c r="S101" i="13"/>
  <c r="S99" i="13"/>
  <c r="S98" i="13"/>
  <c r="S97" i="13"/>
  <c r="S94" i="13"/>
  <c r="S93" i="13"/>
  <c r="S92" i="13"/>
  <c r="S91" i="13"/>
  <c r="S89" i="13"/>
  <c r="S88" i="13"/>
  <c r="S87" i="13"/>
  <c r="S85" i="13"/>
  <c r="S84" i="13"/>
  <c r="S83" i="13"/>
  <c r="S82" i="13"/>
  <c r="S80" i="13"/>
  <c r="S79" i="13"/>
  <c r="S78" i="13"/>
  <c r="S75" i="13"/>
  <c r="S74" i="13"/>
  <c r="S72" i="13"/>
  <c r="S71" i="13"/>
  <c r="S70" i="13"/>
  <c r="S69" i="13"/>
  <c r="S67" i="13"/>
  <c r="S66" i="13"/>
  <c r="S65" i="13"/>
  <c r="S64" i="13"/>
  <c r="S61" i="13"/>
  <c r="S60" i="13"/>
  <c r="S58" i="13"/>
  <c r="S57" i="13"/>
  <c r="S56" i="13"/>
  <c r="S55" i="13"/>
  <c r="S53" i="13"/>
  <c r="S52" i="13"/>
  <c r="S51" i="13"/>
  <c r="S50" i="13"/>
  <c r="S46" i="13"/>
  <c r="S45" i="13"/>
  <c r="S44" i="13"/>
  <c r="S42" i="13"/>
  <c r="S41" i="13"/>
  <c r="S40" i="13"/>
  <c r="S38" i="13"/>
  <c r="S37" i="13"/>
  <c r="O108" i="13"/>
  <c r="O107" i="13"/>
  <c r="O106" i="13"/>
  <c r="O104" i="13"/>
  <c r="O103" i="13"/>
  <c r="O101" i="13"/>
  <c r="O99" i="13"/>
  <c r="O98" i="13"/>
  <c r="O97" i="13"/>
  <c r="O94" i="13"/>
  <c r="O93" i="13"/>
  <c r="O92" i="13"/>
  <c r="O91" i="13"/>
  <c r="O89" i="13"/>
  <c r="O88" i="13"/>
  <c r="O87" i="13"/>
  <c r="O85" i="13"/>
  <c r="O84" i="13"/>
  <c r="O83" i="13"/>
  <c r="O82" i="13"/>
  <c r="O80" i="13"/>
  <c r="O79" i="13"/>
  <c r="O78" i="13"/>
  <c r="O75" i="13"/>
  <c r="O74" i="13"/>
  <c r="O72" i="13"/>
  <c r="O71" i="13"/>
  <c r="O70" i="13"/>
  <c r="O69" i="13"/>
  <c r="O67" i="13"/>
  <c r="O66" i="13"/>
  <c r="O65" i="13"/>
  <c r="O64" i="13"/>
  <c r="O61" i="13"/>
  <c r="O60" i="13"/>
  <c r="O58" i="13"/>
  <c r="O57" i="13"/>
  <c r="O56" i="13"/>
  <c r="O55" i="13"/>
  <c r="O53" i="13"/>
  <c r="O52" i="13"/>
  <c r="O51" i="13"/>
  <c r="O50" i="13"/>
  <c r="O46" i="13"/>
  <c r="O45" i="13"/>
  <c r="O44" i="13"/>
  <c r="O42" i="13"/>
  <c r="O41" i="13"/>
  <c r="O40" i="13"/>
  <c r="O38" i="13"/>
  <c r="O37" i="13"/>
  <c r="K108" i="13"/>
  <c r="K107" i="13"/>
  <c r="K106" i="13"/>
  <c r="K104" i="13"/>
  <c r="K103" i="13"/>
  <c r="K101" i="13"/>
  <c r="K99" i="13"/>
  <c r="K98" i="13"/>
  <c r="K97" i="13"/>
  <c r="K94" i="13"/>
  <c r="K93" i="13"/>
  <c r="K92" i="13"/>
  <c r="K91" i="13"/>
  <c r="K89" i="13"/>
  <c r="K88" i="13"/>
  <c r="K87" i="13"/>
  <c r="K85" i="13"/>
  <c r="K84" i="13"/>
  <c r="K83" i="13"/>
  <c r="K82" i="13"/>
  <c r="K80" i="13"/>
  <c r="K79" i="13"/>
  <c r="K78" i="13"/>
  <c r="K75" i="13"/>
  <c r="K74" i="13"/>
  <c r="K72" i="13"/>
  <c r="K71" i="13"/>
  <c r="K70" i="13"/>
  <c r="K69" i="13"/>
  <c r="K67" i="13"/>
  <c r="K66" i="13"/>
  <c r="K65" i="13"/>
  <c r="K64" i="13"/>
  <c r="K61" i="13"/>
  <c r="K60" i="13"/>
  <c r="K58" i="13"/>
  <c r="K57" i="13"/>
  <c r="K56" i="13"/>
  <c r="K55" i="13"/>
  <c r="K53" i="13"/>
  <c r="K52" i="13"/>
  <c r="K51" i="13"/>
  <c r="K50" i="13"/>
  <c r="K46" i="13"/>
  <c r="K45" i="13"/>
  <c r="K44" i="13"/>
  <c r="K42" i="13"/>
  <c r="K41" i="13"/>
  <c r="K40" i="13"/>
  <c r="K38" i="13"/>
  <c r="K37" i="13"/>
  <c r="G108" i="13"/>
  <c r="G107" i="13"/>
  <c r="G106" i="13"/>
  <c r="G104" i="13"/>
  <c r="G103" i="13"/>
  <c r="G101" i="13"/>
  <c r="G99" i="13"/>
  <c r="G98" i="13"/>
  <c r="G97" i="13"/>
  <c r="G94" i="13"/>
  <c r="G93" i="13"/>
  <c r="G92" i="13"/>
  <c r="G91" i="13"/>
  <c r="G89" i="13"/>
  <c r="G88" i="13"/>
  <c r="G87" i="13"/>
  <c r="G85" i="13"/>
  <c r="G84" i="13"/>
  <c r="G83" i="13"/>
  <c r="G82" i="13"/>
  <c r="G80" i="13"/>
  <c r="G79" i="13"/>
  <c r="G78" i="13"/>
  <c r="G75" i="13"/>
  <c r="G74" i="13"/>
  <c r="G72" i="13"/>
  <c r="G71" i="13"/>
  <c r="G70" i="13"/>
  <c r="G69" i="13"/>
  <c r="G67" i="13"/>
  <c r="G66" i="13"/>
  <c r="G65" i="13"/>
  <c r="G64" i="13"/>
  <c r="G61" i="13"/>
  <c r="G60" i="13"/>
  <c r="G58" i="13"/>
  <c r="G57" i="13"/>
  <c r="G56" i="13"/>
  <c r="G55" i="13"/>
  <c r="G53" i="13"/>
  <c r="G52" i="13"/>
  <c r="G51" i="13"/>
  <c r="G50" i="13"/>
  <c r="G46" i="13"/>
  <c r="G45" i="13"/>
  <c r="G44" i="13"/>
  <c r="G42" i="13"/>
  <c r="G41" i="13"/>
  <c r="G40" i="13"/>
  <c r="G38" i="13"/>
  <c r="G37" i="13"/>
  <c r="G64" i="12"/>
  <c r="E64" i="12"/>
  <c r="G24" i="12"/>
  <c r="E24" i="12"/>
  <c r="C71" i="3"/>
  <c r="I48" i="19"/>
  <c r="I47" i="19"/>
  <c r="I46" i="19"/>
  <c r="X189" i="13"/>
  <c r="W189" i="13"/>
  <c r="V189" i="13"/>
  <c r="U189" i="13"/>
  <c r="T189" i="13"/>
  <c r="S189" i="13"/>
  <c r="R189" i="13"/>
  <c r="Q189" i="13"/>
  <c r="P189" i="13"/>
  <c r="O189" i="13"/>
  <c r="N189" i="13"/>
  <c r="M189" i="13"/>
  <c r="M184" i="13" s="1"/>
  <c r="L189" i="13"/>
  <c r="K189" i="13"/>
  <c r="J189" i="13"/>
  <c r="I189" i="13"/>
  <c r="H189" i="13"/>
  <c r="G189" i="13"/>
  <c r="F189" i="13"/>
  <c r="E189" i="13"/>
  <c r="D189" i="13"/>
  <c r="X186" i="13"/>
  <c r="W186" i="13"/>
  <c r="V186" i="13"/>
  <c r="U186" i="13"/>
  <c r="T186" i="13"/>
  <c r="S186" i="13"/>
  <c r="R186" i="13"/>
  <c r="Q186" i="13"/>
  <c r="P186" i="13"/>
  <c r="P184" i="13" s="1"/>
  <c r="O186" i="13"/>
  <c r="N186" i="13"/>
  <c r="M186" i="13"/>
  <c r="L186" i="13"/>
  <c r="K186" i="13"/>
  <c r="J186" i="13"/>
  <c r="I186" i="13"/>
  <c r="H186" i="13"/>
  <c r="G186" i="13"/>
  <c r="G184" i="13" s="1"/>
  <c r="F186" i="13"/>
  <c r="E186" i="13"/>
  <c r="D186" i="13"/>
  <c r="X180" i="13"/>
  <c r="X179" i="13" s="1"/>
  <c r="W180" i="13"/>
  <c r="W179" i="13" s="1"/>
  <c r="V180" i="13"/>
  <c r="V179" i="13" s="1"/>
  <c r="U180" i="13"/>
  <c r="U179" i="13" s="1"/>
  <c r="T180" i="13"/>
  <c r="T179" i="13" s="1"/>
  <c r="S180" i="13"/>
  <c r="S179" i="13" s="1"/>
  <c r="R180" i="13"/>
  <c r="R179" i="13" s="1"/>
  <c r="Q180" i="13"/>
  <c r="Q179" i="13" s="1"/>
  <c r="P180" i="13"/>
  <c r="P179" i="13" s="1"/>
  <c r="O180" i="13"/>
  <c r="O179" i="13" s="1"/>
  <c r="N180" i="13"/>
  <c r="N179" i="13" s="1"/>
  <c r="M180" i="13"/>
  <c r="M179" i="13" s="1"/>
  <c r="L180" i="13"/>
  <c r="L179" i="13" s="1"/>
  <c r="K180" i="13"/>
  <c r="K179" i="13" s="1"/>
  <c r="J180" i="13"/>
  <c r="J179" i="13" s="1"/>
  <c r="I180" i="13"/>
  <c r="I179" i="13" s="1"/>
  <c r="H180" i="13"/>
  <c r="H179" i="13" s="1"/>
  <c r="G180" i="13"/>
  <c r="G179" i="13" s="1"/>
  <c r="F180" i="13"/>
  <c r="F179" i="13" s="1"/>
  <c r="E180" i="13"/>
  <c r="E179" i="13" s="1"/>
  <c r="D180" i="13"/>
  <c r="D179" i="13" s="1"/>
  <c r="X174" i="13"/>
  <c r="W174" i="13"/>
  <c r="V174" i="13"/>
  <c r="U174" i="13"/>
  <c r="T174" i="13"/>
  <c r="S174" i="13"/>
  <c r="R174" i="13"/>
  <c r="Q174" i="13"/>
  <c r="P174" i="13"/>
  <c r="O174" i="13"/>
  <c r="N174" i="13"/>
  <c r="M174" i="13"/>
  <c r="L174" i="13"/>
  <c r="K174" i="13"/>
  <c r="J174" i="13"/>
  <c r="I174" i="13"/>
  <c r="H174" i="13"/>
  <c r="G174" i="13"/>
  <c r="F174" i="13"/>
  <c r="E174" i="13"/>
  <c r="D174" i="13"/>
  <c r="X170" i="13"/>
  <c r="W170" i="13"/>
  <c r="V170" i="13"/>
  <c r="U170" i="13"/>
  <c r="T170" i="13"/>
  <c r="S170" i="13"/>
  <c r="R170" i="13"/>
  <c r="Q170" i="13"/>
  <c r="P170" i="13"/>
  <c r="O170" i="13"/>
  <c r="N170" i="13"/>
  <c r="M170" i="13"/>
  <c r="L170" i="13"/>
  <c r="K170" i="13"/>
  <c r="J170" i="13"/>
  <c r="I170" i="13"/>
  <c r="H170" i="13"/>
  <c r="G170" i="13"/>
  <c r="F170" i="13"/>
  <c r="E170" i="13"/>
  <c r="D170" i="13"/>
  <c r="X165" i="13"/>
  <c r="W165" i="13"/>
  <c r="V165" i="13"/>
  <c r="U165" i="13"/>
  <c r="T165" i="13"/>
  <c r="S165" i="13"/>
  <c r="R165" i="13"/>
  <c r="Q165" i="13"/>
  <c r="P165" i="13"/>
  <c r="O165" i="13"/>
  <c r="N165" i="13"/>
  <c r="M165" i="13"/>
  <c r="L165" i="13"/>
  <c r="K165" i="13"/>
  <c r="J165" i="13"/>
  <c r="I165" i="13"/>
  <c r="H165" i="13"/>
  <c r="G165" i="13"/>
  <c r="F165" i="13"/>
  <c r="E165" i="13"/>
  <c r="D165" i="13"/>
  <c r="X161" i="13"/>
  <c r="W161" i="13"/>
  <c r="V161" i="13"/>
  <c r="U161" i="13"/>
  <c r="T161" i="13"/>
  <c r="S161" i="13"/>
  <c r="R161" i="13"/>
  <c r="Q161" i="13"/>
  <c r="P161" i="13"/>
  <c r="O161" i="13"/>
  <c r="N161" i="13"/>
  <c r="M161" i="13"/>
  <c r="L161" i="13"/>
  <c r="K161" i="13"/>
  <c r="J161" i="13"/>
  <c r="I161" i="13"/>
  <c r="H161" i="13"/>
  <c r="G161" i="13"/>
  <c r="F161" i="13"/>
  <c r="E161" i="13"/>
  <c r="D161" i="13"/>
  <c r="X157" i="13"/>
  <c r="W157" i="13"/>
  <c r="V157" i="13"/>
  <c r="U157" i="13"/>
  <c r="T157" i="13"/>
  <c r="S157" i="13"/>
  <c r="R157" i="13"/>
  <c r="Q157" i="13"/>
  <c r="P157" i="13"/>
  <c r="O157" i="13"/>
  <c r="N157" i="13"/>
  <c r="M157" i="13"/>
  <c r="L157" i="13"/>
  <c r="K157" i="13"/>
  <c r="J157" i="13"/>
  <c r="I157" i="13"/>
  <c r="H157" i="13"/>
  <c r="G157" i="13"/>
  <c r="F157" i="13"/>
  <c r="E157" i="13"/>
  <c r="D157" i="13"/>
  <c r="X152" i="13"/>
  <c r="W152" i="13"/>
  <c r="V152" i="13"/>
  <c r="U152" i="13"/>
  <c r="T152" i="13"/>
  <c r="S152" i="13"/>
  <c r="R152" i="13"/>
  <c r="Q152" i="13"/>
  <c r="P152" i="13"/>
  <c r="O152" i="13"/>
  <c r="N152" i="13"/>
  <c r="M152" i="13"/>
  <c r="L152" i="13"/>
  <c r="K152" i="13"/>
  <c r="J152" i="13"/>
  <c r="I152" i="13"/>
  <c r="H152" i="13"/>
  <c r="G152" i="13"/>
  <c r="F152" i="13"/>
  <c r="E152" i="13"/>
  <c r="D152" i="13"/>
  <c r="X147" i="13"/>
  <c r="W147" i="13"/>
  <c r="V147" i="13"/>
  <c r="U147" i="13"/>
  <c r="T147" i="13"/>
  <c r="S147" i="13"/>
  <c r="R147" i="13"/>
  <c r="Q147" i="13"/>
  <c r="P147" i="13"/>
  <c r="O147" i="13"/>
  <c r="N147" i="13"/>
  <c r="M147" i="13"/>
  <c r="L147" i="13"/>
  <c r="K147" i="13"/>
  <c r="J147" i="13"/>
  <c r="I147" i="13"/>
  <c r="H147" i="13"/>
  <c r="G147" i="13"/>
  <c r="F147" i="13"/>
  <c r="E147" i="13"/>
  <c r="D147" i="13"/>
  <c r="X143" i="13"/>
  <c r="W143" i="13"/>
  <c r="V143" i="13"/>
  <c r="U143" i="13"/>
  <c r="T143" i="13"/>
  <c r="S143" i="13"/>
  <c r="R143" i="13"/>
  <c r="Q143" i="13"/>
  <c r="P143" i="13"/>
  <c r="O143" i="13"/>
  <c r="N143" i="13"/>
  <c r="M143" i="13"/>
  <c r="L143" i="13"/>
  <c r="K143" i="13"/>
  <c r="J143" i="13"/>
  <c r="I143" i="13"/>
  <c r="H143" i="13"/>
  <c r="G143" i="13"/>
  <c r="F143" i="13"/>
  <c r="E143" i="13"/>
  <c r="D143" i="13"/>
  <c r="X138" i="13"/>
  <c r="W138" i="13"/>
  <c r="V138" i="13"/>
  <c r="U138" i="13"/>
  <c r="T138" i="13"/>
  <c r="S138" i="13"/>
  <c r="R138" i="13"/>
  <c r="Q138" i="13"/>
  <c r="P138" i="13"/>
  <c r="O138" i="13"/>
  <c r="N138" i="13"/>
  <c r="M138" i="13"/>
  <c r="L138" i="13"/>
  <c r="K138" i="13"/>
  <c r="J138" i="13"/>
  <c r="I138" i="13"/>
  <c r="H138" i="13"/>
  <c r="G138" i="13"/>
  <c r="F138" i="13"/>
  <c r="E138" i="13"/>
  <c r="D138" i="13"/>
  <c r="X133" i="13"/>
  <c r="W133" i="13"/>
  <c r="V133" i="13"/>
  <c r="U133" i="13"/>
  <c r="T133" i="13"/>
  <c r="S133" i="13"/>
  <c r="R133" i="13"/>
  <c r="Q133" i="13"/>
  <c r="P133" i="13"/>
  <c r="O133" i="13"/>
  <c r="N133" i="13"/>
  <c r="M133" i="13"/>
  <c r="L133" i="13"/>
  <c r="K133" i="13"/>
  <c r="J133" i="13"/>
  <c r="I133" i="13"/>
  <c r="H133" i="13"/>
  <c r="G133" i="13"/>
  <c r="F133" i="13"/>
  <c r="E133" i="13"/>
  <c r="D133" i="13"/>
  <c r="X127" i="13"/>
  <c r="W127" i="13"/>
  <c r="V127" i="13"/>
  <c r="U127" i="13"/>
  <c r="T127" i="13"/>
  <c r="S127" i="13"/>
  <c r="R127" i="13"/>
  <c r="Q127" i="13"/>
  <c r="P127" i="13"/>
  <c r="O127" i="13"/>
  <c r="N127" i="13"/>
  <c r="M127" i="13"/>
  <c r="L127" i="13"/>
  <c r="K127" i="13"/>
  <c r="J127" i="13"/>
  <c r="I127" i="13"/>
  <c r="H127" i="13"/>
  <c r="G127" i="13"/>
  <c r="F127" i="13"/>
  <c r="E127" i="13"/>
  <c r="D127" i="13"/>
  <c r="X123" i="13"/>
  <c r="W123" i="13"/>
  <c r="V123" i="13"/>
  <c r="U123" i="13"/>
  <c r="T123" i="13"/>
  <c r="S123" i="13"/>
  <c r="R123" i="13"/>
  <c r="Q123" i="13"/>
  <c r="P123" i="13"/>
  <c r="O123" i="13"/>
  <c r="N123" i="13"/>
  <c r="M123" i="13"/>
  <c r="L123" i="13"/>
  <c r="K123" i="13"/>
  <c r="J123" i="13"/>
  <c r="I123" i="13"/>
  <c r="H123" i="13"/>
  <c r="G123" i="13"/>
  <c r="F123" i="13"/>
  <c r="E123" i="13"/>
  <c r="D123" i="13"/>
  <c r="X120" i="13"/>
  <c r="W120" i="13"/>
  <c r="V120" i="13"/>
  <c r="U120" i="13"/>
  <c r="T120" i="13"/>
  <c r="S120" i="13"/>
  <c r="R120" i="13"/>
  <c r="Q120" i="13"/>
  <c r="P120" i="13"/>
  <c r="O120" i="13"/>
  <c r="N120" i="13"/>
  <c r="M120" i="13"/>
  <c r="L120" i="13"/>
  <c r="K120" i="13"/>
  <c r="J120" i="13"/>
  <c r="I120" i="13"/>
  <c r="H120" i="13"/>
  <c r="G120" i="13"/>
  <c r="F120" i="13"/>
  <c r="E120" i="13"/>
  <c r="D120" i="13"/>
  <c r="CH105" i="13"/>
  <c r="CG105" i="13"/>
  <c r="CF105" i="13"/>
  <c r="CD105" i="13"/>
  <c r="CC105" i="13"/>
  <c r="CB105" i="13"/>
  <c r="BZ105" i="13"/>
  <c r="BY105" i="13"/>
  <c r="BX105" i="13"/>
  <c r="BV105" i="13"/>
  <c r="BU105" i="13"/>
  <c r="BT105" i="13"/>
  <c r="BR105" i="13"/>
  <c r="BQ105" i="13"/>
  <c r="BP105" i="13"/>
  <c r="BN105" i="13"/>
  <c r="BM105" i="13"/>
  <c r="BL105" i="13"/>
  <c r="BJ105" i="13"/>
  <c r="BI105" i="13"/>
  <c r="BH105" i="13"/>
  <c r="BF105" i="13"/>
  <c r="BE105" i="13"/>
  <c r="BD105" i="13"/>
  <c r="BB105" i="13"/>
  <c r="BA105" i="13"/>
  <c r="AZ105" i="13"/>
  <c r="AX105" i="13"/>
  <c r="AW105" i="13"/>
  <c r="AV105" i="13"/>
  <c r="AT105" i="13"/>
  <c r="AS105" i="13"/>
  <c r="AR105" i="13"/>
  <c r="AP105" i="13"/>
  <c r="AO105" i="13"/>
  <c r="AO100" i="13" s="1"/>
  <c r="AN105" i="13"/>
  <c r="AK105" i="13"/>
  <c r="AJ105" i="13"/>
  <c r="AH105" i="13"/>
  <c r="AG105" i="13"/>
  <c r="AF105" i="13"/>
  <c r="AD105" i="13"/>
  <c r="AC105" i="13"/>
  <c r="AB105" i="13"/>
  <c r="Z105" i="13"/>
  <c r="Y105" i="13"/>
  <c r="X105" i="13"/>
  <c r="V105" i="13"/>
  <c r="U105" i="13"/>
  <c r="T105" i="13"/>
  <c r="R105" i="13"/>
  <c r="Q105" i="13"/>
  <c r="P105" i="13"/>
  <c r="N105" i="13"/>
  <c r="M105" i="13"/>
  <c r="L105" i="13"/>
  <c r="J105" i="13"/>
  <c r="I105" i="13"/>
  <c r="H105" i="13"/>
  <c r="F105" i="13"/>
  <c r="E105" i="13"/>
  <c r="CH102" i="13"/>
  <c r="CG102" i="13"/>
  <c r="CF102" i="13"/>
  <c r="CD102" i="13"/>
  <c r="CC102" i="13"/>
  <c r="CB102" i="13"/>
  <c r="BZ102" i="13"/>
  <c r="BY102" i="13"/>
  <c r="BX102" i="13"/>
  <c r="BV102" i="13"/>
  <c r="BU102" i="13"/>
  <c r="BT102" i="13"/>
  <c r="BR102" i="13"/>
  <c r="BQ102" i="13"/>
  <c r="BP102" i="13"/>
  <c r="BN102" i="13"/>
  <c r="BM102" i="13"/>
  <c r="BL102" i="13"/>
  <c r="BJ102" i="13"/>
  <c r="BI102" i="13"/>
  <c r="BH102" i="13"/>
  <c r="BF102" i="13"/>
  <c r="BE102" i="13"/>
  <c r="BD102" i="13"/>
  <c r="BB102" i="13"/>
  <c r="BA102" i="13"/>
  <c r="AZ102" i="13"/>
  <c r="AX102" i="13"/>
  <c r="AW102" i="13"/>
  <c r="AV102" i="13"/>
  <c r="AT102" i="13"/>
  <c r="AS102" i="13"/>
  <c r="AR102" i="13"/>
  <c r="AP102" i="13"/>
  <c r="AO102" i="13"/>
  <c r="AN102" i="13"/>
  <c r="AK102" i="13"/>
  <c r="AJ102" i="13"/>
  <c r="AH102" i="13"/>
  <c r="AG102" i="13"/>
  <c r="AF102" i="13"/>
  <c r="AD102" i="13"/>
  <c r="AC102" i="13"/>
  <c r="AB102" i="13"/>
  <c r="Z102" i="13"/>
  <c r="Y102" i="13"/>
  <c r="X102" i="13"/>
  <c r="V102" i="13"/>
  <c r="U102" i="13"/>
  <c r="T102" i="13"/>
  <c r="R102" i="13"/>
  <c r="Q102" i="13"/>
  <c r="P102" i="13"/>
  <c r="N102" i="13"/>
  <c r="M102" i="13"/>
  <c r="L102" i="13"/>
  <c r="J102" i="13"/>
  <c r="I102" i="13"/>
  <c r="H102" i="13"/>
  <c r="F102" i="13"/>
  <c r="E102" i="13"/>
  <c r="CH96" i="13"/>
  <c r="CH95" i="13" s="1"/>
  <c r="CG96" i="13"/>
  <c r="CG95" i="13" s="1"/>
  <c r="CF96" i="13"/>
  <c r="CF95" i="13" s="1"/>
  <c r="CD96" i="13"/>
  <c r="CD95" i="13" s="1"/>
  <c r="CC96" i="13"/>
  <c r="CC95" i="13" s="1"/>
  <c r="CB96" i="13"/>
  <c r="CB95" i="13" s="1"/>
  <c r="BZ96" i="13"/>
  <c r="BZ95" i="13" s="1"/>
  <c r="BY96" i="13"/>
  <c r="BY95" i="13" s="1"/>
  <c r="BX96" i="13"/>
  <c r="BX95" i="13" s="1"/>
  <c r="BV96" i="13"/>
  <c r="BV95" i="13" s="1"/>
  <c r="BU96" i="13"/>
  <c r="BU95" i="13" s="1"/>
  <c r="BT96" i="13"/>
  <c r="BT95" i="13" s="1"/>
  <c r="BR96" i="13"/>
  <c r="BR95" i="13" s="1"/>
  <c r="BQ96" i="13"/>
  <c r="BQ95" i="13" s="1"/>
  <c r="BP96" i="13"/>
  <c r="BP95" i="13" s="1"/>
  <c r="BN96" i="13"/>
  <c r="BN95" i="13" s="1"/>
  <c r="BM96" i="13"/>
  <c r="BM95" i="13" s="1"/>
  <c r="BL96" i="13"/>
  <c r="BL95" i="13" s="1"/>
  <c r="BJ96" i="13"/>
  <c r="BJ95" i="13" s="1"/>
  <c r="BI96" i="13"/>
  <c r="BH96" i="13"/>
  <c r="BH95" i="13" s="1"/>
  <c r="BF96" i="13"/>
  <c r="BF95" i="13" s="1"/>
  <c r="BE96" i="13"/>
  <c r="BD96" i="13"/>
  <c r="BD95" i="13" s="1"/>
  <c r="BB96" i="13"/>
  <c r="BB95" i="13" s="1"/>
  <c r="BA96" i="13"/>
  <c r="BA95" i="13" s="1"/>
  <c r="AZ96" i="13"/>
  <c r="AZ95" i="13" s="1"/>
  <c r="AX96" i="13"/>
  <c r="AX95" i="13" s="1"/>
  <c r="AW96" i="13"/>
  <c r="AW95" i="13" s="1"/>
  <c r="AV96" i="13"/>
  <c r="AV95" i="13" s="1"/>
  <c r="AT96" i="13"/>
  <c r="AT95" i="13" s="1"/>
  <c r="AS96" i="13"/>
  <c r="AS95" i="13" s="1"/>
  <c r="AR96" i="13"/>
  <c r="AR95" i="13" s="1"/>
  <c r="AP96" i="13"/>
  <c r="AP95" i="13" s="1"/>
  <c r="AO96" i="13"/>
  <c r="AO95" i="13" s="1"/>
  <c r="AN96" i="13"/>
  <c r="AN95" i="13" s="1"/>
  <c r="AK96" i="13"/>
  <c r="AJ96" i="13"/>
  <c r="AJ95" i="13" s="1"/>
  <c r="AH96" i="13"/>
  <c r="AH95" i="13" s="1"/>
  <c r="AG96" i="13"/>
  <c r="AG95" i="13" s="1"/>
  <c r="AF96" i="13"/>
  <c r="AF95" i="13" s="1"/>
  <c r="AD96" i="13"/>
  <c r="AD95" i="13" s="1"/>
  <c r="AC96" i="13"/>
  <c r="AC95" i="13" s="1"/>
  <c r="AB96" i="13"/>
  <c r="AB95" i="13" s="1"/>
  <c r="Z96" i="13"/>
  <c r="Y96" i="13"/>
  <c r="Y95" i="13" s="1"/>
  <c r="X96" i="13"/>
  <c r="V96" i="13"/>
  <c r="V95" i="13" s="1"/>
  <c r="U96" i="13"/>
  <c r="U95" i="13" s="1"/>
  <c r="T96" i="13"/>
  <c r="T95" i="13" s="1"/>
  <c r="R96" i="13"/>
  <c r="R95" i="13" s="1"/>
  <c r="Q96" i="13"/>
  <c r="Q95" i="13" s="1"/>
  <c r="P96" i="13"/>
  <c r="P95" i="13" s="1"/>
  <c r="N96" i="13"/>
  <c r="N95" i="13" s="1"/>
  <c r="M96" i="13"/>
  <c r="M95" i="13" s="1"/>
  <c r="L96" i="13"/>
  <c r="L95" i="13" s="1"/>
  <c r="J96" i="13"/>
  <c r="J95" i="13" s="1"/>
  <c r="I96" i="13"/>
  <c r="I95" i="13" s="1"/>
  <c r="H96" i="13"/>
  <c r="H95" i="13" s="1"/>
  <c r="F96" i="13"/>
  <c r="F95" i="13" s="1"/>
  <c r="E96" i="13"/>
  <c r="E95" i="13" s="1"/>
  <c r="BI95" i="13"/>
  <c r="BE95" i="13"/>
  <c r="AK95" i="13"/>
  <c r="Z95" i="13"/>
  <c r="X95" i="13"/>
  <c r="CH90" i="13"/>
  <c r="CG90" i="13"/>
  <c r="CF90" i="13"/>
  <c r="CD90" i="13"/>
  <c r="CC90" i="13"/>
  <c r="CB90" i="13"/>
  <c r="BZ90" i="13"/>
  <c r="BY90" i="13"/>
  <c r="BX90" i="13"/>
  <c r="BV90" i="13"/>
  <c r="BU90" i="13"/>
  <c r="BT90" i="13"/>
  <c r="BR90" i="13"/>
  <c r="BQ90" i="13"/>
  <c r="BP90" i="13"/>
  <c r="BN90" i="13"/>
  <c r="BM90" i="13"/>
  <c r="BL90" i="13"/>
  <c r="BJ90" i="13"/>
  <c r="BI90" i="13"/>
  <c r="BH90" i="13"/>
  <c r="BF90" i="13"/>
  <c r="BE90" i="13"/>
  <c r="BD90" i="13"/>
  <c r="BB90" i="13"/>
  <c r="BA90" i="13"/>
  <c r="AZ90" i="13"/>
  <c r="AX90" i="13"/>
  <c r="AW90" i="13"/>
  <c r="AV90" i="13"/>
  <c r="AT90" i="13"/>
  <c r="AS90" i="13"/>
  <c r="AR90" i="13"/>
  <c r="AP90" i="13"/>
  <c r="AO90" i="13"/>
  <c r="AN90" i="13"/>
  <c r="AK90" i="13"/>
  <c r="AJ90" i="13"/>
  <c r="AH90" i="13"/>
  <c r="AG90" i="13"/>
  <c r="AF90" i="13"/>
  <c r="AD90" i="13"/>
  <c r="AC90" i="13"/>
  <c r="AB90" i="13"/>
  <c r="Z90" i="13"/>
  <c r="Y90" i="13"/>
  <c r="X90" i="13"/>
  <c r="V90" i="13"/>
  <c r="U90" i="13"/>
  <c r="T90" i="13"/>
  <c r="R90" i="13"/>
  <c r="Q90" i="13"/>
  <c r="P90" i="13"/>
  <c r="N90" i="13"/>
  <c r="M90" i="13"/>
  <c r="L90" i="13"/>
  <c r="J90" i="13"/>
  <c r="I90" i="13"/>
  <c r="H90" i="13"/>
  <c r="F90" i="13"/>
  <c r="E90" i="13"/>
  <c r="CH86" i="13"/>
  <c r="CG86" i="13"/>
  <c r="CF86" i="13"/>
  <c r="CD86" i="13"/>
  <c r="CC86" i="13"/>
  <c r="CB86" i="13"/>
  <c r="BZ86" i="13"/>
  <c r="BY86" i="13"/>
  <c r="BX86" i="13"/>
  <c r="BV86" i="13"/>
  <c r="BU86" i="13"/>
  <c r="BT86" i="13"/>
  <c r="BR86" i="13"/>
  <c r="BQ86" i="13"/>
  <c r="BP86" i="13"/>
  <c r="BN86" i="13"/>
  <c r="BM86" i="13"/>
  <c r="BL86" i="13"/>
  <c r="BJ86" i="13"/>
  <c r="BI86" i="13"/>
  <c r="BH86" i="13"/>
  <c r="BF86" i="13"/>
  <c r="BE86" i="13"/>
  <c r="BD86" i="13"/>
  <c r="BB86" i="13"/>
  <c r="BA86" i="13"/>
  <c r="AZ86" i="13"/>
  <c r="AX86" i="13"/>
  <c r="AW86" i="13"/>
  <c r="AV86" i="13"/>
  <c r="AT86" i="13"/>
  <c r="AS86" i="13"/>
  <c r="AR86" i="13"/>
  <c r="AP86" i="13"/>
  <c r="AO86" i="13"/>
  <c r="AN86" i="13"/>
  <c r="AK86" i="13"/>
  <c r="AJ86" i="13"/>
  <c r="AH86" i="13"/>
  <c r="AG86" i="13"/>
  <c r="AF86" i="13"/>
  <c r="AD86" i="13"/>
  <c r="AC86" i="13"/>
  <c r="AB86" i="13"/>
  <c r="Z86" i="13"/>
  <c r="Y86" i="13"/>
  <c r="X86" i="13"/>
  <c r="V86" i="13"/>
  <c r="U86" i="13"/>
  <c r="T86" i="13"/>
  <c r="R86" i="13"/>
  <c r="Q86" i="13"/>
  <c r="P86" i="13"/>
  <c r="N86" i="13"/>
  <c r="M86" i="13"/>
  <c r="L86" i="13"/>
  <c r="J86" i="13"/>
  <c r="I86" i="13"/>
  <c r="H86" i="13"/>
  <c r="F86" i="13"/>
  <c r="E86" i="13"/>
  <c r="CH81" i="13"/>
  <c r="CG81" i="13"/>
  <c r="CF81" i="13"/>
  <c r="CD81" i="13"/>
  <c r="CC81" i="13"/>
  <c r="CB81" i="13"/>
  <c r="BZ81" i="13"/>
  <c r="BY81" i="13"/>
  <c r="BX81" i="13"/>
  <c r="BV81" i="13"/>
  <c r="BU81" i="13"/>
  <c r="BT81" i="13"/>
  <c r="BR81" i="13"/>
  <c r="BQ81" i="13"/>
  <c r="BP81" i="13"/>
  <c r="BN81" i="13"/>
  <c r="BM81" i="13"/>
  <c r="BL81" i="13"/>
  <c r="BJ81" i="13"/>
  <c r="BI81" i="13"/>
  <c r="BH81" i="13"/>
  <c r="BF81" i="13"/>
  <c r="BE81" i="13"/>
  <c r="BD81" i="13"/>
  <c r="BB81" i="13"/>
  <c r="BA81" i="13"/>
  <c r="AZ81" i="13"/>
  <c r="AX81" i="13"/>
  <c r="AW81" i="13"/>
  <c r="AV81" i="13"/>
  <c r="AT81" i="13"/>
  <c r="AS81" i="13"/>
  <c r="AR81" i="13"/>
  <c r="AP81" i="13"/>
  <c r="AO81" i="13"/>
  <c r="AN81" i="13"/>
  <c r="AK81" i="13"/>
  <c r="AJ81" i="13"/>
  <c r="AH81" i="13"/>
  <c r="AG81" i="13"/>
  <c r="AF81" i="13"/>
  <c r="AD81" i="13"/>
  <c r="AC81" i="13"/>
  <c r="AB81" i="13"/>
  <c r="Z81" i="13"/>
  <c r="Y81" i="13"/>
  <c r="X81" i="13"/>
  <c r="V81" i="13"/>
  <c r="U81" i="13"/>
  <c r="T81" i="13"/>
  <c r="R81" i="13"/>
  <c r="Q81" i="13"/>
  <c r="P81" i="13"/>
  <c r="N81" i="13"/>
  <c r="M81" i="13"/>
  <c r="L81" i="13"/>
  <c r="J81" i="13"/>
  <c r="I81" i="13"/>
  <c r="H81" i="13"/>
  <c r="F81" i="13"/>
  <c r="E81" i="13"/>
  <c r="CH77" i="13"/>
  <c r="CG77" i="13"/>
  <c r="CF77" i="13"/>
  <c r="CD77" i="13"/>
  <c r="CC77" i="13"/>
  <c r="CB77" i="13"/>
  <c r="BZ77" i="13"/>
  <c r="BY77" i="13"/>
  <c r="BX77" i="13"/>
  <c r="BV77" i="13"/>
  <c r="BU77" i="13"/>
  <c r="BT77" i="13"/>
  <c r="BR77" i="13"/>
  <c r="BQ77" i="13"/>
  <c r="BP77" i="13"/>
  <c r="BN77" i="13"/>
  <c r="BM77" i="13"/>
  <c r="BL77" i="13"/>
  <c r="BJ77" i="13"/>
  <c r="BI77" i="13"/>
  <c r="BH77" i="13"/>
  <c r="BF77" i="13"/>
  <c r="BE77" i="13"/>
  <c r="BD77" i="13"/>
  <c r="BB77" i="13"/>
  <c r="BA77" i="13"/>
  <c r="AZ77" i="13"/>
  <c r="AX77" i="13"/>
  <c r="AW77" i="13"/>
  <c r="AV77" i="13"/>
  <c r="AT77" i="13"/>
  <c r="AS77" i="13"/>
  <c r="AR77" i="13"/>
  <c r="AP77" i="13"/>
  <c r="AO77" i="13"/>
  <c r="AN77" i="13"/>
  <c r="AK77" i="13"/>
  <c r="AJ77" i="13"/>
  <c r="AH77" i="13"/>
  <c r="AG77" i="13"/>
  <c r="AF77" i="13"/>
  <c r="AD77" i="13"/>
  <c r="AC77" i="13"/>
  <c r="AB77" i="13"/>
  <c r="Z77" i="13"/>
  <c r="Y77" i="13"/>
  <c r="X77" i="13"/>
  <c r="V77" i="13"/>
  <c r="U77" i="13"/>
  <c r="T77" i="13"/>
  <c r="R77" i="13"/>
  <c r="Q77" i="13"/>
  <c r="P77" i="13"/>
  <c r="N77" i="13"/>
  <c r="M77" i="13"/>
  <c r="L77" i="13"/>
  <c r="J77" i="13"/>
  <c r="I77" i="13"/>
  <c r="H77" i="13"/>
  <c r="F77" i="13"/>
  <c r="E77" i="13"/>
  <c r="CH73" i="13"/>
  <c r="CG73" i="13"/>
  <c r="CF73" i="13"/>
  <c r="CD73" i="13"/>
  <c r="CC73" i="13"/>
  <c r="CB73" i="13"/>
  <c r="BZ73" i="13"/>
  <c r="BY73" i="13"/>
  <c r="BX73" i="13"/>
  <c r="BV73" i="13"/>
  <c r="BU73" i="13"/>
  <c r="BT73" i="13"/>
  <c r="BR73" i="13"/>
  <c r="BQ73" i="13"/>
  <c r="BP73" i="13"/>
  <c r="BN73" i="13"/>
  <c r="BM73" i="13"/>
  <c r="BL73" i="13"/>
  <c r="BJ73" i="13"/>
  <c r="BI73" i="13"/>
  <c r="BH73" i="13"/>
  <c r="BF73" i="13"/>
  <c r="BE73" i="13"/>
  <c r="BD73" i="13"/>
  <c r="BB73" i="13"/>
  <c r="BA73" i="13"/>
  <c r="AZ73" i="13"/>
  <c r="AX73" i="13"/>
  <c r="AW73" i="13"/>
  <c r="AV73" i="13"/>
  <c r="AT73" i="13"/>
  <c r="AS73" i="13"/>
  <c r="AR73" i="13"/>
  <c r="AP73" i="13"/>
  <c r="AO73" i="13"/>
  <c r="AN73" i="13"/>
  <c r="AK73" i="13"/>
  <c r="AJ73" i="13"/>
  <c r="AH73" i="13"/>
  <c r="AG73" i="13"/>
  <c r="AF73" i="13"/>
  <c r="AD73" i="13"/>
  <c r="AC73" i="13"/>
  <c r="AB73" i="13"/>
  <c r="Z73" i="13"/>
  <c r="Y73" i="13"/>
  <c r="X73" i="13"/>
  <c r="V73" i="13"/>
  <c r="U73" i="13"/>
  <c r="T73" i="13"/>
  <c r="R73" i="13"/>
  <c r="Q73" i="13"/>
  <c r="P73" i="13"/>
  <c r="N73" i="13"/>
  <c r="M73" i="13"/>
  <c r="L73" i="13"/>
  <c r="J73" i="13"/>
  <c r="I73" i="13"/>
  <c r="H73" i="13"/>
  <c r="F73" i="13"/>
  <c r="E73" i="13"/>
  <c r="CH68" i="13"/>
  <c r="CG68" i="13"/>
  <c r="CF68" i="13"/>
  <c r="CD68" i="13"/>
  <c r="CC68" i="13"/>
  <c r="CB68" i="13"/>
  <c r="BZ68" i="13"/>
  <c r="BY68" i="13"/>
  <c r="BX68" i="13"/>
  <c r="BV68" i="13"/>
  <c r="BU68" i="13"/>
  <c r="BT68" i="13"/>
  <c r="BR68" i="13"/>
  <c r="BQ68" i="13"/>
  <c r="BP68" i="13"/>
  <c r="BN68" i="13"/>
  <c r="BM68" i="13"/>
  <c r="BL68" i="13"/>
  <c r="BJ68" i="13"/>
  <c r="BI68" i="13"/>
  <c r="BH68" i="13"/>
  <c r="BF68" i="13"/>
  <c r="BE68" i="13"/>
  <c r="BD68" i="13"/>
  <c r="BB68" i="13"/>
  <c r="BA68" i="13"/>
  <c r="AZ68" i="13"/>
  <c r="AX68" i="13"/>
  <c r="AW68" i="13"/>
  <c r="AV68" i="13"/>
  <c r="AT68" i="13"/>
  <c r="AS68" i="13"/>
  <c r="AR68" i="13"/>
  <c r="AP68" i="13"/>
  <c r="AO68" i="13"/>
  <c r="AN68" i="13"/>
  <c r="AK68" i="13"/>
  <c r="AJ68" i="13"/>
  <c r="AH68" i="13"/>
  <c r="AG68" i="13"/>
  <c r="AF68" i="13"/>
  <c r="AD68" i="13"/>
  <c r="AC68" i="13"/>
  <c r="AB68" i="13"/>
  <c r="Z68" i="13"/>
  <c r="Y68" i="13"/>
  <c r="X68" i="13"/>
  <c r="V68" i="13"/>
  <c r="U68" i="13"/>
  <c r="T68" i="13"/>
  <c r="R68" i="13"/>
  <c r="Q68" i="13"/>
  <c r="P68" i="13"/>
  <c r="N68" i="13"/>
  <c r="M68" i="13"/>
  <c r="L68" i="13"/>
  <c r="J68" i="13"/>
  <c r="I68" i="13"/>
  <c r="H68" i="13"/>
  <c r="F68" i="13"/>
  <c r="E68" i="13"/>
  <c r="CH63" i="13"/>
  <c r="CG63" i="13"/>
  <c r="CF63" i="13"/>
  <c r="CD63" i="13"/>
  <c r="CC63" i="13"/>
  <c r="CB63" i="13"/>
  <c r="BZ63" i="13"/>
  <c r="BY63" i="13"/>
  <c r="BX63" i="13"/>
  <c r="BV63" i="13"/>
  <c r="BU63" i="13"/>
  <c r="BT63" i="13"/>
  <c r="BR63" i="13"/>
  <c r="BQ63" i="13"/>
  <c r="BP63" i="13"/>
  <c r="BN63" i="13"/>
  <c r="BM63" i="13"/>
  <c r="BL63" i="13"/>
  <c r="BJ63" i="13"/>
  <c r="BI63" i="13"/>
  <c r="BH63" i="13"/>
  <c r="BF63" i="13"/>
  <c r="BE63" i="13"/>
  <c r="BD63" i="13"/>
  <c r="BB63" i="13"/>
  <c r="BA63" i="13"/>
  <c r="AZ63" i="13"/>
  <c r="AX63" i="13"/>
  <c r="AW63" i="13"/>
  <c r="AV63" i="13"/>
  <c r="AT63" i="13"/>
  <c r="AS63" i="13"/>
  <c r="AR63" i="13"/>
  <c r="AP63" i="13"/>
  <c r="AO63" i="13"/>
  <c r="AN63" i="13"/>
  <c r="AK63" i="13"/>
  <c r="AJ63" i="13"/>
  <c r="AH63" i="13"/>
  <c r="AG63" i="13"/>
  <c r="AF63" i="13"/>
  <c r="AD63" i="13"/>
  <c r="AC63" i="13"/>
  <c r="AB63" i="13"/>
  <c r="Z63" i="13"/>
  <c r="Y63" i="13"/>
  <c r="X63" i="13"/>
  <c r="V63" i="13"/>
  <c r="U63" i="13"/>
  <c r="T63" i="13"/>
  <c r="R63" i="13"/>
  <c r="Q63" i="13"/>
  <c r="P63" i="13"/>
  <c r="N63" i="13"/>
  <c r="M63" i="13"/>
  <c r="L63" i="13"/>
  <c r="J63" i="13"/>
  <c r="I63" i="13"/>
  <c r="H63" i="13"/>
  <c r="F63" i="13"/>
  <c r="E63" i="13"/>
  <c r="CH59" i="13"/>
  <c r="CG59" i="13"/>
  <c r="CF59" i="13"/>
  <c r="CD59" i="13"/>
  <c r="CC59" i="13"/>
  <c r="CB59" i="13"/>
  <c r="BZ59" i="13"/>
  <c r="BY59" i="13"/>
  <c r="BX59" i="13"/>
  <c r="BV59" i="13"/>
  <c r="BU59" i="13"/>
  <c r="BT59" i="13"/>
  <c r="BR59" i="13"/>
  <c r="BQ59" i="13"/>
  <c r="BP59" i="13"/>
  <c r="BN59" i="13"/>
  <c r="BM59" i="13"/>
  <c r="BL59" i="13"/>
  <c r="BJ59" i="13"/>
  <c r="BI59" i="13"/>
  <c r="BH59" i="13"/>
  <c r="BF59" i="13"/>
  <c r="BE59" i="13"/>
  <c r="BD59" i="13"/>
  <c r="BB59" i="13"/>
  <c r="BA59" i="13"/>
  <c r="AZ59" i="13"/>
  <c r="AX59" i="13"/>
  <c r="AW59" i="13"/>
  <c r="AV59" i="13"/>
  <c r="AT59" i="13"/>
  <c r="AS59" i="13"/>
  <c r="AR59" i="13"/>
  <c r="AP59" i="13"/>
  <c r="AO59" i="13"/>
  <c r="AN59" i="13"/>
  <c r="AK59" i="13"/>
  <c r="AJ59" i="13"/>
  <c r="AH59" i="13"/>
  <c r="AG59" i="13"/>
  <c r="AF59" i="13"/>
  <c r="AD59" i="13"/>
  <c r="AC59" i="13"/>
  <c r="AB59" i="13"/>
  <c r="Z59" i="13"/>
  <c r="Y59" i="13"/>
  <c r="X59" i="13"/>
  <c r="V59" i="13"/>
  <c r="U59" i="13"/>
  <c r="T59" i="13"/>
  <c r="R59" i="13"/>
  <c r="Q59" i="13"/>
  <c r="P59" i="13"/>
  <c r="N59" i="13"/>
  <c r="M59" i="13"/>
  <c r="L59" i="13"/>
  <c r="J59" i="13"/>
  <c r="I59" i="13"/>
  <c r="H59" i="13"/>
  <c r="F59" i="13"/>
  <c r="E59" i="13"/>
  <c r="CH54" i="13"/>
  <c r="CG54" i="13"/>
  <c r="CF54" i="13"/>
  <c r="CD54" i="13"/>
  <c r="CC54" i="13"/>
  <c r="CB54" i="13"/>
  <c r="BZ54" i="13"/>
  <c r="BY54" i="13"/>
  <c r="BX54" i="13"/>
  <c r="BV54" i="13"/>
  <c r="BU54" i="13"/>
  <c r="BT54" i="13"/>
  <c r="BR54" i="13"/>
  <c r="BQ54" i="13"/>
  <c r="BP54" i="13"/>
  <c r="BN54" i="13"/>
  <c r="BM54" i="13"/>
  <c r="BL54" i="13"/>
  <c r="BJ54" i="13"/>
  <c r="BI54" i="13"/>
  <c r="BH54" i="13"/>
  <c r="BF54" i="13"/>
  <c r="BE54" i="13"/>
  <c r="BD54" i="13"/>
  <c r="BB54" i="13"/>
  <c r="BA54" i="13"/>
  <c r="AZ54" i="13"/>
  <c r="AX54" i="13"/>
  <c r="AW54" i="13"/>
  <c r="AV54" i="13"/>
  <c r="AT54" i="13"/>
  <c r="AS54" i="13"/>
  <c r="AR54" i="13"/>
  <c r="AP54" i="13"/>
  <c r="AO54" i="13"/>
  <c r="AN54" i="13"/>
  <c r="AK54" i="13"/>
  <c r="AJ54" i="13"/>
  <c r="AH54" i="13"/>
  <c r="AG54" i="13"/>
  <c r="AF54" i="13"/>
  <c r="AD54" i="13"/>
  <c r="AC54" i="13"/>
  <c r="AB54" i="13"/>
  <c r="Z54" i="13"/>
  <c r="Y54" i="13"/>
  <c r="X54" i="13"/>
  <c r="V54" i="13"/>
  <c r="U54" i="13"/>
  <c r="T54" i="13"/>
  <c r="R54" i="13"/>
  <c r="Q54" i="13"/>
  <c r="P54" i="13"/>
  <c r="N54" i="13"/>
  <c r="M54" i="13"/>
  <c r="L54" i="13"/>
  <c r="J54" i="13"/>
  <c r="I54" i="13"/>
  <c r="H54" i="13"/>
  <c r="F54" i="13"/>
  <c r="E54" i="13"/>
  <c r="CH49" i="13"/>
  <c r="CG49" i="13"/>
  <c r="CF49" i="13"/>
  <c r="CD49" i="13"/>
  <c r="CC49" i="13"/>
  <c r="CB49" i="13"/>
  <c r="BZ49" i="13"/>
  <c r="BY49" i="13"/>
  <c r="BX49" i="13"/>
  <c r="BV49" i="13"/>
  <c r="BU49" i="13"/>
  <c r="BT49" i="13"/>
  <c r="BR49" i="13"/>
  <c r="BQ49" i="13"/>
  <c r="BP49" i="13"/>
  <c r="BN49" i="13"/>
  <c r="BM49" i="13"/>
  <c r="BL49" i="13"/>
  <c r="BJ49" i="13"/>
  <c r="BI49" i="13"/>
  <c r="BH49" i="13"/>
  <c r="BF49" i="13"/>
  <c r="BE49" i="13"/>
  <c r="BD49" i="13"/>
  <c r="BB49" i="13"/>
  <c r="BA49" i="13"/>
  <c r="AZ49" i="13"/>
  <c r="AX49" i="13"/>
  <c r="AW49" i="13"/>
  <c r="AV49" i="13"/>
  <c r="AT49" i="13"/>
  <c r="AS49" i="13"/>
  <c r="AR49" i="13"/>
  <c r="AP49" i="13"/>
  <c r="AO49" i="13"/>
  <c r="AN49" i="13"/>
  <c r="AK49" i="13"/>
  <c r="AJ49" i="13"/>
  <c r="AH49" i="13"/>
  <c r="AG49" i="13"/>
  <c r="AF49" i="13"/>
  <c r="AD49" i="13"/>
  <c r="AC49" i="13"/>
  <c r="AB49" i="13"/>
  <c r="Z49" i="13"/>
  <c r="X49" i="13"/>
  <c r="V49" i="13"/>
  <c r="U49" i="13"/>
  <c r="T49" i="13"/>
  <c r="R49" i="13"/>
  <c r="Q49" i="13"/>
  <c r="P49" i="13"/>
  <c r="N49" i="13"/>
  <c r="M49" i="13"/>
  <c r="L49" i="13"/>
  <c r="J49" i="13"/>
  <c r="I49" i="13"/>
  <c r="H49" i="13"/>
  <c r="F49" i="13"/>
  <c r="E49" i="13"/>
  <c r="CH43" i="13"/>
  <c r="CG43" i="13"/>
  <c r="CF43" i="13"/>
  <c r="CD43" i="13"/>
  <c r="CC43" i="13"/>
  <c r="CB43" i="13"/>
  <c r="BZ43" i="13"/>
  <c r="BY43" i="13"/>
  <c r="BX43" i="13"/>
  <c r="BV43" i="13"/>
  <c r="BU43" i="13"/>
  <c r="BT43" i="13"/>
  <c r="BR43" i="13"/>
  <c r="BQ43" i="13"/>
  <c r="BP43" i="13"/>
  <c r="BN43" i="13"/>
  <c r="BM43" i="13"/>
  <c r="BL43" i="13"/>
  <c r="BJ43" i="13"/>
  <c r="BI43" i="13"/>
  <c r="BH43" i="13"/>
  <c r="BF43" i="13"/>
  <c r="BE43" i="13"/>
  <c r="BD43" i="13"/>
  <c r="BB43" i="13"/>
  <c r="BA43" i="13"/>
  <c r="AZ43" i="13"/>
  <c r="AX43" i="13"/>
  <c r="AW43" i="13"/>
  <c r="AV43" i="13"/>
  <c r="AT43" i="13"/>
  <c r="AS43" i="13"/>
  <c r="AR43" i="13"/>
  <c r="AP43" i="13"/>
  <c r="AO43" i="13"/>
  <c r="AN43" i="13"/>
  <c r="AK43" i="13"/>
  <c r="AJ43" i="13"/>
  <c r="AH43" i="13"/>
  <c r="AG43" i="13"/>
  <c r="AF43" i="13"/>
  <c r="AD43" i="13"/>
  <c r="AC43" i="13"/>
  <c r="AB43" i="13"/>
  <c r="Z43" i="13"/>
  <c r="Y43" i="13"/>
  <c r="X43" i="13"/>
  <c r="V43" i="13"/>
  <c r="U43" i="13"/>
  <c r="T43" i="13"/>
  <c r="R43" i="13"/>
  <c r="Q43" i="13"/>
  <c r="P43" i="13"/>
  <c r="N43" i="13"/>
  <c r="M43" i="13"/>
  <c r="L43" i="13"/>
  <c r="J43" i="13"/>
  <c r="I43" i="13"/>
  <c r="H43" i="13"/>
  <c r="F43" i="13"/>
  <c r="E43" i="13"/>
  <c r="F39" i="13"/>
  <c r="E39" i="13"/>
  <c r="CH36" i="13"/>
  <c r="CG36" i="13"/>
  <c r="CF36" i="13"/>
  <c r="CD36" i="13"/>
  <c r="CC36" i="13"/>
  <c r="CB36" i="13"/>
  <c r="BZ36" i="13"/>
  <c r="BY36" i="13"/>
  <c r="BX36" i="13"/>
  <c r="BV36" i="13"/>
  <c r="BU36" i="13"/>
  <c r="BT36" i="13"/>
  <c r="BR36" i="13"/>
  <c r="BQ36" i="13"/>
  <c r="BP36" i="13"/>
  <c r="BN36" i="13"/>
  <c r="BM36" i="13"/>
  <c r="BL36" i="13"/>
  <c r="BJ36" i="13"/>
  <c r="BJ35" i="13" s="1"/>
  <c r="BI36" i="13"/>
  <c r="BH36" i="13"/>
  <c r="BF36" i="13"/>
  <c r="BE36" i="13"/>
  <c r="BD36" i="13"/>
  <c r="BB36" i="13"/>
  <c r="BA36" i="13"/>
  <c r="AZ36" i="13"/>
  <c r="AX36" i="13"/>
  <c r="AW36" i="13"/>
  <c r="AV36" i="13"/>
  <c r="AT36" i="13"/>
  <c r="AS36" i="13"/>
  <c r="AR36" i="13"/>
  <c r="AP36" i="13"/>
  <c r="AO36" i="13"/>
  <c r="AN36" i="13"/>
  <c r="AK36" i="13"/>
  <c r="AJ36" i="13"/>
  <c r="AH36" i="13"/>
  <c r="AG36" i="13"/>
  <c r="AF36" i="13"/>
  <c r="AD36" i="13"/>
  <c r="AC36" i="13"/>
  <c r="AB36" i="13"/>
  <c r="Z36" i="13"/>
  <c r="Y36" i="13"/>
  <c r="X36" i="13"/>
  <c r="V36" i="13"/>
  <c r="U36" i="13"/>
  <c r="T36" i="13"/>
  <c r="R36" i="13"/>
  <c r="Q36" i="13"/>
  <c r="P36" i="13"/>
  <c r="N36" i="13"/>
  <c r="N35" i="13" s="1"/>
  <c r="M36" i="13"/>
  <c r="L36" i="13"/>
  <c r="J36" i="13"/>
  <c r="I36" i="13"/>
  <c r="H36" i="13"/>
  <c r="F36" i="13"/>
  <c r="E36" i="13"/>
  <c r="D105" i="13"/>
  <c r="D102" i="13"/>
  <c r="D96" i="13"/>
  <c r="D95" i="13" s="1"/>
  <c r="D90" i="13"/>
  <c r="D86" i="13"/>
  <c r="D81" i="13"/>
  <c r="D77" i="13"/>
  <c r="D73" i="13"/>
  <c r="D68" i="13"/>
  <c r="D63" i="13"/>
  <c r="D59" i="13"/>
  <c r="D54" i="13"/>
  <c r="D49" i="13"/>
  <c r="D43" i="13"/>
  <c r="D39" i="13"/>
  <c r="D36" i="13"/>
  <c r="F67" i="12"/>
  <c r="E70" i="12"/>
  <c r="G68" i="12" s="1"/>
  <c r="D70" i="12"/>
  <c r="F66" i="12" s="1"/>
  <c r="H47" i="16"/>
  <c r="H46" i="16"/>
  <c r="H45" i="16"/>
  <c r="H44" i="16"/>
  <c r="H43" i="16"/>
  <c r="H42" i="16"/>
  <c r="H41" i="16"/>
  <c r="D14" i="16"/>
  <c r="D13" i="16"/>
  <c r="D14" i="10"/>
  <c r="D13" i="10"/>
  <c r="D14" i="11"/>
  <c r="D13" i="11"/>
  <c r="G97" i="8"/>
  <c r="G90" i="8"/>
  <c r="G88" i="8"/>
  <c r="G83" i="8"/>
  <c r="G35" i="8"/>
  <c r="G96" i="8"/>
  <c r="G95" i="8"/>
  <c r="G93" i="8"/>
  <c r="G92" i="8"/>
  <c r="G87" i="8"/>
  <c r="G86" i="8"/>
  <c r="G82" i="8"/>
  <c r="G81" i="8"/>
  <c r="G80" i="8"/>
  <c r="G78" i="8"/>
  <c r="G77" i="8"/>
  <c r="G75" i="8" s="1"/>
  <c r="G76" i="8"/>
  <c r="G74" i="8"/>
  <c r="G73" i="8"/>
  <c r="G72" i="8"/>
  <c r="G71" i="8"/>
  <c r="G69" i="8"/>
  <c r="G68" i="8"/>
  <c r="G67" i="8"/>
  <c r="G64" i="8"/>
  <c r="G63" i="8"/>
  <c r="G61" i="8"/>
  <c r="G60" i="8"/>
  <c r="G59" i="8"/>
  <c r="G58" i="8"/>
  <c r="G56" i="8"/>
  <c r="G55" i="8"/>
  <c r="G54" i="8"/>
  <c r="G53" i="8"/>
  <c r="G50" i="8"/>
  <c r="G49" i="8"/>
  <c r="G48" i="8" s="1"/>
  <c r="G47" i="8"/>
  <c r="G46" i="8"/>
  <c r="G45" i="8"/>
  <c r="G44" i="8"/>
  <c r="G42" i="8"/>
  <c r="G41" i="8"/>
  <c r="G40" i="8"/>
  <c r="G39" i="8"/>
  <c r="G34" i="8"/>
  <c r="G33" i="8"/>
  <c r="G32" i="8" s="1"/>
  <c r="G31" i="8"/>
  <c r="G30" i="8"/>
  <c r="G29" i="8"/>
  <c r="G27" i="8"/>
  <c r="G26" i="8"/>
  <c r="D14" i="8"/>
  <c r="D13" i="8"/>
  <c r="D178" i="8"/>
  <c r="D173" i="8" s="1"/>
  <c r="D175" i="8"/>
  <c r="D169" i="8"/>
  <c r="D168" i="8" s="1"/>
  <c r="D163" i="8"/>
  <c r="D159" i="8"/>
  <c r="D154" i="8"/>
  <c r="D150" i="8"/>
  <c r="D146" i="8"/>
  <c r="D141" i="8"/>
  <c r="D136" i="8"/>
  <c r="D135" i="8" s="1"/>
  <c r="D132" i="8"/>
  <c r="D127" i="8"/>
  <c r="D122" i="8"/>
  <c r="D116" i="8"/>
  <c r="D112" i="8"/>
  <c r="D108" i="8" s="1"/>
  <c r="D109" i="8"/>
  <c r="F94" i="8"/>
  <c r="F91" i="8"/>
  <c r="F85" i="8"/>
  <c r="F84" i="8" s="1"/>
  <c r="F79" i="8"/>
  <c r="F75" i="8"/>
  <c r="F70" i="8"/>
  <c r="F66" i="8"/>
  <c r="F62" i="8"/>
  <c r="F57" i="8"/>
  <c r="F52" i="8"/>
  <c r="F48" i="8"/>
  <c r="F43" i="8"/>
  <c r="F38" i="8"/>
  <c r="F32" i="8"/>
  <c r="F28" i="8"/>
  <c r="F25" i="8"/>
  <c r="E94" i="8"/>
  <c r="E91" i="8"/>
  <c r="E85" i="8"/>
  <c r="E84" i="8" s="1"/>
  <c r="E75" i="8"/>
  <c r="E70" i="8"/>
  <c r="E66" i="8"/>
  <c r="E62" i="8"/>
  <c r="E57" i="8"/>
  <c r="E52" i="8"/>
  <c r="E48" i="8"/>
  <c r="E43" i="8"/>
  <c r="E38" i="8"/>
  <c r="E32" i="8"/>
  <c r="E28" i="8"/>
  <c r="E25" i="8"/>
  <c r="D94" i="8"/>
  <c r="D91" i="8"/>
  <c r="D85" i="8"/>
  <c r="D84" i="8" s="1"/>
  <c r="D79" i="8"/>
  <c r="D75" i="8"/>
  <c r="D66" i="8"/>
  <c r="D62" i="8"/>
  <c r="D57" i="8"/>
  <c r="D52" i="8"/>
  <c r="D48" i="8"/>
  <c r="D43" i="8"/>
  <c r="D38" i="8"/>
  <c r="D32" i="8"/>
  <c r="D28" i="8"/>
  <c r="D25" i="8"/>
  <c r="E184" i="13" l="1"/>
  <c r="G94" i="8"/>
  <c r="AG100" i="13"/>
  <c r="BU100" i="13"/>
  <c r="H184" i="13"/>
  <c r="G57" i="8"/>
  <c r="BU48" i="13"/>
  <c r="V100" i="13"/>
  <c r="G52" i="8"/>
  <c r="K43" i="13"/>
  <c r="Y100" i="13"/>
  <c r="BW102" i="13"/>
  <c r="R119" i="13"/>
  <c r="S73" i="13"/>
  <c r="F132" i="13"/>
  <c r="W184" i="13"/>
  <c r="H61" i="16"/>
  <c r="V132" i="13"/>
  <c r="X184" i="13"/>
  <c r="G66" i="8"/>
  <c r="BB100" i="13"/>
  <c r="CH100" i="13"/>
  <c r="G38" i="8"/>
  <c r="G43" i="8"/>
  <c r="K77" i="13"/>
  <c r="CA68" i="13"/>
  <c r="BB35" i="13"/>
  <c r="O184" i="13"/>
  <c r="BW73" i="13"/>
  <c r="N132" i="13"/>
  <c r="D149" i="8"/>
  <c r="G28" i="8"/>
  <c r="G62" i="8"/>
  <c r="G79" i="8"/>
  <c r="G68" i="13"/>
  <c r="CE86" i="13"/>
  <c r="J119" i="13"/>
  <c r="U184" i="13"/>
  <c r="D121" i="8"/>
  <c r="D120" i="8" s="1"/>
  <c r="CI105" i="13"/>
  <c r="CI100" i="13" s="1"/>
  <c r="G85" i="8"/>
  <c r="G84" i="8" s="1"/>
  <c r="AA54" i="13"/>
  <c r="AD35" i="13"/>
  <c r="AZ48" i="13"/>
  <c r="CF48" i="13"/>
  <c r="AD62" i="13"/>
  <c r="BM100" i="13"/>
  <c r="P132" i="13"/>
  <c r="J160" i="13"/>
  <c r="M160" i="13"/>
  <c r="P160" i="13"/>
  <c r="S160" i="13"/>
  <c r="O90" i="13"/>
  <c r="O105" i="13"/>
  <c r="W96" i="13"/>
  <c r="W95" i="13" s="1"/>
  <c r="AA43" i="13"/>
  <c r="AA86" i="13"/>
  <c r="AI96" i="13"/>
  <c r="AI95" i="13" s="1"/>
  <c r="AM54" i="13"/>
  <c r="AQ96" i="13"/>
  <c r="AQ95" i="13" s="1"/>
  <c r="AU105" i="13"/>
  <c r="AY54" i="13"/>
  <c r="BC96" i="13"/>
  <c r="BC95" i="13" s="1"/>
  <c r="BW43" i="13"/>
  <c r="BW86" i="13"/>
  <c r="BW96" i="13"/>
  <c r="BW95" i="13" s="1"/>
  <c r="E160" i="13"/>
  <c r="H160" i="13"/>
  <c r="R184" i="13"/>
  <c r="G70" i="8"/>
  <c r="AT35" i="13"/>
  <c r="BZ35" i="13"/>
  <c r="BJ76" i="13"/>
  <c r="L119" i="13"/>
  <c r="R160" i="13"/>
  <c r="U160" i="13"/>
  <c r="X160" i="13"/>
  <c r="J184" i="13"/>
  <c r="K59" i="13"/>
  <c r="K86" i="13"/>
  <c r="W102" i="13"/>
  <c r="AY102" i="13"/>
  <c r="BO86" i="13"/>
  <c r="BS102" i="13"/>
  <c r="BS36" i="13"/>
  <c r="G36" i="13"/>
  <c r="CE36" i="13"/>
  <c r="BG36" i="13"/>
  <c r="G25" i="8"/>
  <c r="F89" i="8"/>
  <c r="E51" i="8"/>
  <c r="E89" i="8"/>
  <c r="D51" i="8"/>
  <c r="D89" i="8"/>
  <c r="D24" i="8"/>
  <c r="F37" i="8"/>
  <c r="F51" i="8"/>
  <c r="D65" i="8"/>
  <c r="E37" i="8"/>
  <c r="D37" i="8"/>
  <c r="E24" i="8"/>
  <c r="F24" i="8"/>
  <c r="F32" i="7"/>
  <c r="F79" i="7"/>
  <c r="F25" i="7"/>
  <c r="F62" i="7"/>
  <c r="F91" i="7"/>
  <c r="F85" i="7"/>
  <c r="F84" i="7" s="1"/>
  <c r="F27" i="2" s="1"/>
  <c r="F52" i="7"/>
  <c r="F94" i="7"/>
  <c r="F28" i="7"/>
  <c r="F43" i="7"/>
  <c r="F38" i="7"/>
  <c r="F75" i="7"/>
  <c r="F66" i="7"/>
  <c r="F48" i="7"/>
  <c r="F70" i="7"/>
  <c r="F57" i="7"/>
  <c r="F64" i="12"/>
  <c r="B5" i="14"/>
  <c r="D64" i="12"/>
  <c r="K64" i="19"/>
  <c r="K65" i="19"/>
  <c r="E69" i="15"/>
  <c r="E15" i="15"/>
  <c r="M93" i="19"/>
  <c r="D24" i="12"/>
  <c r="E65" i="8"/>
  <c r="F65" i="8"/>
  <c r="G91" i="8"/>
  <c r="G89" i="8" s="1"/>
  <c r="F68" i="12"/>
  <c r="G69" i="12"/>
  <c r="F69" i="12"/>
  <c r="G65" i="12"/>
  <c r="G66" i="12"/>
  <c r="G67" i="12"/>
  <c r="G160" i="13"/>
  <c r="G59" i="13"/>
  <c r="AA90" i="13"/>
  <c r="AA102" i="13"/>
  <c r="AI105" i="13"/>
  <c r="AM43" i="13"/>
  <c r="AM102" i="13"/>
  <c r="AQ73" i="13"/>
  <c r="BC39" i="13"/>
  <c r="BC63" i="13"/>
  <c r="BG90" i="13"/>
  <c r="BK54" i="13"/>
  <c r="BO105" i="13"/>
  <c r="BS43" i="13"/>
  <c r="BS90" i="13"/>
  <c r="BW39" i="13"/>
  <c r="CE96" i="13"/>
  <c r="CE95" i="13" s="1"/>
  <c r="AI102" i="13"/>
  <c r="T48" i="13"/>
  <c r="AF62" i="13"/>
  <c r="BB62" i="13"/>
  <c r="CH62" i="13"/>
  <c r="AT100" i="13"/>
  <c r="BE100" i="13"/>
  <c r="BP100" i="13"/>
  <c r="BZ100" i="13"/>
  <c r="O86" i="13"/>
  <c r="W86" i="13"/>
  <c r="AE54" i="13"/>
  <c r="AQ86" i="13"/>
  <c r="CA59" i="13"/>
  <c r="CA105" i="13"/>
  <c r="CE43" i="13"/>
  <c r="O160" i="13"/>
  <c r="K184" i="13"/>
  <c r="S184" i="13"/>
  <c r="K54" i="13"/>
  <c r="AU81" i="13"/>
  <c r="W160" i="13"/>
  <c r="K160" i="13"/>
  <c r="K36" i="13"/>
  <c r="AE90" i="13"/>
  <c r="AQ102" i="13"/>
  <c r="CE90" i="13"/>
  <c r="CE102" i="13"/>
  <c r="BE48" i="13"/>
  <c r="BP48" i="13"/>
  <c r="Q48" i="13"/>
  <c r="CH48" i="13"/>
  <c r="N62" i="13"/>
  <c r="AV62" i="13"/>
  <c r="AG62" i="13"/>
  <c r="BN62" i="13"/>
  <c r="BR76" i="13"/>
  <c r="D146" i="13"/>
  <c r="L146" i="13"/>
  <c r="T146" i="13"/>
  <c r="S39" i="13"/>
  <c r="S63" i="13"/>
  <c r="AU54" i="13"/>
  <c r="BJ100" i="13"/>
  <c r="O81" i="13"/>
  <c r="AI54" i="13"/>
  <c r="AM86" i="13"/>
  <c r="AQ49" i="13"/>
  <c r="AQ59" i="13"/>
  <c r="AU43" i="13"/>
  <c r="AY73" i="13"/>
  <c r="AY96" i="13"/>
  <c r="AY95" i="13" s="1"/>
  <c r="BC90" i="13"/>
  <c r="BO102" i="13"/>
  <c r="CI86" i="13"/>
  <c r="Q100" i="13"/>
  <c r="AB100" i="13"/>
  <c r="AN100" i="13"/>
  <c r="J132" i="13"/>
  <c r="R132" i="13"/>
  <c r="G102" i="13"/>
  <c r="O59" i="13"/>
  <c r="O102" i="13"/>
  <c r="S86" i="13"/>
  <c r="S96" i="13"/>
  <c r="S95" i="13" s="1"/>
  <c r="W36" i="13"/>
  <c r="W59" i="13"/>
  <c r="AI39" i="13"/>
  <c r="AL35" i="13"/>
  <c r="AQ36" i="13"/>
  <c r="AU86" i="13"/>
  <c r="BG59" i="13"/>
  <c r="BG105" i="13"/>
  <c r="BO39" i="13"/>
  <c r="BO63" i="13"/>
  <c r="BO73" i="13"/>
  <c r="BO96" i="13"/>
  <c r="BO95" i="13" s="1"/>
  <c r="CA90" i="13"/>
  <c r="CA102" i="13"/>
  <c r="CI54" i="13"/>
  <c r="I184" i="13"/>
  <c r="Q184" i="13"/>
  <c r="G90" i="13"/>
  <c r="S54" i="13"/>
  <c r="W68" i="13"/>
  <c r="AE68" i="13"/>
  <c r="AM36" i="13"/>
  <c r="AM49" i="13"/>
  <c r="AM81" i="13"/>
  <c r="AM90" i="13"/>
  <c r="AQ39" i="13"/>
  <c r="AQ105" i="13"/>
  <c r="AY36" i="13"/>
  <c r="BC54" i="13"/>
  <c r="BK68" i="13"/>
  <c r="BS49" i="13"/>
  <c r="CI49" i="13"/>
  <c r="AD76" i="13"/>
  <c r="AW100" i="13"/>
  <c r="BH100" i="13"/>
  <c r="BR100" i="13"/>
  <c r="CC100" i="13"/>
  <c r="I100" i="13"/>
  <c r="I119" i="13"/>
  <c r="Q119" i="13"/>
  <c r="D119" i="13"/>
  <c r="T119" i="13"/>
  <c r="I132" i="13"/>
  <c r="Q132" i="13"/>
  <c r="E146" i="13"/>
  <c r="M146" i="13"/>
  <c r="U146" i="13"/>
  <c r="O39" i="13"/>
  <c r="W39" i="13"/>
  <c r="W63" i="13"/>
  <c r="AE49" i="13"/>
  <c r="AE102" i="13"/>
  <c r="AY59" i="13"/>
  <c r="AY105" i="13"/>
  <c r="BC43" i="13"/>
  <c r="BC86" i="13"/>
  <c r="BG39" i="13"/>
  <c r="BG73" i="13"/>
  <c r="BK102" i="13"/>
  <c r="BW54" i="13"/>
  <c r="AG48" i="13"/>
  <c r="BR48" i="13"/>
  <c r="CD62" i="13"/>
  <c r="N76" i="13"/>
  <c r="F184" i="13"/>
  <c r="N184" i="13"/>
  <c r="V184" i="13"/>
  <c r="G63" i="13"/>
  <c r="G73" i="13"/>
  <c r="G96" i="13"/>
  <c r="G95" i="13" s="1"/>
  <c r="K102" i="13"/>
  <c r="O63" i="13"/>
  <c r="S90" i="13"/>
  <c r="S102" i="13"/>
  <c r="AA36" i="13"/>
  <c r="AA49" i="13"/>
  <c r="AA81" i="13"/>
  <c r="AE39" i="13"/>
  <c r="AI86" i="13"/>
  <c r="AL100" i="13"/>
  <c r="AM39" i="13"/>
  <c r="AM59" i="13"/>
  <c r="AQ54" i="13"/>
  <c r="AU102" i="13"/>
  <c r="AY39" i="13"/>
  <c r="AY81" i="13"/>
  <c r="BC102" i="13"/>
  <c r="BG86" i="13"/>
  <c r="BG95" i="13"/>
  <c r="BK36" i="13"/>
  <c r="BK59" i="13"/>
  <c r="BK90" i="13"/>
  <c r="BK105" i="13"/>
  <c r="BO43" i="13"/>
  <c r="BS39" i="13"/>
  <c r="BS63" i="13"/>
  <c r="BS73" i="13"/>
  <c r="BS81" i="13"/>
  <c r="BS96" i="13"/>
  <c r="BS95" i="13" s="1"/>
  <c r="BW90" i="13"/>
  <c r="CA39" i="13"/>
  <c r="CA63" i="13"/>
  <c r="CA73" i="13"/>
  <c r="CA96" i="13"/>
  <c r="CA95" i="13" s="1"/>
  <c r="CE54" i="13"/>
  <c r="CE81" i="13"/>
  <c r="CI39" i="13"/>
  <c r="CI73" i="13"/>
  <c r="CI81" i="13"/>
  <c r="CI96" i="13"/>
  <c r="CI95" i="13" s="1"/>
  <c r="G146" i="13"/>
  <c r="O146" i="13"/>
  <c r="W146" i="13"/>
  <c r="K49" i="13"/>
  <c r="O54" i="13"/>
  <c r="AU49" i="13"/>
  <c r="BG54" i="13"/>
  <c r="BG77" i="13"/>
  <c r="BO90" i="13"/>
  <c r="BS86" i="13"/>
  <c r="BW81" i="13"/>
  <c r="CA86" i="13"/>
  <c r="CE49" i="13"/>
  <c r="Y48" i="13"/>
  <c r="E62" i="13"/>
  <c r="AK62" i="13"/>
  <c r="G86" i="13"/>
  <c r="K105" i="13"/>
  <c r="O96" i="13"/>
  <c r="O95" i="13" s="1"/>
  <c r="S59" i="13"/>
  <c r="S105" i="13"/>
  <c r="AA39" i="13"/>
  <c r="AE63" i="13"/>
  <c r="AE73" i="13"/>
  <c r="AE96" i="13"/>
  <c r="AE95" i="13" s="1"/>
  <c r="AL48" i="13"/>
  <c r="AM96" i="13"/>
  <c r="AM95" i="13" s="1"/>
  <c r="AU59" i="13"/>
  <c r="BC59" i="13"/>
  <c r="BC105" i="13"/>
  <c r="BG43" i="13"/>
  <c r="BK39" i="13"/>
  <c r="BK73" i="13"/>
  <c r="BK96" i="13"/>
  <c r="BK95" i="13" s="1"/>
  <c r="BO54" i="13"/>
  <c r="BW36" i="13"/>
  <c r="CA54" i="13"/>
  <c r="AJ100" i="13"/>
  <c r="AV100" i="13"/>
  <c r="H132" i="13"/>
  <c r="X132" i="13"/>
  <c r="K132" i="13"/>
  <c r="S132" i="13"/>
  <c r="G77" i="13"/>
  <c r="K39" i="13"/>
  <c r="AA105" i="13"/>
  <c r="AE86" i="13"/>
  <c r="AI36" i="13"/>
  <c r="AI81" i="13"/>
  <c r="AU39" i="13"/>
  <c r="AY86" i="13"/>
  <c r="BG102" i="13"/>
  <c r="BK86" i="13"/>
  <c r="BO36" i="13"/>
  <c r="BO49" i="13"/>
  <c r="BO59" i="13"/>
  <c r="BS54" i="13"/>
  <c r="BW105" i="13"/>
  <c r="BW100" i="13" s="1"/>
  <c r="CA43" i="13"/>
  <c r="CE39" i="13"/>
  <c r="CE105" i="13"/>
  <c r="CI43" i="13"/>
  <c r="BB48" i="13"/>
  <c r="V35" i="13"/>
  <c r="AJ48" i="13"/>
  <c r="AO48" i="13"/>
  <c r="V48" i="13"/>
  <c r="P62" i="13"/>
  <c r="BR62" i="13"/>
  <c r="BA62" i="13"/>
  <c r="BE62" i="13"/>
  <c r="BE47" i="13" s="1"/>
  <c r="F100" i="13"/>
  <c r="AF100" i="13"/>
  <c r="D184" i="13"/>
  <c r="L184" i="13"/>
  <c r="T184" i="13"/>
  <c r="G39" i="13"/>
  <c r="G105" i="13"/>
  <c r="K96" i="13"/>
  <c r="K95" i="13" s="1"/>
  <c r="O43" i="13"/>
  <c r="O77" i="13"/>
  <c r="W73" i="13"/>
  <c r="W105" i="13"/>
  <c r="AA77" i="13"/>
  <c r="AA96" i="13"/>
  <c r="AA95" i="13" s="1"/>
  <c r="AE105" i="13"/>
  <c r="AI43" i="13"/>
  <c r="AM77" i="13"/>
  <c r="AQ77" i="13"/>
  <c r="AU96" i="13"/>
  <c r="AU95" i="13" s="1"/>
  <c r="AY43" i="13"/>
  <c r="BK49" i="13"/>
  <c r="BK81" i="13"/>
  <c r="BO68" i="13"/>
  <c r="BO81" i="13"/>
  <c r="BW59" i="13"/>
  <c r="CA36" i="13"/>
  <c r="CA49" i="13"/>
  <c r="CA81" i="13"/>
  <c r="CE59" i="13"/>
  <c r="CI59" i="13"/>
  <c r="CI90" i="13"/>
  <c r="D48" i="13"/>
  <c r="BH48" i="13"/>
  <c r="I48" i="13"/>
  <c r="F62" i="13"/>
  <c r="AN62" i="13"/>
  <c r="U62" i="13"/>
  <c r="Y62" i="13"/>
  <c r="BF62" i="13"/>
  <c r="BD100" i="13"/>
  <c r="G119" i="13"/>
  <c r="O119" i="13"/>
  <c r="W119" i="13"/>
  <c r="E119" i="13"/>
  <c r="M119" i="13"/>
  <c r="U119" i="13"/>
  <c r="S77" i="13"/>
  <c r="AE77" i="13"/>
  <c r="AI77" i="13"/>
  <c r="AL76" i="13"/>
  <c r="AM63" i="13"/>
  <c r="AU77" i="13"/>
  <c r="AY77" i="13"/>
  <c r="BC77" i="13"/>
  <c r="AB48" i="13"/>
  <c r="BM48" i="13"/>
  <c r="H62" i="13"/>
  <c r="BJ62" i="13"/>
  <c r="AS62" i="13"/>
  <c r="Z62" i="13"/>
  <c r="Z47" i="13" s="1"/>
  <c r="AW62" i="13"/>
  <c r="CC62" i="13"/>
  <c r="AD100" i="13"/>
  <c r="X100" i="13"/>
  <c r="H119" i="13"/>
  <c r="P119" i="13"/>
  <c r="X119" i="13"/>
  <c r="K119" i="13"/>
  <c r="S119" i="13"/>
  <c r="F119" i="13"/>
  <c r="N119" i="13"/>
  <c r="V119" i="13"/>
  <c r="F160" i="13"/>
  <c r="N160" i="13"/>
  <c r="V160" i="13"/>
  <c r="I160" i="13"/>
  <c r="Q160" i="13"/>
  <c r="D160" i="13"/>
  <c r="L160" i="13"/>
  <c r="T160" i="13"/>
  <c r="G43" i="13"/>
  <c r="K68" i="13"/>
  <c r="O36" i="13"/>
  <c r="O49" i="13"/>
  <c r="O68" i="13"/>
  <c r="S43" i="13"/>
  <c r="W43" i="13"/>
  <c r="W77" i="13"/>
  <c r="AA68" i="13"/>
  <c r="AE36" i="13"/>
  <c r="AI68" i="13"/>
  <c r="AM68" i="13"/>
  <c r="AQ68" i="13"/>
  <c r="AU36" i="13"/>
  <c r="AU68" i="13"/>
  <c r="AY68" i="13"/>
  <c r="BG49" i="13"/>
  <c r="BG68" i="13"/>
  <c r="BG81" i="13"/>
  <c r="BW49" i="13"/>
  <c r="BW63" i="13"/>
  <c r="CE63" i="13"/>
  <c r="CE73" i="13"/>
  <c r="CI63" i="13"/>
  <c r="D100" i="13"/>
  <c r="F35" i="13"/>
  <c r="F48" i="13"/>
  <c r="BQ62" i="13"/>
  <c r="R62" i="13"/>
  <c r="AO62" i="13"/>
  <c r="BU62" i="13"/>
  <c r="BU47" i="13" s="1"/>
  <c r="Q76" i="13"/>
  <c r="BB76" i="13"/>
  <c r="P100" i="13"/>
  <c r="D132" i="13"/>
  <c r="L132" i="13"/>
  <c r="L131" i="13" s="1"/>
  <c r="T132" i="13"/>
  <c r="T131" i="13" s="1"/>
  <c r="G54" i="13"/>
  <c r="K81" i="13"/>
  <c r="K90" i="13"/>
  <c r="S36" i="13"/>
  <c r="S49" i="13"/>
  <c r="S68" i="13"/>
  <c r="S81" i="13"/>
  <c r="W54" i="13"/>
  <c r="AA59" i="13"/>
  <c r="AE59" i="13"/>
  <c r="AE81" i="13"/>
  <c r="AI59" i="13"/>
  <c r="AQ90" i="13"/>
  <c r="BC49" i="13"/>
  <c r="BC68" i="13"/>
  <c r="BC81" i="13"/>
  <c r="BS105" i="13"/>
  <c r="CE77" i="13"/>
  <c r="AR48" i="13"/>
  <c r="BX48" i="13"/>
  <c r="BD62" i="13"/>
  <c r="AP62" i="13"/>
  <c r="O132" i="13"/>
  <c r="E132" i="13"/>
  <c r="E131" i="13" s="1"/>
  <c r="U132" i="13"/>
  <c r="R146" i="13"/>
  <c r="P146" i="13"/>
  <c r="P131" i="13" s="1"/>
  <c r="G49" i="13"/>
  <c r="G81" i="13"/>
  <c r="W49" i="13"/>
  <c r="W81" i="13"/>
  <c r="AL62" i="13"/>
  <c r="AQ63" i="13"/>
  <c r="AQ81" i="13"/>
  <c r="AU90" i="13"/>
  <c r="BC36" i="13"/>
  <c r="BG63" i="13"/>
  <c r="BK63" i="13"/>
  <c r="BK77" i="13"/>
  <c r="BO77" i="13"/>
  <c r="BS77" i="13"/>
  <c r="BW77" i="13"/>
  <c r="CA77" i="13"/>
  <c r="CI77" i="13"/>
  <c r="V62" i="13"/>
  <c r="BV62" i="13"/>
  <c r="V76" i="13"/>
  <c r="G132" i="13"/>
  <c r="W132" i="13"/>
  <c r="M132" i="13"/>
  <c r="J146" i="13"/>
  <c r="H146" i="13"/>
  <c r="X146" i="13"/>
  <c r="L48" i="13"/>
  <c r="AW48" i="13"/>
  <c r="CC48" i="13"/>
  <c r="X62" i="13"/>
  <c r="AT62" i="13"/>
  <c r="BZ62" i="13"/>
  <c r="BI62" i="13"/>
  <c r="J62" i="13"/>
  <c r="BM62" i="13"/>
  <c r="AT76" i="13"/>
  <c r="N100" i="13"/>
  <c r="H100" i="13"/>
  <c r="K146" i="13"/>
  <c r="S146" i="13"/>
  <c r="F146" i="13"/>
  <c r="F131" i="13" s="1"/>
  <c r="N146" i="13"/>
  <c r="V146" i="13"/>
  <c r="I146" i="13"/>
  <c r="I131" i="13" s="1"/>
  <c r="Q146" i="13"/>
  <c r="K63" i="13"/>
  <c r="K73" i="13"/>
  <c r="O73" i="13"/>
  <c r="W90" i="13"/>
  <c r="AA63" i="13"/>
  <c r="AA73" i="13"/>
  <c r="AI49" i="13"/>
  <c r="AI63" i="13"/>
  <c r="AI90" i="13"/>
  <c r="AM73" i="13"/>
  <c r="AM105" i="13"/>
  <c r="AQ43" i="13"/>
  <c r="AU63" i="13"/>
  <c r="AY49" i="13"/>
  <c r="AY63" i="13"/>
  <c r="AY90" i="13"/>
  <c r="BK43" i="13"/>
  <c r="BS68" i="13"/>
  <c r="BW68" i="13"/>
  <c r="CE68" i="13"/>
  <c r="CI36" i="13"/>
  <c r="CI68" i="13"/>
  <c r="D35" i="13"/>
  <c r="BR35" i="13"/>
  <c r="CH35" i="13"/>
  <c r="F76" i="13"/>
  <c r="I35" i="13"/>
  <c r="Q35" i="13"/>
  <c r="Y35" i="13"/>
  <c r="AG35" i="13"/>
  <c r="AO35" i="13"/>
  <c r="AW35" i="13"/>
  <c r="BE35" i="13"/>
  <c r="BM35" i="13"/>
  <c r="BU35" i="13"/>
  <c r="CC35" i="13"/>
  <c r="H48" i="13"/>
  <c r="P48" i="13"/>
  <c r="X48" i="13"/>
  <c r="X47" i="13" s="1"/>
  <c r="AF48" i="13"/>
  <c r="AN48" i="13"/>
  <c r="AV48" i="13"/>
  <c r="BD48" i="13"/>
  <c r="BL48" i="13"/>
  <c r="BT48" i="13"/>
  <c r="CB48" i="13"/>
  <c r="H35" i="13"/>
  <c r="P35" i="13"/>
  <c r="X35" i="13"/>
  <c r="AF35" i="13"/>
  <c r="AN35" i="13"/>
  <c r="AV35" i="13"/>
  <c r="BD35" i="13"/>
  <c r="BL35" i="13"/>
  <c r="BT35" i="13"/>
  <c r="CB35" i="13"/>
  <c r="E35" i="13"/>
  <c r="M35" i="13"/>
  <c r="U35" i="13"/>
  <c r="AC35" i="13"/>
  <c r="AK35" i="13"/>
  <c r="AS35" i="13"/>
  <c r="BA35" i="13"/>
  <c r="BI35" i="13"/>
  <c r="BQ35" i="13"/>
  <c r="BY35" i="13"/>
  <c r="CG35" i="13"/>
  <c r="M62" i="13"/>
  <c r="AC62" i="13"/>
  <c r="BY62" i="13"/>
  <c r="CG62" i="13"/>
  <c r="AH62" i="13"/>
  <c r="AX62" i="13"/>
  <c r="BZ76" i="13"/>
  <c r="CH76" i="13"/>
  <c r="BL100" i="13"/>
  <c r="BT100" i="13"/>
  <c r="CB100" i="13"/>
  <c r="J76" i="13"/>
  <c r="R76" i="13"/>
  <c r="Z76" i="13"/>
  <c r="AH76" i="13"/>
  <c r="AP76" i="13"/>
  <c r="AX76" i="13"/>
  <c r="BF76" i="13"/>
  <c r="BN76" i="13"/>
  <c r="BV76" i="13"/>
  <c r="CD76" i="13"/>
  <c r="L76" i="13"/>
  <c r="T76" i="13"/>
  <c r="AB76" i="13"/>
  <c r="AJ76" i="13"/>
  <c r="AR76" i="13"/>
  <c r="AZ76" i="13"/>
  <c r="BH76" i="13"/>
  <c r="BP76" i="13"/>
  <c r="BX76" i="13"/>
  <c r="CF76" i="13"/>
  <c r="I76" i="13"/>
  <c r="Y76" i="13"/>
  <c r="AG76" i="13"/>
  <c r="AO76" i="13"/>
  <c r="AW76" i="13"/>
  <c r="BE76" i="13"/>
  <c r="BM76" i="13"/>
  <c r="BU76" i="13"/>
  <c r="CC76" i="13"/>
  <c r="D62" i="13"/>
  <c r="D47" i="13" s="1"/>
  <c r="N48" i="13"/>
  <c r="AD48" i="13"/>
  <c r="AT48" i="13"/>
  <c r="AT47" i="13" s="1"/>
  <c r="BJ48" i="13"/>
  <c r="BZ48" i="13"/>
  <c r="L100" i="13"/>
  <c r="T100" i="13"/>
  <c r="AR100" i="13"/>
  <c r="AZ100" i="13"/>
  <c r="BX100" i="13"/>
  <c r="CF100" i="13"/>
  <c r="E100" i="13"/>
  <c r="M100" i="13"/>
  <c r="U100" i="13"/>
  <c r="AC100" i="13"/>
  <c r="AK100" i="13"/>
  <c r="AS100" i="13"/>
  <c r="BA100" i="13"/>
  <c r="BI100" i="13"/>
  <c r="BQ100" i="13"/>
  <c r="BY100" i="13"/>
  <c r="CG100" i="13"/>
  <c r="H76" i="13"/>
  <c r="P76" i="13"/>
  <c r="X76" i="13"/>
  <c r="AF76" i="13"/>
  <c r="AN76" i="13"/>
  <c r="AV76" i="13"/>
  <c r="BD76" i="13"/>
  <c r="BL76" i="13"/>
  <c r="BT76" i="13"/>
  <c r="CB76" i="13"/>
  <c r="E76" i="13"/>
  <c r="M76" i="13"/>
  <c r="U76" i="13"/>
  <c r="AC76" i="13"/>
  <c r="AK76" i="13"/>
  <c r="AS76" i="13"/>
  <c r="BA76" i="13"/>
  <c r="BI76" i="13"/>
  <c r="BQ76" i="13"/>
  <c r="BY76" i="13"/>
  <c r="CG76" i="13"/>
  <c r="J35" i="13"/>
  <c r="R35" i="13"/>
  <c r="Z35" i="13"/>
  <c r="AH35" i="13"/>
  <c r="AP35" i="13"/>
  <c r="AX35" i="13"/>
  <c r="BF35" i="13"/>
  <c r="BN35" i="13"/>
  <c r="BV35" i="13"/>
  <c r="CD35" i="13"/>
  <c r="J100" i="13"/>
  <c r="R100" i="13"/>
  <c r="Z100" i="13"/>
  <c r="AH100" i="13"/>
  <c r="AP100" i="13"/>
  <c r="AX100" i="13"/>
  <c r="BF100" i="13"/>
  <c r="BN100" i="13"/>
  <c r="BV100" i="13"/>
  <c r="CD100" i="13"/>
  <c r="AV47" i="13"/>
  <c r="E48" i="13"/>
  <c r="E47" i="13" s="1"/>
  <c r="M48" i="13"/>
  <c r="U48" i="13"/>
  <c r="AC48" i="13"/>
  <c r="AK48" i="13"/>
  <c r="AK47" i="13" s="1"/>
  <c r="AS48" i="13"/>
  <c r="BA48" i="13"/>
  <c r="BI48" i="13"/>
  <c r="BQ48" i="13"/>
  <c r="BY48" i="13"/>
  <c r="CG48" i="13"/>
  <c r="J48" i="13"/>
  <c r="R48" i="13"/>
  <c r="Z48" i="13"/>
  <c r="AH48" i="13"/>
  <c r="AP48" i="13"/>
  <c r="AX48" i="13"/>
  <c r="BF48" i="13"/>
  <c r="BN48" i="13"/>
  <c r="BN47" i="13" s="1"/>
  <c r="BV48" i="13"/>
  <c r="BV47" i="13" s="1"/>
  <c r="CD48" i="13"/>
  <c r="D76" i="13"/>
  <c r="BL62" i="13"/>
  <c r="BT62" i="13"/>
  <c r="CB62" i="13"/>
  <c r="L62" i="13"/>
  <c r="T62" i="13"/>
  <c r="T47" i="13" s="1"/>
  <c r="AB62" i="13"/>
  <c r="AJ62" i="13"/>
  <c r="AJ47" i="13" s="1"/>
  <c r="AR62" i="13"/>
  <c r="AR47" i="13" s="1"/>
  <c r="AZ62" i="13"/>
  <c r="AZ47" i="13" s="1"/>
  <c r="BH62" i="13"/>
  <c r="BH47" i="13" s="1"/>
  <c r="BP62" i="13"/>
  <c r="BX62" i="13"/>
  <c r="CF62" i="13"/>
  <c r="CF47" i="13" s="1"/>
  <c r="I62" i="13"/>
  <c r="Q62" i="13"/>
  <c r="L35" i="13"/>
  <c r="T35" i="13"/>
  <c r="AB35" i="13"/>
  <c r="AJ35" i="13"/>
  <c r="AR35" i="13"/>
  <c r="AZ35" i="13"/>
  <c r="BH35" i="13"/>
  <c r="BP35" i="13"/>
  <c r="BX35" i="13"/>
  <c r="CF35" i="13"/>
  <c r="F65" i="12"/>
  <c r="D94" i="7"/>
  <c r="D91" i="7"/>
  <c r="D85" i="7"/>
  <c r="D84" i="7" s="1"/>
  <c r="D27" i="2" s="1"/>
  <c r="D79" i="7"/>
  <c r="D75" i="7"/>
  <c r="D70" i="7"/>
  <c r="D66" i="7"/>
  <c r="D62" i="7"/>
  <c r="D57" i="7"/>
  <c r="D52" i="7"/>
  <c r="D48" i="7"/>
  <c r="D43" i="7"/>
  <c r="D38" i="7"/>
  <c r="D32" i="7"/>
  <c r="D28" i="7"/>
  <c r="K535" i="20" a="1"/>
  <c r="AF47" i="13" l="1"/>
  <c r="AD47" i="13"/>
  <c r="N47" i="13"/>
  <c r="I193" i="13"/>
  <c r="U193" i="13"/>
  <c r="H47" i="13"/>
  <c r="G51" i="8"/>
  <c r="K131" i="13"/>
  <c r="K193" i="13" s="1"/>
  <c r="R131" i="13"/>
  <c r="R193" i="13" s="1"/>
  <c r="O131" i="13"/>
  <c r="O193" i="13" s="1"/>
  <c r="U131" i="13"/>
  <c r="D182" i="8"/>
  <c r="D66" i="3" s="1"/>
  <c r="G65" i="8"/>
  <c r="AU100" i="13"/>
  <c r="G37" i="8"/>
  <c r="W100" i="13"/>
  <c r="BW35" i="13"/>
  <c r="G24" i="8"/>
  <c r="BS100" i="13"/>
  <c r="AD109" i="13"/>
  <c r="J18" i="13" s="1"/>
  <c r="AX47" i="13"/>
  <c r="AX109" i="13" s="1"/>
  <c r="O18" i="13" s="1"/>
  <c r="O100" i="13"/>
  <c r="N131" i="13"/>
  <c r="N193" i="13" s="1"/>
  <c r="E193" i="13"/>
  <c r="V131" i="13"/>
  <c r="V193" i="13" s="1"/>
  <c r="AL47" i="13"/>
  <c r="AL109" i="13" s="1"/>
  <c r="L18" i="13" s="1"/>
  <c r="U47" i="13"/>
  <c r="U109" i="13" s="1"/>
  <c r="H17" i="13" s="1"/>
  <c r="BR47" i="13"/>
  <c r="BR109" i="13" s="1"/>
  <c r="T18" i="13" s="1"/>
  <c r="Q47" i="13"/>
  <c r="Q109" i="13" s="1"/>
  <c r="G17" i="13" s="1"/>
  <c r="K48" i="13"/>
  <c r="AS47" i="13"/>
  <c r="J47" i="13"/>
  <c r="J109" i="13" s="1"/>
  <c r="E18" i="13" s="1"/>
  <c r="BB47" i="13"/>
  <c r="BB109" i="13" s="1"/>
  <c r="P18" i="13" s="1"/>
  <c r="BQ47" i="13"/>
  <c r="BQ109" i="13" s="1"/>
  <c r="T17" i="13" s="1"/>
  <c r="BP47" i="13"/>
  <c r="BP109" i="13" s="1"/>
  <c r="T16" i="13" s="1"/>
  <c r="CG47" i="13"/>
  <c r="CG109" i="13" s="1"/>
  <c r="X17" i="13" s="1"/>
  <c r="AI35" i="13"/>
  <c r="AY100" i="13"/>
  <c r="AT109" i="13"/>
  <c r="N18" i="13" s="1"/>
  <c r="T193" i="13"/>
  <c r="BV109" i="13"/>
  <c r="U18" i="13" s="1"/>
  <c r="L47" i="13"/>
  <c r="L109" i="13" s="1"/>
  <c r="F16" i="13" s="1"/>
  <c r="H131" i="13"/>
  <c r="BD47" i="13"/>
  <c r="BD109" i="13" s="1"/>
  <c r="Q16" i="13" s="1"/>
  <c r="AE35" i="13"/>
  <c r="P193" i="13"/>
  <c r="Y47" i="13"/>
  <c r="Y109" i="13" s="1"/>
  <c r="I17" i="13" s="1"/>
  <c r="AG47" i="13"/>
  <c r="AG109" i="13" s="1"/>
  <c r="K17" i="13" s="1"/>
  <c r="CA100" i="13"/>
  <c r="K100" i="13"/>
  <c r="CA35" i="13"/>
  <c r="G35" i="13"/>
  <c r="BG100" i="13"/>
  <c r="CE35" i="13"/>
  <c r="AI62" i="13"/>
  <c r="K35" i="13"/>
  <c r="AM48" i="13"/>
  <c r="CE100" i="13"/>
  <c r="AM35" i="13"/>
  <c r="AI100" i="13"/>
  <c r="BC76" i="13"/>
  <c r="BG35" i="13"/>
  <c r="BO62" i="13"/>
  <c r="CE76" i="13"/>
  <c r="BS48" i="13"/>
  <c r="CA62" i="13"/>
  <c r="BS35" i="13"/>
  <c r="AE48" i="13"/>
  <c r="AM62" i="13"/>
  <c r="G100" i="13"/>
  <c r="BK100" i="13"/>
  <c r="AA76" i="13"/>
  <c r="AM100" i="13"/>
  <c r="BC62" i="13"/>
  <c r="AA35" i="13"/>
  <c r="BK35" i="13"/>
  <c r="S48" i="13"/>
  <c r="O76" i="13"/>
  <c r="AQ100" i="13"/>
  <c r="BG76" i="13"/>
  <c r="AA100" i="13"/>
  <c r="G62" i="13"/>
  <c r="BO100" i="13"/>
  <c r="BS76" i="13"/>
  <c r="AQ48" i="13"/>
  <c r="S62" i="13"/>
  <c r="AU35" i="13"/>
  <c r="AY62" i="13"/>
  <c r="AA62" i="13"/>
  <c r="K76" i="13"/>
  <c r="AU76" i="13"/>
  <c r="AQ35" i="13"/>
  <c r="BO48" i="13"/>
  <c r="AE62" i="13"/>
  <c r="CI76" i="13"/>
  <c r="AY48" i="13"/>
  <c r="S76" i="13"/>
  <c r="K535" i="20"/>
  <c r="M535" i="20" s="1"/>
  <c r="E36" i="8"/>
  <c r="E98" i="8" s="1"/>
  <c r="D23" i="3" s="1"/>
  <c r="D36" i="8"/>
  <c r="D98" i="8" s="1"/>
  <c r="F36" i="8"/>
  <c r="F98" i="8" s="1"/>
  <c r="F24" i="7"/>
  <c r="F24" i="2" s="1"/>
  <c r="F89" i="7"/>
  <c r="F28" i="2" s="1"/>
  <c r="F51" i="7"/>
  <c r="F37" i="7"/>
  <c r="F65" i="7"/>
  <c r="F26" i="2" s="1"/>
  <c r="D89" i="7"/>
  <c r="D28" i="2" s="1"/>
  <c r="F70" i="12"/>
  <c r="G70" i="12"/>
  <c r="D65" i="7"/>
  <c r="D26" i="2" s="1"/>
  <c r="S131" i="13"/>
  <c r="J131" i="13"/>
  <c r="J193" i="13" s="1"/>
  <c r="AA48" i="13"/>
  <c r="BW48" i="13"/>
  <c r="W62" i="13"/>
  <c r="BC48" i="13"/>
  <c r="CE48" i="13"/>
  <c r="CI35" i="13"/>
  <c r="BK48" i="13"/>
  <c r="AE100" i="13"/>
  <c r="Q131" i="13"/>
  <c r="Q193" i="13" s="1"/>
  <c r="AY35" i="13"/>
  <c r="BF47" i="13"/>
  <c r="BF109" i="13" s="1"/>
  <c r="Q18" i="13" s="1"/>
  <c r="BS62" i="13"/>
  <c r="M131" i="13"/>
  <c r="M193" i="13" s="1"/>
  <c r="L193" i="13"/>
  <c r="I47" i="13"/>
  <c r="I109" i="13" s="1"/>
  <c r="E17" i="13" s="1"/>
  <c r="BJ47" i="13"/>
  <c r="BJ109" i="13" s="1"/>
  <c r="R18" i="13" s="1"/>
  <c r="W131" i="13"/>
  <c r="W193" i="13" s="1"/>
  <c r="BC35" i="13"/>
  <c r="D131" i="13"/>
  <c r="D193" i="13" s="1"/>
  <c r="D29" i="12" s="1"/>
  <c r="F47" i="13"/>
  <c r="F109" i="13" s="1"/>
  <c r="D18" i="13" s="1"/>
  <c r="BG48" i="13"/>
  <c r="BO35" i="13"/>
  <c r="BW76" i="13"/>
  <c r="BO76" i="13"/>
  <c r="BC100" i="13"/>
  <c r="O35" i="13"/>
  <c r="P47" i="13"/>
  <c r="P109" i="13" s="1"/>
  <c r="G16" i="13" s="1"/>
  <c r="CH47" i="13"/>
  <c r="AE76" i="13"/>
  <c r="AJ109" i="13"/>
  <c r="L16" i="13" s="1"/>
  <c r="AN47" i="13"/>
  <c r="AN109" i="13" s="1"/>
  <c r="M16" i="13" s="1"/>
  <c r="CH109" i="13"/>
  <c r="X18" i="13" s="1"/>
  <c r="K62" i="13"/>
  <c r="CA76" i="13"/>
  <c r="BG62" i="13"/>
  <c r="G76" i="13"/>
  <c r="W35" i="13"/>
  <c r="CI48" i="13"/>
  <c r="AU48" i="13"/>
  <c r="BA47" i="13"/>
  <c r="BA109" i="13" s="1"/>
  <c r="P17" i="13" s="1"/>
  <c r="G131" i="13"/>
  <c r="G193" i="13" s="1"/>
  <c r="BW62" i="13"/>
  <c r="S100" i="13"/>
  <c r="CE62" i="13"/>
  <c r="O48" i="13"/>
  <c r="CA48" i="13"/>
  <c r="CD47" i="13"/>
  <c r="N109" i="13"/>
  <c r="F18" i="13" s="1"/>
  <c r="BT47" i="13"/>
  <c r="BT109" i="13" s="1"/>
  <c r="U16" i="13" s="1"/>
  <c r="X131" i="13"/>
  <c r="X193" i="13" s="1"/>
  <c r="BK76" i="13"/>
  <c r="AQ76" i="13"/>
  <c r="BX47" i="13"/>
  <c r="BX109" i="13" s="1"/>
  <c r="V16" i="13" s="1"/>
  <c r="M47" i="13"/>
  <c r="M109" i="13" s="1"/>
  <c r="F17" i="13" s="1"/>
  <c r="BK62" i="13"/>
  <c r="CI62" i="13"/>
  <c r="W76" i="13"/>
  <c r="BM47" i="13"/>
  <c r="BM109" i="13" s="1"/>
  <c r="S17" i="13" s="1"/>
  <c r="E26" i="12" s="1"/>
  <c r="AM76" i="13"/>
  <c r="F193" i="13"/>
  <c r="BI47" i="13"/>
  <c r="BI109" i="13" s="1"/>
  <c r="R17" i="13" s="1"/>
  <c r="AI76" i="13"/>
  <c r="AP47" i="13"/>
  <c r="AP109" i="13" s="1"/>
  <c r="M18" i="13" s="1"/>
  <c r="S193" i="13"/>
  <c r="E29" i="12" s="1"/>
  <c r="AB47" i="13"/>
  <c r="AB109" i="13" s="1"/>
  <c r="J16" i="13" s="1"/>
  <c r="BL47" i="13"/>
  <c r="BL109" i="13" s="1"/>
  <c r="S16" i="13" s="1"/>
  <c r="AH47" i="13"/>
  <c r="AH109" i="13" s="1"/>
  <c r="K18" i="13" s="1"/>
  <c r="AV109" i="13"/>
  <c r="O16" i="13" s="1"/>
  <c r="BU109" i="13"/>
  <c r="U17" i="13" s="1"/>
  <c r="AI48" i="13"/>
  <c r="AW47" i="13"/>
  <c r="AW109" i="13" s="1"/>
  <c r="O17" i="13" s="1"/>
  <c r="AK109" i="13"/>
  <c r="L17" i="13" s="1"/>
  <c r="CC47" i="13"/>
  <c r="CC109" i="13" s="1"/>
  <c r="W17" i="13" s="1"/>
  <c r="G48" i="13"/>
  <c r="O62" i="13"/>
  <c r="R47" i="13"/>
  <c r="R109" i="13" s="1"/>
  <c r="G18" i="13" s="1"/>
  <c r="E109" i="13"/>
  <c r="D17" i="13" s="1"/>
  <c r="D26" i="12" s="1"/>
  <c r="BZ47" i="13"/>
  <c r="BZ109" i="13" s="1"/>
  <c r="V18" i="13" s="1"/>
  <c r="AU62" i="13"/>
  <c r="AQ62" i="13"/>
  <c r="S35" i="13"/>
  <c r="AY76" i="13"/>
  <c r="H193" i="13"/>
  <c r="V47" i="13"/>
  <c r="V109" i="13" s="1"/>
  <c r="H18" i="13" s="1"/>
  <c r="AO47" i="13"/>
  <c r="AO109" i="13" s="1"/>
  <c r="M17" i="13" s="1"/>
  <c r="AS109" i="13"/>
  <c r="N17" i="13" s="1"/>
  <c r="W48" i="13"/>
  <c r="D109" i="13"/>
  <c r="D16" i="13" s="1"/>
  <c r="D25" i="12" s="1"/>
  <c r="X109" i="13"/>
  <c r="I16" i="13" s="1"/>
  <c r="BE109" i="13"/>
  <c r="Q17" i="13" s="1"/>
  <c r="BN109" i="13"/>
  <c r="S18" i="13" s="1"/>
  <c r="H109" i="13"/>
  <c r="E16" i="13" s="1"/>
  <c r="BY47" i="13"/>
  <c r="BY109" i="13" s="1"/>
  <c r="V17" i="13" s="1"/>
  <c r="BH109" i="13"/>
  <c r="R16" i="13" s="1"/>
  <c r="CB47" i="13"/>
  <c r="CB109" i="13" s="1"/>
  <c r="W16" i="13" s="1"/>
  <c r="AC47" i="13"/>
  <c r="AC109" i="13" s="1"/>
  <c r="J17" i="13" s="1"/>
  <c r="AF109" i="13"/>
  <c r="K16" i="13" s="1"/>
  <c r="CD109" i="13"/>
  <c r="W18" i="13" s="1"/>
  <c r="Z109" i="13"/>
  <c r="I18" i="13" s="1"/>
  <c r="AZ109" i="13"/>
  <c r="P16" i="13" s="1"/>
  <c r="AR109" i="13"/>
  <c r="N16" i="13" s="1"/>
  <c r="CF109" i="13"/>
  <c r="X16" i="13" s="1"/>
  <c r="T109" i="13"/>
  <c r="H16" i="13" s="1"/>
  <c r="J104" i="15" l="1"/>
  <c r="J103" i="15"/>
  <c r="S104" i="15"/>
  <c r="S103" i="15"/>
  <c r="L104" i="15"/>
  <c r="L103" i="15"/>
  <c r="I104" i="15"/>
  <c r="I103" i="15"/>
  <c r="M104" i="15"/>
  <c r="M103" i="15"/>
  <c r="G36" i="8"/>
  <c r="P104" i="15"/>
  <c r="P103" i="15"/>
  <c r="E103" i="15"/>
  <c r="E104" i="15"/>
  <c r="N103" i="15"/>
  <c r="N104" i="15"/>
  <c r="Q103" i="15"/>
  <c r="Q104" i="15"/>
  <c r="F104" i="15"/>
  <c r="F103" i="15"/>
  <c r="O103" i="15"/>
  <c r="O104" i="15"/>
  <c r="H104" i="15"/>
  <c r="H103" i="15"/>
  <c r="R103" i="15"/>
  <c r="R104" i="15"/>
  <c r="G103" i="15"/>
  <c r="G104" i="15"/>
  <c r="K104" i="15"/>
  <c r="K103" i="15"/>
  <c r="D27" i="12"/>
  <c r="D129" i="15"/>
  <c r="D103" i="15"/>
  <c r="D71" i="15" s="1"/>
  <c r="T105" i="15" s="1"/>
  <c r="D104" i="15"/>
  <c r="G98" i="8"/>
  <c r="E29" i="11" s="1"/>
  <c r="K47" i="13"/>
  <c r="K109" i="13" s="1"/>
  <c r="BW47" i="13"/>
  <c r="BW109" i="13" s="1"/>
  <c r="AY47" i="13"/>
  <c r="AY109" i="13" s="1"/>
  <c r="AA47" i="13"/>
  <c r="AA109" i="13" s="1"/>
  <c r="BK47" i="13"/>
  <c r="BK109" i="13" s="1"/>
  <c r="AI47" i="13"/>
  <c r="AI109" i="13" s="1"/>
  <c r="AE47" i="13"/>
  <c r="AE109" i="13" s="1"/>
  <c r="BS47" i="13"/>
  <c r="BS109" i="13" s="1"/>
  <c r="AM47" i="13"/>
  <c r="AM109" i="13" s="1"/>
  <c r="W47" i="13"/>
  <c r="W109" i="13" s="1"/>
  <c r="G47" i="13"/>
  <c r="G109" i="13" s="1"/>
  <c r="BC47" i="13"/>
  <c r="BC109" i="13" s="1"/>
  <c r="S47" i="13"/>
  <c r="S109" i="13" s="1"/>
  <c r="BO47" i="13"/>
  <c r="BO109" i="13" s="1"/>
  <c r="BG47" i="13"/>
  <c r="BG109" i="13" s="1"/>
  <c r="CA47" i="13"/>
  <c r="CA109" i="13" s="1"/>
  <c r="CE47" i="13"/>
  <c r="CE109" i="13" s="1"/>
  <c r="AQ47" i="13"/>
  <c r="AQ109" i="13" s="1"/>
  <c r="AU47" i="13"/>
  <c r="AU109" i="13" s="1"/>
  <c r="M87" i="19"/>
  <c r="C43" i="12"/>
  <c r="C42" i="12"/>
  <c r="I43" i="12"/>
  <c r="D22" i="3"/>
  <c r="E24" i="11"/>
  <c r="E25" i="11"/>
  <c r="D24" i="3"/>
  <c r="E28" i="11"/>
  <c r="M90" i="19"/>
  <c r="F36" i="7"/>
  <c r="F25" i="2" s="1"/>
  <c r="D17" i="15"/>
  <c r="O47" i="13"/>
  <c r="O109" i="13" s="1"/>
  <c r="CI47" i="13"/>
  <c r="CI109" i="13" s="1"/>
  <c r="K361" i="20" a="1"/>
  <c r="K360" i="20" a="1"/>
  <c r="K362" i="20" a="1"/>
  <c r="K264" i="20" a="1"/>
  <c r="K263" i="20" a="1"/>
  <c r="K363" i="20" a="1"/>
  <c r="K244" i="20" a="1"/>
  <c r="K245" i="20" a="1"/>
  <c r="K539" i="20" a="1"/>
  <c r="K244" i="20" l="1"/>
  <c r="M244" i="20" s="1"/>
  <c r="K263" i="20"/>
  <c r="M263" i="20" s="1"/>
  <c r="K264" i="20"/>
  <c r="M264" i="20" s="1"/>
  <c r="E30" i="11"/>
  <c r="K245" i="20"/>
  <c r="M245" i="20" s="1"/>
  <c r="K539" i="20"/>
  <c r="M539" i="20" s="1"/>
  <c r="M94" i="19"/>
  <c r="K361" i="20"/>
  <c r="M361" i="20" s="1"/>
  <c r="K362" i="20"/>
  <c r="M362" i="20" s="1"/>
  <c r="K363" i="20"/>
  <c r="M363" i="20" s="1"/>
  <c r="K360" i="20"/>
  <c r="M360" i="20" s="1"/>
  <c r="D25" i="3"/>
  <c r="E22" i="3" s="1"/>
  <c r="F98" i="7"/>
  <c r="J47" i="12"/>
  <c r="J48" i="12"/>
  <c r="C40" i="12"/>
  <c r="C51" i="12"/>
  <c r="D51" i="12"/>
  <c r="E40" i="12"/>
  <c r="D40" i="12"/>
  <c r="D39" i="12"/>
  <c r="E50" i="12"/>
  <c r="D50" i="12"/>
  <c r="E39" i="12"/>
  <c r="J46" i="12"/>
  <c r="I42" i="12"/>
  <c r="J45" i="12" s="1"/>
  <c r="I41" i="12"/>
  <c r="J44" i="12" s="1"/>
  <c r="C46" i="12"/>
  <c r="C45" i="12"/>
  <c r="C44" i="12"/>
  <c r="C41" i="12"/>
  <c r="T52" i="15"/>
  <c r="S51" i="15"/>
  <c r="R51" i="15"/>
  <c r="Q51" i="15"/>
  <c r="P51" i="15"/>
  <c r="O51" i="15"/>
  <c r="N51" i="15"/>
  <c r="M51" i="15"/>
  <c r="L51" i="15"/>
  <c r="K51" i="15"/>
  <c r="J51" i="15"/>
  <c r="I51" i="15"/>
  <c r="H51" i="15"/>
  <c r="G51" i="15"/>
  <c r="F51" i="15"/>
  <c r="E51" i="15"/>
  <c r="D51" i="15"/>
  <c r="D50" i="15"/>
  <c r="K265" i="20" a="1"/>
  <c r="K265" i="20" l="1"/>
  <c r="M265" i="20" s="1"/>
  <c r="N362" i="20"/>
  <c r="N363" i="20"/>
  <c r="N360" i="20"/>
  <c r="N361" i="20"/>
  <c r="E66" i="3"/>
  <c r="E24" i="3"/>
  <c r="F35" i="19"/>
  <c r="E23" i="3"/>
  <c r="T53" i="15"/>
  <c r="D52" i="15"/>
  <c r="D25" i="7"/>
  <c r="D24" i="7" s="1"/>
  <c r="D24" i="2" s="1"/>
  <c r="F29" i="2"/>
  <c r="E25" i="3" l="1"/>
  <c r="I44" i="19" s="1"/>
  <c r="D128" i="15"/>
  <c r="D127" i="15"/>
  <c r="E36" i="10"/>
  <c r="D36" i="10"/>
  <c r="D19" i="13"/>
  <c r="H28" i="13" s="1"/>
  <c r="D28" i="12"/>
  <c r="D51" i="7"/>
  <c r="D37" i="7"/>
  <c r="F26" i="12" l="1"/>
  <c r="F25" i="12"/>
  <c r="F27" i="12"/>
  <c r="E55" i="19"/>
  <c r="D130" i="15"/>
  <c r="D131" i="15" s="1"/>
  <c r="D36" i="7"/>
  <c r="D25" i="2" s="1"/>
  <c r="C59" i="19"/>
  <c r="E50" i="15"/>
  <c r="E52" i="15" s="1"/>
  <c r="E19" i="13"/>
  <c r="D59" i="19" s="1"/>
  <c r="E37" i="10"/>
  <c r="F37" i="10" s="1"/>
  <c r="M89" i="19" l="1"/>
  <c r="D98" i="7"/>
  <c r="F28" i="12"/>
  <c r="D29" i="2"/>
  <c r="F19" i="13"/>
  <c r="E59" i="19" s="1"/>
  <c r="F50" i="15"/>
  <c r="F52" i="15" s="1"/>
  <c r="K538" i="20" a="1"/>
  <c r="E25" i="2" l="1"/>
  <c r="E26" i="2"/>
  <c r="E27" i="2"/>
  <c r="E28" i="2"/>
  <c r="E24" i="2"/>
  <c r="C6" i="2"/>
  <c r="B6" i="17" s="1"/>
  <c r="E93" i="7"/>
  <c r="E71" i="7"/>
  <c r="E45" i="7"/>
  <c r="E92" i="7"/>
  <c r="E68" i="7"/>
  <c r="E46" i="7"/>
  <c r="E90" i="7"/>
  <c r="E69" i="7"/>
  <c r="E47" i="7"/>
  <c r="E42" i="7"/>
  <c r="E60" i="7"/>
  <c r="E39" i="7"/>
  <c r="E61" i="7"/>
  <c r="E80" i="7"/>
  <c r="E77" i="7"/>
  <c r="E55" i="7"/>
  <c r="E97" i="7"/>
  <c r="E50" i="7"/>
  <c r="E88" i="7"/>
  <c r="E67" i="7"/>
  <c r="E44" i="7"/>
  <c r="E64" i="7"/>
  <c r="E40" i="7"/>
  <c r="E86" i="7"/>
  <c r="E63" i="7"/>
  <c r="E41" i="7"/>
  <c r="E59" i="7"/>
  <c r="E82" i="7"/>
  <c r="E83" i="7"/>
  <c r="E58" i="7"/>
  <c r="E78" i="7"/>
  <c r="E76" i="7"/>
  <c r="E72" i="7"/>
  <c r="E95" i="7"/>
  <c r="E74" i="7"/>
  <c r="E87" i="7"/>
  <c r="E54" i="7"/>
  <c r="E56" i="7"/>
  <c r="E53" i="7"/>
  <c r="E96" i="7"/>
  <c r="E49" i="7"/>
  <c r="E81" i="7"/>
  <c r="E73" i="7"/>
  <c r="E35" i="7"/>
  <c r="E30" i="7"/>
  <c r="E29" i="7"/>
  <c r="E27" i="7"/>
  <c r="E26" i="7"/>
  <c r="E33" i="7"/>
  <c r="E34" i="7"/>
  <c r="E31" i="7"/>
  <c r="I51" i="16"/>
  <c r="I60" i="16"/>
  <c r="I59" i="16"/>
  <c r="I49" i="16"/>
  <c r="I58" i="16"/>
  <c r="I56" i="16"/>
  <c r="I54" i="16"/>
  <c r="I50" i="16"/>
  <c r="I52" i="16"/>
  <c r="I57" i="16"/>
  <c r="I55" i="16"/>
  <c r="I53" i="16"/>
  <c r="I48" i="16"/>
  <c r="K538" i="20"/>
  <c r="M538" i="20" s="1"/>
  <c r="F34" i="19"/>
  <c r="E82" i="2"/>
  <c r="E55" i="3" s="1"/>
  <c r="E83" i="2"/>
  <c r="E56" i="3" s="1"/>
  <c r="F36" i="19"/>
  <c r="E84" i="2"/>
  <c r="E57" i="3" s="1"/>
  <c r="I44" i="16"/>
  <c r="I45" i="16"/>
  <c r="I46" i="16"/>
  <c r="I47" i="16"/>
  <c r="I41" i="16"/>
  <c r="I43" i="16"/>
  <c r="I42" i="16"/>
  <c r="G50" i="15"/>
  <c r="G52" i="15" s="1"/>
  <c r="G19" i="13"/>
  <c r="F59" i="19" s="1"/>
  <c r="I61" i="16" l="1"/>
  <c r="C6" i="11"/>
  <c r="C6" i="8"/>
  <c r="C6" i="7"/>
  <c r="C6" i="3"/>
  <c r="C6" i="10"/>
  <c r="C6" i="16"/>
  <c r="E57" i="7"/>
  <c r="E62" i="7"/>
  <c r="E94" i="7"/>
  <c r="E48" i="7"/>
  <c r="E25" i="7"/>
  <c r="E85" i="7"/>
  <c r="E84" i="7" s="1"/>
  <c r="E66" i="7"/>
  <c r="E91" i="7"/>
  <c r="E70" i="7"/>
  <c r="E28" i="7"/>
  <c r="E32" i="7"/>
  <c r="E43" i="7"/>
  <c r="E38" i="7"/>
  <c r="E75" i="7"/>
  <c r="E52" i="7"/>
  <c r="E79" i="7"/>
  <c r="E29" i="2"/>
  <c r="I42" i="19" s="1"/>
  <c r="H50" i="15"/>
  <c r="H52" i="15" s="1"/>
  <c r="H19" i="13"/>
  <c r="G59" i="19" s="1"/>
  <c r="E89" i="7" l="1"/>
  <c r="E24" i="7"/>
  <c r="E65" i="7"/>
  <c r="E51" i="7"/>
  <c r="E37" i="7"/>
  <c r="I50" i="15"/>
  <c r="I52" i="15" s="1"/>
  <c r="I19" i="13"/>
  <c r="H59" i="19" s="1"/>
  <c r="E36" i="7" l="1"/>
  <c r="E98" i="7" s="1"/>
  <c r="I43" i="19" s="1"/>
  <c r="J50" i="15"/>
  <c r="J52" i="15" s="1"/>
  <c r="J19" i="13"/>
  <c r="I59" i="19" s="1"/>
  <c r="K50" i="15" l="1"/>
  <c r="K52" i="15" s="1"/>
  <c r="K19" i="13"/>
  <c r="J59" i="19" s="1"/>
  <c r="L50" i="15" l="1"/>
  <c r="L52" i="15" s="1"/>
  <c r="L19" i="13"/>
  <c r="K59" i="19" s="1"/>
  <c r="M50" i="15" l="1"/>
  <c r="M52" i="15" s="1"/>
  <c r="M19" i="13"/>
  <c r="L59" i="19" s="1"/>
  <c r="N50" i="15" l="1"/>
  <c r="N52" i="15" s="1"/>
  <c r="N19" i="13"/>
  <c r="M59" i="19" s="1"/>
  <c r="O50" i="15" l="1"/>
  <c r="O52" i="15" s="1"/>
  <c r="O19" i="13"/>
  <c r="N59" i="19" s="1"/>
  <c r="P50" i="15" l="1"/>
  <c r="P52" i="15" s="1"/>
  <c r="P19" i="13"/>
  <c r="O59" i="19" s="1"/>
  <c r="E27" i="12" l="1"/>
  <c r="J58" i="12" s="1"/>
  <c r="D72" i="15"/>
  <c r="V113" i="15" s="1"/>
  <c r="Q50" i="15"/>
  <c r="Q52" i="15" s="1"/>
  <c r="Q19" i="13"/>
  <c r="P59" i="19" s="1"/>
  <c r="U107" i="15" l="1"/>
  <c r="V112" i="15"/>
  <c r="U108" i="15"/>
  <c r="C109" i="15"/>
  <c r="D73" i="15"/>
  <c r="C111" i="15"/>
  <c r="C108" i="15"/>
  <c r="C107" i="15"/>
  <c r="C110" i="15"/>
  <c r="U106" i="15"/>
  <c r="C106" i="15"/>
  <c r="C73" i="15"/>
  <c r="C54" i="12"/>
  <c r="C53" i="12"/>
  <c r="I52" i="12"/>
  <c r="J55" i="12" s="1"/>
  <c r="C57" i="12"/>
  <c r="C56" i="12"/>
  <c r="C55" i="12"/>
  <c r="J59" i="12"/>
  <c r="E51" i="12"/>
  <c r="I53" i="12"/>
  <c r="J56" i="12" s="1"/>
  <c r="C52" i="12"/>
  <c r="I54" i="12"/>
  <c r="J57" i="12" s="1"/>
  <c r="R50" i="15"/>
  <c r="R52" i="15" s="1"/>
  <c r="R19" i="13"/>
  <c r="Q59" i="19" s="1"/>
  <c r="K364" i="20" a="1"/>
  <c r="K367" i="20" a="1"/>
  <c r="K365" i="20" a="1"/>
  <c r="K366" i="20" a="1"/>
  <c r="K365" i="20" l="1"/>
  <c r="M365" i="20" s="1"/>
  <c r="K366" i="20"/>
  <c r="M366" i="20" s="1"/>
  <c r="K364" i="20"/>
  <c r="M364" i="20" s="1"/>
  <c r="K367" i="20"/>
  <c r="M367" i="20" s="1"/>
  <c r="E25" i="12"/>
  <c r="S19" i="13"/>
  <c r="M28" i="13" s="1"/>
  <c r="S50" i="15"/>
  <c r="S52" i="15" s="1"/>
  <c r="Z27" i="13" l="1"/>
  <c r="Y20" i="13"/>
  <c r="Z26" i="13"/>
  <c r="C20" i="12" s="1"/>
  <c r="C23" i="13"/>
  <c r="Y22" i="13"/>
  <c r="Z25" i="13" s="1"/>
  <c r="C20" i="13"/>
  <c r="Y21" i="13"/>
  <c r="Z24" i="13" s="1"/>
  <c r="C22" i="13"/>
  <c r="C24" i="13"/>
  <c r="C21" i="13"/>
  <c r="C25" i="13"/>
  <c r="N367" i="20"/>
  <c r="N366" i="20"/>
  <c r="N365" i="20"/>
  <c r="N364" i="20"/>
  <c r="C32" i="12"/>
  <c r="C31" i="12"/>
  <c r="Z23" i="13"/>
  <c r="R59" i="19"/>
  <c r="C35" i="12"/>
  <c r="E28" i="12"/>
  <c r="I30" i="12"/>
  <c r="J33" i="12" s="1"/>
  <c r="C30" i="12"/>
  <c r="C34" i="12"/>
  <c r="I32" i="12"/>
  <c r="J35" i="12" s="1"/>
  <c r="J36" i="12"/>
  <c r="J37" i="12"/>
  <c r="I31" i="12"/>
  <c r="J34" i="12" s="1"/>
  <c r="C33" i="12"/>
  <c r="T19" i="13"/>
  <c r="S59" i="19" s="1"/>
  <c r="K403" i="20" a="1"/>
  <c r="K357" i="20" a="1"/>
  <c r="K389" i="20" a="1"/>
  <c r="K356" i="20" a="1"/>
  <c r="K386" i="20" a="1"/>
  <c r="K387" i="20" a="1"/>
  <c r="K404" i="20" a="1"/>
  <c r="K405" i="20" a="1"/>
  <c r="K358" i="20" a="1"/>
  <c r="K388" i="20" a="1"/>
  <c r="K359" i="20" a="1"/>
  <c r="K345" i="20" a="1"/>
  <c r="K406" i="20" a="1"/>
  <c r="J55" i="19" l="1"/>
  <c r="G25" i="12"/>
  <c r="G26" i="12"/>
  <c r="G27" i="12"/>
  <c r="K389" i="20"/>
  <c r="M389" i="20" s="1"/>
  <c r="K386" i="20"/>
  <c r="M386" i="20" s="1"/>
  <c r="K388" i="20"/>
  <c r="M388" i="20" s="1"/>
  <c r="K387" i="20"/>
  <c r="M387" i="20" s="1"/>
  <c r="K345" i="20"/>
  <c r="M345" i="20" s="1"/>
  <c r="K403" i="20"/>
  <c r="M403" i="20" s="1"/>
  <c r="K404" i="20"/>
  <c r="M404" i="20" s="1"/>
  <c r="K405" i="20"/>
  <c r="M405" i="20" s="1"/>
  <c r="K406" i="20"/>
  <c r="M406" i="20" s="1"/>
  <c r="K357" i="20"/>
  <c r="M357" i="20" s="1"/>
  <c r="K359" i="20"/>
  <c r="M359" i="20" s="1"/>
  <c r="K356" i="20"/>
  <c r="K358" i="20"/>
  <c r="M358" i="20" s="1"/>
  <c r="U19" i="13"/>
  <c r="T59" i="19" s="1"/>
  <c r="N406" i="20" l="1"/>
  <c r="N405" i="20"/>
  <c r="N403" i="20"/>
  <c r="N404" i="20"/>
  <c r="N359" i="20"/>
  <c r="N358" i="20"/>
  <c r="M356" i="20"/>
  <c r="N356" i="20" s="1"/>
  <c r="G28" i="12"/>
  <c r="V19" i="13"/>
  <c r="U59" i="19" s="1"/>
  <c r="N357" i="20" l="1"/>
  <c r="W19" i="13"/>
  <c r="V59" i="19" s="1"/>
  <c r="X19" i="13" l="1"/>
  <c r="W59" i="19" s="1"/>
  <c r="V109" i="15" l="1"/>
  <c r="V111" i="15"/>
  <c r="C75" i="15"/>
  <c r="V110" i="15"/>
  <c r="D18" i="15"/>
  <c r="V61" i="15" s="1"/>
  <c r="K466" i="20" a="1"/>
  <c r="K467" i="20" a="1"/>
  <c r="K449" i="20" a="1"/>
  <c r="K448" i="20" a="1"/>
  <c r="K468" i="20" a="1"/>
  <c r="K470" i="20" a="1"/>
  <c r="K451" i="20" a="1"/>
  <c r="K464" i="20" a="1"/>
  <c r="K450" i="20" a="1"/>
  <c r="K443" i="20" a="1"/>
  <c r="K465" i="20" a="1"/>
  <c r="C57" i="15" l="1"/>
  <c r="C59" i="15"/>
  <c r="U55" i="15"/>
  <c r="V58" i="15" s="1"/>
  <c r="C55" i="15"/>
  <c r="C56" i="15"/>
  <c r="U56" i="15"/>
  <c r="V59" i="15" s="1"/>
  <c r="U54" i="15"/>
  <c r="V57" i="15" s="1"/>
  <c r="V60" i="15"/>
  <c r="C58" i="15"/>
  <c r="K468" i="20"/>
  <c r="M468" i="20" s="1"/>
  <c r="K467" i="20"/>
  <c r="M467" i="20" s="1"/>
  <c r="K464" i="20"/>
  <c r="M464" i="20" s="1"/>
  <c r="K465" i="20"/>
  <c r="M465" i="20" s="1"/>
  <c r="K466" i="20"/>
  <c r="M466" i="20" s="1"/>
  <c r="K470" i="20"/>
  <c r="M470" i="20" s="1"/>
  <c r="C19" i="15"/>
  <c r="K443" i="20"/>
  <c r="M443" i="20" s="1"/>
  <c r="K451" i="20"/>
  <c r="M451" i="20" s="1"/>
  <c r="K450" i="20"/>
  <c r="M450" i="20" s="1"/>
  <c r="K448" i="20"/>
  <c r="M448" i="20" s="1"/>
  <c r="K449" i="20"/>
  <c r="M449" i="20" s="1"/>
  <c r="K437" i="20" a="1"/>
  <c r="K430" i="20" a="1"/>
  <c r="K429" i="20" a="1"/>
  <c r="K438" i="20" a="1"/>
  <c r="K439" i="20" a="1"/>
  <c r="K440" i="20" a="1"/>
  <c r="C21" i="15" l="1"/>
  <c r="K429" i="20"/>
  <c r="M429" i="20" s="1"/>
  <c r="N449" i="20"/>
  <c r="N448" i="20"/>
  <c r="N450" i="20"/>
  <c r="N451" i="20"/>
  <c r="K438" i="20"/>
  <c r="M438" i="20" s="1"/>
  <c r="K437" i="20"/>
  <c r="M437" i="20" s="1"/>
  <c r="K439" i="20"/>
  <c r="M439" i="20" s="1"/>
  <c r="K440" i="20"/>
  <c r="M440" i="20" s="1"/>
  <c r="K430" i="20"/>
  <c r="M430" i="20" s="1"/>
  <c r="D19" i="15"/>
  <c r="K469" i="20" a="1"/>
  <c r="K431" i="20" a="1"/>
  <c r="K469" i="20" l="1"/>
  <c r="M469" i="20" s="1"/>
  <c r="N429" i="20"/>
  <c r="N437" i="20"/>
  <c r="N430" i="20"/>
  <c r="K431" i="20"/>
  <c r="M431" i="20" s="1"/>
  <c r="N438" i="20"/>
  <c r="N440" i="20"/>
  <c r="N439" i="20"/>
  <c r="E29" i="18"/>
  <c r="E25" i="18"/>
  <c r="E24" i="18"/>
  <c r="E18" i="18"/>
  <c r="M21" i="9"/>
  <c r="H21" i="9"/>
  <c r="G21" i="9"/>
  <c r="F21" i="9"/>
  <c r="E21" i="9"/>
  <c r="C21" i="9"/>
  <c r="B21" i="9"/>
  <c r="A21" i="9"/>
  <c r="M20" i="9"/>
  <c r="H20" i="9"/>
  <c r="G20" i="9"/>
  <c r="F20" i="9"/>
  <c r="E20" i="9"/>
  <c r="C20" i="9"/>
  <c r="B20" i="9"/>
  <c r="A20" i="9"/>
  <c r="M19" i="9"/>
  <c r="H19" i="9"/>
  <c r="G19" i="9"/>
  <c r="F19" i="9"/>
  <c r="E19" i="9"/>
  <c r="C19" i="9"/>
  <c r="B19" i="9"/>
  <c r="A19" i="9"/>
  <c r="M18" i="9"/>
  <c r="I18" i="9"/>
  <c r="H18" i="9"/>
  <c r="G18" i="9"/>
  <c r="F18" i="9"/>
  <c r="E18" i="9"/>
  <c r="C18" i="9"/>
  <c r="B18" i="9"/>
  <c r="A18" i="9"/>
  <c r="O17" i="9"/>
  <c r="N17" i="9"/>
  <c r="M17" i="9"/>
  <c r="H17" i="9"/>
  <c r="G17" i="9"/>
  <c r="F17" i="9"/>
  <c r="E17" i="9"/>
  <c r="C17" i="9"/>
  <c r="B17" i="9"/>
  <c r="A17" i="9"/>
  <c r="O16" i="9"/>
  <c r="N16" i="9"/>
  <c r="M16" i="9"/>
  <c r="H16" i="9"/>
  <c r="G16" i="9"/>
  <c r="E16" i="9"/>
  <c r="C16" i="9"/>
  <c r="B16" i="9"/>
  <c r="A16" i="9"/>
  <c r="O15" i="9"/>
  <c r="N15" i="9"/>
  <c r="M15" i="9"/>
  <c r="H15" i="9"/>
  <c r="G15" i="9"/>
  <c r="E15" i="9"/>
  <c r="C15" i="9"/>
  <c r="B15" i="9"/>
  <c r="A15" i="9"/>
  <c r="R14" i="9"/>
  <c r="O14" i="9"/>
  <c r="N14" i="9"/>
  <c r="M14" i="9"/>
  <c r="H14" i="9"/>
  <c r="G14" i="9"/>
  <c r="F14" i="9"/>
  <c r="E14" i="9"/>
  <c r="C14" i="9"/>
  <c r="B14" i="9"/>
  <c r="A14" i="9"/>
  <c r="R13" i="9"/>
  <c r="O13" i="9"/>
  <c r="N13" i="9"/>
  <c r="M13" i="9"/>
  <c r="H13" i="9"/>
  <c r="G13" i="9"/>
  <c r="F13" i="9"/>
  <c r="E13" i="9"/>
  <c r="C13" i="9"/>
  <c r="B13" i="9"/>
  <c r="A13" i="9"/>
  <c r="R12" i="9"/>
  <c r="O12" i="9"/>
  <c r="N12" i="9"/>
  <c r="M12" i="9"/>
  <c r="H12" i="9"/>
  <c r="G12" i="9"/>
  <c r="F12" i="9"/>
  <c r="E12" i="9"/>
  <c r="C12" i="9"/>
  <c r="B12" i="9"/>
  <c r="A12" i="9"/>
  <c r="R11" i="9"/>
  <c r="O11" i="9"/>
  <c r="N11" i="9"/>
  <c r="M11" i="9"/>
  <c r="H11" i="9"/>
  <c r="G11" i="9"/>
  <c r="F11" i="9"/>
  <c r="E11" i="9"/>
  <c r="C11" i="9"/>
  <c r="B11" i="9"/>
  <c r="A11" i="9"/>
  <c r="M10" i="9"/>
  <c r="F10" i="9"/>
  <c r="E10" i="9"/>
  <c r="C10" i="9"/>
  <c r="B10" i="9"/>
  <c r="A10" i="9"/>
  <c r="M9" i="9"/>
  <c r="F9" i="9"/>
  <c r="E9" i="9"/>
  <c r="C9" i="9"/>
  <c r="B9" i="9"/>
  <c r="A9" i="9"/>
  <c r="V8" i="9"/>
  <c r="M8" i="9"/>
  <c r="E8" i="9"/>
  <c r="C8" i="9"/>
  <c r="B8" i="9"/>
  <c r="A8" i="9"/>
  <c r="M7" i="9"/>
  <c r="H7" i="9"/>
  <c r="G7" i="9"/>
  <c r="F7" i="9"/>
  <c r="E7" i="9"/>
  <c r="C7" i="9"/>
  <c r="B7" i="9"/>
  <c r="A7" i="9"/>
  <c r="M6" i="9"/>
  <c r="H6" i="9"/>
  <c r="G6" i="9"/>
  <c r="E6" i="9"/>
  <c r="C6" i="9"/>
  <c r="B6" i="9"/>
  <c r="A6" i="9"/>
  <c r="M5" i="9"/>
  <c r="H5" i="9"/>
  <c r="G5" i="9"/>
  <c r="E5" i="9"/>
  <c r="C5" i="9"/>
  <c r="B5" i="9"/>
  <c r="A5" i="9"/>
  <c r="N27" i="4"/>
  <c r="M27" i="4"/>
  <c r="L27" i="4"/>
  <c r="K27" i="4"/>
  <c r="F27" i="4"/>
  <c r="E27" i="4"/>
  <c r="D27" i="4"/>
  <c r="C27" i="4"/>
  <c r="B27" i="4"/>
  <c r="N26" i="4"/>
  <c r="M26" i="4"/>
  <c r="L26" i="4"/>
  <c r="K26" i="4"/>
  <c r="F26" i="4"/>
  <c r="E26" i="4"/>
  <c r="D26" i="4"/>
  <c r="C26" i="4"/>
  <c r="B26" i="4"/>
  <c r="E25" i="4"/>
  <c r="D25" i="4"/>
  <c r="C25" i="4"/>
  <c r="B25" i="4"/>
  <c r="N24" i="4"/>
  <c r="M24" i="4"/>
  <c r="L24" i="4"/>
  <c r="K24" i="4"/>
  <c r="F24" i="4"/>
  <c r="E24" i="4"/>
  <c r="D24" i="4"/>
  <c r="C24" i="4"/>
  <c r="B24" i="4"/>
  <c r="N23" i="4"/>
  <c r="M23" i="4"/>
  <c r="L23" i="4"/>
  <c r="K23" i="4"/>
  <c r="F23" i="4"/>
  <c r="E23" i="4"/>
  <c r="D23" i="4"/>
  <c r="C23" i="4"/>
  <c r="B23" i="4"/>
  <c r="N22" i="4"/>
  <c r="M22" i="4"/>
  <c r="L22" i="4"/>
  <c r="K22" i="4"/>
  <c r="F22" i="4"/>
  <c r="E22" i="4"/>
  <c r="D22" i="4"/>
  <c r="C22" i="4"/>
  <c r="B22" i="4"/>
  <c r="N21" i="4"/>
  <c r="M21" i="4"/>
  <c r="L21" i="4"/>
  <c r="K21" i="4"/>
  <c r="F21" i="4"/>
  <c r="E21" i="4"/>
  <c r="D21" i="4"/>
  <c r="C21" i="4"/>
  <c r="B21" i="4"/>
  <c r="F20" i="4"/>
  <c r="E20" i="4"/>
  <c r="C20" i="4"/>
  <c r="B20" i="4"/>
  <c r="F19" i="4"/>
  <c r="D19" i="4"/>
  <c r="C19" i="4"/>
  <c r="B19" i="4"/>
  <c r="F18" i="4"/>
  <c r="E18" i="4"/>
  <c r="D18" i="4"/>
  <c r="C18" i="4"/>
  <c r="B18" i="4"/>
  <c r="F17" i="4"/>
  <c r="E17" i="4"/>
  <c r="D17" i="4"/>
  <c r="C17" i="4"/>
  <c r="B17" i="4"/>
  <c r="N16" i="4"/>
  <c r="M16" i="4"/>
  <c r="L16" i="4"/>
  <c r="K16" i="4"/>
  <c r="F16" i="4"/>
  <c r="E16" i="4"/>
  <c r="C16" i="4"/>
  <c r="B16" i="4"/>
  <c r="N15" i="4"/>
  <c r="M15" i="4"/>
  <c r="L15" i="4"/>
  <c r="K15" i="4"/>
  <c r="F15" i="4"/>
  <c r="E15" i="4"/>
  <c r="C15" i="4"/>
  <c r="B15" i="4"/>
  <c r="N14" i="4"/>
  <c r="M14" i="4"/>
  <c r="L14" i="4"/>
  <c r="K14" i="4"/>
  <c r="F14" i="4"/>
  <c r="C14" i="4"/>
  <c r="B14" i="4"/>
  <c r="N13" i="4"/>
  <c r="M13" i="4"/>
  <c r="L13" i="4"/>
  <c r="K13" i="4"/>
  <c r="F13" i="4"/>
  <c r="C13" i="4"/>
  <c r="B13" i="4"/>
  <c r="N12" i="4"/>
  <c r="M12" i="4"/>
  <c r="L12" i="4"/>
  <c r="K12" i="4"/>
  <c r="F12" i="4"/>
  <c r="C12" i="4"/>
  <c r="B12" i="4"/>
  <c r="N11" i="4"/>
  <c r="M11" i="4"/>
  <c r="L11" i="4"/>
  <c r="K11" i="4"/>
  <c r="F11" i="4"/>
  <c r="C11" i="4"/>
  <c r="B11" i="4"/>
  <c r="C57" i="16"/>
  <c r="C56" i="16"/>
  <c r="C55" i="16"/>
  <c r="C54" i="16"/>
  <c r="C53" i="16"/>
  <c r="C52" i="16"/>
  <c r="C51" i="16"/>
  <c r="C50" i="16"/>
  <c r="C49" i="16"/>
  <c r="C48" i="16"/>
  <c r="C47" i="16"/>
  <c r="C46" i="16"/>
  <c r="C45" i="16"/>
  <c r="C44" i="16"/>
  <c r="C43" i="16"/>
  <c r="C42" i="16"/>
  <c r="C41" i="16"/>
  <c r="E69" i="11"/>
  <c r="E37" i="11"/>
  <c r="E38" i="11" s="1"/>
  <c r="D37" i="11"/>
  <c r="D38" i="11" l="1"/>
  <c r="F37" i="11"/>
  <c r="F38" i="11" s="1"/>
  <c r="E56" i="11"/>
  <c r="F69" i="11"/>
  <c r="M88" i="1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<sst xmlns="http://schemas.openxmlformats.org/spreadsheetml/2006/main" count="7382" uniqueCount="2472">
  <si>
    <t>Dansk</t>
  </si>
  <si>
    <t xml:space="preserve">1. </t>
  </si>
  <si>
    <t xml:space="preserve">2. </t>
  </si>
  <si>
    <t xml:space="preserve">3. </t>
  </si>
  <si>
    <t xml:space="preserve">4. </t>
  </si>
  <si>
    <t xml:space="preserve">5. </t>
  </si>
  <si>
    <t xml:space="preserve">6. </t>
  </si>
  <si>
    <t xml:space="preserve">7. </t>
  </si>
  <si>
    <t xml:space="preserve">8. </t>
  </si>
  <si>
    <t xml:space="preserve">9. </t>
  </si>
  <si>
    <t xml:space="preserve">10. </t>
  </si>
  <si>
    <t xml:space="preserve">11. </t>
  </si>
  <si>
    <t xml:space="preserve">12. </t>
  </si>
  <si>
    <t xml:space="preserve">13. </t>
  </si>
  <si>
    <t>Skjult række</t>
  </si>
  <si>
    <t xml:space="preserve">19. </t>
  </si>
  <si>
    <t>20.</t>
  </si>
  <si>
    <t>Branche  [kommer senere]</t>
  </si>
  <si>
    <t>Ekspotentiel</t>
  </si>
  <si>
    <t>Ny</t>
  </si>
  <si>
    <t>Etikets værdi for scope 1 (reduktion)</t>
  </si>
  <si>
    <t>Etikets værdi for scope 1 (stigning)</t>
  </si>
  <si>
    <t>Etikets værdi for scope 2 (reduktion)</t>
  </si>
  <si>
    <t>Etikets værdi for scope 2 (stigning)</t>
  </si>
  <si>
    <t>Etikets værdi for scope 3 (reduktion)</t>
  </si>
  <si>
    <t>Label scope 3 (stigning)</t>
  </si>
  <si>
    <t>Skjult rækker</t>
  </si>
  <si>
    <t>Etikets værdi for scope 1+2+3 (reduktion)</t>
  </si>
  <si>
    <t>Etikets værdi for scope 1+2+3 (stigning)</t>
  </si>
  <si>
    <t xml:space="preserve">Scope 1+2+3 for basisår: </t>
  </si>
  <si>
    <t xml:space="preserve">Scope 1+2+3 for slutår: </t>
  </si>
  <si>
    <t>År</t>
  </si>
  <si>
    <t>[TITEL]</t>
  </si>
  <si>
    <t>Målsætning</t>
  </si>
  <si>
    <t>Etikets værdi for Scope 1+2 (reduktion)</t>
  </si>
  <si>
    <t>Etikets værdi for Scope 1+2 (stigning)</t>
  </si>
  <si>
    <t>Målsætning for scope 3</t>
  </si>
  <si>
    <t>Etikets værdi for scope 3 (stigning)</t>
  </si>
  <si>
    <t>https://sciencebasedtargets.org/net-zero</t>
  </si>
  <si>
    <t>Manuel</t>
  </si>
  <si>
    <t>Energi og processer</t>
  </si>
  <si>
    <t>Elektricitet</t>
  </si>
  <si>
    <t>Forbrug af elektricitet</t>
  </si>
  <si>
    <t>Forbrug af el fra nettet</t>
  </si>
  <si>
    <t>Forbrug af vedvarende el fra egen produktion</t>
  </si>
  <si>
    <t>MWh</t>
  </si>
  <si>
    <t/>
  </si>
  <si>
    <t>DK</t>
  </si>
  <si>
    <t>Miljødeklaration</t>
  </si>
  <si>
    <t>Varme og procesenergi</t>
  </si>
  <si>
    <t>Fjernvarme</t>
  </si>
  <si>
    <t>Varme</t>
  </si>
  <si>
    <t>Indkøb</t>
  </si>
  <si>
    <t>Materialer (primære indkøb)</t>
  </si>
  <si>
    <t>Indkøb af materialer i fysiske enheder</t>
  </si>
  <si>
    <t>Materialegruppe</t>
  </si>
  <si>
    <t>Aluminium (genanvendt)</t>
  </si>
  <si>
    <t>Kg</t>
  </si>
  <si>
    <t>Produkter og services (primære indkøb)</t>
  </si>
  <si>
    <t>Indkøb af produkter i fysiske enheder</t>
  </si>
  <si>
    <t>Produktgruppe</t>
  </si>
  <si>
    <t>Fødevarer</t>
  </si>
  <si>
    <t>Specifikke produkter</t>
  </si>
  <si>
    <t>Kød, lyst</t>
  </si>
  <si>
    <t>Kød, rødt</t>
  </si>
  <si>
    <t>Transport</t>
  </si>
  <si>
    <t>Egne og leasede transportmidler</t>
  </si>
  <si>
    <t>Transportmiddel</t>
  </si>
  <si>
    <t>Varebiler</t>
  </si>
  <si>
    <t>Drivmiddel</t>
  </si>
  <si>
    <t>Benzin</t>
  </si>
  <si>
    <t>Biobrændstofsandel (%)</t>
  </si>
  <si>
    <t>-</t>
  </si>
  <si>
    <t>Km</t>
  </si>
  <si>
    <t>Medarbejdertransport</t>
  </si>
  <si>
    <t>Pendling</t>
  </si>
  <si>
    <t>Personbiler</t>
  </si>
  <si>
    <t>Uspecificeret</t>
  </si>
  <si>
    <t>Antal ansatte pr. år</t>
  </si>
  <si>
    <t>Tog</t>
  </si>
  <si>
    <t>Person.km</t>
  </si>
  <si>
    <t>ESG</t>
  </si>
  <si>
    <t>E-Nøgletal</t>
  </si>
  <si>
    <t>Samlet energiforbrug</t>
  </si>
  <si>
    <t>GJ</t>
  </si>
  <si>
    <t>GJ / mio. DKK</t>
  </si>
  <si>
    <t>Vedvarende energiandel (Vedvarende energiforbrug ift. samlet energiforbrug)</t>
  </si>
  <si>
    <t>Pct. (%)</t>
  </si>
  <si>
    <t>Vandforbrug</t>
  </si>
  <si>
    <t>Liter</t>
  </si>
  <si>
    <t>Andel af farligt affald (Mængde af farligt affald ift. total mængde affald)</t>
  </si>
  <si>
    <t>Parameter</t>
  </si>
  <si>
    <t>Brugt til beregning af E-nøgletal</t>
  </si>
  <si>
    <t>Mio. DKK</t>
  </si>
  <si>
    <t>Vedvarende energiforbrug</t>
  </si>
  <si>
    <t>Total mængde af affald</t>
  </si>
  <si>
    <t>Ton</t>
  </si>
  <si>
    <t>Mængde af farligt affald</t>
  </si>
  <si>
    <t>Mængde af genanvendt affald</t>
  </si>
  <si>
    <t>Til udviklerne</t>
  </si>
  <si>
    <r>
      <rPr>
        <u/>
        <sz val="11"/>
        <color theme="10"/>
        <rFont val="Wingdings"/>
        <charset val="2"/>
      </rPr>
      <t xml:space="preserve">ß </t>
    </r>
    <r>
      <rPr>
        <u/>
        <sz val="11"/>
        <color theme="10"/>
        <rFont val="Calibri"/>
        <family val="2"/>
        <scheme val="minor"/>
      </rPr>
      <t>Gå til forside</t>
    </r>
  </si>
  <si>
    <t>=</t>
  </si>
  <si>
    <r>
      <t xml:space="preserve">Cellen skal udfyldes med data og have en </t>
    </r>
    <r>
      <rPr>
        <b/>
        <sz val="11"/>
        <color theme="1"/>
        <rFont val="Calibri"/>
        <family val="2"/>
        <scheme val="minor"/>
      </rPr>
      <t>HVID baggrund.</t>
    </r>
  </si>
  <si>
    <r>
      <t xml:space="preserve">Cellen skal ydfyldes og have en </t>
    </r>
    <r>
      <rPr>
        <b/>
        <sz val="11"/>
        <color theme="1"/>
        <rFont val="Calibri"/>
        <family val="2"/>
        <scheme val="minor"/>
      </rPr>
      <t>LYSEGRÅ</t>
    </r>
    <r>
      <rPr>
        <sz val="11"/>
        <color theme="1"/>
        <rFont val="Calibri"/>
        <family val="2"/>
        <scheme val="minor"/>
      </rPr>
      <t xml:space="preserve"> </t>
    </r>
    <r>
      <rPr>
        <b/>
        <sz val="11"/>
        <color theme="1"/>
        <rFont val="Calibri"/>
        <family val="2"/>
        <scheme val="minor"/>
      </rPr>
      <t>baggrund.</t>
    </r>
  </si>
  <si>
    <t>Denne række er ny ift. den gamle excel-ark fra før 15. november.</t>
  </si>
  <si>
    <t>Denne række skal skjules i den skabelon der downloades.</t>
  </si>
  <si>
    <t>Kontrol er godkendt (Typisk "0,00" betyder at to sum er skulle værelige ER lige).</t>
  </si>
  <si>
    <t>Fejldetekstion har fundet en fejl i en input-celle som giver forekerte resultater eller gør en beregning umuligt (fx dividere med "0").</t>
  </si>
  <si>
    <t>Sprog</t>
  </si>
  <si>
    <t>FEJL SKAL SKRIVES I BEGGE SPROG OG HAVE EN TEXT_NØGLE</t>
  </si>
  <si>
    <t>English</t>
  </si>
  <si>
    <t>Kontrol</t>
  </si>
  <si>
    <t>Følgerne resultater skal give "0,00". Hvis ikke tyder det på at der er en fejl i en ark (typisk) en sum der ikke matcher en anden sum.</t>
  </si>
  <si>
    <t>Stamdata</t>
  </si>
  <si>
    <t>Slutår og startår skal være ens</t>
  </si>
  <si>
    <t>Kontrol af at hoved- og delresultater er ens</t>
  </si>
  <si>
    <t>Scope 1+2+3</t>
  </si>
  <si>
    <t>Scope 1+2+3 (GHG)</t>
  </si>
  <si>
    <t>Scope 1+2+3 (hovedresultater vs GHG)</t>
  </si>
  <si>
    <t>Kontrol af alle andel</t>
  </si>
  <si>
    <t>ANDEL</t>
  </si>
  <si>
    <t>REGEL</t>
  </si>
  <si>
    <t>Andel af Scopes 1+2+3 - Hovedresultater</t>
  </si>
  <si>
    <t>Skal være 100%</t>
  </si>
  <si>
    <t>Andel af Scopes 1+2+3 - Delresultater</t>
  </si>
  <si>
    <t>Andel af scopes - Hovedresultater (GHG))</t>
  </si>
  <si>
    <t>Vedvarende energiandel</t>
  </si>
  <si>
    <t>Skal være &lt;=100%</t>
  </si>
  <si>
    <t>Andel af farligt affald</t>
  </si>
  <si>
    <t>Andel af genanvendt affald</t>
  </si>
  <si>
    <t>Fremskrivning - Hovedresultater</t>
  </si>
  <si>
    <t>Det tal der er slået op for alle scopes for start/slut år er ens med summen af de tal der er slået op for start/slutår:</t>
  </si>
  <si>
    <t xml:space="preserve"> Scope 1+2+3 for Basisår:</t>
  </si>
  <si>
    <t xml:space="preserve"> Scope 1+2+3 for Slutår:</t>
  </si>
  <si>
    <t>Resultater for sum af delresultater er ens med resultater for sum af scopes (for hvert år)</t>
  </si>
  <si>
    <t>Reduktionsmålsætninger</t>
  </si>
  <si>
    <r>
      <t xml:space="preserve">Målår for reduktionsmålsætning </t>
    </r>
    <r>
      <rPr>
        <b/>
        <sz val="11"/>
        <color theme="1"/>
        <rFont val="Calibri"/>
        <family val="2"/>
        <scheme val="minor"/>
      </rPr>
      <t>(scope 1+2)</t>
    </r>
    <r>
      <rPr>
        <sz val="11"/>
        <color theme="1"/>
        <rFont val="Calibri"/>
        <family val="2"/>
        <scheme val="minor"/>
      </rPr>
      <t xml:space="preserve"> skal ikke være større end maks(2030,Startår+10)</t>
    </r>
  </si>
  <si>
    <t xml:space="preserve"> færre år en maks</t>
  </si>
  <si>
    <r>
      <t xml:space="preserve">Målår for reduktionsmålsætning </t>
    </r>
    <r>
      <rPr>
        <b/>
        <sz val="11"/>
        <color theme="1"/>
        <rFont val="Calibri"/>
        <family val="2"/>
        <scheme val="minor"/>
      </rPr>
      <t>(scope 3)</t>
    </r>
    <r>
      <rPr>
        <sz val="11"/>
        <color theme="1"/>
        <rFont val="Calibri"/>
        <family val="2"/>
        <scheme val="minor"/>
      </rPr>
      <t xml:space="preserve"> skal ikke være større end maks(2030,Startår+10)</t>
    </r>
  </si>
  <si>
    <t>Målår for Langsigtet net zero målsætning skal ikke være større end 2050</t>
  </si>
  <si>
    <t>Målsætning for scope 1+2 må ikke være over 100%</t>
  </si>
  <si>
    <t>færre % en maks(100%)</t>
  </si>
  <si>
    <t>Målsætning for scope 3 må ikke være over 100%</t>
  </si>
  <si>
    <t>Langsigtet net zero målsætning må ikke være over 100%</t>
  </si>
  <si>
    <t>Yderligere test af inputdata:</t>
  </si>
  <si>
    <t>Den test handler om at tjekke at der ikke opstår fejl i nogle beregninger, hvis én af inputcellerne (blå baggrund) er tom.</t>
  </si>
  <si>
    <t>SIDER</t>
  </si>
  <si>
    <t>INPUT TEST (Hvad)</t>
  </si>
  <si>
    <t>HÅND-TEST/resultat</t>
  </si>
  <si>
    <t>Automatisk fejldetektion / Kommentar</t>
  </si>
  <si>
    <t>Generelle oplysninger om beregningen</t>
  </si>
  <si>
    <t>Forside</t>
  </si>
  <si>
    <t>(Ikke relevant)</t>
  </si>
  <si>
    <t>JA (dato, nøgletal)</t>
  </si>
  <si>
    <t>Start dato mangler = Fremskriv. fejler</t>
  </si>
  <si>
    <t>Kontaktoplysninger</t>
  </si>
  <si>
    <t>Resultater</t>
  </si>
  <si>
    <t>Hovedresultater</t>
  </si>
  <si>
    <t>JA (metodevalg)</t>
  </si>
  <si>
    <t>Ingen fejl [23.11.2023]</t>
  </si>
  <si>
    <t>Metodevalg under Hovedresultater bruges til at vise det samme på de andre resultatsider.</t>
  </si>
  <si>
    <t>Delresultater</t>
  </si>
  <si>
    <t>Hovedresultater (GHG)</t>
  </si>
  <si>
    <t>Delresultater (GHG)</t>
  </si>
  <si>
    <t>JA (alle)</t>
  </si>
  <si>
    <t>E-nøgletal (ESG)</t>
  </si>
  <si>
    <t>Scope 3 kategorier</t>
  </si>
  <si>
    <t>Højeste udledningskategorier</t>
  </si>
  <si>
    <t>Fremskrivning &amp; Reduktionsmålsætninger</t>
  </si>
  <si>
    <t>Fremskrivning - Delresultater</t>
  </si>
  <si>
    <t>Data</t>
  </si>
  <si>
    <t>Emissionsfaktorer</t>
  </si>
  <si>
    <t>Egne Emissionsfaktorer</t>
  </si>
  <si>
    <t>Fremskrevne emissionsfaktorer</t>
  </si>
  <si>
    <t>Data (alle poster)</t>
  </si>
  <si>
    <t>Data (E-nøgletal)</t>
  </si>
  <si>
    <t>Tekstnøgle</t>
  </si>
  <si>
    <t>Vist tekst</t>
  </si>
  <si>
    <t>Engelsk</t>
  </si>
  <si>
    <t>Side</t>
  </si>
  <si>
    <t>Celle</t>
  </si>
  <si>
    <t>Cell-content</t>
  </si>
  <si>
    <t>Reference-kontrol</t>
  </si>
  <si>
    <t xml:space="preserve">  </t>
  </si>
  <si>
    <t>&lt;-- Gå til forsiden</t>
  </si>
  <si>
    <t>&lt;-- Go to the front page</t>
  </si>
  <si>
    <t>I2</t>
  </si>
  <si>
    <t>Download af resultater</t>
  </si>
  <si>
    <t>B8</t>
  </si>
  <si>
    <t>B10</t>
  </si>
  <si>
    <t>Vælg af sprog</t>
  </si>
  <si>
    <t>Choose a language</t>
  </si>
  <si>
    <t>B12</t>
  </si>
  <si>
    <t>&lt;-- klik på cellen</t>
  </si>
  <si>
    <t>&lt;-- Click in the cell</t>
  </si>
  <si>
    <t>E12</t>
  </si>
  <si>
    <t>Indholdsfortegnelse</t>
  </si>
  <si>
    <t>Table of Contents</t>
  </si>
  <si>
    <t>B15</t>
  </si>
  <si>
    <t>B17</t>
  </si>
  <si>
    <t>Front page</t>
  </si>
  <si>
    <t>C18</t>
  </si>
  <si>
    <t>Master data</t>
  </si>
  <si>
    <t>C19</t>
  </si>
  <si>
    <t>C20</t>
  </si>
  <si>
    <t>Results</t>
  </si>
  <si>
    <t>B22</t>
  </si>
  <si>
    <t>Main results</t>
  </si>
  <si>
    <t>C23</t>
  </si>
  <si>
    <t>Partial results</t>
  </si>
  <si>
    <t>C24</t>
  </si>
  <si>
    <t>Main results (GHG)</t>
  </si>
  <si>
    <t>C25</t>
  </si>
  <si>
    <t>Partial results (GHG)</t>
  </si>
  <si>
    <t>C26</t>
  </si>
  <si>
    <t>E-key numbers (ESG)</t>
  </si>
  <si>
    <t>C27</t>
  </si>
  <si>
    <t>Scope 3 categories</t>
  </si>
  <si>
    <t>C28</t>
  </si>
  <si>
    <t>Højeste udledningsposter</t>
  </si>
  <si>
    <t>C29</t>
  </si>
  <si>
    <t>B31</t>
  </si>
  <si>
    <t>C32</t>
  </si>
  <si>
    <t>C33</t>
  </si>
  <si>
    <t>C34</t>
  </si>
  <si>
    <t>B36</t>
  </si>
  <si>
    <t>C37</t>
  </si>
  <si>
    <t>C38</t>
  </si>
  <si>
    <t>C39</t>
  </si>
  <si>
    <t>Data (all posts)</t>
  </si>
  <si>
    <t>C40</t>
  </si>
  <si>
    <t>C41</t>
  </si>
  <si>
    <t>B43</t>
  </si>
  <si>
    <t>C44</t>
  </si>
  <si>
    <t>Tekstnøgler</t>
  </si>
  <si>
    <t>Text keys</t>
  </si>
  <si>
    <t>C45</t>
  </si>
  <si>
    <t>calculation.result.title.result</t>
  </si>
  <si>
    <t>B2</t>
  </si>
  <si>
    <t>calculation.text.result-for</t>
  </si>
  <si>
    <t>Resultat for</t>
  </si>
  <si>
    <t>B5</t>
  </si>
  <si>
    <t>Tekstnøglen for beregningens navn???</t>
  </si>
  <si>
    <t>Tekstnøglen for summen af scope 1+2+3???</t>
  </si>
  <si>
    <t>calculation.masterdata.title</t>
  </si>
  <si>
    <t>calculation.masterdata.text.about-calculation</t>
  </si>
  <si>
    <t>calculation.masterdata.text.calculation-name</t>
  </si>
  <si>
    <t>Navn på beregning</t>
  </si>
  <si>
    <t>Name of calculation</t>
  </si>
  <si>
    <t>B7</t>
  </si>
  <si>
    <t>calculation.masterdata.text.calculation-purpose</t>
  </si>
  <si>
    <t>Formål med beregningen</t>
  </si>
  <si>
    <t>Purpose of the calculation</t>
  </si>
  <si>
    <t>1. Beregn klimaaftrykket for din virksomhed (CVR-nr. tilknyttet)</t>
  </si>
  <si>
    <t>B11</t>
  </si>
  <si>
    <t>2. Beregn forskellige klimatiltag for din virksomhed (CVR-nr. tilknyttet)</t>
  </si>
  <si>
    <t>3. Beregn en virksomheds klimaaftryk (fx hvis den er placeret i udlandet)</t>
  </si>
  <si>
    <t>calculation.masterdata.text.start-date</t>
  </si>
  <si>
    <t>B13</t>
  </si>
  <si>
    <t>calculation.masterdata.text.end-date</t>
  </si>
  <si>
    <t>B16</t>
  </si>
  <si>
    <t>calculation.masterdata.text.calculation-note</t>
  </si>
  <si>
    <t>B19</t>
  </si>
  <si>
    <t>calculation.masterdata.text.your-company</t>
  </si>
  <si>
    <t>Din virksomhed</t>
  </si>
  <si>
    <t>Your company</t>
  </si>
  <si>
    <t>B24</t>
  </si>
  <si>
    <t>calculation.masterdata.text.vat-no</t>
  </si>
  <si>
    <t>B26</t>
  </si>
  <si>
    <t>calculation.masterdata.text.company-name</t>
  </si>
  <si>
    <t>Company name</t>
  </si>
  <si>
    <t>B29</t>
  </si>
  <si>
    <t>calculation.masterdata.text.company-calculation-relates</t>
  </si>
  <si>
    <t>Foreign company to which the calculation relates</t>
  </si>
  <si>
    <t>B34</t>
  </si>
  <si>
    <t xml:space="preserve"> </t>
  </si>
  <si>
    <t>calculation.masterdata.text.country</t>
  </si>
  <si>
    <t>Land</t>
  </si>
  <si>
    <t>Country</t>
  </si>
  <si>
    <t>calculation.masterdata.text.p-number</t>
  </si>
  <si>
    <t>P-nummer</t>
  </si>
  <si>
    <t>P number</t>
  </si>
  <si>
    <t>B45</t>
  </si>
  <si>
    <t>eller</t>
  </si>
  <si>
    <t>or</t>
  </si>
  <si>
    <t>D34</t>
  </si>
  <si>
    <t>G34</t>
  </si>
  <si>
    <t>G36</t>
  </si>
  <si>
    <t>Registreringsnummer</t>
  </si>
  <si>
    <t>G39</t>
  </si>
  <si>
    <t>G42</t>
  </si>
  <si>
    <t>Udenlandske adresser</t>
  </si>
  <si>
    <t>G45</t>
  </si>
  <si>
    <t>calculation.mainresult.text.keynumbers</t>
  </si>
  <si>
    <t>Nøgletal</t>
  </si>
  <si>
    <t>B53</t>
  </si>
  <si>
    <t>calculation.masterdata.text.number-employees</t>
  </si>
  <si>
    <t>B55</t>
  </si>
  <si>
    <t>calculation.masterdata.text.revenue</t>
  </si>
  <si>
    <t>B58</t>
  </si>
  <si>
    <t>calculation.masterdata.text.building-area</t>
  </si>
  <si>
    <t>Number of m2 building area</t>
  </si>
  <si>
    <t>B61</t>
  </si>
  <si>
    <t>calculation.contactinfo.tab.title</t>
  </si>
  <si>
    <t>Contact Information</t>
  </si>
  <si>
    <t>calculation.contactinfo.title</t>
  </si>
  <si>
    <t>calculation.contactinfo.text.company-email</t>
  </si>
  <si>
    <t>Virksomhedens e-mailadresse</t>
  </si>
  <si>
    <t>Company email address</t>
  </si>
  <si>
    <t>calculation.contactinfo.text.contactperson</t>
  </si>
  <si>
    <t>Kontaktperson</t>
  </si>
  <si>
    <t>Contact person</t>
  </si>
  <si>
    <t>calculation.contactinfo.text.first-name</t>
  </si>
  <si>
    <t>Fornavn</t>
  </si>
  <si>
    <t>First name</t>
  </si>
  <si>
    <t>calculation.contactinfo.text.last-name</t>
  </si>
  <si>
    <t>Efternavn</t>
  </si>
  <si>
    <t>Last name</t>
  </si>
  <si>
    <t>calculation.contactinfo.text.email</t>
  </si>
  <si>
    <t>calculation.methodselection.text.method</t>
  </si>
  <si>
    <t>Metodevalg</t>
  </si>
  <si>
    <t>Method selection</t>
  </si>
  <si>
    <t>C8</t>
  </si>
  <si>
    <t>calculation.methodselection.text.method.description</t>
  </si>
  <si>
    <t>C10</t>
  </si>
  <si>
    <t>calculation.methodselection.text.method.table.emission-factor</t>
  </si>
  <si>
    <t>Emissionsfaktor</t>
  </si>
  <si>
    <t>Emission factor</t>
  </si>
  <si>
    <t>C12</t>
  </si>
  <si>
    <t>calculation.methodselection.text.method.choice-emission-factor-electricity</t>
  </si>
  <si>
    <t>Valg af emissionsfaktor for elektricitet</t>
  </si>
  <si>
    <t>C13</t>
  </si>
  <si>
    <t>calculation.methodselection.text.method.emission-factor-fly</t>
  </si>
  <si>
    <t>Emissionsfaktor for flytransport</t>
  </si>
  <si>
    <t>C14</t>
  </si>
  <si>
    <t>coefficient-group.name.environmental-declaration</t>
  </si>
  <si>
    <t>calculation.methodselection.text.method.include-rfi</t>
  </si>
  <si>
    <t>https://www.youtube.com/watch?v=4l97D0A2wIw</t>
  </si>
  <si>
    <t>calculation.mainresult.text.mainresult</t>
  </si>
  <si>
    <t>C17</t>
  </si>
  <si>
    <t>calculation.mainresult.text.mainresult.description</t>
  </si>
  <si>
    <t>calculation.mainresult.text.mainresult.table1.title</t>
  </si>
  <si>
    <t>C21</t>
  </si>
  <si>
    <t>calculation.mainresult.text.mainresult.table1.maincategory</t>
  </si>
  <si>
    <t>Hovedkategori</t>
  </si>
  <si>
    <t>Main category</t>
  </si>
  <si>
    <t>C22</t>
  </si>
  <si>
    <t>calculation.mainresult.text.mainresult.table1.emission-scope1-3</t>
  </si>
  <si>
    <t>D22</t>
  </si>
  <si>
    <t>calculation.mainresult.text.mainresult.table1.share-emission-scope1-3</t>
  </si>
  <si>
    <t>E22</t>
  </si>
  <si>
    <t>calculation.mainresult.text.mainresult.table1.emission-outsidescope</t>
  </si>
  <si>
    <t>F22</t>
  </si>
  <si>
    <t>calculation.mainresult.text.mainresult.table1.emission-scope1-3-outside</t>
  </si>
  <si>
    <t>calculation.mainresult.text.mainresult.table1.share-emission-scope1-3-outside</t>
  </si>
  <si>
    <t>theme.text.category.energy</t>
  </si>
  <si>
    <t>theme.text.category.purchase</t>
  </si>
  <si>
    <t>theme.text.category.transport</t>
  </si>
  <si>
    <t>theme.text.category.waste</t>
  </si>
  <si>
    <t>Affald og genbrug</t>
  </si>
  <si>
    <t>Waste and recycling</t>
  </si>
  <si>
    <t>theme.text.category.soldproducts</t>
  </si>
  <si>
    <t>Solgte produkter</t>
  </si>
  <si>
    <t>Sold products</t>
  </si>
  <si>
    <t>shared.text.total</t>
  </si>
  <si>
    <t>calculation.mainresult.text.summary</t>
  </si>
  <si>
    <t>Opsummering af virksomhedens beregnede CO2e-udledning</t>
  </si>
  <si>
    <t>calculation.mainresult.text.summary.description</t>
  </si>
  <si>
    <t>calculation.mainresult.text.figure1</t>
  </si>
  <si>
    <t>C36</t>
  </si>
  <si>
    <t>calculation.mainresult.text.figure2</t>
  </si>
  <si>
    <t>calculation.mainresult.text.figure3</t>
  </si>
  <si>
    <t>C57</t>
  </si>
  <si>
    <t>calculation.mainresult.text.figure4</t>
  </si>
  <si>
    <t>C78</t>
  </si>
  <si>
    <t>calculation.mainresult.text.keynumbers.description</t>
  </si>
  <si>
    <t>C80</t>
  </si>
  <si>
    <t>calculation.mainresult.text.keynumbers.calculations</t>
  </si>
  <si>
    <t>Nøgletalsberegninger</t>
  </si>
  <si>
    <t>Key figure calculations</t>
  </si>
  <si>
    <t>C81</t>
  </si>
  <si>
    <t>calculation.mainresult.text.keynumbers.co2</t>
  </si>
  <si>
    <t>E81</t>
  </si>
  <si>
    <t>calculation.mainresult.text.keynumbers.co2-per-employee</t>
  </si>
  <si>
    <t>C82</t>
  </si>
  <si>
    <t>calculation.mainresult.text.keynumbers.co2-per-turnover</t>
  </si>
  <si>
    <t>C83</t>
  </si>
  <si>
    <t>calculation.mainresult.text.keynumbers.co2-per-area</t>
  </si>
  <si>
    <t>C84</t>
  </si>
  <si>
    <t>calculation.mainresult.text.own-notes</t>
  </si>
  <si>
    <t>Egne bemærkninger</t>
  </si>
  <si>
    <t>C87</t>
  </si>
  <si>
    <t>calculation.subresult.tab.title</t>
  </si>
  <si>
    <t>calculation.text.partial-result.description</t>
  </si>
  <si>
    <t>calculation.partial-result.text.table1.title</t>
  </si>
  <si>
    <t>Oversigt over CO2e-udledningen fordelt på hoved- og underkategorier</t>
  </si>
  <si>
    <t>group.text.category.groupelectricity</t>
  </si>
  <si>
    <t>Electricity</t>
  </si>
  <si>
    <t xml:space="preserve">  subcategories.subgroupelectricity</t>
  </si>
  <si>
    <t xml:space="preserve">  subcategories.subgroup-electricityown</t>
  </si>
  <si>
    <t>group.text.category.groupheat</t>
  </si>
  <si>
    <t>Heat and process energy</t>
  </si>
  <si>
    <t xml:space="preserve">  subcategories.subgroup-heat</t>
  </si>
  <si>
    <t>C30</t>
  </si>
  <si>
    <t xml:space="preserve">  subcategories.subgroup-heatprocessown</t>
  </si>
  <si>
    <t>C31</t>
  </si>
  <si>
    <t>group.text.category.groupprocess</t>
  </si>
  <si>
    <t>Procesudledning</t>
  </si>
  <si>
    <t xml:space="preserve">  subcategories.subgroup-process</t>
  </si>
  <si>
    <t xml:space="preserve">  subcategories.subgroup-processown</t>
  </si>
  <si>
    <t>group.text.category.groupheatprocessother</t>
  </si>
  <si>
    <t>Andet udledning ved energi og processer</t>
  </si>
  <si>
    <t>Other emissions from energy and processes</t>
  </si>
  <si>
    <t>C35</t>
  </si>
  <si>
    <t>group.text.category.groupprimarypurchasesrawmaterials</t>
  </si>
  <si>
    <t>Primære indkøb af råvarer til produktion</t>
  </si>
  <si>
    <t>Primary purchases of raw materials for production</t>
  </si>
  <si>
    <t xml:space="preserve">  group.text.category.groupmaterialsprimary</t>
  </si>
  <si>
    <t xml:space="preserve">    subcategories.subgroup-primarypurchasematerialsphysical</t>
  </si>
  <si>
    <t xml:space="preserve">    subcategories.subgroup-primarypurchasematerialmonetary</t>
  </si>
  <si>
    <t xml:space="preserve">    subcategories.subgroup-primarypurchasematerialsphysicalown</t>
  </si>
  <si>
    <t xml:space="preserve">    subcategories.subgroup-primarypurchasematerialsmonetaryown</t>
  </si>
  <si>
    <t>C42</t>
  </si>
  <si>
    <t xml:space="preserve">  group.text.category.groupproductsservicesprimary</t>
  </si>
  <si>
    <t>C43</t>
  </si>
  <si>
    <t xml:space="preserve">    subcategories.subgroup-primarypurchaseproductsphysical</t>
  </si>
  <si>
    <t xml:space="preserve">    subcategories.subgroup-primarypurchaseproductsmonetary</t>
  </si>
  <si>
    <t xml:space="preserve">    subcategories.subgroup-primarypurchasephysicalother</t>
  </si>
  <si>
    <t>C46</t>
  </si>
  <si>
    <t xml:space="preserve">    subcategories.subgroup-primarypurchasemonetaryother</t>
  </si>
  <si>
    <t>C47</t>
  </si>
  <si>
    <t xml:space="preserve">  group.text.category.groupotherprimary</t>
  </si>
  <si>
    <t>C48</t>
  </si>
  <si>
    <t xml:space="preserve">    subcategories.subgroup-primarypurchaseproductsphysicalown</t>
  </si>
  <si>
    <t>C49</t>
  </si>
  <si>
    <t xml:space="preserve">    subcategories.subgroup-primarypurchaseproductsmonetaryown</t>
  </si>
  <si>
    <t>C50</t>
  </si>
  <si>
    <t>group.text.category.groupsecondaryprocurement</t>
  </si>
  <si>
    <t>Sekundære indkøb af hjælpematerialer og serviceydelser</t>
  </si>
  <si>
    <t>Secondary procurement of auxiliary materials and services</t>
  </si>
  <si>
    <t>C51</t>
  </si>
  <si>
    <t xml:space="preserve">  group.text.category.groupmaterialssecondary</t>
  </si>
  <si>
    <t>C52</t>
  </si>
  <si>
    <t xml:space="preserve">    subcategories.subgroup-secpurchasematerialsphysicalunits</t>
  </si>
  <si>
    <t>C53</t>
  </si>
  <si>
    <t xml:space="preserve">    subcategories.subgroup-secpurchasematerialsmonetaryunits</t>
  </si>
  <si>
    <t>C54</t>
  </si>
  <si>
    <t xml:space="preserve">    subcategories.subgroup-secpurchasematerialsphysicalown</t>
  </si>
  <si>
    <t>C55</t>
  </si>
  <si>
    <t xml:space="preserve">    subcategories.subgroup-secpurchasematerialsmonetaryown</t>
  </si>
  <si>
    <t>C56</t>
  </si>
  <si>
    <t xml:space="preserve">  group.text.category.groupproductsservicessecondary</t>
  </si>
  <si>
    <t xml:space="preserve">    subcategories.subgroup-secpurchaseproductsphysical</t>
  </si>
  <si>
    <t>C58</t>
  </si>
  <si>
    <t xml:space="preserve">    subcategories.subgroup-secpurchaseproductsmonetary</t>
  </si>
  <si>
    <t>C59</t>
  </si>
  <si>
    <t xml:space="preserve">    subcategories.subgroup-secpurchaseproductsphysicalown</t>
  </si>
  <si>
    <t>C60</t>
  </si>
  <si>
    <t xml:space="preserve">    subcategories.subgroup-secpurchaseproductsmonetaryown</t>
  </si>
  <si>
    <t>C61</t>
  </si>
  <si>
    <t xml:space="preserve">  group.text.category.groupothersecondary</t>
  </si>
  <si>
    <t>C62</t>
  </si>
  <si>
    <t xml:space="preserve">    subcategories.subgroup-secpurchasephysicalother</t>
  </si>
  <si>
    <t>C63</t>
  </si>
  <si>
    <t xml:space="preserve">    subcategories.subgroup-secpurchasemonetaryother</t>
  </si>
  <si>
    <t>C64</t>
  </si>
  <si>
    <t>C65</t>
  </si>
  <si>
    <t>group.text.category.groupownleasedtransports</t>
  </si>
  <si>
    <t>Own and leased means of transport</t>
  </si>
  <si>
    <t>C66</t>
  </si>
  <si>
    <t xml:space="preserve">  subcategories.subgroup-ownandleasedtransports</t>
  </si>
  <si>
    <t>C67</t>
  </si>
  <si>
    <t xml:space="preserve">  subcategories.subgroup-airplaneship</t>
  </si>
  <si>
    <t>C68</t>
  </si>
  <si>
    <t xml:space="preserve">  subcategories.subgroup-ownandleasedtransportsown</t>
  </si>
  <si>
    <t>C69</t>
  </si>
  <si>
    <t>group.text.category.groupemployeetransport</t>
  </si>
  <si>
    <t>Employee transport</t>
  </si>
  <si>
    <t>C70</t>
  </si>
  <si>
    <t xml:space="preserve">  subcategories.subgroup-pendling</t>
  </si>
  <si>
    <t>C71</t>
  </si>
  <si>
    <t xml:space="preserve">  subcategories.subgroup-travelsphysical</t>
  </si>
  <si>
    <t>C72</t>
  </si>
  <si>
    <t xml:space="preserve">  subcategories.subgroup-travelsmonetary</t>
  </si>
  <si>
    <t>C73</t>
  </si>
  <si>
    <t xml:space="preserve">  subcategories.subgroup-employeetransportown</t>
  </si>
  <si>
    <t>C74</t>
  </si>
  <si>
    <t>group.text.category.grouptransporttocompany</t>
  </si>
  <si>
    <t>Goods transport to company</t>
  </si>
  <si>
    <t>C75</t>
  </si>
  <si>
    <t xml:space="preserve">  subcategories.subgroup-transportphysical</t>
  </si>
  <si>
    <t>C76</t>
  </si>
  <si>
    <t xml:space="preserve">  subcategories.subgroup-transportmonetary</t>
  </si>
  <si>
    <t>C77</t>
  </si>
  <si>
    <t xml:space="preserve">  subcategories.subgroup-transporttocompanyown</t>
  </si>
  <si>
    <t>group.text.category.grouptransporttocustomer</t>
  </si>
  <si>
    <t>Varetransport fra virksomhed til kunde</t>
  </si>
  <si>
    <t>Goods transport from company to customer</t>
  </si>
  <si>
    <t>C79</t>
  </si>
  <si>
    <t xml:space="preserve">  subcategories.subgroup-transporttocustomerphysical</t>
  </si>
  <si>
    <t xml:space="preserve">  subcategories.subgroup-transporttocustomermonetary</t>
  </si>
  <si>
    <t xml:space="preserve">  subcategories.subgroup-transporttocustomerown</t>
  </si>
  <si>
    <t>group.text.category.groupothertransport</t>
  </si>
  <si>
    <t>Andet udledning ved transport</t>
  </si>
  <si>
    <t>Other emissions during transport</t>
  </si>
  <si>
    <t>group.text.category.grouptrash</t>
  </si>
  <si>
    <t>Affald</t>
  </si>
  <si>
    <t>C85</t>
  </si>
  <si>
    <t xml:space="preserve">  subcategories.subgroup-trash</t>
  </si>
  <si>
    <t>C86</t>
  </si>
  <si>
    <t xml:space="preserve">  subcategories.subgroup-trashown</t>
  </si>
  <si>
    <t>group.text.category.groupothertrash</t>
  </si>
  <si>
    <t>Andet udledning ved affald</t>
  </si>
  <si>
    <t>Other emissions from waste</t>
  </si>
  <si>
    <t>C88</t>
  </si>
  <si>
    <t>C89</t>
  </si>
  <si>
    <t>group.text.category.groupprocesssoldproducts</t>
  </si>
  <si>
    <t>Forarbejdning og processering af solgte produkter</t>
  </si>
  <si>
    <t>Processing and processing of sold products</t>
  </si>
  <si>
    <t>C90</t>
  </si>
  <si>
    <t>group.text.category.groupusedproducts</t>
  </si>
  <si>
    <t>Brug af solgte og udlejede produkter</t>
  </si>
  <si>
    <t>Use of sold and leased products</t>
  </si>
  <si>
    <t>C91</t>
  </si>
  <si>
    <t xml:space="preserve">  subcategories.subgroup-soldproductsused</t>
  </si>
  <si>
    <t>C92</t>
  </si>
  <si>
    <t xml:space="preserve">  subcategories.subgroup-soldproductsown</t>
  </si>
  <si>
    <t>C93</t>
  </si>
  <si>
    <t>group.text.category.groupendoflife</t>
  </si>
  <si>
    <t>End-of-life behandling</t>
  </si>
  <si>
    <t>End-of-life treatment</t>
  </si>
  <si>
    <t>C94</t>
  </si>
  <si>
    <t xml:space="preserve">  subcategories.subgroup-endoflife</t>
  </si>
  <si>
    <t>C95</t>
  </si>
  <si>
    <t xml:space="preserve">  subcategories.subgroup-endoflifeown</t>
  </si>
  <si>
    <t>C96</t>
  </si>
  <si>
    <t>group.text.category.groupothersoldproducts</t>
  </si>
  <si>
    <t>Andet udledning ved solgte produkter</t>
  </si>
  <si>
    <t>C97</t>
  </si>
  <si>
    <t>calculation.result.excel.result-ghg.title</t>
  </si>
  <si>
    <t>Resultat (GHG)</t>
  </si>
  <si>
    <t>Result (GHG)</t>
  </si>
  <si>
    <t>C2</t>
  </si>
  <si>
    <t>calculation.mainresult-ghg.text.mainresult.ghg</t>
  </si>
  <si>
    <t>calculation.mainresult-ghg.text.mainresult-ghg.description</t>
  </si>
  <si>
    <t>calculation.mainresult.text.mainresult-ghg.table1.title</t>
  </si>
  <si>
    <t>calculation.mainresult-ghg.text.mainresult.table1.scope</t>
  </si>
  <si>
    <t>Scope</t>
  </si>
  <si>
    <t>calculation.mainresult-ghg.text.mainresult.table1.co2</t>
  </si>
  <si>
    <t>D21</t>
  </si>
  <si>
    <t>calculation.mainresult-ghg.text.mainresult.table1.share</t>
  </si>
  <si>
    <t>Andel af udledning</t>
  </si>
  <si>
    <t>E21</t>
  </si>
  <si>
    <t>shared.scope1</t>
  </si>
  <si>
    <t>Scope 1</t>
  </si>
  <si>
    <t>shared.scope2</t>
  </si>
  <si>
    <t>Scope 2</t>
  </si>
  <si>
    <t>shared.scope3</t>
  </si>
  <si>
    <t>Scope 3</t>
  </si>
  <si>
    <t>calculation.mainresult-ghg.text.summary</t>
  </si>
  <si>
    <t>calculation.mainresult-ghg.text.summary.description</t>
  </si>
  <si>
    <t>calculation.mainresult-ghg.text.figure1</t>
  </si>
  <si>
    <t>calculation.mainresult-ghg.text.figure2</t>
  </si>
  <si>
    <t>H31</t>
  </si>
  <si>
    <t>calculation.mainresult-ghg.text.keynumbers.co2</t>
  </si>
  <si>
    <t>E54</t>
  </si>
  <si>
    <t>calculation.mainresult-ghg.text.keynumbers.co2-per-employee</t>
  </si>
  <si>
    <t>calculation.mainresult-ghg.text.keynumbers.co2-per-turnover</t>
  </si>
  <si>
    <t>calculation.mainresult-ghg.text.keynumbers.co2-per-area</t>
  </si>
  <si>
    <t>calculation.mainresult-ghg.text.outside.scopeheader</t>
  </si>
  <si>
    <t>Udenfor scopes resultater</t>
  </si>
  <si>
    <t>calculation.mainresult-ghg.text.outside.scopetext</t>
  </si>
  <si>
    <t>calculation.mainresult-ghg.text.table.outside-scope</t>
  </si>
  <si>
    <t>D65</t>
  </si>
  <si>
    <t>E65</t>
  </si>
  <si>
    <t>calculation.mainresult-ghg.text.mainresult.table1.outside-scope</t>
  </si>
  <si>
    <t>Udenfor scopes</t>
  </si>
  <si>
    <t>calculation.subresult-ghg.tab.title</t>
  </si>
  <si>
    <t>D23</t>
  </si>
  <si>
    <t>calculation.partial-result.text.table1.scope1-3</t>
  </si>
  <si>
    <t>G22</t>
  </si>
  <si>
    <t>C101</t>
  </si>
  <si>
    <t>calculation.mainresult-ghg.text.table.outside-scope.description</t>
  </si>
  <si>
    <t>C103</t>
  </si>
  <si>
    <t>calculation.partial-result-ghg.text.table.outside-scope.description</t>
  </si>
  <si>
    <t>C105</t>
  </si>
  <si>
    <t>calculation.data.text.partial-result.outside-scope</t>
  </si>
  <si>
    <t>Udenfor scope</t>
  </si>
  <si>
    <t>D106</t>
  </si>
  <si>
    <t>C182</t>
  </si>
  <si>
    <t>results.esg.result-main-header</t>
  </si>
  <si>
    <t>results.esg.result-main-description-text.simple</t>
  </si>
  <si>
    <t>results.esg.result-table-header-one</t>
  </si>
  <si>
    <t>results.esg.result-table-subheader-one</t>
  </si>
  <si>
    <t>Titel</t>
  </si>
  <si>
    <t>Title</t>
  </si>
  <si>
    <t>results.esg.result-table-subheader-two</t>
  </si>
  <si>
    <t>Enhed</t>
  </si>
  <si>
    <t>Unit</t>
  </si>
  <si>
    <t>results.esg.result-table-subheader-three</t>
  </si>
  <si>
    <t>results.esg.result-table-row-scope-one</t>
  </si>
  <si>
    <t>results.esg.result-table-row-scope-two</t>
  </si>
  <si>
    <t>results.esg.result-table-row-scope-three</t>
  </si>
  <si>
    <t>results.esg.result-table-row-scopes-total</t>
  </si>
  <si>
    <t>results.esg.result-table-row-co2intensity</t>
  </si>
  <si>
    <t>results.esg.result-table-row-energytotal</t>
  </si>
  <si>
    <t>results.esg.result-table-row-energyintensity</t>
  </si>
  <si>
    <t>results.esg.result-table-row-energyrenewable</t>
  </si>
  <si>
    <t>results.esg.result-table-row-waterconsumption</t>
  </si>
  <si>
    <t>Water consumption</t>
  </si>
  <si>
    <t>results.esg.result-table-row-wastehazardous</t>
  </si>
  <si>
    <t>results.esg.result-table-row-wasterecycled</t>
  </si>
  <si>
    <t>results.esg.result-table-measurement-unit-one</t>
  </si>
  <si>
    <t>results.esg.result-table-measurement-unit-two</t>
  </si>
  <si>
    <t>D27</t>
  </si>
  <si>
    <t>results.esg.result-table-measurement-unit-three</t>
  </si>
  <si>
    <t>D28</t>
  </si>
  <si>
    <t>results.esg.result-table-measurement-unit-four</t>
  </si>
  <si>
    <t>D29</t>
  </si>
  <si>
    <t>results.esg.result-table-measurement-unit-five</t>
  </si>
  <si>
    <t>D30</t>
  </si>
  <si>
    <t>results.esg.result-table-measurement-unit-six</t>
  </si>
  <si>
    <t>D31</t>
  </si>
  <si>
    <t>results.esg.result-table-no-assigned-value</t>
  </si>
  <si>
    <t>(ikke angivet)</t>
  </si>
  <si>
    <t>results.esg.result-section-two-main-header</t>
  </si>
  <si>
    <t>Anvendte værdier i beregning af E-nøgletal (ESG)</t>
  </si>
  <si>
    <t>results.esg.result-section-two-main-description-text.simple</t>
  </si>
  <si>
    <t>results.esg.result-table-header-two</t>
  </si>
  <si>
    <t>results.esg.result-table-row-turnover</t>
  </si>
  <si>
    <t>results.esg.result-table-row-renewableenergy-total</t>
  </si>
  <si>
    <t>results.esg.result-table-row-waste-total</t>
  </si>
  <si>
    <t>Total amount of waste</t>
  </si>
  <si>
    <t>results.esg.result-table-row-hazardouswaste-total</t>
  </si>
  <si>
    <t>results.esg.result-table-row-recycledwaste-total</t>
  </si>
  <si>
    <t>results.esg.result-table-measurement-unit-seven</t>
  </si>
  <si>
    <t>D41</t>
  </si>
  <si>
    <t>D42</t>
  </si>
  <si>
    <t>results.esg.result-table-measurement-unit-eight</t>
  </si>
  <si>
    <t>D43</t>
  </si>
  <si>
    <t>results.scope3.result-main-header</t>
  </si>
  <si>
    <t>results.scope3.result-main-description-text.simple</t>
  </si>
  <si>
    <t>results.scope3.result-table-header1</t>
  </si>
  <si>
    <t xml:space="preserve"> results.scope3.result-table-header2</t>
  </si>
  <si>
    <t>Kategori</t>
  </si>
  <si>
    <t>Category</t>
  </si>
  <si>
    <t>results.scope3.result-table-header3</t>
  </si>
  <si>
    <t>Opstrøms</t>
  </si>
  <si>
    <t>Upstream</t>
  </si>
  <si>
    <t>results.scope3.result-table-header4</t>
  </si>
  <si>
    <t>Nedstrøms</t>
  </si>
  <si>
    <t>Downstream</t>
  </si>
  <si>
    <t xml:space="preserve"> calculation.dropdown.possiblevalue.unit.category1</t>
  </si>
  <si>
    <t>1. Purchased goods and services</t>
  </si>
  <si>
    <t xml:space="preserve"> calculation.dropdown.possiblevalue.unit.category2</t>
  </si>
  <si>
    <t xml:space="preserve"> calculation.dropdown.possiblevalue.unit.category3</t>
  </si>
  <si>
    <t xml:space="preserve"> calculation.dropdown.possiblevalue.unit.category4</t>
  </si>
  <si>
    <t xml:space="preserve"> calculation.dropdown.possiblevalue.unit.category5</t>
  </si>
  <si>
    <t xml:space="preserve"> calculation.dropdown.possiblevalue.unit.category6</t>
  </si>
  <si>
    <t>6. Forretningsrejser</t>
  </si>
  <si>
    <t xml:space="preserve"> calculation.dropdown.possiblevalue.unit.category7</t>
  </si>
  <si>
    <t xml:space="preserve"> calculation.dropdown.possiblevalue.unit.category8</t>
  </si>
  <si>
    <t xml:space="preserve"> calculation.dropdown.possiblevalue.unit.category9</t>
  </si>
  <si>
    <t xml:space="preserve"> calculation.dropdown.possiblevalue.unit.category10</t>
  </si>
  <si>
    <t>10. Forarbejdning af solgte produkter</t>
  </si>
  <si>
    <t>10. Processing of sold products</t>
  </si>
  <si>
    <t xml:space="preserve"> calculation.dropdown.possiblevalue.unit.category11</t>
  </si>
  <si>
    <t>11. Brug af solgte produkter</t>
  </si>
  <si>
    <t xml:space="preserve"> calculation.dropdown.possiblevalue.unit.category12</t>
  </si>
  <si>
    <t xml:space="preserve"> calculation.dropdown.possiblevalue.unit.category13</t>
  </si>
  <si>
    <t>results.scope3.result-total-split</t>
  </si>
  <si>
    <t>results.scope3.result-grand-total</t>
  </si>
  <si>
    <t>results.scope3.figure1.header</t>
  </si>
  <si>
    <t>results.scope3.figure1.text</t>
  </si>
  <si>
    <t>results.highest-emissions.main-header</t>
  </si>
  <si>
    <t>forecast.result.scope123.field.forecast-scope.name</t>
  </si>
  <si>
    <t>På denne side kan du få indblik i, hvilke af dine indtastninger i Klimakompasset, der fylder mest i din virksomheds klimaregnskab – en såkaldt hot spot analyse.
Med udpegning af din virksomheds 20 største kilder til udledninger får du et hurtigt overblik over potentielle reduktionsmuligheder, så du kan fokusere på de vigtigste steder først, og prioritere de reducerende tiltag, der har størst effekt i din virksomhed.
I tabellen nederst på siden kan du se de 20 indtastninger med størst udledning, og hvor stor en procentdel de udgør af virksomhedens samlede udledninger i scope 1, 2 og 3.</t>
  </si>
  <si>
    <t>On this page, you can gain an insight into which of your entries in the Climate Compass take up the most space in your company's climate accounting - a so-called hot spot analysis.
By identifying your company's 20 biggest sources of emissions, you get a quick overview of potential reduction opportunities, so you can focus on the most important places first, and prioritize the reducing measures that have the greatest effect in your company.
In the table at the bottom of the page, you can see the 20 entries with the largest emissions and what percentage they make up of the company's total emissions in scope 1, 2 and 3.</t>
  </si>
  <si>
    <t>results.highest-emission.figure-description-header</t>
  </si>
  <si>
    <t>results.highest-emission.table-header-one</t>
  </si>
  <si>
    <t>results.highest-emission.table-subheader-one</t>
  </si>
  <si>
    <t>Placering</t>
  </si>
  <si>
    <t>Location</t>
  </si>
  <si>
    <t>results.highest-emission.table-subheader-two</t>
  </si>
  <si>
    <t>Beskrivelse</t>
  </si>
  <si>
    <t>Description</t>
  </si>
  <si>
    <t>D40</t>
  </si>
  <si>
    <t>results.highest-emission.table-subheader-three</t>
  </si>
  <si>
    <t>Scope 1, 2 and 3 discharge</t>
  </si>
  <si>
    <t>H40</t>
  </si>
  <si>
    <t>results.highest-emission.table-subheader-four</t>
  </si>
  <si>
    <t>Procentdel af udledning i scope 1, 2 og 3</t>
  </si>
  <si>
    <t>Percentage of emissions in scope 1, 2 and 3</t>
  </si>
  <si>
    <t>I40</t>
  </si>
  <si>
    <t>forecast.excel.mainresult.head.title</t>
  </si>
  <si>
    <t>Resultater for fremskrivning</t>
  </si>
  <si>
    <t>forecast.excel.forecast-for.text</t>
  </si>
  <si>
    <t>C5</t>
  </si>
  <si>
    <t>calculation.forecast.no-forecast-warning</t>
  </si>
  <si>
    <t>Basisberegning</t>
  </si>
  <si>
    <t>C7</t>
  </si>
  <si>
    <t>forecast.excel.base-calculation</t>
  </si>
  <si>
    <t>forecast.excel.base-year</t>
  </si>
  <si>
    <t>Basisår</t>
  </si>
  <si>
    <t>Base year</t>
  </si>
  <si>
    <t>forecast.excel.end-year</t>
  </si>
  <si>
    <t>Slutår</t>
  </si>
  <si>
    <t>D10</t>
  </si>
  <si>
    <t>forecast.excel.growth-selection</t>
  </si>
  <si>
    <t>Valg af årlig vækst</t>
  </si>
  <si>
    <t>forecast.calculate-forecast.field.yearly-growth-rate.name</t>
  </si>
  <si>
    <t>forecast.calculate-forecast.field.type-growth-rate.name</t>
  </si>
  <si>
    <t>C15</t>
  </si>
  <si>
    <t>forecast.excel.mainresult.mainresults.title</t>
  </si>
  <si>
    <t>forecast.excel.mainresult.table-scopes.title</t>
  </si>
  <si>
    <t>forecast.resultview.table.header1</t>
  </si>
  <si>
    <t>forecast.resultview.table.section1</t>
  </si>
  <si>
    <t>forecast.resultview.table.section2</t>
  </si>
  <si>
    <t>Fordeling i %</t>
  </si>
  <si>
    <t>Distribution in %</t>
  </si>
  <si>
    <t>F23</t>
  </si>
  <si>
    <t>H24</t>
  </si>
  <si>
    <t>forecast.resultview.scope1.text</t>
  </si>
  <si>
    <t>forecast.resultview.scope2.text</t>
  </si>
  <si>
    <t>forecast.resultview.scope3.text</t>
  </si>
  <si>
    <t>forecast.resultview.table.total</t>
  </si>
  <si>
    <t>forecast.resultview.table.outsidescopes</t>
  </si>
  <si>
    <t>Reduktion opnået (scope 1)</t>
  </si>
  <si>
    <t>Reduction achieved (scope 1)</t>
  </si>
  <si>
    <t>(ikke relevant)</t>
  </si>
  <si>
    <t>(not applicable)</t>
  </si>
  <si>
    <t>Reduktion opnået (scope 2)</t>
  </si>
  <si>
    <t>Reduction achieved (scope 2)</t>
  </si>
  <si>
    <t>Reduktion opnået (scope 3)</t>
  </si>
  <si>
    <t>Reduction achieved (scope 3)</t>
  </si>
  <si>
    <t>forecast.excel.mainresult.table-categories.title</t>
  </si>
  <si>
    <t>D63</t>
  </si>
  <si>
    <t>F63</t>
  </si>
  <si>
    <t>shared.maincategory</t>
  </si>
  <si>
    <t>forecast.excel.mainresult.graph.title</t>
  </si>
  <si>
    <t>Opsummering af virksomhedens estimerede fremskrivning på scopes og hovedkategorier</t>
  </si>
  <si>
    <t>forecast.excel.mainresult.graph.main.text</t>
  </si>
  <si>
    <t>C98</t>
  </si>
  <si>
    <t>F98</t>
  </si>
  <si>
    <t>C118</t>
  </si>
  <si>
    <t>F118</t>
  </si>
  <si>
    <t xml:space="preserve">Med en årlig vækst på </t>
  </si>
  <si>
    <t>Viser fejl, da cellen bruger flere tekstnøgler.</t>
  </si>
  <si>
    <t>forecast.excel.subresult.head.title</t>
  </si>
  <si>
    <t>Resultat</t>
  </si>
  <si>
    <t>Result</t>
  </si>
  <si>
    <t>forecast.excel.subresult.subresults-for-forecast</t>
  </si>
  <si>
    <t>Delresultat for fremskrivning</t>
  </si>
  <si>
    <t>Partial result for projection</t>
  </si>
  <si>
    <t>forecast.excel.subresult.forecast-for.text</t>
  </si>
  <si>
    <t>C6</t>
  </si>
  <si>
    <t>forecast.excel.subresult.subresult.title</t>
  </si>
  <si>
    <t>forecast.excel.subresult.subresult.text</t>
  </si>
  <si>
    <t>forecast.excel.subresult.table-scopes.title</t>
  </si>
  <si>
    <t>D14</t>
  </si>
  <si>
    <t>C16</t>
  </si>
  <si>
    <t>Total</t>
  </si>
  <si>
    <t>Reduktion opnået (scope 1+2+3)</t>
  </si>
  <si>
    <t>Reduction achieved (scope 1+2+3)</t>
  </si>
  <si>
    <t>Forskel</t>
  </si>
  <si>
    <t>Difference</t>
  </si>
  <si>
    <t>Y15</t>
  </si>
  <si>
    <t>forecast.excel.subresult.table-main-category.title</t>
  </si>
  <si>
    <t>calculation.data.text.scope1</t>
  </si>
  <si>
    <t>D33</t>
  </si>
  <si>
    <t>calculation.data.text.scope2</t>
  </si>
  <si>
    <t>E33</t>
  </si>
  <si>
    <t>calculation.data.text.scope3</t>
  </si>
  <si>
    <t>F33</t>
  </si>
  <si>
    <t>forecast.excel.forecast-partiel-result.table2.header.total-co2-emission</t>
  </si>
  <si>
    <t>G33</t>
  </si>
  <si>
    <t>forecast.excel.subresult.outside-scopes.title</t>
  </si>
  <si>
    <t>C112</t>
  </si>
  <si>
    <t>forecast.excel.subresult.outside-scopes.text</t>
  </si>
  <si>
    <t>C114</t>
  </si>
  <si>
    <t>forecast.excel.subresult.table-outside-scopes.title</t>
  </si>
  <si>
    <t>C116</t>
  </si>
  <si>
    <t>forecast.reduction-target.title</t>
  </si>
  <si>
    <t>Reduktionsmålsætning</t>
  </si>
  <si>
    <t>forecast.reduction-target.select-forecast.sub-title</t>
  </si>
  <si>
    <t>C9</t>
  </si>
  <si>
    <t>C11</t>
  </si>
  <si>
    <t>Parametre</t>
  </si>
  <si>
    <t>Parameters</t>
  </si>
  <si>
    <t>forecast.reduction-target.field.reduction-target-method.name</t>
  </si>
  <si>
    <t>Målsætningsmetode</t>
  </si>
  <si>
    <t>forecast.reduction-target.field.reduction-target-year.name</t>
  </si>
  <si>
    <t>Målsætningsår</t>
  </si>
  <si>
    <t>forecast.reduction-target.field.reduction-taget-pct.name</t>
  </si>
  <si>
    <t>Fremskrevet udledning i målsætningsår</t>
  </si>
  <si>
    <t>Projected discharge in target year</t>
  </si>
  <si>
    <t>Ekstra reduktion opnået</t>
  </si>
  <si>
    <t>Extra reduction achieved</t>
  </si>
  <si>
    <t>Forskel til målet</t>
  </si>
  <si>
    <t>Difference to the goal</t>
  </si>
  <si>
    <t>forecast.reduction-target.scope12.infotext-improve.manual</t>
  </si>
  <si>
    <t>For at nå det udledningsniveau, som lever op til jeres egen målsætning om en 45% reduktion af scope 1 og 2 CO2e-udledninger i 2028, 
skal disse CO2e-udledninger reduceres med yderligere 38,1% i forhold til jeres fremskrevne udledninger.</t>
  </si>
  <si>
    <t>To reach the emission level that meets your own objective of a 45% reduction of scope 1 and 2 CO2e emissions in 2028,
these CO2e emissions must be reduced by a further 38.1% compared to your projected emissions.</t>
  </si>
  <si>
    <t>Figur 1: Fremskrivning og mål for udledninger i scope 1 og 2</t>
  </si>
  <si>
    <t>Figure 1: Projection and targets for emissions in scope 1 and 2</t>
  </si>
  <si>
    <t>Her ses tabelvisning af fremskevne udledninger til grund for målsætningen for scope 1 og 2 år for år</t>
  </si>
  <si>
    <t>Here you can see a tabular display of future emissions as a basis for the objectives for scope 1 and 2 year by year.</t>
  </si>
  <si>
    <t>Mål</t>
  </si>
  <si>
    <t>Target</t>
  </si>
  <si>
    <t>Scope 1 og 2 (total)</t>
  </si>
  <si>
    <t>Scope 1 and 2 (total)</t>
  </si>
  <si>
    <t>Difference to the target</t>
  </si>
  <si>
    <t>forecast.reduction-target.scope3.sub-title</t>
  </si>
  <si>
    <t>Results are based on your company's projected CO2e emissions as well as your choice of target setting method, target year and target percentage. Your choices and entries are written in the "Parameters" box below. You can read more about how you can set targets in the "Reduction targets" tab on the Climate Compass website.</t>
  </si>
  <si>
    <t>forecast.reduction-target.scope3.infotext-improve</t>
  </si>
  <si>
    <t>For at nå det udledningsniveau, som lever op til jeres egen målsætning om en 1% reduktion af scope 3 CO2e-udledninger i 2030, 
skal disse CO2e-udledninger reduceres med yderligere 47,2% i forhold til jeres fremskrevne udledninger.</t>
  </si>
  <si>
    <t>Figur 2: Fremskrivning og mål for udledninger i scope 3</t>
  </si>
  <si>
    <t>Figure 2: Projection and targets for emissions in scope 3</t>
  </si>
  <si>
    <t>Her ses tabelvisning af fremskevne udledninger til grund for målsætningen for scope 3 år for år</t>
  </si>
  <si>
    <t>Here you can see a tabular display of future emissions as a basis for the objective for scope 3 year by year</t>
  </si>
  <si>
    <t>C100</t>
  </si>
  <si>
    <t>Scope 3 (total)</t>
  </si>
  <si>
    <t>C106</t>
  </si>
  <si>
    <t>C107</t>
  </si>
  <si>
    <t>forecast.reduction-target.netzero.sub-title</t>
  </si>
  <si>
    <t>Langsigtet net zero målsætning</t>
  </si>
  <si>
    <t>Værd at vide om net zero målsætning:
- Net Zero standarden er SBTi's ramme for en langsigtet målsætning, som følger Paris-aftalens 1,5 graders målsætning.
- Net Zero standarden fastsætter, at virksomheder som minimum skal reducere 90% ift. basisåret senest i 2050.
- Net zero målsætningen skal som minimum dække 95% af en virksomheds scope 1 og 2 udledninger og 90% af virksomhedens scope 3 udledninger.
- Den viste net zero målsætning dækker din virksomheds samlede klimaaftryk.</t>
  </si>
  <si>
    <t>Worth knowing about the net zero objective:
- The Net Zero standard is SBTi's framework for a long-term objective, which follows the Paris Agreement's 1.5 degree objective.
- The Net Zero standard stipulates that companies must reduce at least 90% compared to the base year by 2050 at the latest.
- The net zero objective must cover at least 95% of a company's scope 1 and 2 emissions and 90% of the company's scope 3 emissions.
- The net zero objective shown covers your company's overall climate footprint.</t>
  </si>
  <si>
    <t>Du kan læse mere om net zero standarden her:</t>
  </si>
  <si>
    <t>You can read more about the net zero standard here:</t>
  </si>
  <si>
    <t>C117</t>
  </si>
  <si>
    <t>C125</t>
  </si>
  <si>
    <t>Scope 1 - Basisår</t>
  </si>
  <si>
    <t>Scope 1 - Base year</t>
  </si>
  <si>
    <t>C126</t>
  </si>
  <si>
    <t>Scope 2 - Basisår</t>
  </si>
  <si>
    <t>Scope 2 - Base year</t>
  </si>
  <si>
    <t>C127</t>
  </si>
  <si>
    <t>Scope 3 - Basisår</t>
  </si>
  <si>
    <t>Scope 3 - Base year</t>
  </si>
  <si>
    <t>C128</t>
  </si>
  <si>
    <t>Total udledning i basisår</t>
  </si>
  <si>
    <t>Total emissions during base year</t>
  </si>
  <si>
    <t>C129</t>
  </si>
  <si>
    <t>Udledning i målsætningsår</t>
  </si>
  <si>
    <t>Emissions during target year</t>
  </si>
  <si>
    <t>C130</t>
  </si>
  <si>
    <t>Du kan vælge at fastsætte en samlet kortsigtet målsætning for din virksomheds scope 1 og 2. Du kan vælge mellem to metoder: Manuel og Minimum Absolut Emissions Contractions (MAEC). Ved valg af manuel målsætning skal du selv fastsætte målsætningsår samt målsætning. Læs mere om målsætningsmetoderne øverst på siden.</t>
  </si>
  <si>
    <t>You can choose to set an overall short-term objective for your company's scope 1 and 2. You can choose between two methods: Manual and Minimum Absolute Emissions Contractions (MAEC). When choosing manual goal setting, you must determine the goal setting year and the goal yourself. Read more about the goal setting methods at the top of the page.</t>
  </si>
  <si>
    <t>C132</t>
  </si>
  <si>
    <t>C134</t>
  </si>
  <si>
    <t>G134</t>
  </si>
  <si>
    <t xml:space="preserve">For at nå det udledningsniveau, som lever op til jeres egen målsætning om en </t>
  </si>
  <si>
    <t xml:space="preserve">To reach the emission level that meets your own objective of a </t>
  </si>
  <si>
    <t>% i forhold til jeres fremskrevne udledninger.</t>
  </si>
  <si>
    <t>% in relation to your projected emissions.</t>
  </si>
  <si>
    <t xml:space="preserve">It appears that you are reaching the emission level that meets your own stated goal of one </t>
  </si>
  <si>
    <t>Tillykke! I kan nu vælge at sætte en endnu mere ambitiøs målsætning.</t>
  </si>
  <si>
    <t>Congratulations! You can now choose to set an even more ambitious goal.</t>
  </si>
  <si>
    <t>calculation.emission-factors.text.title</t>
  </si>
  <si>
    <t>Emission factors</t>
  </si>
  <si>
    <t>calculation.emission-factors.text.year</t>
  </si>
  <si>
    <t>Year</t>
  </si>
  <si>
    <t>B4</t>
  </si>
  <si>
    <t>calculation.emission-factors.text.table.title</t>
  </si>
  <si>
    <t>Tabel med emissionsfaktorer</t>
  </si>
  <si>
    <t>Table of emission factors</t>
  </si>
  <si>
    <t>calculation.data.text.main-category</t>
  </si>
  <si>
    <t>calculation.data.text.parameter1</t>
  </si>
  <si>
    <t>calculation.data.text.parameter2</t>
  </si>
  <si>
    <t>Parameter 2</t>
  </si>
  <si>
    <t>calculation.data.text.unit</t>
  </si>
  <si>
    <t>E10</t>
  </si>
  <si>
    <t>Scope 1 - faktor</t>
  </si>
  <si>
    <t>Scope 1 - factor</t>
  </si>
  <si>
    <t>F10</t>
  </si>
  <si>
    <t>Scope 2 - faktor</t>
  </si>
  <si>
    <t>Scope 2 - factor</t>
  </si>
  <si>
    <t>G10</t>
  </si>
  <si>
    <t>Scope 3 - faktor</t>
  </si>
  <si>
    <t>Scope 3 - factor</t>
  </si>
  <si>
    <t>H10</t>
  </si>
  <si>
    <t>calculation.data.text.outside-scope</t>
  </si>
  <si>
    <t>Udenfor scope - faktor</t>
  </si>
  <si>
    <t>I10</t>
  </si>
  <si>
    <t>calculation.data.text.source-year</t>
  </si>
  <si>
    <t>Source (year)</t>
  </si>
  <si>
    <t>J10</t>
  </si>
  <si>
    <t>calculation.emission-factors-own.text.title</t>
  </si>
  <si>
    <t>Egne emissionsfaktorer</t>
  </si>
  <si>
    <t>Own emission factors</t>
  </si>
  <si>
    <t>calculation.emission-factors-own.text.table.title</t>
  </si>
  <si>
    <t>Tabel med egne emissionsfaktorer</t>
  </si>
  <si>
    <t>Table with own emission factors</t>
  </si>
  <si>
    <t>calculation.data.text.category</t>
  </si>
  <si>
    <t>calculation.data.text.description</t>
  </si>
  <si>
    <t>forecast.excel.emission-coeffients.head.title</t>
  </si>
  <si>
    <t>Emissionsfaktorer for fremskrivning</t>
  </si>
  <si>
    <t>C4</t>
  </si>
  <si>
    <t>forecast.excel.subresult.tabel-emission-factors.title</t>
  </si>
  <si>
    <t>A1</t>
  </si>
  <si>
    <t>B1</t>
  </si>
  <si>
    <t>calculation.data.text.sub-category</t>
  </si>
  <si>
    <t>Underkategori</t>
  </si>
  <si>
    <t>Subcategory</t>
  </si>
  <si>
    <t>C1</t>
  </si>
  <si>
    <t>D1</t>
  </si>
  <si>
    <t>calculation.data.text.parameter1-titel</t>
  </si>
  <si>
    <t xml:space="preserve">Parameter 1 - titel </t>
  </si>
  <si>
    <t>E1</t>
  </si>
  <si>
    <t>F1</t>
  </si>
  <si>
    <t>calculation.data.text.parameter2-titel</t>
  </si>
  <si>
    <t>Parameter 2 - title</t>
  </si>
  <si>
    <t>G1</t>
  </si>
  <si>
    <t>H1</t>
  </si>
  <si>
    <t>calculation.data.text.parameter3-titel</t>
  </si>
  <si>
    <t>Parameter 3 - titel</t>
  </si>
  <si>
    <t>Parameter 3 - title</t>
  </si>
  <si>
    <t>I1</t>
  </si>
  <si>
    <t>calculation.data.text.parameter3</t>
  </si>
  <si>
    <t>Parameter 3</t>
  </si>
  <si>
    <t>J1</t>
  </si>
  <si>
    <t>calculation.data.text.amount</t>
  </si>
  <si>
    <t>Mængde</t>
  </si>
  <si>
    <t>Amount</t>
  </si>
  <si>
    <t>K1</t>
  </si>
  <si>
    <t>calculation.data.text.amount-no-tax</t>
  </si>
  <si>
    <t>Amount (excl. VAT, DKK)</t>
  </si>
  <si>
    <t>L1</t>
  </si>
  <si>
    <t>M1</t>
  </si>
  <si>
    <t>N1</t>
  </si>
  <si>
    <t>O1</t>
  </si>
  <si>
    <t>P1</t>
  </si>
  <si>
    <t>calculation.data.text.discharge-total</t>
  </si>
  <si>
    <t>Q1</t>
  </si>
  <si>
    <t>R1</t>
  </si>
  <si>
    <t>calculation.data.text.notes-input-field</t>
  </si>
  <si>
    <t>Notes (from input field)</t>
  </si>
  <si>
    <t>S1</t>
  </si>
  <si>
    <t>calculation.data.text.year-emission-factors</t>
  </si>
  <si>
    <t>Year of emission factors</t>
  </si>
  <si>
    <t>T1</t>
  </si>
  <si>
    <t>calculation.data.text.country-emission-factors</t>
  </si>
  <si>
    <t>Country for emission factors</t>
  </si>
  <si>
    <t>U1</t>
  </si>
  <si>
    <t>calculation.data.text.method</t>
  </si>
  <si>
    <t>V1</t>
  </si>
  <si>
    <t>Start dato mangler eller skal have format DATO(yyyy;mm;dd).</t>
  </si>
  <si>
    <t>Start date missing or must have format DATE(yyyy;mm;dd).</t>
  </si>
  <si>
    <t>Vises rød hvis fejlen ikke vises, f.eks. fordi der ingen fejl er.</t>
  </si>
  <si>
    <t>Slutår og startår skal være ens.</t>
  </si>
  <si>
    <t>End year and start year must be the same.</t>
  </si>
  <si>
    <t>Slutår er forkert.</t>
  </si>
  <si>
    <t>End year is wrong.</t>
  </si>
  <si>
    <t>E11</t>
  </si>
  <si>
    <t>Mængde af farligt affald er større end den total mængde af affald</t>
  </si>
  <si>
    <t>Amount of hazardous waste is greater than the total amount of waste</t>
  </si>
  <si>
    <t>F44</t>
  </si>
  <si>
    <t>Mængde af genanvendt affald er større end den total mængde af affald</t>
  </si>
  <si>
    <t>Amount of recycled waste is greater than the total amount of waste</t>
  </si>
  <si>
    <t>F45</t>
  </si>
  <si>
    <t>Summen af scope 3 kategorier udledninger er større end summen af alle scope 3 udledninger.</t>
  </si>
  <si>
    <t>The sum of scope 3 category emissions is greater than the sum of all scope 3 emissions.</t>
  </si>
  <si>
    <t>F37</t>
  </si>
  <si>
    <t>J49</t>
  </si>
  <si>
    <t>text.not-relevant</t>
  </si>
  <si>
    <t>Ikke relevant</t>
  </si>
  <si>
    <t>Not relevant</t>
  </si>
  <si>
    <t>text.means-of-transport</t>
  </si>
  <si>
    <t>Means of transport</t>
  </si>
  <si>
    <t>text.propellant</t>
  </si>
  <si>
    <t>Propellant</t>
  </si>
  <si>
    <t>calculationsoverview.purposeMappingUnknown</t>
  </si>
  <si>
    <t>Ukendt</t>
  </si>
  <si>
    <t>Unknown</t>
  </si>
  <si>
    <t>forecast.calculate-forecast.field.type-growth-rate.option.linear.short-name</t>
  </si>
  <si>
    <t>Lineær</t>
  </si>
  <si>
    <t>Linear</t>
  </si>
  <si>
    <t>forecast.calculate-forecast.field.type-growth-rate.option.exponential.short-name</t>
  </si>
  <si>
    <t>Eksponentiel</t>
  </si>
  <si>
    <t>Exponential</t>
  </si>
  <si>
    <t>excel.go-to-front-page</t>
  </si>
  <si>
    <t>excel.frontpage.title.download-results</t>
  </si>
  <si>
    <t>excel.frontpage.text</t>
  </si>
  <si>
    <t>excel.choose-language</t>
  </si>
  <si>
    <t>excel.click-cell</t>
  </si>
  <si>
    <t>excel.frontpage.toc</t>
  </si>
  <si>
    <t>excel.frontpage.title.general-information</t>
  </si>
  <si>
    <t>excel.sheet-name.front-page</t>
  </si>
  <si>
    <t>excel.sheet-name.master-data</t>
  </si>
  <si>
    <t>excel.sheet-name.contact-information</t>
  </si>
  <si>
    <t>excel.frontpage.title.results</t>
  </si>
  <si>
    <t>excel.sheet-name.main-results</t>
  </si>
  <si>
    <t>excel.sheet-name.partial-results</t>
  </si>
  <si>
    <t>excel.sheet-name.main-results-ghg</t>
  </si>
  <si>
    <t>excel.sheet-name.partial-results-ghg</t>
  </si>
  <si>
    <t>excel.sheet-name.e-key-numbers-esg</t>
  </si>
  <si>
    <t>excel.sheet-name.scope-3-categories</t>
  </si>
  <si>
    <t>excel.sheet-name.highest-emission-items</t>
  </si>
  <si>
    <t>excel.frontpage.title.projection-and-reduction-objectives</t>
  </si>
  <si>
    <t>excel.sheet-name.projection-main-results</t>
  </si>
  <si>
    <t>excel.sheet-name.projection-partial-results</t>
  </si>
  <si>
    <t>excel.sheet-name.reduction-objectives</t>
  </si>
  <si>
    <t>excel.frontpage-title.data</t>
  </si>
  <si>
    <t>excel.sheet-name.emission-coefficients</t>
  </si>
  <si>
    <t>excel.sheet-name.data-all-posts</t>
  </si>
  <si>
    <t>excel.sheet-name.data-e-key-numbers</t>
  </si>
  <si>
    <t>excel.sheet-name.own-emission-coefficients</t>
  </si>
  <si>
    <t>excel.sheet-name.projected-emission-coefficients</t>
  </si>
  <si>
    <t>excel.frontpage-title.to-developers</t>
  </si>
  <si>
    <t>excel.sheet-name.to-developers</t>
  </si>
  <si>
    <t>excel.sheet-name.text-keys</t>
  </si>
  <si>
    <t>purpose.purposeOption1</t>
  </si>
  <si>
    <t>purpose.purposeOption2</t>
  </si>
  <si>
    <t>purpose.purposeOption3</t>
  </si>
  <si>
    <t>purpose.purposeOption4</t>
  </si>
  <si>
    <t>calculation.masterdata.text.company-calculation-relates-foreign</t>
  </si>
  <si>
    <t>calculation.masterdata.text.reg-no</t>
  </si>
  <si>
    <t>calculation.masterdata.text.foreign.address</t>
  </si>
  <si>
    <t>excel.or</t>
  </si>
  <si>
    <t>calculation.methodselection.text.method.exclude-rfi</t>
  </si>
  <si>
    <t>coefficient-group.name.electricity-declaration</t>
  </si>
  <si>
    <t>excel.ton-co2e</t>
  </si>
  <si>
    <t>excel.total-ton-co2e</t>
  </si>
  <si>
    <t>excel.projection.mainresults-total</t>
  </si>
  <si>
    <t>excel.projection.mainresults-difference</t>
  </si>
  <si>
    <t>excel.projection.main-results.reduction.scope1.achieved</t>
  </si>
  <si>
    <t>excel.projection.main-results.reduction.scope1.not-applicable</t>
  </si>
  <si>
    <t>excel.projection.main-results.reduction.scope1.difference</t>
  </si>
  <si>
    <t>excel.projection.main-results.reduction.scope1.difference.not-applicable</t>
  </si>
  <si>
    <t>excel.projection.main-results.reduction.scope2.achieved</t>
  </si>
  <si>
    <t>excel.projection.main-results.reduction.scope2.not-applicable</t>
  </si>
  <si>
    <t>excel.projection.main-results.reduction.scope2.difference</t>
  </si>
  <si>
    <t>excel.projection.main-results.reduction.scope2.difference.not-applicable</t>
  </si>
  <si>
    <t>excel.projection.main-results.reduction.scope3.achieved</t>
  </si>
  <si>
    <t>excel.projection.main-results.reduction.scope3.not-applicable</t>
  </si>
  <si>
    <t>excel.projection.main-results.reduction.scope3.difference</t>
  </si>
  <si>
    <t>excel.projection.main-results.reduction.scope3.difference.not-applicable</t>
  </si>
  <si>
    <t>excel.projection.main-results.figure1.all-scopes</t>
  </si>
  <si>
    <t>excel.projection.main-results.figure2.main-categories</t>
  </si>
  <si>
    <t>excel.projection.main-results.figure3.scope1</t>
  </si>
  <si>
    <t>excel.projection.main-results.figure4.scope2</t>
  </si>
  <si>
    <t>excel.projection.main-results.figure5.scope3</t>
  </si>
  <si>
    <t>excel.projection.main-results.conclusion.part1</t>
  </si>
  <si>
    <t>excel.projection.main-results.conclusion.part2a</t>
  </si>
  <si>
    <t>excel.projection.main-results.conclusion.part2b</t>
  </si>
  <si>
    <t>excel.projection.main-results.conclusion.part3</t>
  </si>
  <si>
    <t>excel.projection.partial-results.all-scopes.reduction-achieved</t>
  </si>
  <si>
    <t>excel.projection.partial-results.all-scopes.reduction-na</t>
  </si>
  <si>
    <t>excel.projection.partial-results.all-scopes.difference-from-goal</t>
  </si>
  <si>
    <t>excel.projection.partial-results.all-scopes.difference-na</t>
  </si>
  <si>
    <t>excel.projection.partial-results.all-scopes.difference</t>
  </si>
  <si>
    <t>excel.projection.partial-results.ton-co2e</t>
  </si>
  <si>
    <t>excel.reduction-target.base-calculation</t>
  </si>
  <si>
    <t>excel.reduction-target.subtitle1.text</t>
  </si>
  <si>
    <t>excel.reduction-target.parameters</t>
  </si>
  <si>
    <t>excel.reduction-target.target</t>
  </si>
  <si>
    <t>excel.reduction-target.forecast-emissions-in-target-year</t>
  </si>
  <si>
    <t>excel.reduction-target.extra-reduction</t>
  </si>
  <si>
    <t>excel.reduction-target.difference-to-target</t>
  </si>
  <si>
    <t>excel.reduction-target.figure1.title</t>
  </si>
  <si>
    <t>excel.reduction-target.figure1.explainer</t>
  </si>
  <si>
    <t>excel.reduction-target.table1.title</t>
  </si>
  <si>
    <t>excel.reduction-target.target2</t>
  </si>
  <si>
    <t>excel.reduction-target.table1.scope1-2-total</t>
  </si>
  <si>
    <t>excel.reduction-target.table1.reduction-achieved</t>
  </si>
  <si>
    <t>excel.reduction-target.table1.reduction-na</t>
  </si>
  <si>
    <t>excel.reduction-target.table1.difference</t>
  </si>
  <si>
    <t>excel.reduction-target.table1.difference-na</t>
  </si>
  <si>
    <t>excel.reduction-target.figure2.title</t>
  </si>
  <si>
    <t>excel.reduction-target.figure2.explainer</t>
  </si>
  <si>
    <t>excel.reduction-target.table2.title</t>
  </si>
  <si>
    <t>excel.reduction-target.table2.total</t>
  </si>
  <si>
    <t>excel.reduction-target.table2.reduction-achieved</t>
  </si>
  <si>
    <t>excel.reduction-target.table2.reduction-na</t>
  </si>
  <si>
    <t>excel.reduction-target.table2.difference</t>
  </si>
  <si>
    <t>excel.reduction-target.table2.difference-na</t>
  </si>
  <si>
    <t>excel.reduction-target.subtitle2.text</t>
  </si>
  <si>
    <t>excel.reduction-target.worth-to-know</t>
  </si>
  <si>
    <t>excel.reduction-target.read-more</t>
  </si>
  <si>
    <t>excel.reduction-target.results</t>
  </si>
  <si>
    <t>excel.reduction-target.scope1.base-year</t>
  </si>
  <si>
    <t>excel.reduction-target.scope2.base-year</t>
  </si>
  <si>
    <t>excel.reduction-target.scope3.base-year</t>
  </si>
  <si>
    <t>excel.reduction-target.total-emissions.base-year</t>
  </si>
  <si>
    <t>excel.reduction-target.total-emissions.target-year</t>
  </si>
  <si>
    <t>excel.reduction-target.netzero.explainer</t>
  </si>
  <si>
    <t>excel.reduction-target.figure4.title</t>
  </si>
  <si>
    <t>excel.reduction-target.figure5.title</t>
  </si>
  <si>
    <t>excel.reduction-target.conclusion.scope123-increase.part1</t>
  </si>
  <si>
    <t>excel.reduction-target.conclusion.scope123-increase.part3</t>
  </si>
  <si>
    <t>excel.reduction-target.conclusion.scope123-increase.part4</t>
  </si>
  <si>
    <t>excel.reduction-target.conclusion.scope3-fall.part1</t>
  </si>
  <si>
    <t>excel.reduction-target.conclusion.scope3-fall.part3</t>
  </si>
  <si>
    <t>excel.reduction-target.conclusion.scope12-increase.part2</t>
  </si>
  <si>
    <t>excel.reduction-target.conclusion.scope3-increase.part2</t>
  </si>
  <si>
    <t>excel.data-e-key-numbers.title</t>
  </si>
  <si>
    <t>excel.errormessages.scope1</t>
  </si>
  <si>
    <t>excel.errormessages.start-end-year</t>
  </si>
  <si>
    <t>excel.errormessages.end-year-for-forecast</t>
  </si>
  <si>
    <t>excel.errormessages.proportion-dangerous-waste</t>
  </si>
  <si>
    <t>excel.errormessages.proportion-recycled-waste</t>
  </si>
  <si>
    <t>excel.errormessages.sum-scope3-categories-1</t>
  </si>
  <si>
    <t>NA</t>
  </si>
  <si>
    <t>subcategories.subgroup-TrashOther</t>
  </si>
  <si>
    <t>subcategories.subgroup-SoldProductsOther</t>
  </si>
  <si>
    <t>menu.energyandprocessestabs.item.electricity</t>
  </si>
  <si>
    <t>menu.energyandprocessestabs.item.heat-and-process-energy</t>
  </si>
  <si>
    <t>menu.energyandprocessestabs.item.process</t>
  </si>
  <si>
    <t>menu.energyandprocessestabs.item.other-energy-and-processes</t>
  </si>
  <si>
    <t>menu.procurementtabs.item.materials-primary</t>
  </si>
  <si>
    <t>menu.procurementtabs.item.products-and-services-primary</t>
  </si>
  <si>
    <t>menu.procurementtabs.item.other-primary</t>
  </si>
  <si>
    <t>menu.procurementtabs.item.materials-secondary</t>
  </si>
  <si>
    <t>menu.procurementtabs.item.products-and-services-secondary</t>
  </si>
  <si>
    <t>menu.procurementtabs.item.other-secondary</t>
  </si>
  <si>
    <t>menu.transporttabs.item.own-and-leased</t>
  </si>
  <si>
    <t>menu.transporttabs.item.employee-transportation</t>
  </si>
  <si>
    <t>menu.transporttabs.item.product-transportation</t>
  </si>
  <si>
    <t>menu.transporttabs.item.customer-transportation</t>
  </si>
  <si>
    <t>menu.transporttabs.item.other-transport</t>
  </si>
  <si>
    <t>menu.trashandrecyclingtabs.item.trash</t>
  </si>
  <si>
    <t>menu.trashandrecyclingtabs.item.other-trash-and-recycling</t>
  </si>
  <si>
    <t>menu.soldproductstabs.item.processing</t>
  </si>
  <si>
    <t>menu.soldproductstabs.item.use-of-products</t>
  </si>
  <si>
    <t>menu.soldproductstabs.item.other-sold-products</t>
  </si>
  <si>
    <t>menu.soldproductstabs.item.end-of-life-treatment</t>
  </si>
  <si>
    <t>excel.own</t>
  </si>
  <si>
    <t>Egne</t>
  </si>
  <si>
    <t>Own</t>
  </si>
  <si>
    <t>excel.esg</t>
  </si>
  <si>
    <t>excel.e-key-numbers</t>
  </si>
  <si>
    <t>E-Key-numbers</t>
  </si>
  <si>
    <t>excel.parameter</t>
  </si>
  <si>
    <t>excel.used-for-e-key-number-calculation</t>
  </si>
  <si>
    <t>Refers to sheet:</t>
  </si>
  <si>
    <t>Denne tabel viser beregninger af nøgletal i tilfælde af, at der under Stamdata er indtastet data for hhv. antal fuldtidsansatte i virksomheden, nettoomsætning og areal.</t>
  </si>
  <si>
    <t>excel.highest-emission.table-scope-123-total</t>
  </si>
  <si>
    <t>excel.highest-emission.table-scope123-pct-percentage</t>
  </si>
  <si>
    <t>shared.ton-co2e.no-format</t>
  </si>
  <si>
    <t>excel.highest-emissions.main-description-text</t>
  </si>
  <si>
    <t>excel.highest-emission.figure-description-header</t>
  </si>
  <si>
    <t>subcategories.subgroup-other</t>
  </si>
  <si>
    <t>Andet</t>
  </si>
  <si>
    <t>Other</t>
  </si>
  <si>
    <t xml:space="preserve">   subcategories.subgroup-fuel</t>
  </si>
  <si>
    <t>subcategories.subgroup-EnergyProcessOther</t>
  </si>
  <si>
    <t>Andet udledning ved Energi og processer</t>
  </si>
  <si>
    <t>excel.text-key-not-found</t>
  </si>
  <si>
    <t>Text key not found</t>
  </si>
  <si>
    <t>excel.excel-refers-to-sheet.special-only-english</t>
  </si>
  <si>
    <t xml:space="preserve">a. </t>
  </si>
  <si>
    <t xml:space="preserve">b. </t>
  </si>
  <si>
    <t xml:space="preserve">c. </t>
  </si>
  <si>
    <t xml:space="preserve">d. </t>
  </si>
  <si>
    <t xml:space="preserve">e. </t>
  </si>
  <si>
    <t xml:space="preserve">Det ser ud til at I når det udledningsniveau, som lever op til jeres egen angivne målsætning om en </t>
  </si>
  <si>
    <t>excel.emmission-factor-year</t>
  </si>
  <si>
    <t>excel.base-year</t>
  </si>
  <si>
    <t>excel.emmission-factor-year-for-base-year</t>
  </si>
  <si>
    <t>Emissionsfaktorår for basisår</t>
  </si>
  <si>
    <t>calculation.partial-result-ghg.text.table.include-scopes.description</t>
  </si>
  <si>
    <t>excel.calculation-base-year</t>
  </si>
  <si>
    <t>excel.calculation-year-span.error</t>
  </si>
  <si>
    <t>Calculation end year is more than 2 years after the start year</t>
  </si>
  <si>
    <t>Beregningens slutår er mere end 2 år efter startår</t>
  </si>
  <si>
    <t>SBTi</t>
  </si>
  <si>
    <t>Målsætning fratrukket reduktionen</t>
  </si>
  <si>
    <t>excel.reduction-target.target-without-reduction</t>
  </si>
  <si>
    <t>Target without reduction</t>
  </si>
  <si>
    <t>excel.reduction-target.target-without-reduction-pct</t>
  </si>
  <si>
    <t>Målsætning fratrukket reduktionen (%)</t>
  </si>
  <si>
    <t>Target without reduction (%)</t>
  </si>
  <si>
    <t>excel.reduction-target.target-pct</t>
  </si>
  <si>
    <t>Målsætning (%)</t>
  </si>
  <si>
    <t>Target (%)</t>
  </si>
  <si>
    <t>excel.reduction-target.missing-reduction</t>
  </si>
  <si>
    <t>Manglende reduction</t>
  </si>
  <si>
    <t>Missing reduction</t>
  </si>
  <si>
    <t>excel.reduction-target.target-scope-3</t>
  </si>
  <si>
    <t>Target for scope3</t>
  </si>
  <si>
    <t>excel.reduction-target.target-scope-3-without-reduction</t>
  </si>
  <si>
    <t>Målsætning for scope 3 fratrukket reduktionen</t>
  </si>
  <si>
    <t>Target for scope3 without reduction</t>
  </si>
  <si>
    <t>forecast.reduction.scope3.name-outside-scope</t>
  </si>
  <si>
    <t>Scope 3 andel, udenfor målsætning</t>
  </si>
  <si>
    <t>Scope 3 proportion, outside of target</t>
  </si>
  <si>
    <t>excel.mainresult.text.mainresult.table1.emission-outsidescope</t>
  </si>
  <si>
    <t>Udledning i ton CO₂e
(udenfor scopes)</t>
  </si>
  <si>
    <t>results.esg.result-table1-emission-header-one</t>
  </si>
  <si>
    <t>results.esg.result-table2-energy-header-one</t>
  </si>
  <si>
    <t>results.esg.result-table3-water-and-waste-header-one</t>
  </si>
  <si>
    <t>results.esg.result-table-subheader-four</t>
  </si>
  <si>
    <t>results.esg.result-table-row-fossil-energy</t>
  </si>
  <si>
    <t>results.esg.result-table-row-nuclear-energy</t>
  </si>
  <si>
    <t>Energiforbrug: Fossile kilder</t>
  </si>
  <si>
    <t>Energy consumption: Fossil sources</t>
  </si>
  <si>
    <t>Share</t>
  </si>
  <si>
    <t>Andel</t>
  </si>
  <si>
    <t>Energiforbrug: Nukleare kilder</t>
  </si>
  <si>
    <t>Energy consumption: Nuclear sources</t>
  </si>
  <si>
    <t>CO₂e-emission</t>
  </si>
  <si>
    <t>CO₂e-udledning</t>
  </si>
  <si>
    <t>Energy consumption broken down by sources</t>
  </si>
  <si>
    <t>Energiforbrug fordelt på kilder</t>
  </si>
  <si>
    <t>Water and waste</t>
  </si>
  <si>
    <t>Vand og affald</t>
  </si>
  <si>
    <t>results.esg.result-table-measurement-unit-nine</t>
  </si>
  <si>
    <t>calculation.dropdown.possiblevalue.unit.mwh</t>
  </si>
  <si>
    <t>calculation.dropdown.possiblevalue.fuels.m3</t>
  </si>
  <si>
    <t>m3 / Mio. DKK</t>
  </si>
  <si>
    <t>m3 / mio. DKK</t>
  </si>
  <si>
    <t>m3</t>
  </si>
  <si>
    <t>results.esg.result-table-row-waterintensity</t>
  </si>
  <si>
    <t>results.esg.result-table-row-wastetotal</t>
  </si>
  <si>
    <t>Water intensity (Total water consumption in relation to net revenue)</t>
  </si>
  <si>
    <t>Vandintensitet (Samlet vandforbrug ift. nettoomsætning)</t>
  </si>
  <si>
    <t>Samlet mængde affald</t>
  </si>
  <si>
    <t>results.esg.result-table-row-electricity</t>
  </si>
  <si>
    <t>Total electricity consumption</t>
  </si>
  <si>
    <t>Samlet elektricitetsforbrug</t>
  </si>
  <si>
    <t>Auto insert start, kontakt en udvikler, hvis der er brug for at indsætte tekstnøgler efter dette punkt, da der så skal ændres i ExcelExporter.AUTO_INSERTED_KEYS_START_ROW_INDEX</t>
  </si>
  <si>
    <t>excel.esg.pre-table2-energy-description</t>
  </si>
  <si>
    <t>excel.esg.pre-table3-water-and-waste-description</t>
  </si>
  <si>
    <t>excel.esg.pre-table4-electricity-description</t>
  </si>
  <si>
    <t>Her ses din virksomheds samlede energiforbrug, samt hvor stor andel af energiforbruget der kommer fra hhv. fossile kilder (såsom olie og gas), nukleare kilder (atomkraft) og vedvarende kilder (fx solcelle-energi).</t>
  </si>
  <si>
    <t>Her ses din virksomheds samlede vandforbrug, og hvad vandintensiteten er. Du kan også se virksomhedens samlede mængde affald, heraf hvor stor andel som er farligt affald og hvor stor andel som bliver sendt til genanvendelse eller genbrug.</t>
  </si>
  <si>
    <t>This shows your company's total energy consumption, as well as the proportion of energy consumption originating from fossil sources (such as oil and gas), nuclear sources (nuclear power) and renewable sources (e.g. solar energy).</t>
  </si>
  <si>
    <t>This shows your company's total water consumption and water intensity. You can also see the company's total amount of waste, as well as the proportion of hazardous waste and the proportion of waste sent for recycling or reuse.</t>
  </si>
  <si>
    <t>Her ses din virksomheds samlede forbrug af elektricitet, og heraf hvad som kommer fra vedvarende energikilder. Bemærk, at den nukleare energiandel er medregnet under vedvarende elektricitet. Det skyldes, at den nukleare andel ikke udleder CO₂e.</t>
  </si>
  <si>
    <t>This shows your company's total electricity consumption, and the proportion originating from renewable energy sources. PLease note that the proportion of nuclear energy is included under renewable electricity. This is because the nuclear share does not emit CO₂e.</t>
  </si>
  <si>
    <t>excel.esg.result-table.must-update</t>
  </si>
  <si>
    <t>(Requires update)</t>
  </si>
  <si>
    <t>excel.esg.conversion</t>
  </si>
  <si>
    <t>Omregning til MWh</t>
  </si>
  <si>
    <t>Conversion to MWh</t>
  </si>
  <si>
    <t>excel.esg.renewable-energi-share</t>
  </si>
  <si>
    <t>excel.esg.nuclear-energi-share</t>
  </si>
  <si>
    <t>Nuklear energiandel</t>
  </si>
  <si>
    <t>Nuclear energy share</t>
  </si>
  <si>
    <t>excel.esg.fossil-energi-share</t>
  </si>
  <si>
    <t>Fossil energiandel</t>
  </si>
  <si>
    <t>Fossil energy share</t>
  </si>
  <si>
    <t>Renewable energy share</t>
  </si>
  <si>
    <t>excel.esg.for-calculation</t>
  </si>
  <si>
    <t>Til opgørelse af E-nøgletal</t>
  </si>
  <si>
    <t>For calculation of ESG</t>
  </si>
  <si>
    <t>(Mangler opdatering)</t>
  </si>
  <si>
    <t>xxxx</t>
  </si>
  <si>
    <t>excel.esg.included</t>
  </si>
  <si>
    <t>Medtaget i E-nøgletal</t>
  </si>
  <si>
    <t>Included in E-key ratios (ESG)</t>
  </si>
  <si>
    <t>switch-toggle.yes</t>
  </si>
  <si>
    <t>switch-toggle.no</t>
  </si>
  <si>
    <t>Ja</t>
  </si>
  <si>
    <t>Yes</t>
  </si>
  <si>
    <t>Nej</t>
  </si>
  <si>
    <t>No</t>
  </si>
  <si>
    <t>results.esg.result-table-row-renewable-energy</t>
  </si>
  <si>
    <t>results.esg.result-table4-header-one</t>
  </si>
  <si>
    <t>results.esg.result-table4-header-two</t>
  </si>
  <si>
    <t>Vedvarende</t>
  </si>
  <si>
    <t>Renewable</t>
  </si>
  <si>
    <t>Non-renewable</t>
  </si>
  <si>
    <t>results.esg.result-table4-header-three</t>
  </si>
  <si>
    <t>results.esg.result-table4-header-four</t>
  </si>
  <si>
    <t>results.esg.result-table-header-electricity</t>
  </si>
  <si>
    <t>results.esg.result-table-header-fuel</t>
  </si>
  <si>
    <t>Brændsler</t>
  </si>
  <si>
    <t>Fuel</t>
  </si>
  <si>
    <t>results.esg.result-table-header-district-heating</t>
  </si>
  <si>
    <t>District heating</t>
  </si>
  <si>
    <t>results.esg.result-table-row-scopes-totalsc1sc2</t>
  </si>
  <si>
    <t>results.esg.result-table-row-co2intensity-scope1and2</t>
  </si>
  <si>
    <t>results.esg.result-sub-header1</t>
  </si>
  <si>
    <t>results.esg.result-sub-header2</t>
  </si>
  <si>
    <t>Andre nøgletal</t>
  </si>
  <si>
    <t>Other key figures</t>
  </si>
  <si>
    <t>calculation.dropdown.possiblevalue.materials.gypsum-board</t>
  </si>
  <si>
    <t>calculation.dropdown.possiblevalue.materials.textile-yarn</t>
  </si>
  <si>
    <t>calculation.dropdown.possiblevalue.unit.non-ferrous-metals-new</t>
  </si>
  <si>
    <t>calculation.dropdown.possiblevalue.petrol-100-pct</t>
  </si>
  <si>
    <t>calculation.dropdown.possiblevalue.unit.other-plastics-new</t>
  </si>
  <si>
    <t>calculation.dropdown.possiblevalue.unit.train-unspecified</t>
  </si>
  <si>
    <t>calculation.dropdown.possiblevalue.unit.beverages</t>
  </si>
  <si>
    <t>calculation.dropdown.possiblevalue.materials.construction-wood</t>
  </si>
  <si>
    <t>calculation.dropdown.possiblevalue.unit.lbg</t>
  </si>
  <si>
    <t>calculation.dropdown.possiblevalue.materials.unspecified</t>
  </si>
  <si>
    <t>calculation.dropdown.possiblevalue.artificial-fertilizers</t>
  </si>
  <si>
    <t>calculation.dropdown.possiblevalue.materials.flax</t>
  </si>
  <si>
    <t>calculation.dropdown.possiblevalue.unit.copper-new</t>
  </si>
  <si>
    <t>text.waste-management</t>
  </si>
  <si>
    <t>calculation.dropdown.possiblevalue.unit.category15</t>
  </si>
  <si>
    <t>calculation.dropdown.possiblevalue.unit.category14</t>
  </si>
  <si>
    <t>calculation.dropdown.possiblevalue.unit.category13</t>
  </si>
  <si>
    <t>calculation.dropdown.possiblevalue.unit.category12</t>
  </si>
  <si>
    <t>calculation.dropdown.possiblevalue.unit.category11</t>
  </si>
  <si>
    <t>calculation.dropdown.possiblevalue.unit.category10</t>
  </si>
  <si>
    <t>calculation.dropdown.possiblevalue.product-services.artificial-fertilizers</t>
  </si>
  <si>
    <t>calculation.dropdown.possiblevalue.unit.category1</t>
  </si>
  <si>
    <t>calculation.dropdown.possiblevalue.unit.category7</t>
  </si>
  <si>
    <t>calculation.dropdown.possiblevalue.unit.category6</t>
  </si>
  <si>
    <t>calculation.dropdown.possiblevalue.unit.category9</t>
  </si>
  <si>
    <t>calculation.dropdown.possiblevalue.unit.passenger-cars-hybrid-not-charging</t>
  </si>
  <si>
    <t>calculation.dropdown.possiblevalue.unit.category8</t>
  </si>
  <si>
    <t>calculation.dropdown.possiblevalue.unit.category3</t>
  </si>
  <si>
    <t>calculation.dropdown.possiblevalue.unit.category2</t>
  </si>
  <si>
    <t>calculation.dropdown.possiblevalue.unit.category5</t>
  </si>
  <si>
    <t>calculation.dropdown.possiblevalue.unit.bread-potatoes-pasta-etc</t>
  </si>
  <si>
    <t>calculation.dropdown.possiblevalue.unit.category4</t>
  </si>
  <si>
    <t>calculation.dropdown.possiblevalue.unit.in-general</t>
  </si>
  <si>
    <t>calculation.dropdown.possiblevalue.materials.metals</t>
  </si>
  <si>
    <t>calculation.dropdown.possiblevalue.unit.reuse</t>
  </si>
  <si>
    <t>calculation.dropdown.possiblevalue.materials.construction-aluminum</t>
  </si>
  <si>
    <t>calculation.dropdown.possiblevalue.procurement.electronics-nimh-batteries</t>
  </si>
  <si>
    <t>calculation.dropdown.possiblevalue.unit.number</t>
  </si>
  <si>
    <t>calculation.dropdown.possiblevalue.unit.marine-gas-oil</t>
  </si>
  <si>
    <t>calculation.dropdown.possiblevalue.materials.concrete_bigger-35-mpa-ordinary</t>
  </si>
  <si>
    <t>calculation.dropdown.possiblevalue.unit.ton</t>
  </si>
  <si>
    <t>calculation.dropdown.possiblevalue.materials.nylon-pa6-average</t>
  </si>
  <si>
    <t>text.material-group</t>
  </si>
  <si>
    <t>calculation.dropdown.possiblevalue.unit.gwh</t>
  </si>
  <si>
    <t>calculation.dropdown.possiblevalue.unit.biodiesel-hvo</t>
  </si>
  <si>
    <t>calculation.dropdown.possiblevalue.unit.currency</t>
  </si>
  <si>
    <t>calculation.dropdown.possiblevalue.unit.copper-recycled</t>
  </si>
  <si>
    <t>calculation.dropdown.possiblevalue.materials.plastic-granules</t>
  </si>
  <si>
    <t>calculation.dropdown.possiblevalue.unit.number_employees_year</t>
  </si>
  <si>
    <t>calculation.dropdown.possiblevalue.buses</t>
  </si>
  <si>
    <t>calculation.dropdown.possiblevalue.unit.cleaning</t>
  </si>
  <si>
    <t>calculation.dropdown.possiblevalue.procurement.plastic-finished-products.ldpe-lldpe-new</t>
  </si>
  <si>
    <t>calculation.dropdown.possiblevalue.airplane-national-rfi</t>
  </si>
  <si>
    <t>calculation.dropdown.possiblevalue.unit.toe-ton-oil-equivalent</t>
  </si>
  <si>
    <t>calculation.dropdown.possiblevalue.fuels.natural-gas-0%-biogas</t>
  </si>
  <si>
    <t>calculation.dropdown.possiblevalue.unit.steel-iron-new</t>
  </si>
  <si>
    <t>calculation.dropdown.possiblevalue.fuels.propane</t>
  </si>
  <si>
    <t>calculation.dropdown.possiblevalue.materials.cast-iron</t>
  </si>
  <si>
    <t>calculation.dropdown.possiblevalue.unit.petrol</t>
  </si>
  <si>
    <t>calculation.dropdown.possiblevalue.materials.nylon-pa66-average</t>
  </si>
  <si>
    <t>calculation.dropdown.possiblevalue.esg.recycled-waste</t>
  </si>
  <si>
    <t>calculation.dropdown.possiblevalue.unit.meat-red</t>
  </si>
  <si>
    <t>calculation.dropdown.possiblevalue.unit.precious-metals</t>
  </si>
  <si>
    <t>calculation.dropdown.possiblevalue.materials.soil-types</t>
  </si>
  <si>
    <t>calculation.dropdown.possiblevalue.unit.rice</t>
  </si>
  <si>
    <t>calculation.dropdown.possiblevalue.unit.walking-person-km</t>
  </si>
  <si>
    <t>calculation.dropdown.possiblevalue.procurement.plastic-finished-products.ps-new</t>
  </si>
  <si>
    <t>calculation.dropdown.possiblevalue.materials.ps-e-average</t>
  </si>
  <si>
    <t>calculation.dropdown.possiblevalue.materials.concrete_less-30-mpa-green</t>
  </si>
  <si>
    <t>calculation.dropdown.possiblevalue.unit.meat-lust</t>
  </si>
  <si>
    <t>calculation.dropdown.possiblevalue.unit.composting</t>
  </si>
  <si>
    <t>calculation.dropdown.possiblevalue.electricity-dk-actual</t>
  </si>
  <si>
    <t>calculation.dropdown.possiblevalue.unit.ceramic</t>
  </si>
  <si>
    <t>calculation.dropdown.possiblevalue.unit.lpg</t>
  </si>
  <si>
    <t>calculation.dropdown.possiblevalue.unit.avg-person-km</t>
  </si>
  <si>
    <t>calculation.dropdown.possiblevalue.natural-gas-0-pct</t>
  </si>
  <si>
    <t>calculation.dropdown.possiblevalue.pfc-318</t>
  </si>
  <si>
    <t>calculation.dropdown.possiblevalue.unit.vans-petrol</t>
  </si>
  <si>
    <t>calculation.dropdown.possiblevalue.materials.structural-steel</t>
  </si>
  <si>
    <t>calculation.dropdown.possiblevalue.unit.printing-company</t>
  </si>
  <si>
    <t>calculation.dropdown.possiblevalue.unit.trucks-diesel</t>
  </si>
  <si>
    <t>calculation.dropdown.possiblevalue.unit.fruit-vegetables</t>
  </si>
  <si>
    <t>calculation.dropdown.possiblevalue.smartphone</t>
  </si>
  <si>
    <t>calculation.dropdown.possiblevalue.materials.viscose</t>
  </si>
  <si>
    <t>calculation.dropdown.possiblevalue.office-electronics</t>
  </si>
  <si>
    <t>calculation.dropdown.possiblevalue.sf6</t>
  </si>
  <si>
    <t>calculation.dropdown.possiblevalue.unit.trucks-lng</t>
  </si>
  <si>
    <t>calculation.dropdown.possiblevalue.electricity2</t>
  </si>
  <si>
    <t>calculation.dropdown.possiblevalue.unit.motorcycles-petrol</t>
  </si>
  <si>
    <t>calculation.dropdown.possiblevalue.materialsa.acrylic</t>
  </si>
  <si>
    <t>calculation.dropdown.possiblevalue.hfc-125</t>
  </si>
  <si>
    <t>text.transport-type</t>
  </si>
  <si>
    <t>text.fuel-type</t>
  </si>
  <si>
    <t>calculation.dropdown.possiblevalue.unit.lead-zinc-tin-new</t>
  </si>
  <si>
    <t>calculation.dropdown.possiblevalue.water-consumption</t>
  </si>
  <si>
    <t>calculation.dropdown.possiblevalue.unit.usd</t>
  </si>
  <si>
    <t>calculation.dropdown.possiblevalue.unit.car-petrol</t>
  </si>
  <si>
    <t>calculation.dropdown.possiblevalue.hfc-43-10mee</t>
  </si>
  <si>
    <t>calculation.dropdown.possiblevalue.airplane-rfi</t>
  </si>
  <si>
    <t>text.quantity</t>
  </si>
  <si>
    <t>calculation.dropdown.possiblevalue.district-heating-dk</t>
  </si>
  <si>
    <t>calculation.dropdown.possiblevalue.unit.dairy-products</t>
  </si>
  <si>
    <t>calculation.dropdown.possiblevalue.materials.pmma-average</t>
  </si>
  <si>
    <t>calculation.dropdown.possiblevalue.materials.hdpe-average</t>
  </si>
  <si>
    <t>calculation.dropdown.possiblevalue.pfc-14</t>
  </si>
  <si>
    <t>calculation.dropdown.possiblevalue.nf3</t>
  </si>
  <si>
    <t>calculation.dropdown.possiblevalue.airplane-international-rfi</t>
  </si>
  <si>
    <t>calculation.dropdown.possiblevalue.electricity-dk-corrected</t>
  </si>
  <si>
    <t>calculation.dropdown.possiblevalue.procurement.plastic-finished-products</t>
  </si>
  <si>
    <t>calculation.dropdown.possiblevalue.unit.euro</t>
  </si>
  <si>
    <t>calculation.dropdown.possiblevalue.unit.consulting-accountant-lawyer</t>
  </si>
  <si>
    <t>calculation.dropdown.possiblevalue.unit.dkk</t>
  </si>
  <si>
    <t>text.consumption-electricity-grid</t>
  </si>
  <si>
    <t>calculation.dropdown.possiblevalue.unit.steel-iron-recycled</t>
  </si>
  <si>
    <t>calculation.dropdown.possiblevalue.unit.stock-storage</t>
  </si>
  <si>
    <t>calculation.dropdown.possiblevalue.materials.unbound-materials-sand-stone-gravel-etc</t>
  </si>
  <si>
    <t>calculation.dropdown.possiblevalue.unit.train</t>
  </si>
  <si>
    <t>text.primary</t>
  </si>
  <si>
    <t>calculation.dropdown.possiblevalue.fuels.straw</t>
  </si>
  <si>
    <t>calculation.dropdown.possiblevalue.hfc-152a</t>
  </si>
  <si>
    <t>calculation.dropdown.possiblevalue.unit.trucks-lpg</t>
  </si>
  <si>
    <t>text.waste-type</t>
  </si>
  <si>
    <t>text.consumption-renewable-electricity-own-production</t>
  </si>
  <si>
    <t>calculation.dropdown.possiblevalue.materials.asphalt</t>
  </si>
  <si>
    <t>calculation.dropdown.possiblevalue.unit.electricity</t>
  </si>
  <si>
    <t>calculation.dropdown.possiblevalue.materials.others</t>
  </si>
  <si>
    <t>calculation.dropdown.possiblevalue.materials.nylon-pa6</t>
  </si>
  <si>
    <t>calculation.dropdown.possiblevalue.unit.car-hybrid-not-charging</t>
  </si>
  <si>
    <t>calculation.dropdown.possiblevalue.unit.paper-cardboard-recycled</t>
  </si>
  <si>
    <t>calculation.dropdown.possiblevalue.materials.pet-average</t>
  </si>
  <si>
    <t>text.specific-products</t>
  </si>
  <si>
    <t>calculation.dropdown.possiblevalue.materials.sand-clay</t>
  </si>
  <si>
    <t>calculation.dropdown.possiblevalue.materials.textile-finished-fabric</t>
  </si>
  <si>
    <t>calculation.dropdown.possiblevalue.unit.non-ferrous-metals-recycled</t>
  </si>
  <si>
    <t>calculation.dropdown.possiblevalue.unit.natural-gas</t>
  </si>
  <si>
    <t>calculation.dropdown.possiblevalue.food-organic</t>
  </si>
  <si>
    <t>calculation.dropdown.possiblevalue.flowers-plants</t>
  </si>
  <si>
    <t>calculation.dropdown.possiblevalue.unit.vans-diesel</t>
  </si>
  <si>
    <t>calculation.dropdown.possiblevalue.fuels.fuel-oil</t>
  </si>
  <si>
    <t>calculation.dropdown.possiblevalue.unit.car-electric</t>
  </si>
  <si>
    <t>calculation.dropdown.possiblevalue.unit.distance</t>
  </si>
  <si>
    <t>calculation.dropdown.possiblevalue.procurement.electronics-it-equipment</t>
  </si>
  <si>
    <t>calculation.dropdown.possiblevalue.materials.concrete-less-30-mpa-ordinary</t>
  </si>
  <si>
    <t>calculation.dropdown.possiblevalue.unit.plastic-nylon-pc-new</t>
  </si>
  <si>
    <t>calculation.dropdown.possiblevalue.procurement.plastic-finished-products.hdpe-new</t>
  </si>
  <si>
    <t>calculation.dropdown.possiblevalue.hfc-41</t>
  </si>
  <si>
    <t>calculation.dropdown.possiblevalue.hfc-32</t>
  </si>
  <si>
    <t>calculation.dropdown.possiblevalue.product-services.others</t>
  </si>
  <si>
    <t>calculation.dropdown.possiblevalue.materials.steel</t>
  </si>
  <si>
    <t>calculation.dropdown.possiblevalue.materials.lldpe-average</t>
  </si>
  <si>
    <t>calculation.dropdown.possiblevalue.unit.trucks-lbg</t>
  </si>
  <si>
    <t>text.share-of-biogas</t>
  </si>
  <si>
    <t>calculation.dropdown.possiblevalue.esg.other-waste</t>
  </si>
  <si>
    <t>calculation.dropdown.possiblevalue.hfc-23</t>
  </si>
  <si>
    <t>text.biofuel-share-pct</t>
  </si>
  <si>
    <t>calculation.dropdown.possiblevalue.unit.trucks-cng</t>
  </si>
  <si>
    <t>calculation.dropdown.possiblevalue.unit.fuel-oil</t>
  </si>
  <si>
    <t>calculation.dropdown.possiblevalue.unit.mtoe</t>
  </si>
  <si>
    <t>calculation.dropdown.possiblevalue.unit.textile</t>
  </si>
  <si>
    <t>calculation.dropdown.possiblevalue.fuels.wood-chips</t>
  </si>
  <si>
    <t>calculation.dropdown.possiblevalue.materials.galvanized-steel</t>
  </si>
  <si>
    <t>calculation.dropdown.possiblevalue.unit.dry-cleaning</t>
  </si>
  <si>
    <t>calculation.dropdown.possiblevalue.pfc-41-12</t>
  </si>
  <si>
    <t>calculation.dropdown.possiblevalue.product-services.water-consumption</t>
  </si>
  <si>
    <t>calculation.dropdown.possiblevalue.unit.other</t>
  </si>
  <si>
    <t>calculation.dropdown.possiblevalue.unit.mineral-wool</t>
  </si>
  <si>
    <t>calculation.dropdown.possiblevalue.unit.aircraft-jetfuel</t>
  </si>
  <si>
    <t>calculation.dropdown.possiblevalue.unit.plastic-recycled</t>
  </si>
  <si>
    <t>calculation.dropdown.possiblevalue.unit.car-diesel</t>
  </si>
  <si>
    <t>calculation.dropdown.possiblevalue.unit.glass-recycled</t>
  </si>
  <si>
    <t>calculation.dropdown.possiblevalue.materials.pp-average</t>
  </si>
  <si>
    <t>calculation.dropdown.possiblevalue.esg.hazardous-waste</t>
  </si>
  <si>
    <t>calculation.dropdown.possiblevalue.unit.nm3</t>
  </si>
  <si>
    <t>calculation.dropdown.possiblevalue.food</t>
  </si>
  <si>
    <t>calculation.dropdown.possiblevalue.unit.unspecified</t>
  </si>
  <si>
    <t>calculation.dropdown.possiblevalue.unit.person-km</t>
  </si>
  <si>
    <t>calculation.dropdown.possiblevalue.materials.ps-average</t>
  </si>
  <si>
    <t>calculation.dropdown.possiblevalue.unit.natural-gas-pct-biogas</t>
  </si>
  <si>
    <t>calculation.dropdown.possiblevalue.unit.computer-screen</t>
  </si>
  <si>
    <t>calculation.dropdown.possiblevalue.unit.weight</t>
  </si>
  <si>
    <t>calculation.dropdown.possiblevalue.Diesel</t>
  </si>
  <si>
    <t>calculation.dropdown.possiblevalue.fuels.wood-pellets</t>
  </si>
  <si>
    <t>calculation.dropdown.possiblevalue.procurement.plastic-finished-products.pp-new</t>
  </si>
  <si>
    <t>calculation.dropdown.possiblevalue.unit.trucks-cbg</t>
  </si>
  <si>
    <t>calculation.dropdown.possiblevalue.vans</t>
  </si>
  <si>
    <t>calculation.dropdown.possiblevalue.materials.textile-and-yarn</t>
  </si>
  <si>
    <t>calculation.dropdown.possiblevalue.unit.cement-lime-gypsum</t>
  </si>
  <si>
    <t>text.material-product-group</t>
  </si>
  <si>
    <t>calculation.dropdown.possiblevalue.materials.pvc-average</t>
  </si>
  <si>
    <t>calculation.dropdown.possiblevalue.unit.aircraft-fuel</t>
  </si>
  <si>
    <t>calculation.dropdown.possiblevalue.procurement.plastic-finished-products.pet-recycled</t>
  </si>
  <si>
    <t>calculation.dropdown.possiblevalue.hfc-143a</t>
  </si>
  <si>
    <t>calculation.dropdown.possiblevalue.materials.polypropylene</t>
  </si>
  <si>
    <t>calculation.dropdown.possiblevalue.unit.ton-km</t>
  </si>
  <si>
    <t>calculation.dropdown.possiblevalue.unit.lead-zinc-tin-recycled</t>
  </si>
  <si>
    <t>calculation.dropdown.possiblevalue.recycled-products</t>
  </si>
  <si>
    <t>calculation.dropdown.possiblevalue.procurement.electronics-large-electronic-products</t>
  </si>
  <si>
    <t>calculation.dropdown.possiblevalue.procurement.plastic-finished-products.pvc-recycled</t>
  </si>
  <si>
    <t>calculation.dropdown.possiblevalue.sewage</t>
  </si>
  <si>
    <t>calculation.dropdown.possiblevalue.unit.concrete</t>
  </si>
  <si>
    <t>calculation.dropdown.possiblevalue.unit.buses-diesel</t>
  </si>
  <si>
    <t>calculation.dropdown.possiblevalue.n2o</t>
  </si>
  <si>
    <t>calculation.dropdown.possiblevalue.unit.landfill</t>
  </si>
  <si>
    <t>calculation.dropdown.possiblevalue.unit.chemicals</t>
  </si>
  <si>
    <t>calculation.dropdown.possiblevalue.biogas</t>
  </si>
  <si>
    <t>calculation.dropdown.possiblevalue.unit.trucks-biodiesel-hvo</t>
  </si>
  <si>
    <t>calculation.dropdown.possiblevalue.unit.aircraft-national-jetfuel</t>
  </si>
  <si>
    <t>calculation.dropdown.possiblevalue.fuels.lpg</t>
  </si>
  <si>
    <t>calculation.dropdown.possiblevalue.unit.energy</t>
  </si>
  <si>
    <t>calculation.dropdown.possiblevalue.ship</t>
  </si>
  <si>
    <t>calculation.dropdown.possiblevalue.diesel</t>
  </si>
  <si>
    <t>calculation.dropdown.possiblevalue.unit.desktop-computer</t>
  </si>
  <si>
    <t>calculation.dropdown.possiblevalue.materials.polyester</t>
  </si>
  <si>
    <t>calculation.dropdown.possiblevalue.materials.wool</t>
  </si>
  <si>
    <t>calculation.dropdown.possiblevalue.pfc-116</t>
  </si>
  <si>
    <t>calculation.dropdown.possiblevalue.passenger-cars</t>
  </si>
  <si>
    <t>text.esg.non-renewable-energy</t>
  </si>
  <si>
    <t>calculation.dropdown.possiblevalue.unit.hotel-restaurant</t>
  </si>
  <si>
    <t>calculation.dropdown.possiblevalue.unit.aircraft-int-jetfuel</t>
  </si>
  <si>
    <t>calculation.dropdown.possiblevalue.fuels.lead-gas</t>
  </si>
  <si>
    <t>calculation.dropdown.possiblevalue.unit.recycling</t>
  </si>
  <si>
    <t>calculation.dropdown.possiblevalue.unit.trucks</t>
  </si>
  <si>
    <t>calculation.dropdown.possiblevalue.materials.building-materials</t>
  </si>
  <si>
    <t>text.material</t>
  </si>
  <si>
    <t>calculation.dropdown.possiblevalue.unit.ship-unspecified</t>
  </si>
  <si>
    <t>calculation.dropdown.possiblevalue.hfc-134</t>
  </si>
  <si>
    <t>text.energy-type</t>
  </si>
  <si>
    <t>calculation.dropdown.possiblevalue.hfc-143</t>
  </si>
  <si>
    <t>calculation.dropdown.possiblevalue.hazardous-waste</t>
  </si>
  <si>
    <t>calculation.dropdown.possiblevalue.materials.pc-average</t>
  </si>
  <si>
    <t>calculation.dropdown.possiblevalue.unit.ship-marine-gas-oil</t>
  </si>
  <si>
    <t>calculation.dropdown.possiblevalue.unit.aluminum-recycled</t>
  </si>
  <si>
    <t>calculation.dropdown.possiblevalue.procurement.plastic-finished-products.pp-recycled</t>
  </si>
  <si>
    <t>calculation.dropdown.possiblevalue.procurement.plastic-finished-products.pvc-new</t>
  </si>
  <si>
    <t>calculation.dropdown.possiblevalue.unit.fish</t>
  </si>
  <si>
    <t>calculation.dropdown.possiblevalue.unit.gj</t>
  </si>
  <si>
    <t>text.secondary</t>
  </si>
  <si>
    <t>calculation.dropdown.possiblevalue.unit.laptop-pc</t>
  </si>
  <si>
    <t>calculation.dropdown.possiblevalue.unit.car-unspecified</t>
  </si>
  <si>
    <t>calculation.dropdown.possiblevalue.events-staff-activities</t>
  </si>
  <si>
    <t>calculation.dropdown.possiblevalue.co2</t>
  </si>
  <si>
    <t>text.greenhouse-gas</t>
  </si>
  <si>
    <t>calculation.dropdown.possiblevalue.procurement.plastic-finished-products.pet-new</t>
  </si>
  <si>
    <t>calculation.dropdown.possiblevalue.unit.glass-new</t>
  </si>
  <si>
    <t>calculation.dropdown.possiblevalue.hfc-134a</t>
  </si>
  <si>
    <t>calculation.dropdown.possiblevalue.esg.renewable-energy</t>
  </si>
  <si>
    <t>calculation.dropdown.possiblevalue.purchase-machines</t>
  </si>
  <si>
    <t>calculation.dropdown.possiblevalue.procurement.electronics-alkaline-batteries</t>
  </si>
  <si>
    <t>calculation.dropdown.possiblevalue.unit.paper-cardboard-new</t>
  </si>
  <si>
    <t>calculation.dropdown.possiblevalue.unit.ship-marine-fuel-oil</t>
  </si>
  <si>
    <t>calculation.dropdown.possiblevalue.unit.water</t>
  </si>
  <si>
    <t>calculation.dropdown.possiblevalue.procurement.electronics-refrigerators-freezers</t>
  </si>
  <si>
    <t>calculation.dropdown.possiblevalue.procurement.plastic-finished-products.ldpe-lldpe-recycled</t>
  </si>
  <si>
    <t>calculation.dropdown.possiblevalue.procurement.plastic-finished-products.hdpe-recycled</t>
  </si>
  <si>
    <t>calculation.dropdown.possiblevalue.procurement.plastic-finished-products.ps-recycled</t>
  </si>
  <si>
    <t>calculation.dropdown.possiblevalue.esg.non-renewable-energy</t>
  </si>
  <si>
    <t>calculation.dropdown.possiblevalue.materials.abs</t>
  </si>
  <si>
    <t>calculation.dropdown.possiblevalue.hfc-245ca</t>
  </si>
  <si>
    <t>calculation.dropdown.possiblevalue.materials.cotton</t>
  </si>
  <si>
    <t>calculation.dropdown.possiblevalue.unit.cbg</t>
  </si>
  <si>
    <t>text.product-group</t>
  </si>
  <si>
    <t>calculation.dropdown.possiblevalue.unit.brick</t>
  </si>
  <si>
    <t>calculation.dropdown.possiblevalue.materials.stainless-steel</t>
  </si>
  <si>
    <t>calculation.dropdown.possiblevalue.unit.vans-electric</t>
  </si>
  <si>
    <t>calculation.dropdown.possiblevalue.pfc-31-10</t>
  </si>
  <si>
    <t>calculation.dropdown.possiblevalue.wood</t>
  </si>
  <si>
    <t>calculation.dropdown.possiblevalue.unit.car-person-km</t>
  </si>
  <si>
    <t>calculation.dropdown.possiblevalue.unit.l</t>
  </si>
  <si>
    <t>calculation.dropdown.possiblevalue.unit.volume</t>
  </si>
  <si>
    <t>calculation.dropdown.possiblevalue.unit.wood-new</t>
  </si>
  <si>
    <t>calculation.dropdown.possiblevalue.unit.kwh</t>
  </si>
  <si>
    <t>calculation.dropdown.possiblevalue.procurement.electronics-liion batteries</t>
  </si>
  <si>
    <t>text.esg.renewable-energy</t>
  </si>
  <si>
    <t>calculation.dropdown.possiblevalue.unit.aluminum-new</t>
  </si>
  <si>
    <t>calculation.dropdown.possiblevalue.unit.sand-clay</t>
  </si>
  <si>
    <t>calculation.dropdown.possiblevalue.unit.tj</t>
  </si>
  <si>
    <t>calculation.dropdown.possiblevalue.materials.ldpe-average</t>
  </si>
  <si>
    <t>calculation.dropdown.possiblevalue.unit.ktoe</t>
  </si>
  <si>
    <t>calculation.dropdown.possiblevalue.hfc-227ea</t>
  </si>
  <si>
    <t>calculation.dropdown.possiblevalue.product-services.service-services</t>
  </si>
  <si>
    <t>calculation.dropdown.possiblevalue.unit.mj</t>
  </si>
  <si>
    <t>calculation.dropdown.possiblevalue.unit.rent-of-premises</t>
  </si>
  <si>
    <t>calculation.dropdown.possiblevalue.pfc-51-14</t>
  </si>
  <si>
    <t>calculation.dropdown.possiblevalue.materials.unspecified-recycled</t>
  </si>
  <si>
    <t>calculation.dropdown.possiblevalue.pfc-218</t>
  </si>
  <si>
    <t>calculation.dropdown.possiblevalue.procurement.electronics-small-electronic-products</t>
  </si>
  <si>
    <t>calculation.dropdown.possiblevalue.unit.combustion</t>
  </si>
  <si>
    <t>calculation.dropdown.possiblevalue.ch4</t>
  </si>
  <si>
    <t>calculation.dropdown.possiblevalue.unit.wood-recycled</t>
  </si>
  <si>
    <t>calculation.dropdown.possiblevalue.hfc-236fa</t>
  </si>
  <si>
    <t>calculation.dropdown.possiblevalue.unit.biogasification</t>
  </si>
  <si>
    <t>calculation.dropdown.possiblevalue.unit.km</t>
  </si>
  <si>
    <t>calculation.dropdown.possiblevalue.unit.wastewater-treatment</t>
  </si>
  <si>
    <t>calculation.dropdown.possiblevalue.unit.aluminum</t>
  </si>
  <si>
    <t>calculation.dropdown.possiblevalue.unit.kg</t>
  </si>
  <si>
    <t>Download the results</t>
  </si>
  <si>
    <t>I dette Excel regneark, kan du finde alle resultater som du kunne se på Klimakompasset for den beregning du har valgt (se navn på beregning ovenfor). Herunder kan du se en liste af de resultater og data, du har adgang til. Da navne på individuelle ark i bunden af Excel-arket ikke ændres, når du vælger mellem dansk og engelsk sprog, er det skrevet ind, hvilke ark de danske titler referer til.</t>
  </si>
  <si>
    <t>In this Excel spreadsheet, you can find all the results that you could see on the Climate Compass for the calculation you have chosen (see name of calculation above). Below you can see a list of the results and data you have access to. Since the title of individual sheets remain in Danish even though you choose to have the Excel sheet in English, the column on the right show which Danish-titled sheets the links refer to.</t>
  </si>
  <si>
    <t>General information about the calculation</t>
  </si>
  <si>
    <t>Største udledningsposter</t>
  </si>
  <si>
    <t>Highest emission posts</t>
  </si>
  <si>
    <t>Forecast &amp; Reduction targets</t>
  </si>
  <si>
    <t>Forecast - Main results</t>
  </si>
  <si>
    <t>Forecast - Partial results</t>
  </si>
  <si>
    <t>Reduction targets</t>
  </si>
  <si>
    <t>Forecasted emission factors</t>
  </si>
  <si>
    <t>Data (E-key indicators)</t>
  </si>
  <si>
    <t>To developers</t>
  </si>
  <si>
    <t>Result for</t>
  </si>
  <si>
    <t>Om beregningen</t>
  </si>
  <si>
    <t>About the calculation</t>
  </si>
  <si>
    <t>1. Calculate climate footprint for your company (CVR number associated)</t>
  </si>
  <si>
    <t>2. Calculate different climate measures for your company (CVR number associated)</t>
  </si>
  <si>
    <t>3. Calculate a company’s climate footprint (no CVR number associated)</t>
  </si>
  <si>
    <t>4. Beregn klimaaftrykket for din virksomhed (ingen krav om CVR nr.).</t>
  </si>
  <si>
    <t>4. Calculate climate footprint of your company (registration number is optional).</t>
  </si>
  <si>
    <t>Start dato - Klimaopgørelser laves typisk for et kalenderår</t>
  </si>
  <si>
    <t>Start date (dd, mm, yyyy) – Climate accounts are typically made for a calendar year</t>
  </si>
  <si>
    <t xml:space="preserve">Slut dato </t>
  </si>
  <si>
    <t>End date (dd, mm, yyyy)</t>
  </si>
  <si>
    <t>Kommentarer til beregningen</t>
  </si>
  <si>
    <t>Comments on the calculation</t>
  </si>
  <si>
    <t>CVR</t>
  </si>
  <si>
    <t>Virksomhedens navn</t>
  </si>
  <si>
    <t>Virksomhed som beregningen vedrører</t>
  </si>
  <si>
    <t>Company to which the calculation relates</t>
  </si>
  <si>
    <t>Udenlandske virksomhed som beregningen vedrører</t>
  </si>
  <si>
    <t>Registration number</t>
  </si>
  <si>
    <t>Foreign addresses</t>
  </si>
  <si>
    <t>Key metrics</t>
  </si>
  <si>
    <t>Antal fuldtidsansatte</t>
  </si>
  <si>
    <t>Number of full-time employees</t>
  </si>
  <si>
    <t>Nettoomsætning, mio. kr.</t>
  </si>
  <si>
    <t>Net revenue, million DKK</t>
  </si>
  <si>
    <t>Antal m2 bygningsareal</t>
  </si>
  <si>
    <t>Virksomhedsoplysninger</t>
  </si>
  <si>
    <t>Company details</t>
  </si>
  <si>
    <t>E-mail</t>
  </si>
  <si>
    <t>Email</t>
  </si>
  <si>
    <t>Resultaterne baserer sig på en række metodiske valg, der er foretaget i forbindelse med beregningerne. I nedenstående tabel kan du se, hvorvidt Radiative Forcing Index (RFI) er medregnet i forbindelse med udledninger fra flytransport. At medregne (eller korrigere for) RFI betyder, at der er taget højde for, at CO₂e udledt højere oppe i atmosfæren har en større drivhuseffekt end CO₂e udledt ved landjorden. Tabellen viser også, om emissionsfaktoren for el baserer sig på det årlige gennemsnit for sammensætningen af produktionen af el (miljødeklaration), eller om der i emissionsfaktoren korrigeres for virksomheders køb af grønne certifikater, såkaldte oprindelsesgarantier (eldeklaration).</t>
  </si>
  <si>
    <t>The results are based on a number of methodological choices which are made in connection with the calculations. In the table below, you can see whether or not the Radiative Forcing Index (RFI) has been included in connection with emissions from air transport. Including (or correcting for) RFI means taking into account the fact that CO₂e emitted higher up in the atmosphere has a greater greenhouse effect than CO₂e emitted on the ground. The table also shows whether the emission factor for electricity is based on the annual average for the composition of electricity production (location-based approach ) or whether the emission factor corrects for the company’s purchase of green certificates, so-called guarantees of origin (market-based approach).</t>
  </si>
  <si>
    <t>Method for emission factors for electricity</t>
  </si>
  <si>
    <t>Declaration of emission factors for air transport</t>
  </si>
  <si>
    <t>Location-based</t>
  </si>
  <si>
    <t>Inkluder RFI</t>
  </si>
  <si>
    <t>Includes RFI</t>
  </si>
  <si>
    <t>Eldeklaration</t>
  </si>
  <si>
    <t>Market-based</t>
  </si>
  <si>
    <t>Inkluder ikke RFI</t>
  </si>
  <si>
    <t>Excludes RFI</t>
  </si>
  <si>
    <t>Virksomhedens samlede CO₂e-udledning er angivet i tabel 1. CO₂e-udledningen er angivet i ton CO₂-ækvivalenter, og tabellen viser udledningen fordelt på de forskellige hovedkategorier. Bemærk, at udenfor scopes ikke medregnes i klimaaftrykket ifølge GHG-protokollen, men kan oplyses særskilt.</t>
  </si>
  <si>
    <t>The company’s total CO₂e emissions are given in Table 1. CO₂e emissions are expressed in tonnes of CO₂ equivalents and the table shows the emissions divided across the various main categories. Note that emissions which are outside the scopes are not included in the climate footprint under the GHG Protocol but can be stated separately.</t>
  </si>
  <si>
    <t>Tabel 1: Oversigt over virksomhedens CO₂e-udledninger</t>
  </si>
  <si>
    <t>Table 1: Overview of the company's CO₂e emissions</t>
  </si>
  <si>
    <t>Udledning i ton CO₂e
(scope 1+2+3)</t>
  </si>
  <si>
    <t>Emissions in tonnes of CO₂e
(scope 1+2+3)</t>
  </si>
  <si>
    <t>Andel af udledning
(scope 1+2+3)</t>
  </si>
  <si>
    <t>Share of emissions
(Scopes 1+2+3)</t>
  </si>
  <si>
    <t>Udledning i ton CO₂e (udenfor scopes)</t>
  </si>
  <si>
    <t>Emissions in tonnes of CO₂e (outside of scopes)</t>
  </si>
  <si>
    <t>Udledning i ton CO₂e  &lt;br /&gt; (scope 1+2+3 + udenfor scopes)</t>
  </si>
  <si>
    <t>Emissions in tonnes of CO₂e &lt;br /&gt; (scope 1+2+3 + outside of scopes)</t>
  </si>
  <si>
    <t>Andel af udledning
(scope 1+2+3 + udenfor scopes)</t>
  </si>
  <si>
    <t>Share of emissions
(scope 1+2+3 + outside of scopes)</t>
  </si>
  <si>
    <t>Energy and processes</t>
  </si>
  <si>
    <t>Purchase</t>
  </si>
  <si>
    <t xml:space="preserve">Opsummering af virksomhedens beregnede CO₂e-udledning </t>
  </si>
  <si>
    <t>Summary of the company’s calculated CO₂e emission</t>
  </si>
  <si>
    <t>Nedenstående figurer opsummerer virksomhedens beregnede CO₂e-udledning. Figur 1 angiver virksomhedens absolutte CO₂e-udledning i ton CO₂e-ækvivalenter fordelt på hovedkategorier. Figur 2 viser den procentuelle fordeling af CO₂e-udledningen fordelt på hovedkategorier.</t>
  </si>
  <si>
    <t>The figures below summarize the company's calculated CO₂e emissions. Figure 1 indicates the company's absolute CO₂e emissions in tonnes of CO₂e equivalents, divided into main categories. Figure 2 shows the percentage distribution of CO₂e emissions by main category.</t>
  </si>
  <si>
    <t>Figur 1: CO₂e-udledning i ton (scope 1+2+3) fordelt på hovedkategorier</t>
  </si>
  <si>
    <t>Figure 1: CO₂e emissions in tonnes (Scopes 1+2+3) divided into main categories</t>
  </si>
  <si>
    <t>Figur 2: Procentfordeling af CO₂e-udledning (scope 1+2+3) fordelt på hovedkategorier</t>
  </si>
  <si>
    <t>Figure 2: Percentage distribution of CO₂e emissions (Scopes 1+2+3) divided into main categories</t>
  </si>
  <si>
    <t>Figur 3: CO₂e-udledning i ton (udenfor scopes) fordelt på hovedkategorier</t>
  </si>
  <si>
    <t>Figure 3: CO₂e emissions in tonnes (outside of scopes) divided into main cat.</t>
  </si>
  <si>
    <t>Figur 4: Procentfordeling af CO₂e-udledning (scope 1+2+3 og udenfor scopes) fordelt på hovedkategorier</t>
  </si>
  <si>
    <t>Figure 4: Pct distr. of CO₂e emissions (Scopes 1+2+3 and outside of scopes) divided into main cat.</t>
  </si>
  <si>
    <t>This table shows the calculation of key metrics in the event that data have been entered under Master Data for the number of full-time employees in the company, net revenue and m2.</t>
  </si>
  <si>
    <t>Ton CO₂e</t>
  </si>
  <si>
    <t>CO₂e pr. ansat</t>
  </si>
  <si>
    <t>CO₂e per employed</t>
  </si>
  <si>
    <t>CO₂e pr. mio. kr. nettoomsætning</t>
  </si>
  <si>
    <t>CO₂e per million DKK net revenue</t>
  </si>
  <si>
    <t>CO₂e pr. m2</t>
  </si>
  <si>
    <t>CO₂e per m2</t>
  </si>
  <si>
    <t>Own comments</t>
  </si>
  <si>
    <t>Emissions tonnes CO₂e
(outside of scopes)</t>
  </si>
  <si>
    <t>Sub-results</t>
  </si>
  <si>
    <t>Her ses en mere detaljeret resultatvisning. Tabellen viser alle underkategorierne, der kan angives data for, den tilhørende udledning i ton CO₂e og underkategoriens samlede andel af de totale udledninger.</t>
  </si>
  <si>
    <t xml:space="preserve">Here you can see more detailed results for the Outside of Scopes category. The table shows associated emissions for all subcategories for which data have been entered. Note that outside of scopes are not included in the total under the GHG Protocol. </t>
  </si>
  <si>
    <t>Oversigt over CO₂e-udledningen fordelt på hoved- og underkategorier</t>
  </si>
  <si>
    <t>Overview of the CO₂e emissions divided into main and subcategories</t>
  </si>
  <si>
    <t>Consumption of electricity</t>
  </si>
  <si>
    <t>Forbrug af elektricitet med egne emissionsfaktorer</t>
  </si>
  <si>
    <t>Consumption of electricity with own emission factors</t>
  </si>
  <si>
    <t>Fuels</t>
  </si>
  <si>
    <t>Varme og procesenergi med egne emissionsfaktorer</t>
  </si>
  <si>
    <t>Heat and process energy with their own emission factors</t>
  </si>
  <si>
    <t>Process emissions</t>
  </si>
  <si>
    <t>Procesudledning med egne emissionsfaktorer</t>
  </si>
  <si>
    <t>Process emissions with own emission factors</t>
  </si>
  <si>
    <t>Materials (primary purchases)</t>
  </si>
  <si>
    <t>Purchase of materials in physical units</t>
  </si>
  <si>
    <t>Indkøb af materialer i monetære enheder (beløb i DKK)</t>
  </si>
  <si>
    <t>Purchase of materials in monetary units (amount in DKK)</t>
  </si>
  <si>
    <t>Fysiske enheder med egne emissionsfaktorer</t>
  </si>
  <si>
    <t>Physical units with their own emission factors</t>
  </si>
  <si>
    <t>Monetære enheder (beløb i DKK) med egne emissionsfaktorer</t>
  </si>
  <si>
    <t>Monetary units (amounts in DKK) with their own emission factors</t>
  </si>
  <si>
    <t>Products and services (primary purchases)</t>
  </si>
  <si>
    <t>Purchase of products in physical units</t>
  </si>
  <si>
    <t>Indkøb af produkter i monetære enheder (beløb i DKK)</t>
  </si>
  <si>
    <t>Purchase of products in monetary units (amount in DKK)</t>
  </si>
  <si>
    <t>Andet udledning ved primære indkøb</t>
  </si>
  <si>
    <t>Other emissions from primary purchases</t>
  </si>
  <si>
    <t>Materialer (sekundære indkøb)</t>
  </si>
  <si>
    <t>Materials (secondary purchases)</t>
  </si>
  <si>
    <t>Produkter og services (sekundære indkøb)</t>
  </si>
  <si>
    <t>Products and services (secondary purchases)</t>
  </si>
  <si>
    <t>Andet udledning ved sekundære indkøb</t>
  </si>
  <si>
    <t>Other emissions from secondary purchases</t>
  </si>
  <si>
    <t>Own and leased vehicles</t>
  </si>
  <si>
    <t>Fly og Skibe</t>
  </si>
  <si>
    <t>Airplanes and Ships</t>
  </si>
  <si>
    <t>Egne og leasede transportmidler med egne emissionsfaktorer</t>
  </si>
  <si>
    <t>Own and leased means of transport with own emission factors</t>
  </si>
  <si>
    <t>Rejser i forbindelse med arbejder - Fysiske enheder</t>
  </si>
  <si>
    <t>Travel in connection with work - Physical units</t>
  </si>
  <si>
    <t>Rejser i forbindelse med arbejder - Monetære enheder (beløb i DKK)</t>
  </si>
  <si>
    <t>Travel in connection with work - Monetary units (amount in DKK)</t>
  </si>
  <si>
    <t>Medarbejdertransport med egne emissionsfaktorer</t>
  </si>
  <si>
    <t>Employee transport with own emission factors</t>
  </si>
  <si>
    <t>Varetransport til virksomhed</t>
  </si>
  <si>
    <t>Varetransport i fysiske enheder</t>
  </si>
  <si>
    <t>Goods transport in physical units</t>
  </si>
  <si>
    <t>Varetransport i monetære enheder (beløb i DKK)</t>
  </si>
  <si>
    <t>Goods transport in monetary units (amount in DKK)</t>
  </si>
  <si>
    <t>Varetransport til virksomhed med egne emissionsfaktorer</t>
  </si>
  <si>
    <t>Goods transport for companies with their own emission factors</t>
  </si>
  <si>
    <t>Varetransport fra virksomhed til kunde med egne emissionsfaktorer</t>
  </si>
  <si>
    <t>Goods transport from company to customer with own emission factors</t>
  </si>
  <si>
    <t>Waste</t>
  </si>
  <si>
    <t>Affald med egne emissionsfaktorer</t>
  </si>
  <si>
    <t>Waste with own emission factors</t>
  </si>
  <si>
    <t>Brug af solgte og udlejede produkter med egne emissionsfaktorer</t>
  </si>
  <si>
    <t>Use of sold and leased products with own emission factors</t>
  </si>
  <si>
    <t>Håndtering af affaldsprodukt</t>
  </si>
  <si>
    <t>End-of-life treatment of sold products</t>
  </si>
  <si>
    <t>Håndtering af affaldsprodukt med egne emissionsfaktorer</t>
  </si>
  <si>
    <t>End-of-life treatment of sold products with your own emission factors</t>
  </si>
  <si>
    <t>Andet udledning ved solgte og udlejede produkter</t>
  </si>
  <si>
    <t>Other emissions from sold and leased products</t>
  </si>
  <si>
    <t>Virksomhedens samlede CO₂e-udledning er angivet i tabel 1. CO₂e-udledningen er angivet i ton CO₂-ækvivalenter, og tabellen viser udledningen fordelt på scope 1, 2 og 3 jf. GHG-protokollen. Udledningen udenfor scopes medregnes ikke jf. GHG-protokollen og indgår derfor ikke i totalen.</t>
  </si>
  <si>
    <t>The company's total CO₂e emissions are given in table 1. The CO₂e emissions are given in tonnes of CO₂ equivalents, and the table shows the emissions divided into scope 1, 2 and 3, cf. the GHG protocol. Emissions outside of scopes are not included, cf. the GHG protocol, and are therefore not included in the total.</t>
  </si>
  <si>
    <t>Tabel 1: Oversigt over virksomhedens samlede CO₂e-udledninger</t>
  </si>
  <si>
    <t>Table 1: Overview of the company's total CO₂e emissions</t>
  </si>
  <si>
    <t>Share of emissions</t>
  </si>
  <si>
    <t>Summary of the company’s calculated CO2e emissions</t>
  </si>
  <si>
    <t xml:space="preserve">Nedenstående figurer viser grafiske fremstillinger af virksomhedens beregnede CO₂e-udledning. Figur 1 angiver virksomhedens absolutte udledning i ton CO₂-ækvivalenter fordelt på scope 1, 2, og 3. Figur 2 viser den procentuelle fordeling af CO₂e-udledningen fordelt på scope 1, 2 og 3. 			</t>
  </si>
  <si>
    <t xml:space="preserve">The figures below show graphical representations of the company’s calculated CO₂e emissions. Figure 1 shows the company’s absolute emissions in tonnes of CO₂ equivalents divided across Scopes 1, 2 and 3. Figure 2 shows the percentage distribution of CO₂e emissions divided across Scopes 1, 2 and 3. 		</t>
  </si>
  <si>
    <t>Figur 1: Virksomhedens samlede CO₂e-udledning i ton fordelt på scopes</t>
  </si>
  <si>
    <t>Figure 1: The company's total CO₂e emissions in tonnes divided into scopes</t>
  </si>
  <si>
    <t>Figur 2: Procentfordeling af CO₂e-udledning fordelt på scopes</t>
  </si>
  <si>
    <t>Figure 2: Percentage distribution of CO₂e emissions divided into scopes</t>
  </si>
  <si>
    <t>CO₂e per employee</t>
  </si>
  <si>
    <t>CO₂e per mio. DKK net revenue</t>
  </si>
  <si>
    <t>Outside of scopes results</t>
  </si>
  <si>
    <t xml:space="preserve">I en række tilfælde vil Klimakompasset vise nogle resultater i 'udenfor scope'. Dette gælder fx biogen CO₂e-udledning fra forbrænding af biobrændsel. Dette gælder også evt. undgåede udledninger som fx undgået produktion af nye materialer ved at sende affald til genanvendelse. Jf. GHG-protokollen medregnes disse udledninger ikke under scope 1, 2 og 3 og indgår derfor ikke i totalen. </t>
  </si>
  <si>
    <t xml:space="preserve">In a number of cases, the Climate Compass will show certain results in the Outside of scopes category. This is the case for biogenic CO₂ emissions from the combustion of biofuel, for example. This also applies to any avoided emissions, such as the avoided production of new materials as a result of sending waste to recycling. These emissions are not calculated under Scopes 1, 2 or 3 but are included instead in the Outside of scopes category. Outside of scopes are not considered as part of the company’s total climate footprint under the GHG Protocol. </t>
  </si>
  <si>
    <t>Outside of scope</t>
  </si>
  <si>
    <t>Overview of the CO₂e emission divided by main and subcategories</t>
  </si>
  <si>
    <t>Sub-results (GHG)</t>
  </si>
  <si>
    <t>(ton CO₂e)</t>
  </si>
  <si>
    <t>Samlede CO₂e udledning i ton (scope 1+2+3)</t>
  </si>
  <si>
    <t>Total CO₂e emissions in tonnes (scope 1+2+3)</t>
  </si>
  <si>
    <t xml:space="preserve">Her ses en mere detaljeret resultatvisning for udenfor scopes. Tabellen viser den tilhørende udledning for alle underkategorierne, der er indtastet data for. Bemærk at udenfor scopes ikke medregnes i totalen jf. GHG-protokollen.  </t>
  </si>
  <si>
    <t>Here you can see a more detailed result display for outside of scopes. The table shows the corresponding output for all the subcategories for which data has been entered. Note that outside of scopes are not included in the total, cf. the GHG protocol.</t>
  </si>
  <si>
    <t>Oversigt af 'udenfor scopes' resultater over CO₂e-udledningen fordelt på hoved- og underkategorier</t>
  </si>
  <si>
    <t>Overview of 'outside of scope' results on the CO₂e emission divided by main and subcategories</t>
  </si>
  <si>
    <t>Udenfor scopes i ton CO2e</t>
  </si>
  <si>
    <t>Outside of scope in tonnes CO2e</t>
  </si>
  <si>
    <t>Total (ton CO₂e)</t>
  </si>
  <si>
    <t xml:space="preserve">E-nøgletal (ESG) </t>
  </si>
  <si>
    <t xml:space="preserve">E-indicators (ESG)
</t>
  </si>
  <si>
    <t>E-nøgletal</t>
  </si>
  <si>
    <t>E-key indicators</t>
  </si>
  <si>
    <t xml:space="preserve">ESG står for Environment, Social og Governance og dækker over ikke-finansielle nøgletal, som kan indgå i din virksomheds opgørelse, dokumentation og rapportering af bæredygtighed ift. miljø- og klimamæssige forhold, sociale forhold samt god selskabsledelse. En række vejledende nøgletal under "E" kan beregnes med Klimakompasset, når du udarbejder dit klimaaftryk. Nøgletallene er kun vejledende og kan ikke bruges til at verificere din ESG-rapport. Læs mere om ESG på Virksomhedsguiden.
</t>
  </si>
  <si>
    <t xml:space="preserve">ESG means Environment, Social and Governance and covers non-financial incicators, which can be part of your company's reporting on sustainability of environmental and climate conditions, social conditions samt good company governance. A list of guiding key indicators under "E" can be calculated with the Climate Compass as part of your calculation of your climate footprint. Key indicators are only indicative and cannot be use to verify your ESG-report. Read more on ESG at Virksomhedsguiden.dk.
</t>
  </si>
  <si>
    <t>CO₂e emissions</t>
  </si>
  <si>
    <t>CO₂e-udledning inden for scope 1</t>
  </si>
  <si>
    <t>CO₂e-emissions for scope 1</t>
  </si>
  <si>
    <t>CO₂e-udledning inden for scope 2</t>
  </si>
  <si>
    <t>CO₂e-emissions for scope 2</t>
  </si>
  <si>
    <t>CO₂e-udledning inden for scope 3</t>
  </si>
  <si>
    <t>CO₂e-emissions for scope 3</t>
  </si>
  <si>
    <t>Samlet CO₂e-udledning (Scope 1 og 2)</t>
  </si>
  <si>
    <t>Total CO₂e-emissions (Scope 1 and 2)</t>
  </si>
  <si>
    <t>Samlet CO₂e-udledning (Scope 1, 2 og 3)</t>
  </si>
  <si>
    <t>Total CO₂e-emissions (Scope 1, 2 and 3)</t>
  </si>
  <si>
    <t>CO₂ intensitet (Samlet CO₂e-udledning ift. nettoomsætning)</t>
  </si>
  <si>
    <t>CO₂ intensity (Total CO₂e-emission in relation to net revenue)</t>
  </si>
  <si>
    <t>CO₂ intensitet (CO₂e-udledning for scope 1 og 2 ift. nettoomsætning)</t>
  </si>
  <si>
    <t>CO₂ intensity (CO₂e-emission for scope 1 and 2 in relation to net revenue)</t>
  </si>
  <si>
    <t>Energiforbrug: Vedvarende kilder</t>
  </si>
  <si>
    <t>Energy consumption: Renewable sources</t>
  </si>
  <si>
    <t xml:space="preserve">Total energy use
</t>
  </si>
  <si>
    <t>Energi intensitet (Samlet energiforbrug ift. nettoomsætning)</t>
  </si>
  <si>
    <t xml:space="preserve">Energy intensity (Total energy consumption in relation to net revenue)
</t>
  </si>
  <si>
    <t xml:space="preserve">Proportion of renewable energy (Renewable energy consumption in relation to total energy consumption)
</t>
  </si>
  <si>
    <t>Samlet vandforbrug</t>
  </si>
  <si>
    <t>Total consumption of water</t>
  </si>
  <si>
    <t xml:space="preserve">Proportion of hazardous waste (Amount of hazardous waste in relation to the total quantity of waste)
</t>
  </si>
  <si>
    <t>Andel affald sendt til genanvendelse og genbrug (Mængde af genanvendt affald ift. total mængde affald)</t>
  </si>
  <si>
    <t>Proportion of reused and recycled waste (Amount of recycled waste in relation to the total quantity of waste)</t>
  </si>
  <si>
    <t>Ton CO₂e / mio. DKK</t>
  </si>
  <si>
    <t>Ton CO₂e / Mio. DKK</t>
  </si>
  <si>
    <t>GJ / Mio. DKK</t>
  </si>
  <si>
    <t>Litre</t>
  </si>
  <si>
    <t>(missing data)</t>
  </si>
  <si>
    <t>Applied values in calculating E-indicators (ESG)</t>
  </si>
  <si>
    <t>I følgende tabel kan du se de værdier, der er anvendt i beregningen af E-nøgletallene præsenteret i tabellen ovenfor</t>
  </si>
  <si>
    <t>In the following table you can see the values applied in the calculation of the E-indicators presented in the table above</t>
  </si>
  <si>
    <t>PARAMETRE BRUGT TIL BEREGNING AF E-NØGLETAL</t>
  </si>
  <si>
    <t>PARAMETRES USED FOR CALCULATION OF E-INDICATORS</t>
  </si>
  <si>
    <t>Nettoomsætning</t>
  </si>
  <si>
    <t>Net revenue</t>
  </si>
  <si>
    <t>Renewable energy consumption</t>
  </si>
  <si>
    <t xml:space="preserve">Total amount of waste
</t>
  </si>
  <si>
    <t xml:space="preserve">Quantity of recycled waste
</t>
  </si>
  <si>
    <t>mio. DKK</t>
  </si>
  <si>
    <t>Energiforbrug</t>
  </si>
  <si>
    <t>Energy consumption</t>
  </si>
  <si>
    <t>Ikke vedvarende</t>
  </si>
  <si>
    <t xml:space="preserve">GHG protokollen opdeler scope 3 udledning i 15 kategorier for hhv. opstrømsudledninger, der opstår tidligere i virksomhedens værdikæde (fx indkøb af varer og services eller fragt til virksomheden) og for nedstrømsudledninger, der opstår senere i virksomhedens værdikæde (fx brug og bortskaffelse af virksomhedens produkter). Bemærk, at kategori 14 (franchises) og kategori 15 (investeringer) ikke er medtaget her, da de ligger udover Klimakompassets anvendelse. 
Vær opmærksom på, at der i visningen af dine scope 3 udledninger er mulighed for at vise dit forbrug af elektricitet opgjort enten ved brug af metoderne ”eldeklaration” eller ”miljødeklaration”. GHG-protokollen anbefaler, at du laver to ens opgørelser, hvor den eneste forskel er, hvilken deklaration der klikkes af i Klimakompasset.
Virksomhedens CO₂e-udledninger inden for de forskellige scope 3 kategorier er vist i diagrammet samt i tabellen nedenfor.
</t>
  </si>
  <si>
    <t>The GHG protocol divides scope 3 emissions in 15 categories for upstream categories (e.g. purchase of goods and services or freight to the company) and downstream emissions (e.g. use or descarding of products). Note, that category 14 (franchising) and category 15 (investments) are not included in the Climate Compass. 
Note also, at that when showing your scope 3 emissions it is possible to show your use of electricity either using the market-based or the location-based method. The GHG protocal recommends that you apply both methods  in your reporting.
The CO₂e-emissions of the company within the different scope 3 categories are shown in the diagram and the table below.</t>
  </si>
  <si>
    <t>SCOPE 3 KATEGORIER I TON CO₂e</t>
  </si>
  <si>
    <t>SCOPE 3 CATEGORIES IN TONNES OF CO₂e</t>
  </si>
  <si>
    <t>1. Indkøb af varer og tjenesteydelser</t>
  </si>
  <si>
    <t>2. Anlægsaktiver</t>
  </si>
  <si>
    <t>2. Capital goods</t>
  </si>
  <si>
    <t>3. Brændsels- og energirelaterede aktiviteter</t>
  </si>
  <si>
    <t>3. Fuel and Energy-Related Activities Not Included in Scope in 1 or Scope 2</t>
  </si>
  <si>
    <t>4. Opstrømstransport og distribution</t>
  </si>
  <si>
    <t>4. Upstream Transportation and Distribution</t>
  </si>
  <si>
    <t>5. Affald fra drift</t>
  </si>
  <si>
    <t>5. Waste Generated in Operations</t>
  </si>
  <si>
    <t>6. Business Travel</t>
  </si>
  <si>
    <t>7. Medarbejderpendling</t>
  </si>
  <si>
    <t>7. Employee Commuting</t>
  </si>
  <si>
    <t>8. Opstrøms leasede aktiver</t>
  </si>
  <si>
    <t>8. Upstream Leased Assets</t>
  </si>
  <si>
    <t>9. Nedstrømstransport og distribution</t>
  </si>
  <si>
    <t>9. Downstream Transportation and Distribution</t>
  </si>
  <si>
    <t>11. Use of Sold Products</t>
  </si>
  <si>
    <t>12. Behandling af solgte produkter efter endt levetid</t>
  </si>
  <si>
    <t>12. End-of-life Treatment of Sold Products</t>
  </si>
  <si>
    <t>13. Nedstrøms leasede aktiver</t>
  </si>
  <si>
    <t>13. Downstream Leased Assets</t>
  </si>
  <si>
    <t>Samlede CO₂e udledninger fordelt på opstrøm og nedstrøm (ton)</t>
  </si>
  <si>
    <t xml:space="preserve">Total CO₂e emissions for upstream and for downstream (ton)
</t>
  </si>
  <si>
    <t>Samlet CO₂e udledning i alt (ton)</t>
  </si>
  <si>
    <t>Total CO₂e emissions (ton)</t>
  </si>
  <si>
    <t>Nedenstående figur angiver virksomhedens opgjorte udledning i ton CO₂-ækvivalenter fordelt på scope 3 kategorier.</t>
  </si>
  <si>
    <t xml:space="preserve">The figure below shows emissions in scope 3 categories in ton CO₂-e </t>
  </si>
  <si>
    <t>Figur 1: CO₂e udledning fordelt på scope 3 kategorier (ton)</t>
  </si>
  <si>
    <t>Figure 1: CO₂e emissions across scope 3 categories (tons)</t>
  </si>
  <si>
    <t>Største CO₂e-udledning</t>
  </si>
  <si>
    <t>Highest CO₂e emissions</t>
  </si>
  <si>
    <t>Figur 1: CO₂e-udledning i ton #SelectedScopes# fordelt på poster</t>
  </si>
  <si>
    <t>Figure 1: Emissions (ton CO₂e) for #SelectedScopes# broken down into posts</t>
  </si>
  <si>
    <t>OVERSIGT OVER UDLEDNINGEN I TON CO₂-E FORDELT PÅ POSTER</t>
  </si>
  <si>
    <t>OVERVIEW OF EMISSIONS IN TONS CO₂-E ACROSS POSTS</t>
  </si>
  <si>
    <t>#SelectedScopes# udledning (ton CO₂e)</t>
  </si>
  <si>
    <t>#SelectedScopes# emission (ton CO₂e)</t>
  </si>
  <si>
    <t>(%) del af udledning for #SelectedScopes#</t>
  </si>
  <si>
    <t>(%) part of all #SelectedScopes# Emissions</t>
  </si>
  <si>
    <t>Result for forecast</t>
  </si>
  <si>
    <t>Fremskrivning for</t>
  </si>
  <si>
    <t>Forecast for</t>
  </si>
  <si>
    <t>Base calculation</t>
  </si>
  <si>
    <t>Fremskrivningsresultater for '#NAME' vises ikke, da der enten ikke er oprettet en fremskrivning for beregningen, eller du har oprettet mere end én fremskrivning. Gå til "Dine fremskrivninger" og vælg den fremskrivning, du ønsker at downloade resultater for</t>
  </si>
  <si>
    <t>Forecasts results for '#NAME' are not shown because either no forecast has been created for the calculation or you have created more than one forecast. Go to "Your forecasts" and select the forecast you want to download results for</t>
  </si>
  <si>
    <t>End year</t>
  </si>
  <si>
    <t>Selection of yearly growth</t>
  </si>
  <si>
    <t>Årlig vækstrate</t>
  </si>
  <si>
    <t>Annual growth rate</t>
  </si>
  <si>
    <t>Type af vækstrate</t>
  </si>
  <si>
    <t>Type of growth rate</t>
  </si>
  <si>
    <t>Main result</t>
  </si>
  <si>
    <t>Din virksomheds CO₂e-udledning fremskrives med:</t>
  </si>
  <si>
    <t>Your company's CO₂e emissions are projected with:</t>
  </si>
  <si>
    <t>Tabel 1: Oversigt over virksomhedens CO₂e-udledninger fordelt på scopes</t>
  </si>
  <si>
    <t>Table 1: Overview of the companys CO₂ emissions by scope</t>
  </si>
  <si>
    <t>Forskel fra basisår til slutår i %</t>
  </si>
  <si>
    <t>Difference from base year to end year in %</t>
  </si>
  <si>
    <t>Outside of scopes</t>
  </si>
  <si>
    <t>Forskel til slutår (scope 1)</t>
  </si>
  <si>
    <t>Difference to the end year (scope 1)</t>
  </si>
  <si>
    <t>Tabel 2: Oversigt over virksomhedens CO₂e-udledninger fordelt på hovedkategorier</t>
  </si>
  <si>
    <t>Table 2: Overview of the companys CO₂ emissions by main categories</t>
  </si>
  <si>
    <t>Summation of the companys estimated forecasted emissions on scopes and main categories</t>
  </si>
  <si>
    <t>Nedenstående figurer opsummerer virksomhedens estimerede udledninger i de kommende 10 år. Figur 1 angiver virksomhedens estimerede CO₂e-udledning i ton CO₂e-ækvivalenter fordelt på scopes for alle fremskrevne år. Figur 2 viser den fordeling af CO₂e-udledningen fordelt på hovedkategorier for slut- og basisår.</t>
  </si>
  <si>
    <t>The figures below summarize the company's estimated emissions in the next 10 years. Figure 1 indicates the company's estimated CO₂e emissions in tonnes of CO₂e equivalents divided by scope for all forecasted years. Figure 2 shows the distribution of CO₂e emissions by main categories for the end and base years.</t>
  </si>
  <si>
    <t>Figur 1: Fremskrevne CO₂e-udledninger fordelt på scopes (ton)</t>
  </si>
  <si>
    <t>Figure 1: Projected CO₂e emissions divided by scopes (tonnes)</t>
  </si>
  <si>
    <t>Figur 2: Fremskrevne CO₂e-udledninger fordelt på hovedkategorier (ton)</t>
  </si>
  <si>
    <t>Figure 2: Projected CO₂e emissions divided by main categories (tonnes)</t>
  </si>
  <si>
    <t>Figur 3: Fremskrevne CO₂e-udledninger fordelt på hovedkategorier - Scope 1 (ton)</t>
  </si>
  <si>
    <t>Figure 3: Projected CO₂e emissions divided by main categories - Scope 1 (tonnes)</t>
  </si>
  <si>
    <t>Figur 4: Fremskrevne CO₂e-udledninger fordelt på hovedkategorier - Scope 2 (ton)</t>
  </si>
  <si>
    <t>Figure 4: Projected CO₂e emissions divided by main categories - Scope 2 (tonnes)</t>
  </si>
  <si>
    <t>Figur 5: Fremskrevne CO₂e-udledninger fordelt på hovedkategorier - Scope 3 (ton)</t>
  </si>
  <si>
    <t>Figure 5: Projected CO₂e emissions divided by main categories - Scope 3 (tonnes)</t>
  </si>
  <si>
    <t xml:space="preserve">With an annual growth rate of </t>
  </si>
  <si>
    <t xml:space="preserve">) estimeres det, at din virksomheds CO₂e-udledninger vil stige med </t>
  </si>
  <si>
    <t xml:space="preserve">), your company's CO₂e emissions increase by </t>
  </si>
  <si>
    <t xml:space="preserve">) estimeres det, at din virksomheds CO₂e-udledninger vil falde med </t>
  </si>
  <si>
    <t xml:space="preserve">), your company's CO₂e emissions fall by </t>
  </si>
  <si>
    <t>% frem mod år</t>
  </si>
  <si>
    <t>% by year</t>
  </si>
  <si>
    <t>Partial result for forecast</t>
  </si>
  <si>
    <t>Delresultatet</t>
  </si>
  <si>
    <t>Her ses en mere detaljeret resultatvisning for fremskrivning. Tabellen viser den tilhørende udledning i ton CO₂e for alle underkategorierne, som der er indtastet data for.</t>
  </si>
  <si>
    <t>This is detailed results for a forecast. The table shows emssions in Ton CO₂e for all subcategories containing data</t>
  </si>
  <si>
    <t>Table 1: Overview of the companys CO₂e emissions by scope</t>
  </si>
  <si>
    <t>Forskel til slutår (scope 1+2+3)</t>
  </si>
  <si>
    <t>Difference in end year (scope 1+2+3)</t>
  </si>
  <si>
    <t>Tabel 2. Oversigt over CO₂e-udledningen fordelt på hoved- og underkategorier</t>
  </si>
  <si>
    <t>Table 2: Overview of CO₂e emissions by main and subcategories</t>
  </si>
  <si>
    <t>Samlede CO₂e udledning</t>
  </si>
  <si>
    <t>Total CO₂e emissions</t>
  </si>
  <si>
    <t>(tons of CO₂e)</t>
  </si>
  <si>
    <t>Outside of scope results</t>
  </si>
  <si>
    <t xml:space="preserve">Her ses en mere detaljeret resultatvisning for udenfor scopes. Tabellen viser den tilhørende udledning for alle underkategorierne, der er indtastet data for. Bemærk at udenfor scopes ikke medregnes i totalen jf. GHG-protokollen.				</t>
  </si>
  <si>
    <t xml:space="preserve">Here you can see a more detailed view of the results outside of scopes. The table shows the corresponding emissions for all subcategories containing data. Note that all outside of scopes are not included in the total acc. to the GHG-protocol.				</t>
  </si>
  <si>
    <t>Summary of 'outside-of-scope' results on CO₂e emissions distributed by main and subcategories.</t>
  </si>
  <si>
    <t xml:space="preserve">Reduction targets
</t>
  </si>
  <si>
    <t>Målsætning baseret på fremskrivning</t>
  </si>
  <si>
    <t xml:space="preserve">Targets based on forecast
</t>
  </si>
  <si>
    <t>Resultater er baseret på din virksomheds fremskrevne CO₂e-udledninger samt dit valg målsætningsmetode, målsætningsår og målsætning i procent. Dine valg og
indtastninger er skrevet op i boksen "Parametre" herunder. Du kan læse mere om, hvordan du kan sætte målsætninger i fanen "Reduktionsmålsætninger" på Klimakompassets hjemmeside</t>
  </si>
  <si>
    <t>Results are based on your company's projected CO₂e emissions as well as your choice of target setting method, target year and target percentage. Your choices and
entries are written up in the "Parameters" box below. You can read more about how you can set targets in the "Reduction targets" tab on the Climate Compass website.</t>
  </si>
  <si>
    <t xml:space="preserve">Target method
</t>
  </si>
  <si>
    <t xml:space="preserve">Target year
</t>
  </si>
  <si>
    <t>Målsætning (Ton CO₂e)</t>
  </si>
  <si>
    <t>Target (Tons of CO₂e)</t>
  </si>
  <si>
    <t>Tabel 1. Oversigt over virksomhedens CO₂e-udledninger fordelt på scope 1 og 2</t>
  </si>
  <si>
    <t>Table 1. Overview of the company's CO₂e emissions divided into scope 1 and 2</t>
  </si>
  <si>
    <t>Reduktionsmålsætning for Scope 3</t>
  </si>
  <si>
    <t xml:space="preserve">Reduction target for Scope 3
</t>
  </si>
  <si>
    <t>Resultater er baseret på din virksomheds fremskrevne CO₂e-udledninger samt dit valg målsætningsmetode, målsætningsår og målsætning i procent. Dine valg og indtastninger er skrevet op i boksen "Parametre" herunder. Du kan læse mere om, hvordan du kan sætte målsætninger i fanen "Reduktionsmålsætninger" på Klimakompassets hjemmeside</t>
  </si>
  <si>
    <t>Results are based on your company's projected CO₂e emissions as well as your choice of target setting method, target year and target percentage. Your choices and entries are written in the "Parameters" box below. You can read more about how you can set targets in the "Reduction targets" tab on the Climate Compass website.</t>
  </si>
  <si>
    <t>Tabel 2. Oversigt over virksomhedens CO₂e-udledninger i scope 3</t>
  </si>
  <si>
    <t>Table 2. Overview of the company's CO₂e emissions in scope 3</t>
  </si>
  <si>
    <t xml:space="preserve">Long-term net-zero target
</t>
  </si>
  <si>
    <t>Figur 4: Fordeling af udledninger i basisår (ton CO₂e)</t>
  </si>
  <si>
    <t>Figure 4: Distribution of emissions in base year (tonnes CO₂e)</t>
  </si>
  <si>
    <t>Figur 5: Forskel i udledninger fra baisår til målsætningsår (ton CO₂e)</t>
  </si>
  <si>
    <t>Figure 5: Difference in emissions from base year to target year (tonnes CO₂e)</t>
  </si>
  <si>
    <t xml:space="preserve">skal disse CO₂e-udledninger reduceres med yderligere </t>
  </si>
  <si>
    <t xml:space="preserve">these CO₂e emissions must be further reduced </t>
  </si>
  <si>
    <t xml:space="preserve">% reduktion af scope 1 og 2 CO₂e-udledninger i </t>
  </si>
  <si>
    <t xml:space="preserve">% reduction of scope 1 and 2 CO₂e emissions in </t>
  </si>
  <si>
    <t xml:space="preserve">% reduktion af scope 3 CO₂e-udledninger i </t>
  </si>
  <si>
    <t xml:space="preserve">% reduction of scope 3 CO₂e emissions in </t>
  </si>
  <si>
    <t xml:space="preserve">Hovedkategori
</t>
  </si>
  <si>
    <t>Outside of scope - factor</t>
  </si>
  <si>
    <t xml:space="preserve">Kilde (år)
</t>
  </si>
  <si>
    <t xml:space="preserve">Tabel med egne emissionsfaktorer
</t>
  </si>
  <si>
    <t xml:space="preserve">Kategori
</t>
  </si>
  <si>
    <t xml:space="preserve">Beskrivelse
</t>
  </si>
  <si>
    <t>Emission factors for forecast</t>
  </si>
  <si>
    <t xml:space="preserve">Tabel med emissionsfaktorer
</t>
  </si>
  <si>
    <t>Table with emission factors</t>
  </si>
  <si>
    <t xml:space="preserve">Parameter 1 - title </t>
  </si>
  <si>
    <t xml:space="preserve">Parameter 2 - titel
</t>
  </si>
  <si>
    <t xml:space="preserve">Beløb (ekskl. Moms, DKK)
</t>
  </si>
  <si>
    <t xml:space="preserve">Udledning i alt 
</t>
  </si>
  <si>
    <t>Total emissions</t>
  </si>
  <si>
    <t xml:space="preserve">Bemærkninger (fra inputfelt)
</t>
  </si>
  <si>
    <t xml:space="preserve">År for emissions-faktorer
</t>
  </si>
  <si>
    <t xml:space="preserve">Land for emissionsfaktorer
</t>
  </si>
  <si>
    <t xml:space="preserve">Metodevalg
</t>
  </si>
  <si>
    <t>Other emissions for waste</t>
  </si>
  <si>
    <t>Other emissions for products sold</t>
  </si>
  <si>
    <t>Andet (Energi og processer)</t>
  </si>
  <si>
    <t>Other (Energy and processes)</t>
  </si>
  <si>
    <t>Materialer</t>
  </si>
  <si>
    <t>Materials</t>
  </si>
  <si>
    <t>Produkter og services</t>
  </si>
  <si>
    <t>Products and services</t>
  </si>
  <si>
    <t>Materialer (sekundære)</t>
  </si>
  <si>
    <t>Materials (secondary)</t>
  </si>
  <si>
    <t>Produkter og services (sekundære)</t>
  </si>
  <si>
    <t>Products and services (secondary)</t>
  </si>
  <si>
    <t>Andet (sekundære)</t>
  </si>
  <si>
    <t>Other (secondary)</t>
  </si>
  <si>
    <t>Own and leased transportation</t>
  </si>
  <si>
    <t>Employee transportation</t>
  </si>
  <si>
    <t>Transportation of goods to company</t>
  </si>
  <si>
    <t>Varetransport til kunde</t>
  </si>
  <si>
    <t>Transportation of goods to consumer</t>
  </si>
  <si>
    <t>Andet (Transport)</t>
  </si>
  <si>
    <t>Other (transportation)</t>
  </si>
  <si>
    <t>Andet (Affald)</t>
  </si>
  <si>
    <t>Other (Waste)</t>
  </si>
  <si>
    <t>Forarbejdning og processering</t>
  </si>
  <si>
    <t>Processing of sold products</t>
  </si>
  <si>
    <t>Andet (Solgte produkter)</t>
  </si>
  <si>
    <t>Other (Sold products)</t>
  </si>
  <si>
    <t>Used for calculation of E-key-numbers</t>
  </si>
  <si>
    <t>Scope 1, 2 og 3 udledning</t>
  </si>
  <si>
    <t>ton CO₂e</t>
  </si>
  <si>
    <t>Figur 1: CO₂e-udledning i ton scope 1, 2 og 3 fordelt på poster</t>
  </si>
  <si>
    <t>Figure 1: Emissions (ton CO₂e) for scope 1, 2 and 3 broken down into entries</t>
  </si>
  <si>
    <t>Henviser til ark:</t>
  </si>
  <si>
    <t>Emissionsfaktorår</t>
  </si>
  <si>
    <t>Emission factor year</t>
  </si>
  <si>
    <t>Baseår</t>
  </si>
  <si>
    <t>Emission factor year for base year</t>
  </si>
  <si>
    <t xml:space="preserve">Beregningens startår
</t>
  </si>
  <si>
    <t xml:space="preserve">Calculation start year
</t>
  </si>
  <si>
    <t>Gipsplade</t>
  </si>
  <si>
    <t>Gypsum board</t>
  </si>
  <si>
    <t>Tekstil, garn</t>
  </si>
  <si>
    <t>Textile, yarn</t>
  </si>
  <si>
    <t>Ikke-jernholdige metaller (nyt)</t>
  </si>
  <si>
    <t>Non-ferrous metals (new)</t>
  </si>
  <si>
    <t>Benzin (100%)</t>
  </si>
  <si>
    <t>Gasoline (100%)</t>
  </si>
  <si>
    <t>Andre plast (nyt)</t>
  </si>
  <si>
    <t>Other plastics (new)</t>
  </si>
  <si>
    <t>Tog (Uspecificeret)</t>
  </si>
  <si>
    <t>Train (Unspecified)</t>
  </si>
  <si>
    <t>Drikkevarer</t>
  </si>
  <si>
    <t>Beverages</t>
  </si>
  <si>
    <t>Konstruktionstræ</t>
  </si>
  <si>
    <t>Construction wood</t>
  </si>
  <si>
    <t>LBG</t>
  </si>
  <si>
    <t>Unspecified</t>
  </si>
  <si>
    <t>Kunstgødning</t>
  </si>
  <si>
    <t>Artificial fertilizers</t>
  </si>
  <si>
    <t>Hør</t>
  </si>
  <si>
    <t>Linen</t>
  </si>
  <si>
    <t>Kobber (nyt)</t>
  </si>
  <si>
    <t>Copper (new)</t>
  </si>
  <si>
    <t>Affaldshåndtering</t>
  </si>
  <si>
    <t>Waste management</t>
  </si>
  <si>
    <t>15. Investeringer</t>
  </si>
  <si>
    <t>15. Investments</t>
  </si>
  <si>
    <t>14. Franchises</t>
  </si>
  <si>
    <t>Personbiler (Hybrid, Ikke opladning)</t>
  </si>
  <si>
    <t>Passenger cars (Hybrid, not charging)</t>
  </si>
  <si>
    <t>Brød, kartofler, pasta o.lign.</t>
  </si>
  <si>
    <t>Bread, potatoes, pasta etc.</t>
  </si>
  <si>
    <t>Generelt</t>
  </si>
  <si>
    <t>General</t>
  </si>
  <si>
    <t>Metaller</t>
  </si>
  <si>
    <t>Metals</t>
  </si>
  <si>
    <t>Genbrug</t>
  </si>
  <si>
    <t>Reuse</t>
  </si>
  <si>
    <t>Konstrukstionsaluminium</t>
  </si>
  <si>
    <t>Construction aluminum</t>
  </si>
  <si>
    <t>NiMH batterier</t>
  </si>
  <si>
    <t>NiMH batteries</t>
  </si>
  <si>
    <t>Antal</t>
  </si>
  <si>
    <t>Quantity</t>
  </si>
  <si>
    <t>Marine gas oil</t>
  </si>
  <si>
    <t>Beton ≥ 35 Mpa, almindeligt</t>
  </si>
  <si>
    <t>Concrete ≥ 35 Mpa, ordinary</t>
  </si>
  <si>
    <t>Nylon (PA6)</t>
  </si>
  <si>
    <t>Material group</t>
  </si>
  <si>
    <t>GWh</t>
  </si>
  <si>
    <t>Biodiesel HVO</t>
  </si>
  <si>
    <t>Valuta</t>
  </si>
  <si>
    <t>Currency</t>
  </si>
  <si>
    <t>Kobber (genanvendt)</t>
  </si>
  <si>
    <t>Copper (recycled)</t>
  </si>
  <si>
    <t>Plast, granulat</t>
  </si>
  <si>
    <t>Plastic, granules</t>
  </si>
  <si>
    <t>Number of employees per year</t>
  </si>
  <si>
    <t>Busser</t>
  </si>
  <si>
    <t>Buses</t>
  </si>
  <si>
    <t>Rengøring</t>
  </si>
  <si>
    <t>Cleaning</t>
  </si>
  <si>
    <t>LDPE/LLDPE, nyt</t>
  </si>
  <si>
    <t>LDPE/LLDPE, new</t>
  </si>
  <si>
    <t>Fly - nationalt + RFI</t>
  </si>
  <si>
    <t>Flights - national + RFI</t>
  </si>
  <si>
    <t>Toe (ton olieækvivalent)</t>
  </si>
  <si>
    <t>Toe (ton oil equivalent)</t>
  </si>
  <si>
    <t>Naturgas (0% biogas)</t>
  </si>
  <si>
    <t>Natural gas (0% biogas)</t>
  </si>
  <si>
    <t>Stål og jern (nyt)</t>
  </si>
  <si>
    <t>Steel and iron (new)</t>
  </si>
  <si>
    <t>Propan</t>
  </si>
  <si>
    <t>Propane</t>
  </si>
  <si>
    <t>Støbejern</t>
  </si>
  <si>
    <t>Cast iron</t>
  </si>
  <si>
    <t>Petrol</t>
  </si>
  <si>
    <t>Nylon (PA6.6)</t>
  </si>
  <si>
    <t>Genanvendt affald</t>
  </si>
  <si>
    <t>Recycled waste</t>
  </si>
  <si>
    <t>Meat, red</t>
  </si>
  <si>
    <t>Ædelmetaller</t>
  </si>
  <si>
    <t>Precious metals</t>
  </si>
  <si>
    <t>Jordtyper</t>
  </si>
  <si>
    <t>Soil types</t>
  </si>
  <si>
    <t>Ris</t>
  </si>
  <si>
    <t>Rice</t>
  </si>
  <si>
    <t>Gående.person.km</t>
  </si>
  <si>
    <t>Walking.person.km</t>
  </si>
  <si>
    <t>PS, nyt</t>
  </si>
  <si>
    <t>PS, new</t>
  </si>
  <si>
    <t>PS-E</t>
  </si>
  <si>
    <t xml:space="preserve">PS-E </t>
  </si>
  <si>
    <t>Beton ≤ 30 Mpa, grøn</t>
  </si>
  <si>
    <t>Concrete ≤ 30 Mpa, green</t>
  </si>
  <si>
    <t>Meat, lust</t>
  </si>
  <si>
    <t>Kompostering</t>
  </si>
  <si>
    <t>Composting</t>
  </si>
  <si>
    <t>Elektricitet (DK) - faktisk</t>
  </si>
  <si>
    <t>Electricity (DK) - actual</t>
  </si>
  <si>
    <t>Keramisk</t>
  </si>
  <si>
    <t>Ceramic</t>
  </si>
  <si>
    <t>LPG</t>
  </si>
  <si>
    <t>Gns.person.km</t>
  </si>
  <si>
    <t>Avg.person.km</t>
  </si>
  <si>
    <t xml:space="preserve">Natural gas (0% biogas)
</t>
  </si>
  <si>
    <t>PFC-318 (c-C₄F₈)</t>
  </si>
  <si>
    <t>Varebiler (Benzin)</t>
  </si>
  <si>
    <t>Vans (petrol)</t>
  </si>
  <si>
    <t>Konstrukstionsstål</t>
  </si>
  <si>
    <t>Structural steel</t>
  </si>
  <si>
    <t>Trykkeri</t>
  </si>
  <si>
    <t>Printing company</t>
  </si>
  <si>
    <t>Lastbiler (Diesel)</t>
  </si>
  <si>
    <t>Trucks (Diesel)</t>
  </si>
  <si>
    <t xml:space="preserve"> Frugt og grønt</t>
  </si>
  <si>
    <t>Fruit and vegetables</t>
  </si>
  <si>
    <t>Smartphone</t>
  </si>
  <si>
    <t>Viskose</t>
  </si>
  <si>
    <t>Viscose</t>
  </si>
  <si>
    <t>Elektronik</t>
  </si>
  <si>
    <t xml:space="preserve">Electronics
</t>
  </si>
  <si>
    <t>SF₆</t>
  </si>
  <si>
    <t>Lastbiler (LNG)</t>
  </si>
  <si>
    <t>Trucks (LNG)</t>
  </si>
  <si>
    <t>El</t>
  </si>
  <si>
    <t>Motorcykler (Benzin)</t>
  </si>
  <si>
    <t>Motorcycles (Petrol)</t>
  </si>
  <si>
    <t>Akryl</t>
  </si>
  <si>
    <t>Acrylic</t>
  </si>
  <si>
    <t>HFC-125 (C₂HF₅)</t>
  </si>
  <si>
    <t>Transporttype</t>
  </si>
  <si>
    <t>Transport type</t>
  </si>
  <si>
    <t>Brændselstype</t>
  </si>
  <si>
    <t>Fuel type</t>
  </si>
  <si>
    <t xml:space="preserve"> Bly, zink og tin (nyt)</t>
  </si>
  <si>
    <t>Lead, zinc and tin (new)</t>
  </si>
  <si>
    <t>USD</t>
  </si>
  <si>
    <t>Personbiler (Benzin)</t>
  </si>
  <si>
    <t>Passenger cars (Petrol)</t>
  </si>
  <si>
    <t>HFC-43-10mee (C₅H₂F₁₀)</t>
  </si>
  <si>
    <t>Fly + RFI</t>
  </si>
  <si>
    <t>Airplane + RFI</t>
  </si>
  <si>
    <t>Fjernvarme (DK)</t>
  </si>
  <si>
    <t xml:space="preserve">District heating (DK)
</t>
  </si>
  <si>
    <t>Mejeri produkter</t>
  </si>
  <si>
    <t>Dairy products</t>
  </si>
  <si>
    <t>PMMA</t>
  </si>
  <si>
    <t>HDPE</t>
  </si>
  <si>
    <t>PFC-14 (CF₄)</t>
  </si>
  <si>
    <t>NF₃</t>
  </si>
  <si>
    <t>Fly - internationalt + RFI</t>
  </si>
  <si>
    <t>Flight - international + RFI</t>
  </si>
  <si>
    <t>Elektricitet (DK) - korrigeret</t>
  </si>
  <si>
    <t xml:space="preserve">Electricity (DK) - corrected
</t>
  </si>
  <si>
    <t>Plast, færdigvarer</t>
  </si>
  <si>
    <t>Plastic, finished products</t>
  </si>
  <si>
    <t>EURO</t>
  </si>
  <si>
    <t>Rådgivning, revisor, advokat, vikar, markedsføring og andre forretningsaktiviteter</t>
  </si>
  <si>
    <t>Consulting, accountant, lawyer, temp, marketing and other business activities</t>
  </si>
  <si>
    <t>DKK</t>
  </si>
  <si>
    <t>Consumption of electricity from the grid</t>
  </si>
  <si>
    <t>Stål og jern (genanvendt)</t>
  </si>
  <si>
    <t>Steel and iron (recycled)</t>
  </si>
  <si>
    <t>Lager og opbevaring</t>
  </si>
  <si>
    <t>Stock and storage</t>
  </si>
  <si>
    <t>Ubundne materialer (sand, sten, grus mm.)</t>
  </si>
  <si>
    <t>Unbound materials (sand, stone, gravel, etc.)</t>
  </si>
  <si>
    <t>Train</t>
  </si>
  <si>
    <t>primær</t>
  </si>
  <si>
    <t>primary</t>
  </si>
  <si>
    <t>Halm</t>
  </si>
  <si>
    <t>Straw</t>
  </si>
  <si>
    <t>HFC-152a (C₂H₄F₂)</t>
  </si>
  <si>
    <t>Lastbiler (LPG)</t>
  </si>
  <si>
    <t>Trucks (LPG)</t>
  </si>
  <si>
    <t>Affaldstype</t>
  </si>
  <si>
    <t>Waste type</t>
  </si>
  <si>
    <t>Consumption of renewable electricity from own production</t>
  </si>
  <si>
    <t>Asfalt</t>
  </si>
  <si>
    <t>Asphalt</t>
  </si>
  <si>
    <t>Øvrige</t>
  </si>
  <si>
    <t>Others</t>
  </si>
  <si>
    <t>Papir og pap (genanvendt)</t>
  </si>
  <si>
    <t>Paper and cardboard (recycled)</t>
  </si>
  <si>
    <t>PET</t>
  </si>
  <si>
    <t>Specific products</t>
  </si>
  <si>
    <t>Sand og ler</t>
  </si>
  <si>
    <t>Sand and clay</t>
  </si>
  <si>
    <t>Tekstil, færdig stof</t>
  </si>
  <si>
    <t>Textile, finished fabric</t>
  </si>
  <si>
    <t>Ikke-jernholdige metaller (genanvendt)</t>
  </si>
  <si>
    <t>Non-ferrous metals (recycled)</t>
  </si>
  <si>
    <t>Ledningsgas</t>
  </si>
  <si>
    <t>Natural gas</t>
  </si>
  <si>
    <t>Fødevarer, organisk</t>
  </si>
  <si>
    <t>Food, organic</t>
  </si>
  <si>
    <t>Blomster og planter</t>
  </si>
  <si>
    <t>Flowers and plants</t>
  </si>
  <si>
    <t>Varebiler (Diesel)</t>
  </si>
  <si>
    <t>Vans (diesel)</t>
  </si>
  <si>
    <t>Fuelolie</t>
  </si>
  <si>
    <t>Fuel oil</t>
  </si>
  <si>
    <t>Personbiler (El)</t>
  </si>
  <si>
    <t>Passenger cars (Electric)</t>
  </si>
  <si>
    <t>Afstand</t>
  </si>
  <si>
    <t>Distance</t>
  </si>
  <si>
    <t>IT-udstyr</t>
  </si>
  <si>
    <t>IT equipment</t>
  </si>
  <si>
    <t>Beton ≤ 30 Mpa, almindeligt</t>
  </si>
  <si>
    <t>Concrete ≤ 30 Mpa, ordinary</t>
  </si>
  <si>
    <t>Plast: Nylon, PC (nyt)</t>
  </si>
  <si>
    <t>Plastic: Nylon, PC (new)</t>
  </si>
  <si>
    <t>HDPE, nyt</t>
  </si>
  <si>
    <t>HDPE, new</t>
  </si>
  <si>
    <t>HFC-41 (CH₃F)</t>
  </si>
  <si>
    <t>HFC-32 (CH₂F₂)</t>
  </si>
  <si>
    <t>Stål</t>
  </si>
  <si>
    <t>Steel</t>
  </si>
  <si>
    <t>LLDPE</t>
  </si>
  <si>
    <t>Lastbiler (LBG)</t>
  </si>
  <si>
    <t>Trucks (LBG)</t>
  </si>
  <si>
    <t>Andel af biogas</t>
  </si>
  <si>
    <t>Share of biogas</t>
  </si>
  <si>
    <t>Andet affald</t>
  </si>
  <si>
    <t>Other waste</t>
  </si>
  <si>
    <t>HFC-23 (CHF₃)</t>
  </si>
  <si>
    <t>Biofuel share (%)</t>
  </si>
  <si>
    <t>Lastbiler (CNG)</t>
  </si>
  <si>
    <t>Trucks (CNG)</t>
  </si>
  <si>
    <t>Fyringsolie</t>
  </si>
  <si>
    <t>Heating gasoil</t>
  </si>
  <si>
    <t>MToe</t>
  </si>
  <si>
    <t>Tekstil</t>
  </si>
  <si>
    <t>Textile</t>
  </si>
  <si>
    <t>Træflis</t>
  </si>
  <si>
    <t>Wood chips</t>
  </si>
  <si>
    <t>Galvaniseret stål</t>
  </si>
  <si>
    <t>Galvanized steel</t>
  </si>
  <si>
    <t>Renseri</t>
  </si>
  <si>
    <t>Dry cleaning</t>
  </si>
  <si>
    <t>PFC-41-12 (C₅F₁₂)</t>
  </si>
  <si>
    <t>Mineraluld</t>
  </si>
  <si>
    <t>Mineral wool</t>
  </si>
  <si>
    <t>Fly (Flybenzin)</t>
  </si>
  <si>
    <t>Aircraft (Jet fuel)</t>
  </si>
  <si>
    <t>Plast (genanvendt)</t>
  </si>
  <si>
    <t>Plastic (recycled)</t>
  </si>
  <si>
    <t>Personbiler (Diesel)</t>
  </si>
  <si>
    <t>Passenger cars (Diesel)</t>
  </si>
  <si>
    <t>Glas (genanvendt)</t>
  </si>
  <si>
    <t>Glass (recycled)</t>
  </si>
  <si>
    <t>PP</t>
  </si>
  <si>
    <t>Farligt affald</t>
  </si>
  <si>
    <t>Hazardous waste</t>
  </si>
  <si>
    <t>Nm3</t>
  </si>
  <si>
    <t>Food</t>
  </si>
  <si>
    <t>PS</t>
  </si>
  <si>
    <t>Naturgas (X% biogas)</t>
  </si>
  <si>
    <t>Natural gas (X% biogas)</t>
  </si>
  <si>
    <t>Computer skærm</t>
  </si>
  <si>
    <t>Computer screen</t>
  </si>
  <si>
    <t>Vægt</t>
  </si>
  <si>
    <t>Weight</t>
  </si>
  <si>
    <t>Diesel</t>
  </si>
  <si>
    <t>Træpiller</t>
  </si>
  <si>
    <t>Wood pellets</t>
  </si>
  <si>
    <t>PP, nyt</t>
  </si>
  <si>
    <t>PP, new</t>
  </si>
  <si>
    <t>Lastbiler (CBG)</t>
  </si>
  <si>
    <t>Trucks (CBG)</t>
  </si>
  <si>
    <t>Vans</t>
  </si>
  <si>
    <t>Tekstil og garn</t>
  </si>
  <si>
    <t>Textile and yarn</t>
  </si>
  <si>
    <t>Cement, kalk og gips</t>
  </si>
  <si>
    <t>Cement, lime and gypsum</t>
  </si>
  <si>
    <t>Materialeproduktgruppe</t>
  </si>
  <si>
    <t>Material product group</t>
  </si>
  <si>
    <t>PVC</t>
  </si>
  <si>
    <t xml:space="preserve">PVC </t>
  </si>
  <si>
    <t>Flybenzin</t>
  </si>
  <si>
    <t>Aviation fuel</t>
  </si>
  <si>
    <t>PET, genanvendt</t>
  </si>
  <si>
    <t>PET, recycled</t>
  </si>
  <si>
    <t>HFC-143a (C₂H₃F₃)</t>
  </si>
  <si>
    <t>Polypropylene</t>
  </si>
  <si>
    <t>Ton.km</t>
  </si>
  <si>
    <t>Bly, zink og tin (genanvendt)</t>
  </si>
  <si>
    <t>Lead, zinc and tin (recycled)</t>
  </si>
  <si>
    <t>Genbrugte produkter</t>
  </si>
  <si>
    <t>Recycled products</t>
  </si>
  <si>
    <t>Store elektroniske produkter</t>
  </si>
  <si>
    <t>Large electronic products</t>
  </si>
  <si>
    <t>PVC, genanvendt</t>
  </si>
  <si>
    <t>PVC, recycled</t>
  </si>
  <si>
    <t>Spildevand</t>
  </si>
  <si>
    <t>Waste water</t>
  </si>
  <si>
    <t>Beton</t>
  </si>
  <si>
    <t>Concrete</t>
  </si>
  <si>
    <t>Busser (Diesel)</t>
  </si>
  <si>
    <t>Buses (Diesel)</t>
  </si>
  <si>
    <t>N₂O</t>
  </si>
  <si>
    <t>Deponi</t>
  </si>
  <si>
    <t>Landfill</t>
  </si>
  <si>
    <t>Kemikalier</t>
  </si>
  <si>
    <t>Chemicals</t>
  </si>
  <si>
    <t>Biogas</t>
  </si>
  <si>
    <t>Lastbiler (Biodiesel HVO)</t>
  </si>
  <si>
    <t>Trucks (Biodiesel HVO)</t>
  </si>
  <si>
    <t>Fly, nationalt (Flybenzin)</t>
  </si>
  <si>
    <t>Aircraft, national (Jet fuel)</t>
  </si>
  <si>
    <t>Energi</t>
  </si>
  <si>
    <t>Energy</t>
  </si>
  <si>
    <t>Skib</t>
  </si>
  <si>
    <t>Ship</t>
  </si>
  <si>
    <t>Stationær PC</t>
  </si>
  <si>
    <t>Desktop computer</t>
  </si>
  <si>
    <t>Polyester</t>
  </si>
  <si>
    <t>Uld</t>
  </si>
  <si>
    <t>Wool</t>
  </si>
  <si>
    <t>PFC-116 (C₂F₆)</t>
  </si>
  <si>
    <t>Personal cars</t>
  </si>
  <si>
    <t>IKKE_VEDVARENDE_ENERGI</t>
  </si>
  <si>
    <t>NON_RENEWABLE_ENERGY</t>
  </si>
  <si>
    <t>Hotel og restaurant</t>
  </si>
  <si>
    <t>Hotel and restaurant</t>
  </si>
  <si>
    <t>Fly, internationalt (Flybenzin)</t>
  </si>
  <si>
    <t>Aircraft, international (Jet fuel)</t>
  </si>
  <si>
    <t>Pipeline gas</t>
  </si>
  <si>
    <t>Genanvendelse</t>
  </si>
  <si>
    <t>Recycling</t>
  </si>
  <si>
    <t>Lastbiler</t>
  </si>
  <si>
    <t>Trucks</t>
  </si>
  <si>
    <t>Byggematerialer</t>
  </si>
  <si>
    <t>Building materials</t>
  </si>
  <si>
    <t>Materiale</t>
  </si>
  <si>
    <t>Material</t>
  </si>
  <si>
    <t>Skib (Uspecificeret)</t>
  </si>
  <si>
    <t>Ship (Unspecified)</t>
  </si>
  <si>
    <t>HFC-134 (C₂H₂F₄)</t>
  </si>
  <si>
    <t>Energitype</t>
  </si>
  <si>
    <t>Energy type</t>
  </si>
  <si>
    <t>HFC-143 (C₂H₃F₃)</t>
  </si>
  <si>
    <t>Hazardous Waste</t>
  </si>
  <si>
    <t>PC</t>
  </si>
  <si>
    <t>Skib (Marine gas oil)</t>
  </si>
  <si>
    <t>Ship (Marine gas oil)</t>
  </si>
  <si>
    <t>Aluminum (recycled)</t>
  </si>
  <si>
    <t>PP, genanvendt</t>
  </si>
  <si>
    <t>PP, recycled</t>
  </si>
  <si>
    <t>PVC, ny</t>
  </si>
  <si>
    <t>PVC, new</t>
  </si>
  <si>
    <t>Fisk</t>
  </si>
  <si>
    <t>Fish</t>
  </si>
  <si>
    <t>sekundær</t>
  </si>
  <si>
    <t>secondary</t>
  </si>
  <si>
    <t>Bærbar PC</t>
  </si>
  <si>
    <t>Laptop PC</t>
  </si>
  <si>
    <t>Personbiler (Uspecificeret)</t>
  </si>
  <si>
    <t>Passenger cars (Unspecified)</t>
  </si>
  <si>
    <t>Events / personale aktiviteter</t>
  </si>
  <si>
    <t>Events / staff activities</t>
  </si>
  <si>
    <t>CO₂</t>
  </si>
  <si>
    <t>Drivhusgas</t>
  </si>
  <si>
    <t>Greenhouse gas</t>
  </si>
  <si>
    <t>PET, nyt</t>
  </si>
  <si>
    <t>PET, new</t>
  </si>
  <si>
    <t>Glas (nyt)</t>
  </si>
  <si>
    <t>Glass (new)</t>
  </si>
  <si>
    <t>HFC-134a (C₂H₂F₄)</t>
  </si>
  <si>
    <t>Vedvarende energi</t>
  </si>
  <si>
    <t>Renewable energy</t>
  </si>
  <si>
    <t>Køb af maskiner</t>
  </si>
  <si>
    <t>Purchase of machines</t>
  </si>
  <si>
    <t>Alkaliske batterier</t>
  </si>
  <si>
    <t>Alkaline batteries</t>
  </si>
  <si>
    <t>Papir og pap (nyt)</t>
  </si>
  <si>
    <t>Paper and cardboard (new)</t>
  </si>
  <si>
    <t>Skib (Marine fuel oil)</t>
  </si>
  <si>
    <t>Ship (Marine fuel oil)</t>
  </si>
  <si>
    <t>Water</t>
  </si>
  <si>
    <t>Køleskabe og frysere</t>
  </si>
  <si>
    <t>Refrigerators and freezers</t>
  </si>
  <si>
    <t>LDPE/LLDPE, genanvendt</t>
  </si>
  <si>
    <t>LDPE/LLDPE, recycled</t>
  </si>
  <si>
    <t>HDPE, genanvend</t>
  </si>
  <si>
    <t>HDPE, recycle</t>
  </si>
  <si>
    <t>PS, genanvendt</t>
  </si>
  <si>
    <t>PS, recycled</t>
  </si>
  <si>
    <t>Ikke vedvarende energi</t>
  </si>
  <si>
    <t>Non renewable energy</t>
  </si>
  <si>
    <t>ABS</t>
  </si>
  <si>
    <t>HFC-245ca (C₃H₃F₅)</t>
  </si>
  <si>
    <t>Bomuld</t>
  </si>
  <si>
    <t>Cotton</t>
  </si>
  <si>
    <t>CBG</t>
  </si>
  <si>
    <t>Product group</t>
  </si>
  <si>
    <t>Mursten</t>
  </si>
  <si>
    <t>Brick</t>
  </si>
  <si>
    <t>Rustfri stål</t>
  </si>
  <si>
    <t>Stainless steel</t>
  </si>
  <si>
    <t>Varebiler (El)</t>
  </si>
  <si>
    <t>Vans (Electric)</t>
  </si>
  <si>
    <t>PFC-31-10 (C₄F₁₀)</t>
  </si>
  <si>
    <t>Træ</t>
  </si>
  <si>
    <t>Tree</t>
  </si>
  <si>
    <t>Bil.person.km</t>
  </si>
  <si>
    <t>Car.person.km</t>
  </si>
  <si>
    <t>L</t>
  </si>
  <si>
    <t>Volume</t>
  </si>
  <si>
    <t>Træ (nyt)</t>
  </si>
  <si>
    <t>Wood (new)</t>
  </si>
  <si>
    <t>KWh</t>
  </si>
  <si>
    <t>Li-ion batterier</t>
  </si>
  <si>
    <t>Li-ion batteries</t>
  </si>
  <si>
    <t>VEDVARENDE_ENERGI</t>
  </si>
  <si>
    <t>RENEWABLE_ENERGY</t>
  </si>
  <si>
    <t>Aluminium (nyt)</t>
  </si>
  <si>
    <t>Aluminum (new)</t>
  </si>
  <si>
    <t>Tj</t>
  </si>
  <si>
    <t>LDPE</t>
  </si>
  <si>
    <t>KToe</t>
  </si>
  <si>
    <t>HFC-227ea (C₃HF₇)</t>
  </si>
  <si>
    <t>Service og tjenesteydelser</t>
  </si>
  <si>
    <t>Service provision and services</t>
  </si>
  <si>
    <t>Mj</t>
  </si>
  <si>
    <t>Leje af lokaler</t>
  </si>
  <si>
    <t>Rent of premises</t>
  </si>
  <si>
    <t>PFC-51-14 (C₆F₁₄)</t>
  </si>
  <si>
    <t>Uspecificeret, genanvendt</t>
  </si>
  <si>
    <t>Unspecified, recycled</t>
  </si>
  <si>
    <t>PFC-218 (C₃F₈)</t>
  </si>
  <si>
    <t>Små elektroniske produkter</t>
  </si>
  <si>
    <t>Small electronic products</t>
  </si>
  <si>
    <t>Forbrænding</t>
  </si>
  <si>
    <t>Combustion</t>
  </si>
  <si>
    <t>CH₄</t>
  </si>
  <si>
    <t>Træ (genanvendt)</t>
  </si>
  <si>
    <t>Wood (recycled)</t>
  </si>
  <si>
    <t>HFC-236fa (C₃H₂F₆)</t>
  </si>
  <si>
    <t>Bioforgasning</t>
  </si>
  <si>
    <t>Biogasification</t>
  </si>
  <si>
    <t>Spildevand rensning</t>
  </si>
  <si>
    <t>Wastewater treatment</t>
  </si>
  <si>
    <t>Aluminium</t>
  </si>
  <si>
    <t>0 (År) - Tiltagscase</t>
  </si>
  <si>
    <t>Danmark</t>
  </si>
  <si>
    <t>Tiltagscase - 0</t>
  </si>
  <si>
    <t>Victor</t>
  </si>
  <si>
    <t>Skovmand</t>
  </si>
  <si>
    <t>VicSko@erst.dk</t>
  </si>
  <si>
    <t>Nyt glas</t>
  </si>
  <si>
    <t>Varetransport til ku</t>
  </si>
  <si>
    <t>Transport til virk</t>
  </si>
  <si>
    <t>Kundemøder</t>
  </si>
  <si>
    <t>Vand</t>
  </si>
  <si>
    <t>Glas</t>
  </si>
  <si>
    <t>EXIOBASE v3.3.16b2 (v. 2020 m. 2011-data)</t>
  </si>
  <si>
    <t>Stål og jern</t>
  </si>
  <si>
    <t>Beregnet fra: EXIOBASE v3.3.16b2 (v. 2020 m. 2011-data), under antagelse af en kreditering 1:1 af undgået produktion af jomfruelig material</t>
  </si>
  <si>
    <t>Beregnet fra: Iblandingsprocenter (ENS, 2020), Energistatistik 2021 (Energistyrelsen, 2022), og UK Government GHG Conversion Factors for Company Reporting (DEFRA, 2022)</t>
  </si>
  <si>
    <t>Beregnet fra: Energistatistik 2021 (Energistyrelsen, 2022) og UK Government GHG Conversion Factors for Company Reporting (DEFRA, 2022)</t>
  </si>
  <si>
    <t>Naturgas (0% opgraderet biogas)</t>
  </si>
  <si>
    <t>Beregnet fra: Energistatistik 2021 (Energistyrelsen, 2022), Energistyrelsens Standardfaktorer 2021 (Energistyrelsen, 2022) og UK Government GHG Conversion Factors for Company Reporting (DEFRA, 2022)</t>
  </si>
  <si>
    <t>Beregnet fra: Energinets miljødeklarationen, 2021 (Energinet, 2024) og UK Government GHG Conversion Factors for Company Reporting (DEFRA, 2022)</t>
  </si>
  <si>
    <t>EXIOBASE v3.8-hybrid beta 2 (v. 2024 m. 2016-data)</t>
  </si>
  <si>
    <t>Beregnet i EXIOBASE v3.8. (v. 2024 m. 2016-data)</t>
  </si>
  <si>
    <t>Kg CO₂-e / km</t>
  </si>
  <si>
    <t>Beregnet fra: DCE, Persontransport efter transportmiddel (DST, 2021), og UK Government GHG Conversion Factors for Company Reporting (DEFRA, 2022)</t>
  </si>
  <si>
    <t>Beregnet fra: DCE og UK Government GHG Conversion Factors for Company Reporting (DEFRA, 2022)</t>
  </si>
  <si>
    <t>Testvirksomhed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</si>
</sst>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0.00_);_(* \(#,##0.00\);_(* &quot;-&quot;??_);_(@_)"/>
    <numFmt numFmtId="165" formatCode="0.0%"/>
    <numFmt numFmtId="166" formatCode="#,##0.0000"/>
    <numFmt numFmtId="167" formatCode="#,##0.0"/>
    <numFmt numFmtId="168" formatCode="0;[Red]0"/>
    <numFmt numFmtId="169" formatCode="#,##0.00\ &quot;kr.&quot;"/>
    <numFmt numFmtId="170" formatCode="#,##0.00_ ;\-#,##0.00\ "/>
    <numFmt numFmtId="171" formatCode="#,##0.00%"/>
    <numFmt numFmtId="172" formatCode="#,##0.00000"/>
  </numFmts>
  <fonts count="54" x14ac:knownFonts="1">
    <font>
      <sz val="11"/>
      <color theme="1"/>
      <name val="Calibri"/>
      <family val="2"/>
      <scheme val="minor"/>
    </font>
    <font>
      <sz val="9"/>
      <color theme="1"/>
      <name val="Calibri"/>
      <family val="2"/>
      <scheme val="minor"/>
    </font>
    <font>
      <sz val="9"/>
      <color theme="1"/>
      <name val="Arial"/>
      <family val="2"/>
    </font>
    <font>
      <sz val="10"/>
      <color theme="1"/>
      <name val="Arial"/>
      <family val="2"/>
    </font>
    <font>
      <b/>
      <sz val="16"/>
      <color theme="1"/>
      <name val="Arial"/>
      <family val="2"/>
    </font>
    <font>
      <b/>
      <sz val="10"/>
      <color theme="1"/>
      <name val="Arial"/>
      <family val="2"/>
    </font>
    <font>
      <b/>
      <sz val="9"/>
      <color theme="1"/>
      <name val="Arial"/>
      <family val="2"/>
    </font>
    <font>
      <b/>
      <sz val="9"/>
      <name val="Arial"/>
      <family val="2"/>
    </font>
    <font>
      <sz val="10"/>
      <name val="Arial"/>
      <family val="2"/>
    </font>
    <font>
      <sz val="11"/>
      <color theme="0"/>
      <name val="Arial"/>
      <family val="2"/>
    </font>
    <font>
      <sz val="11"/>
      <color theme="1"/>
      <name val="Arial"/>
      <family val="2"/>
    </font>
    <font>
      <sz val="10"/>
      <color rgb="FF000000"/>
      <name val="IBM Plex Sans"/>
      <family val="2"/>
    </font>
    <font>
      <sz val="10"/>
      <color rgb="FFFFFFFF"/>
      <name val="Arial"/>
      <family val="2"/>
    </font>
    <font>
      <sz val="10"/>
      <color rgb="FF1A1A1A"/>
      <name val="Arial"/>
      <family val="2"/>
    </font>
    <font>
      <sz val="11"/>
      <color rgb="FFFFFFFF"/>
      <name val="IBM Plex Sans"/>
      <family val="2"/>
    </font>
    <font>
      <sz val="16"/>
      <color theme="1"/>
      <name val="Arial"/>
      <family val="2"/>
    </font>
    <font>
      <sz val="11"/>
      <color rgb="FFFFFFFF"/>
      <name val="Arial"/>
      <family val="2"/>
    </font>
    <font>
      <b/>
      <sz val="16"/>
      <name val="Arial"/>
      <family val="2"/>
    </font>
    <font>
      <sz val="12"/>
      <name val="Arial"/>
      <family val="2"/>
    </font>
    <font>
      <b/>
      <sz val="12"/>
      <name val="Arial"/>
      <family val="2"/>
    </font>
    <font>
      <sz val="9"/>
      <color rgb="FFFF0000"/>
      <name val="Arial"/>
      <family val="2"/>
    </font>
    <font>
      <sz val="10"/>
      <color theme="0"/>
      <name val="Arial"/>
      <family val="2"/>
    </font>
    <font>
      <sz val="10"/>
      <color rgb="FFFFFFFF"/>
      <name val="IBM Plex Sans"/>
      <family val="2"/>
    </font>
    <font>
      <sz val="9"/>
      <color theme="0"/>
      <name val="Arial"/>
      <family val="2"/>
    </font>
    <font>
      <sz val="11"/>
      <color theme="1"/>
      <name val="Calibri"/>
      <family val="2"/>
      <scheme val="minor"/>
    </font>
    <font>
      <sz val="11"/>
      <name val="Calibri"/>
      <family val="2"/>
      <scheme val="minor"/>
    </font>
    <font>
      <b/>
      <sz val="10"/>
      <color theme="0"/>
      <name val="Arial"/>
      <family val="2"/>
    </font>
    <font>
      <sz val="10"/>
      <color rgb="FFFF0000"/>
      <name val="Arial"/>
      <family val="2"/>
    </font>
    <font>
      <b/>
      <sz val="10"/>
      <color rgb="FF1A1A1A"/>
      <name val="Arial"/>
      <family val="2"/>
    </font>
    <font>
      <sz val="14"/>
      <color theme="1"/>
      <name val="Arial"/>
      <family val="2"/>
    </font>
    <font>
      <b/>
      <sz val="10"/>
      <name val="Arial"/>
      <family val="2"/>
    </font>
    <font>
      <u/>
      <sz val="11"/>
      <color theme="10"/>
      <name val="Calibri"/>
      <family val="2"/>
      <scheme val="minor"/>
    </font>
    <font>
      <sz val="9"/>
      <name val="Arial"/>
      <family val="2"/>
    </font>
    <font>
      <sz val="10"/>
      <color theme="0"/>
      <name val="IBM Plex Sans"/>
      <family val="2"/>
    </font>
    <font>
      <sz val="11"/>
      <color rgb="FF9C0006"/>
      <name val="Calibri"/>
      <family val="2"/>
      <scheme val="minor"/>
    </font>
    <font>
      <b/>
      <sz val="14"/>
      <color theme="1"/>
      <name val="Arial"/>
      <family val="2"/>
    </font>
    <font>
      <b/>
      <sz val="12"/>
      <color theme="1"/>
      <name val="Arial"/>
      <family val="2"/>
    </font>
    <font>
      <b/>
      <sz val="11"/>
      <color theme="1"/>
      <name val="Calibri"/>
      <family val="2"/>
      <scheme val="minor"/>
    </font>
    <font>
      <sz val="11"/>
      <color rgb="FF1A1A1A"/>
      <name val="Calibri"/>
      <family val="2"/>
      <scheme val="minor"/>
    </font>
    <font>
      <i/>
      <sz val="9"/>
      <color theme="1"/>
      <name val="Calibri"/>
      <family val="2"/>
      <scheme val="minor"/>
    </font>
    <font>
      <u/>
      <sz val="11"/>
      <color theme="10"/>
      <name val="Wingdings"/>
      <charset val="2"/>
    </font>
    <font>
      <u/>
      <sz val="11"/>
      <color theme="10"/>
      <name val="Calibri"/>
      <family val="2"/>
      <charset val="2"/>
      <scheme val="minor"/>
    </font>
    <font>
      <sz val="10"/>
      <name val="IBM Plex Sans"/>
      <family val="2"/>
    </font>
    <font>
      <sz val="10"/>
      <color theme="1"/>
      <name val="IBM Plex Sans"/>
      <family val="2"/>
    </font>
    <font>
      <sz val="10"/>
      <color rgb="FF1A1A1A"/>
      <name val="IBM Plex Sans"/>
      <family val="2"/>
    </font>
    <font>
      <sz val="10"/>
      <color rgb="FFFF0000"/>
      <name val="IBM Plex Sans"/>
      <family val="2"/>
    </font>
    <font>
      <sz val="10"/>
      <color rgb="FF000000"/>
      <name val="IBM Plex Sans"/>
      <family val="2"/>
      <charset val="1"/>
    </font>
    <font>
      <sz val="10"/>
      <color rgb="FF1A1A1A"/>
      <name val="IBM Plex Sans"/>
      <family val="2"/>
      <charset val="1"/>
    </font>
    <font>
      <sz val="10"/>
      <name val="IBM Plex Sans"/>
      <family val="2"/>
      <charset val="1"/>
    </font>
    <font>
      <sz val="10"/>
      <color rgb="FFFF0000"/>
      <name val="IBM Plex Sans"/>
      <family val="2"/>
      <charset val="1"/>
    </font>
    <font>
      <b/>
      <sz val="8"/>
      <color rgb="FF172B4D"/>
      <name val="Segoe UI"/>
      <family val="2"/>
    </font>
    <font>
      <sz val="10"/>
      <color rgb="FF000000"/>
      <name val="Arial"/>
      <family val="2"/>
    </font>
    <font>
      <sz val="9"/>
      <color rgb="FF000000"/>
      <name val="Arial"/>
      <family val="2"/>
    </font>
    <font>
      <b/>
      <sz val="16"/>
      <color rgb="FF000000"/>
      <name val="Arial"/>
      <family val="2"/>
    </font>
  </fonts>
  <fills count="21">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078856"/>
        <bgColor indexed="64"/>
      </patternFill>
    </fill>
    <fill>
      <patternFill patternType="solid">
        <fgColor theme="2"/>
        <bgColor indexed="64"/>
      </patternFill>
    </fill>
    <fill>
      <patternFill patternType="solid">
        <fgColor theme="9" tint="0.79998168889431442"/>
        <bgColor indexed="64"/>
      </patternFill>
    </fill>
    <fill>
      <patternFill patternType="solid">
        <fgColor rgb="FFFFFFCC"/>
      </patternFill>
    </fill>
    <fill>
      <patternFill patternType="solid">
        <fgColor theme="0" tint="-0.249977111117893"/>
        <bgColor indexed="64"/>
      </patternFill>
    </fill>
    <fill>
      <patternFill patternType="solid">
        <fgColor rgb="FFFFFFFF"/>
        <bgColor rgb="FF000000"/>
      </patternFill>
    </fill>
    <fill>
      <patternFill patternType="solid">
        <fgColor theme="2"/>
        <bgColor rgb="FF000000"/>
      </patternFill>
    </fill>
    <fill>
      <patternFill patternType="solid">
        <fgColor theme="0" tint="-4.9989318521683403E-2"/>
        <bgColor indexed="64"/>
      </patternFill>
    </fill>
    <fill>
      <patternFill patternType="solid">
        <fgColor rgb="FFFFC7CE"/>
      </patternFill>
    </fill>
    <fill>
      <patternFill patternType="solid">
        <fgColor rgb="FFCCECFF"/>
        <bgColor indexed="64"/>
      </patternFill>
    </fill>
    <fill>
      <patternFill patternType="solid">
        <fgColor rgb="FF99CCFF"/>
        <bgColor indexed="64"/>
      </patternFill>
    </fill>
    <fill>
      <patternFill patternType="solid">
        <fgColor rgb="FFE5F5FF"/>
        <bgColor indexed="64"/>
      </patternFill>
    </fill>
    <fill>
      <patternFill patternType="solid">
        <fgColor rgb="FFC7E6A4"/>
        <bgColor indexed="64"/>
      </patternFill>
    </fill>
    <fill>
      <patternFill patternType="solid">
        <fgColor rgb="FFFF9999"/>
        <bgColor indexed="64"/>
      </patternFill>
    </fill>
    <fill>
      <patternFill patternType="solid">
        <fgColor rgb="FFFFFF00"/>
        <bgColor indexed="64"/>
      </patternFill>
    </fill>
    <fill>
      <patternFill patternType="solid">
        <fgColor rgb="FFE3E2E2"/>
        <bgColor indexed="64"/>
      </patternFill>
    </fill>
    <fill>
      <patternFill patternType="solid">
        <fgColor rgb="FFFFFFFF"/>
      </patternFill>
    </fill>
  </fills>
  <borders count="73">
    <border>
      <left/>
      <right/>
      <top/>
      <bottom/>
      <diagonal/>
    </border>
    <border>
      <left style="thin">
        <color rgb="FFCECECB"/>
      </left>
      <right style="thin">
        <color rgb="FFCECECB"/>
      </right>
      <top style="thin">
        <color rgb="FFCECECB"/>
      </top>
      <bottom style="thin">
        <color rgb="FFCECECB"/>
      </bottom>
      <diagonal/>
    </border>
    <border>
      <left/>
      <right/>
      <top/>
      <bottom style="medium">
        <color rgb="FF004D83"/>
      </bottom>
      <diagonal/>
    </border>
    <border>
      <left/>
      <right/>
      <top style="medium">
        <color rgb="FF004D83"/>
      </top>
      <bottom/>
      <diagonal/>
    </border>
    <border>
      <left style="thin">
        <color rgb="FFCECECB"/>
      </left>
      <right/>
      <top style="thin">
        <color rgb="FFCECECB"/>
      </top>
      <bottom style="thin">
        <color rgb="FFCECECB"/>
      </bottom>
      <diagonal/>
    </border>
    <border>
      <left style="medium">
        <color rgb="FF078856"/>
      </left>
      <right style="medium">
        <color rgb="FF078856"/>
      </right>
      <top style="medium">
        <color rgb="FF078856"/>
      </top>
      <bottom/>
      <diagonal/>
    </border>
    <border>
      <left style="medium">
        <color rgb="FF078856"/>
      </left>
      <right style="medium">
        <color rgb="FF078856"/>
      </right>
      <top style="medium">
        <color rgb="FF078856"/>
      </top>
      <bottom style="medium">
        <color rgb="FF078856"/>
      </bottom>
      <diagonal/>
    </border>
    <border>
      <left style="medium">
        <color rgb="FF078856"/>
      </left>
      <right style="medium">
        <color rgb="FF078856"/>
      </right>
      <top/>
      <bottom style="medium">
        <color rgb="FF078856"/>
      </bottom>
      <diagonal/>
    </border>
    <border>
      <left style="medium">
        <color rgb="FF078856"/>
      </left>
      <right/>
      <top style="medium">
        <color rgb="FF078856"/>
      </top>
      <bottom style="medium">
        <color rgb="FF078856"/>
      </bottom>
      <diagonal/>
    </border>
    <border>
      <left/>
      <right/>
      <top style="medium">
        <color rgb="FF078856"/>
      </top>
      <bottom style="medium">
        <color rgb="FF078856"/>
      </bottom>
      <diagonal/>
    </border>
    <border>
      <left/>
      <right style="medium">
        <color rgb="FF078856"/>
      </right>
      <top style="medium">
        <color rgb="FF078856"/>
      </top>
      <bottom style="medium">
        <color rgb="FF078856"/>
      </bottom>
      <diagonal/>
    </border>
    <border>
      <left style="medium">
        <color rgb="FF078856"/>
      </left>
      <right/>
      <top/>
      <bottom style="medium">
        <color rgb="FF078856"/>
      </bottom>
      <diagonal/>
    </border>
    <border>
      <left/>
      <right style="medium">
        <color rgb="FF078856"/>
      </right>
      <top/>
      <bottom style="medium">
        <color rgb="FF078856"/>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indexed="64"/>
      </left>
      <right style="thin">
        <color indexed="64"/>
      </right>
      <top style="thin">
        <color indexed="64"/>
      </top>
      <bottom style="thin">
        <color indexed="64"/>
      </bottom>
      <diagonal/>
    </border>
    <border>
      <left style="medium">
        <color rgb="FF078856"/>
      </left>
      <right/>
      <top style="medium">
        <color rgb="FF078856"/>
      </top>
      <bottom/>
      <diagonal/>
    </border>
    <border>
      <left style="thin">
        <color rgb="FFB2B2B2"/>
      </left>
      <right style="thin">
        <color rgb="FFB2B2B2"/>
      </right>
      <top style="thin">
        <color rgb="FFB2B2B2"/>
      </top>
      <bottom style="thin">
        <color rgb="FFB2B2B2"/>
      </bottom>
      <diagonal/>
    </border>
    <border>
      <left/>
      <right style="medium">
        <color rgb="FF078856"/>
      </right>
      <top style="medium">
        <color rgb="FF078856"/>
      </top>
      <bottom/>
      <diagonal/>
    </border>
    <border>
      <left/>
      <right/>
      <top style="medium">
        <color rgb="FF078856"/>
      </top>
      <bottom/>
      <diagonal/>
    </border>
    <border>
      <left style="thin">
        <color rgb="FF078856"/>
      </left>
      <right style="medium">
        <color rgb="FF078856"/>
      </right>
      <top style="medium">
        <color rgb="FF078856"/>
      </top>
      <bottom/>
      <diagonal/>
    </border>
    <border>
      <left style="thin">
        <color rgb="FF078856"/>
      </left>
      <right style="thin">
        <color rgb="FF078856"/>
      </right>
      <top style="medium">
        <color rgb="FF078856"/>
      </top>
      <bottom/>
      <diagonal/>
    </border>
    <border>
      <left style="medium">
        <color rgb="FF078856"/>
      </left>
      <right style="thin">
        <color rgb="FF078856"/>
      </right>
      <top style="medium">
        <color rgb="FF078856"/>
      </top>
      <bottom/>
      <diagonal/>
    </border>
    <border>
      <left style="thin">
        <color rgb="FFCECECB"/>
      </left>
      <right style="thin">
        <color rgb="FFCECECB"/>
      </right>
      <top/>
      <bottom style="thin">
        <color rgb="FFCECECB"/>
      </bottom>
      <diagonal/>
    </border>
    <border>
      <left/>
      <right style="thin">
        <color rgb="FFCECECB"/>
      </right>
      <top style="thin">
        <color rgb="FFCECECB"/>
      </top>
      <bottom style="thin">
        <color rgb="FFCECECB"/>
      </bottom>
      <diagonal/>
    </border>
    <border>
      <left/>
      <right/>
      <top style="thin">
        <color rgb="FFCECECB"/>
      </top>
      <bottom style="thin">
        <color rgb="FFCECECB"/>
      </bottom>
      <diagonal/>
    </border>
    <border>
      <left style="medium">
        <color rgb="FF248B46"/>
      </left>
      <right style="medium">
        <color rgb="FF248B46"/>
      </right>
      <top style="medium">
        <color rgb="FF248B46"/>
      </top>
      <bottom style="medium">
        <color rgb="FF248B46"/>
      </bottom>
      <diagonal/>
    </border>
    <border>
      <left style="medium">
        <color rgb="FF248B46"/>
      </left>
      <right/>
      <top style="medium">
        <color rgb="FF248B46"/>
      </top>
      <bottom style="medium">
        <color rgb="FF248B46"/>
      </bottom>
      <diagonal/>
    </border>
    <border>
      <left/>
      <right/>
      <top style="medium">
        <color rgb="FF248B46"/>
      </top>
      <bottom style="medium">
        <color rgb="FF248B46"/>
      </bottom>
      <diagonal/>
    </border>
    <border>
      <left/>
      <right style="medium">
        <color rgb="FF248B46"/>
      </right>
      <top style="medium">
        <color rgb="FF248B46"/>
      </top>
      <bottom style="medium">
        <color rgb="FF248B46"/>
      </bottom>
      <diagonal/>
    </border>
    <border>
      <left style="medium">
        <color rgb="FF248B46"/>
      </left>
      <right style="medium">
        <color rgb="FF248B46"/>
      </right>
      <top style="medium">
        <color rgb="FF248B46"/>
      </top>
      <bottom/>
      <diagonal/>
    </border>
    <border>
      <left style="medium">
        <color rgb="FF248B46"/>
      </left>
      <right style="medium">
        <color rgb="FF248B46"/>
      </right>
      <top/>
      <bottom style="medium">
        <color rgb="FF248B46"/>
      </bottom>
      <diagonal/>
    </border>
    <border>
      <left/>
      <right style="medium">
        <color theme="6"/>
      </right>
      <top style="medium">
        <color rgb="FF078856"/>
      </top>
      <bottom style="medium">
        <color rgb="FF078856"/>
      </bottom>
      <diagonal/>
    </border>
    <border>
      <left/>
      <right/>
      <top/>
      <bottom style="medium">
        <color theme="6"/>
      </bottom>
      <diagonal/>
    </border>
    <border>
      <left/>
      <right style="medium">
        <color theme="6"/>
      </right>
      <top/>
      <bottom/>
      <diagonal/>
    </border>
    <border>
      <left style="medium">
        <color rgb="FF078856"/>
      </left>
      <right style="medium">
        <color rgb="FF078856"/>
      </right>
      <top/>
      <bottom style="medium">
        <color theme="6"/>
      </bottom>
      <diagonal/>
    </border>
    <border>
      <left style="medium">
        <color rgb="FF248B46"/>
      </left>
      <right/>
      <top/>
      <bottom/>
      <diagonal/>
    </border>
    <border>
      <left style="medium">
        <color theme="6"/>
      </left>
      <right style="medium">
        <color theme="6"/>
      </right>
      <top style="medium">
        <color theme="6"/>
      </top>
      <bottom style="medium">
        <color theme="6"/>
      </bottom>
      <diagonal/>
    </border>
    <border>
      <left/>
      <right style="medium">
        <color theme="6"/>
      </right>
      <top style="medium">
        <color theme="6"/>
      </top>
      <bottom style="medium">
        <color theme="6"/>
      </bottom>
      <diagonal/>
    </border>
    <border>
      <left style="medium">
        <color rgb="FF078856"/>
      </left>
      <right style="medium">
        <color rgb="FF078856"/>
      </right>
      <top style="thin">
        <color theme="4" tint="0.39997558519241921"/>
      </top>
      <bottom style="medium">
        <color rgb="FF078856"/>
      </bottom>
      <diagonal/>
    </border>
    <border>
      <left/>
      <right/>
      <top style="thin">
        <color theme="4" tint="0.39997558519241921"/>
      </top>
      <bottom style="medium">
        <color rgb="FF078856"/>
      </bottom>
      <diagonal/>
    </border>
    <border>
      <left style="medium">
        <color rgb="FF078856"/>
      </left>
      <right style="medium">
        <color rgb="FF078856"/>
      </right>
      <top style="double">
        <color theme="4"/>
      </top>
      <bottom style="medium">
        <color rgb="FF078856"/>
      </bottom>
      <diagonal/>
    </border>
    <border>
      <left/>
      <right/>
      <top style="double">
        <color theme="4"/>
      </top>
      <bottom style="medium">
        <color rgb="FF078856"/>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theme="6"/>
      </left>
      <right/>
      <top style="medium">
        <color theme="6"/>
      </top>
      <bottom/>
      <diagonal/>
    </border>
    <border>
      <left/>
      <right/>
      <top style="medium">
        <color theme="6"/>
      </top>
      <bottom/>
      <diagonal/>
    </border>
    <border>
      <left/>
      <right style="medium">
        <color theme="6"/>
      </right>
      <top style="medium">
        <color theme="6"/>
      </top>
      <bottom/>
      <diagonal/>
    </border>
    <border>
      <left style="medium">
        <color theme="6"/>
      </left>
      <right/>
      <top/>
      <bottom/>
      <diagonal/>
    </border>
    <border>
      <left style="medium">
        <color theme="6"/>
      </left>
      <right/>
      <top/>
      <bottom style="medium">
        <color theme="6"/>
      </bottom>
      <diagonal/>
    </border>
    <border>
      <left/>
      <right style="medium">
        <color theme="6"/>
      </right>
      <top/>
      <bottom style="medium">
        <color theme="6"/>
      </bottom>
      <diagonal/>
    </border>
    <border>
      <left style="medium">
        <color theme="6"/>
      </left>
      <right/>
      <top style="medium">
        <color theme="6"/>
      </top>
      <bottom style="medium">
        <color theme="6"/>
      </bottom>
      <diagonal/>
    </border>
    <border>
      <left/>
      <right/>
      <top style="medium">
        <color theme="6"/>
      </top>
      <bottom style="medium">
        <color theme="6"/>
      </bottom>
      <diagonal/>
    </border>
    <border>
      <left style="medium">
        <color rgb="FF078856"/>
      </left>
      <right style="medium">
        <color rgb="FF078856"/>
      </right>
      <top style="medium">
        <color theme="6"/>
      </top>
      <bottom style="medium">
        <color rgb="FF078856"/>
      </bottom>
      <diagonal/>
    </border>
    <border>
      <left style="medium">
        <color rgb="FF078856"/>
      </left>
      <right style="medium">
        <color theme="6"/>
      </right>
      <top style="medium">
        <color rgb="FF078856"/>
      </top>
      <bottom style="medium">
        <color rgb="FF078856"/>
      </bottom>
      <diagonal/>
    </border>
    <border>
      <left style="medium">
        <color rgb="FF248B46"/>
      </left>
      <right style="medium">
        <color theme="6"/>
      </right>
      <top style="medium">
        <color rgb="FF248B46"/>
      </top>
      <bottom style="medium">
        <color rgb="FF248B46"/>
      </bottom>
      <diagonal/>
    </border>
    <border>
      <left style="medium">
        <color rgb="FF248B46"/>
      </left>
      <right style="medium">
        <color rgb="FF248B46"/>
      </right>
      <top style="medium">
        <color rgb="FF248B46"/>
      </top>
      <bottom style="medium">
        <color theme="6"/>
      </bottom>
      <diagonal/>
    </border>
    <border>
      <left style="medium">
        <color theme="6"/>
      </left>
      <right/>
      <top style="medium">
        <color theme="6"/>
      </top>
      <bottom style="medium">
        <color rgb="FF078856"/>
      </bottom>
      <diagonal/>
    </border>
    <border>
      <left/>
      <right/>
      <top style="medium">
        <color theme="6"/>
      </top>
      <bottom style="medium">
        <color rgb="FF078856"/>
      </bottom>
      <diagonal/>
    </border>
    <border>
      <left/>
      <right style="medium">
        <color theme="6"/>
      </right>
      <top style="medium">
        <color theme="6"/>
      </top>
      <bottom style="medium">
        <color rgb="FF078856"/>
      </bottom>
      <diagonal/>
    </border>
    <border>
      <left style="thin">
        <color rgb="FFCECECB"/>
      </left>
      <right/>
      <top/>
      <bottom style="thin">
        <color rgb="FFCECECB"/>
      </bottom>
      <diagonal/>
    </border>
    <border>
      <left style="thin">
        <color rgb="FFCECECB"/>
      </left>
      <right/>
      <top style="thin">
        <color rgb="FFCECECB"/>
      </top>
      <bottom/>
      <diagonal/>
    </border>
    <border>
      <left/>
      <right/>
      <top style="thin">
        <color rgb="FFCECECB"/>
      </top>
      <bottom/>
      <diagonal/>
    </border>
    <border>
      <left/>
      <right style="thin">
        <color rgb="FFCECECB"/>
      </right>
      <top style="thin">
        <color rgb="FFCECECB"/>
      </top>
      <bottom/>
      <diagonal/>
    </border>
    <border>
      <left/>
      <right style="thin">
        <color rgb="FFCECECB"/>
      </right>
      <top/>
      <bottom style="thin">
        <color rgb="FFCECECB"/>
      </bottom>
      <diagonal/>
    </border>
    <border>
      <left/>
      <right/>
      <top style="medium">
        <color rgb="FF078856"/>
      </top>
      <bottom style="thin">
        <color theme="0"/>
      </bottom>
      <diagonal/>
    </border>
  </borders>
  <cellStyleXfs count="7">
    <xf numFmtId="0" fontId="0" fillId="0" borderId="0"/>
    <xf numFmtId="0" fontId="1" fillId="0" borderId="0"/>
    <xf numFmtId="0" fontId="24" fillId="7" borderId="23" applyNumberFormat="0" applyFont="0" applyAlignment="0" applyProtection="0"/>
    <xf numFmtId="9" fontId="24" fillId="0" borderId="0" applyFont="0" applyFill="0" applyBorder="0" applyAlignment="0" applyProtection="0"/>
    <xf numFmtId="0" fontId="31" fillId="0" borderId="0" applyNumberFormat="0" applyFill="0" applyBorder="0" applyAlignment="0" applyProtection="0"/>
    <xf numFmtId="164" fontId="24" fillId="0" borderId="0" applyFont="0" applyFill="0" applyBorder="0" applyAlignment="0" applyProtection="0"/>
    <xf numFmtId="0" fontId="1" fillId="0" borderId="0"/>
  </cellStyleXfs>
  <cellXfs count="570">
    <xf numFmtId="0" fontId="0" fillId="0" borderId="0" xfId="0"/>
    <xf numFmtId="0" fontId="2" fillId="2" borderId="0" xfId="1" applyFont="1" applyFill="1"/>
    <xf numFmtId="0" fontId="4" fillId="2" borderId="0" xfId="0" applyFont="1" applyFill="1"/>
    <xf numFmtId="0" fontId="3" fillId="2" borderId="0" xfId="0" applyFont="1" applyFill="1"/>
    <xf numFmtId="0" fontId="3" fillId="2" borderId="2" xfId="0" applyFont="1" applyFill="1" applyBorder="1"/>
    <xf numFmtId="0" fontId="3" fillId="2" borderId="3" xfId="0" applyFont="1" applyFill="1" applyBorder="1"/>
    <xf numFmtId="0" fontId="3" fillId="2" borderId="0" xfId="0" applyFont="1" applyFill="1" applyAlignment="1">
      <alignment horizontal="left" vertical="top" wrapText="1"/>
    </xf>
    <xf numFmtId="0" fontId="5" fillId="2" borderId="0" xfId="0" applyFont="1" applyFill="1" applyAlignment="1">
      <alignment vertical="center"/>
    </xf>
    <xf numFmtId="0" fontId="5" fillId="2" borderId="0" xfId="0" applyFont="1" applyFill="1" applyAlignment="1">
      <alignment horizontal="left" vertical="center"/>
    </xf>
    <xf numFmtId="3" fontId="5" fillId="2" borderId="0" xfId="0" applyNumberFormat="1" applyFont="1" applyFill="1" applyAlignment="1">
      <alignment horizontal="center" vertical="center"/>
    </xf>
    <xf numFmtId="9" fontId="5" fillId="2" borderId="0" xfId="0" applyNumberFormat="1" applyFont="1" applyFill="1" applyAlignment="1">
      <alignment horizontal="center" vertical="center"/>
    </xf>
    <xf numFmtId="0" fontId="5" fillId="2" borderId="0" xfId="0" applyFont="1" applyFill="1" applyAlignment="1">
      <alignment horizontal="center" vertical="center"/>
    </xf>
    <xf numFmtId="0" fontId="6" fillId="2" borderId="0" xfId="0" applyFont="1" applyFill="1" applyAlignment="1">
      <alignment vertical="top"/>
    </xf>
    <xf numFmtId="0" fontId="3" fillId="2" borderId="1" xfId="1" applyFont="1" applyFill="1" applyBorder="1"/>
    <xf numFmtId="0" fontId="2" fillId="2" borderId="1" xfId="1" applyFont="1" applyFill="1" applyBorder="1"/>
    <xf numFmtId="0" fontId="13" fillId="3" borderId="5" xfId="0" applyFont="1" applyFill="1" applyBorder="1" applyAlignment="1">
      <alignment horizontal="left" vertical="top" wrapText="1"/>
    </xf>
    <xf numFmtId="0" fontId="13" fillId="3" borderId="7" xfId="0" applyFont="1" applyFill="1" applyBorder="1" applyAlignment="1">
      <alignment horizontal="left" vertical="top" wrapText="1"/>
    </xf>
    <xf numFmtId="0" fontId="13" fillId="3" borderId="6" xfId="0" applyFont="1" applyFill="1" applyBorder="1" applyAlignment="1">
      <alignment horizontal="left" vertical="top" wrapText="1"/>
    </xf>
    <xf numFmtId="0" fontId="3" fillId="2" borderId="0" xfId="0" applyFont="1" applyFill="1" applyAlignment="1">
      <alignment vertical="top" wrapText="1"/>
    </xf>
    <xf numFmtId="0" fontId="7" fillId="2" borderId="0" xfId="0" applyFont="1" applyFill="1" applyAlignment="1">
      <alignment vertical="center"/>
    </xf>
    <xf numFmtId="0" fontId="7" fillId="2" borderId="0" xfId="0" applyFont="1" applyFill="1" applyAlignment="1">
      <alignment vertical="top"/>
    </xf>
    <xf numFmtId="0" fontId="12" fillId="4" borderId="5" xfId="0" applyFont="1" applyFill="1" applyBorder="1" applyAlignment="1">
      <alignment horizontal="right" vertical="top" wrapText="1"/>
    </xf>
    <xf numFmtId="0" fontId="13" fillId="3" borderId="0" xfId="0" applyFont="1" applyFill="1" applyAlignment="1">
      <alignment horizontal="left" vertical="top" wrapText="1"/>
    </xf>
    <xf numFmtId="4" fontId="13" fillId="3" borderId="0" xfId="0" applyNumberFormat="1" applyFont="1" applyFill="1" applyAlignment="1">
      <alignment horizontal="right" vertical="top" wrapText="1"/>
    </xf>
    <xf numFmtId="0" fontId="12" fillId="4" borderId="5" xfId="0" applyFont="1" applyFill="1" applyBorder="1" applyAlignment="1">
      <alignment horizontal="left" vertical="top" wrapText="1"/>
    </xf>
    <xf numFmtId="0" fontId="14" fillId="4" borderId="5" xfId="0" applyFont="1" applyFill="1" applyBorder="1" applyAlignment="1">
      <alignment horizontal="left" vertical="top" wrapText="1"/>
    </xf>
    <xf numFmtId="0" fontId="4" fillId="2" borderId="19" xfId="0" applyFont="1" applyFill="1" applyBorder="1"/>
    <xf numFmtId="0" fontId="3" fillId="2" borderId="19" xfId="0" applyFont="1" applyFill="1" applyBorder="1"/>
    <xf numFmtId="0" fontId="16" fillId="4" borderId="5" xfId="0" applyFont="1" applyFill="1" applyBorder="1" applyAlignment="1">
      <alignment horizontal="left" vertical="top" wrapText="1"/>
    </xf>
    <xf numFmtId="0" fontId="4" fillId="2" borderId="0" xfId="0" applyFont="1" applyFill="1" applyAlignment="1">
      <alignment horizontal="left"/>
    </xf>
    <xf numFmtId="0" fontId="15" fillId="2" borderId="0" xfId="0" applyFont="1" applyFill="1" applyAlignment="1">
      <alignment horizontal="left"/>
    </xf>
    <xf numFmtId="0" fontId="3" fillId="2" borderId="14" xfId="0" applyFont="1" applyFill="1" applyBorder="1"/>
    <xf numFmtId="0" fontId="2" fillId="2" borderId="0" xfId="1" applyFont="1" applyFill="1" applyAlignment="1">
      <alignment vertical="center"/>
    </xf>
    <xf numFmtId="0" fontId="2" fillId="2" borderId="17" xfId="1" applyFont="1" applyFill="1" applyBorder="1" applyAlignment="1">
      <alignment vertical="center"/>
    </xf>
    <xf numFmtId="0" fontId="2" fillId="2" borderId="20" xfId="1" applyFont="1" applyFill="1" applyBorder="1" applyAlignment="1" applyProtection="1">
      <alignment horizontal="left" vertical="center" wrapText="1"/>
      <protection locked="0"/>
    </xf>
    <xf numFmtId="0" fontId="3" fillId="2" borderId="0" xfId="1" applyFont="1" applyFill="1" applyAlignment="1">
      <alignment vertical="center"/>
    </xf>
    <xf numFmtId="0" fontId="0" fillId="2" borderId="0" xfId="0" applyFill="1" applyAlignment="1">
      <alignment horizontal="left" vertical="center"/>
    </xf>
    <xf numFmtId="0" fontId="0" fillId="2" borderId="0" xfId="0" applyFill="1" applyAlignment="1">
      <alignment vertical="center"/>
    </xf>
    <xf numFmtId="0" fontId="2" fillId="2" borderId="21" xfId="1" applyFont="1" applyFill="1" applyBorder="1" applyAlignment="1" applyProtection="1">
      <alignment horizontal="left" vertical="center" wrapText="1"/>
      <protection locked="0"/>
    </xf>
    <xf numFmtId="0" fontId="17" fillId="2" borderId="0" xfId="1" applyFont="1" applyFill="1" applyAlignment="1">
      <alignment vertical="center"/>
    </xf>
    <xf numFmtId="0" fontId="18" fillId="2" borderId="0" xfId="1" applyFont="1" applyFill="1" applyAlignment="1">
      <alignment vertical="center"/>
    </xf>
    <xf numFmtId="0" fontId="19" fillId="2" borderId="0" xfId="1" applyFont="1" applyFill="1" applyAlignment="1">
      <alignment vertical="center"/>
    </xf>
    <xf numFmtId="0" fontId="2" fillId="2" borderId="0" xfId="1" applyFont="1" applyFill="1" applyAlignment="1">
      <alignment horizontal="left"/>
    </xf>
    <xf numFmtId="0" fontId="9" fillId="2" borderId="0" xfId="1" applyFont="1" applyFill="1" applyAlignment="1">
      <alignment vertical="center"/>
    </xf>
    <xf numFmtId="0" fontId="20" fillId="2" borderId="0" xfId="1" applyFont="1" applyFill="1" applyAlignment="1">
      <alignment vertical="center"/>
    </xf>
    <xf numFmtId="0" fontId="21" fillId="4" borderId="6" xfId="0" applyFont="1" applyFill="1" applyBorder="1" applyAlignment="1">
      <alignment horizontal="left" vertical="top" wrapText="1"/>
    </xf>
    <xf numFmtId="4" fontId="21" fillId="4" borderId="6" xfId="0" applyNumberFormat="1" applyFont="1" applyFill="1" applyBorder="1" applyAlignment="1">
      <alignment horizontal="right" vertical="top" wrapText="1"/>
    </xf>
    <xf numFmtId="0" fontId="13" fillId="5" borderId="6" xfId="0" applyFont="1" applyFill="1" applyBorder="1" applyAlignment="1">
      <alignment horizontal="left" vertical="top" wrapText="1"/>
    </xf>
    <xf numFmtId="0" fontId="3" fillId="2" borderId="0" xfId="0" applyFont="1" applyFill="1" applyAlignment="1">
      <alignment wrapText="1"/>
    </xf>
    <xf numFmtId="0" fontId="10" fillId="2" borderId="0" xfId="0" applyFont="1" applyFill="1" applyAlignment="1">
      <alignment horizontal="left" vertical="top" wrapText="1"/>
    </xf>
    <xf numFmtId="0" fontId="12" fillId="4" borderId="22" xfId="0" applyFont="1" applyFill="1" applyBorder="1" applyAlignment="1">
      <alignment horizontal="left" vertical="top" wrapText="1"/>
    </xf>
    <xf numFmtId="0" fontId="22" fillId="4" borderId="5" xfId="0" applyFont="1" applyFill="1" applyBorder="1" applyAlignment="1">
      <alignment horizontal="left" vertical="top" wrapText="1"/>
    </xf>
    <xf numFmtId="0" fontId="3" fillId="0" borderId="11" xfId="0" applyFont="1" applyBorder="1" applyAlignment="1">
      <alignment horizontal="left" vertical="top" wrapText="1"/>
    </xf>
    <xf numFmtId="0" fontId="13" fillId="6" borderId="6" xfId="0" applyFont="1" applyFill="1" applyBorder="1" applyAlignment="1">
      <alignment horizontal="left" vertical="top" wrapText="1"/>
    </xf>
    <xf numFmtId="0" fontId="3" fillId="0" borderId="0" xfId="0" applyFont="1" applyAlignment="1">
      <alignment horizontal="left" vertical="top" wrapText="1"/>
    </xf>
    <xf numFmtId="0" fontId="3" fillId="2" borderId="1" xfId="1" applyFont="1" applyFill="1" applyBorder="1" applyAlignment="1">
      <alignment vertical="top"/>
    </xf>
    <xf numFmtId="0" fontId="13" fillId="0" borderId="6" xfId="0" applyFont="1" applyBorder="1" applyAlignment="1">
      <alignment horizontal="left" vertical="top" wrapText="1"/>
    </xf>
    <xf numFmtId="0" fontId="3" fillId="2" borderId="1" xfId="1" applyFont="1" applyFill="1" applyBorder="1" applyAlignment="1" applyProtection="1">
      <alignment horizontal="left" wrapText="1"/>
      <protection locked="0"/>
    </xf>
    <xf numFmtId="0" fontId="8" fillId="2" borderId="1" xfId="0" applyFont="1" applyFill="1" applyBorder="1" applyAlignment="1" applyProtection="1">
      <alignment horizontal="left"/>
      <protection locked="0"/>
    </xf>
    <xf numFmtId="0" fontId="8" fillId="2" borderId="4" xfId="0" applyFont="1" applyFill="1" applyBorder="1" applyAlignment="1" applyProtection="1">
      <alignment horizontal="left"/>
      <protection locked="0"/>
    </xf>
    <xf numFmtId="0" fontId="2" fillId="2" borderId="0" xfId="1" applyFont="1" applyFill="1" applyAlignment="1" applyProtection="1">
      <alignment horizontal="left" vertical="center" wrapText="1"/>
      <protection locked="0"/>
    </xf>
    <xf numFmtId="0" fontId="21" fillId="2" borderId="0" xfId="1" applyFont="1" applyFill="1" applyAlignment="1">
      <alignment vertical="center"/>
    </xf>
    <xf numFmtId="0" fontId="23" fillId="2" borderId="0" xfId="1" applyFont="1" applyFill="1" applyAlignment="1">
      <alignment vertical="center"/>
    </xf>
    <xf numFmtId="166" fontId="3" fillId="2" borderId="1" xfId="1" applyNumberFormat="1" applyFont="1" applyFill="1" applyBorder="1" applyAlignment="1">
      <alignment horizontal="left"/>
    </xf>
    <xf numFmtId="166" fontId="2" fillId="2" borderId="1" xfId="1" applyNumberFormat="1" applyFont="1" applyFill="1" applyBorder="1" applyAlignment="1">
      <alignment horizontal="left" vertical="top" wrapText="1"/>
    </xf>
    <xf numFmtId="166" fontId="8" fillId="2" borderId="1" xfId="1" applyNumberFormat="1" applyFont="1" applyFill="1" applyBorder="1" applyAlignment="1">
      <alignment horizontal="left"/>
    </xf>
    <xf numFmtId="4" fontId="25" fillId="0" borderId="0" xfId="0" applyNumberFormat="1" applyFont="1"/>
    <xf numFmtId="168" fontId="0" fillId="0" borderId="0" xfId="0" applyNumberFormat="1"/>
    <xf numFmtId="0" fontId="0" fillId="0" borderId="0" xfId="0" applyAlignment="1">
      <alignment wrapText="1"/>
    </xf>
    <xf numFmtId="4" fontId="25" fillId="0" borderId="0" xfId="0" applyNumberFormat="1" applyFont="1" applyAlignment="1">
      <alignment horizontal="right"/>
    </xf>
    <xf numFmtId="169" fontId="0" fillId="0" borderId="0" xfId="0" applyNumberFormat="1"/>
    <xf numFmtId="4" fontId="0" fillId="0" borderId="0" xfId="0" applyNumberFormat="1"/>
    <xf numFmtId="167" fontId="25" fillId="0" borderId="0" xfId="0" applyNumberFormat="1" applyFont="1"/>
    <xf numFmtId="170" fontId="25" fillId="0" borderId="0" xfId="0" applyNumberFormat="1" applyFont="1"/>
    <xf numFmtId="170" fontId="25" fillId="0" borderId="0" xfId="0" applyNumberFormat="1" applyFont="1" applyAlignment="1">
      <alignment horizontal="right"/>
    </xf>
    <xf numFmtId="0" fontId="13" fillId="3" borderId="8" xfId="0" applyFont="1" applyFill="1" applyBorder="1" applyAlignment="1">
      <alignment horizontal="left" vertical="top" wrapText="1"/>
    </xf>
    <xf numFmtId="4" fontId="26" fillId="4" borderId="6" xfId="0" applyNumberFormat="1" applyFont="1" applyFill="1" applyBorder="1" applyAlignment="1">
      <alignment horizontal="right" vertical="top" wrapText="1"/>
    </xf>
    <xf numFmtId="0" fontId="26" fillId="4" borderId="6" xfId="0" applyFont="1" applyFill="1" applyBorder="1" applyAlignment="1">
      <alignment horizontal="left" vertical="top" wrapText="1"/>
    </xf>
    <xf numFmtId="0" fontId="12" fillId="4" borderId="5" xfId="0" applyFont="1" applyFill="1" applyBorder="1" applyAlignment="1">
      <alignment horizontal="left" wrapText="1"/>
    </xf>
    <xf numFmtId="2" fontId="3" fillId="0" borderId="7" xfId="0" applyNumberFormat="1" applyFont="1" applyBorder="1" applyAlignment="1">
      <alignment horizontal="left" vertical="top" wrapText="1"/>
    </xf>
    <xf numFmtId="0" fontId="12" fillId="4" borderId="5" xfId="0" applyFont="1" applyFill="1" applyBorder="1" applyAlignment="1">
      <alignment horizontal="left" vertical="center" wrapText="1"/>
    </xf>
    <xf numFmtId="0" fontId="21" fillId="2" borderId="0" xfId="0" applyFont="1" applyFill="1"/>
    <xf numFmtId="9" fontId="3" fillId="2" borderId="0" xfId="3" applyFont="1" applyFill="1" applyBorder="1"/>
    <xf numFmtId="0" fontId="13" fillId="5" borderId="5" xfId="0" applyFont="1" applyFill="1" applyBorder="1" applyAlignment="1">
      <alignment horizontal="left" vertical="top" wrapText="1"/>
    </xf>
    <xf numFmtId="0" fontId="8" fillId="2" borderId="5" xfId="0" applyFont="1" applyFill="1" applyBorder="1" applyAlignment="1">
      <alignment horizontal="left" wrapText="1"/>
    </xf>
    <xf numFmtId="0" fontId="21" fillId="4" borderId="10" xfId="0" applyFont="1" applyFill="1" applyBorder="1" applyAlignment="1">
      <alignment vertical="top" wrapText="1"/>
    </xf>
    <xf numFmtId="0" fontId="21" fillId="4" borderId="24" xfId="0" applyFont="1" applyFill="1" applyBorder="1" applyAlignment="1">
      <alignment vertical="top" wrapText="1"/>
    </xf>
    <xf numFmtId="0" fontId="21" fillId="4" borderId="8" xfId="0" applyFont="1" applyFill="1" applyBorder="1" applyAlignment="1">
      <alignment vertical="top" wrapText="1"/>
    </xf>
    <xf numFmtId="0" fontId="13" fillId="3" borderId="11" xfId="0" applyFont="1" applyFill="1" applyBorder="1" applyAlignment="1">
      <alignment horizontal="left" vertical="top" wrapText="1"/>
    </xf>
    <xf numFmtId="0" fontId="13" fillId="3" borderId="11" xfId="0" applyFont="1" applyFill="1" applyBorder="1" applyAlignment="1">
      <alignment vertical="top" wrapText="1"/>
    </xf>
    <xf numFmtId="0" fontId="13" fillId="3" borderId="22" xfId="0" applyFont="1" applyFill="1" applyBorder="1" applyAlignment="1">
      <alignment horizontal="left" vertical="top" wrapText="1"/>
    </xf>
    <xf numFmtId="0" fontId="13" fillId="3" borderId="22" xfId="0" applyFont="1" applyFill="1" applyBorder="1" applyAlignment="1">
      <alignment vertical="top" wrapText="1"/>
    </xf>
    <xf numFmtId="0" fontId="12" fillId="2" borderId="8" xfId="0" applyFont="1" applyFill="1" applyBorder="1" applyAlignment="1">
      <alignment horizontal="left" vertical="top" wrapText="1"/>
    </xf>
    <xf numFmtId="0" fontId="12" fillId="4" borderId="6" xfId="0" applyFont="1" applyFill="1" applyBorder="1" applyAlignment="1">
      <alignment vertical="top" wrapText="1"/>
    </xf>
    <xf numFmtId="0" fontId="12" fillId="4" borderId="24" xfId="0" applyFont="1" applyFill="1" applyBorder="1" applyAlignment="1">
      <alignment vertical="top" wrapText="1"/>
    </xf>
    <xf numFmtId="0" fontId="12" fillId="4" borderId="25" xfId="0" applyFont="1" applyFill="1" applyBorder="1" applyAlignment="1">
      <alignment vertical="top" wrapText="1"/>
    </xf>
    <xf numFmtId="0" fontId="28" fillId="3" borderId="11" xfId="0" applyFont="1" applyFill="1" applyBorder="1" applyAlignment="1">
      <alignment horizontal="left" vertical="top" wrapText="1"/>
    </xf>
    <xf numFmtId="1" fontId="13" fillId="5" borderId="6" xfId="0" applyNumberFormat="1" applyFont="1" applyFill="1" applyBorder="1" applyAlignment="1">
      <alignment wrapText="1"/>
    </xf>
    <xf numFmtId="0" fontId="13" fillId="5" borderId="7" xfId="0" applyFont="1" applyFill="1" applyBorder="1" applyAlignment="1">
      <alignment horizontal="left" wrapText="1"/>
    </xf>
    <xf numFmtId="0" fontId="13" fillId="5" borderId="22" xfId="0" applyFont="1" applyFill="1" applyBorder="1" applyAlignment="1">
      <alignment horizontal="left" wrapText="1"/>
    </xf>
    <xf numFmtId="0" fontId="12" fillId="4" borderId="10" xfId="0" applyFont="1" applyFill="1" applyBorder="1" applyAlignment="1">
      <alignment horizontal="left" wrapText="1"/>
    </xf>
    <xf numFmtId="0" fontId="12" fillId="4" borderId="9" xfId="0" applyFont="1" applyFill="1" applyBorder="1" applyAlignment="1">
      <alignment horizontal="left" wrapText="1"/>
    </xf>
    <xf numFmtId="0" fontId="12" fillId="4" borderId="8" xfId="0" applyFont="1" applyFill="1" applyBorder="1" applyAlignment="1">
      <alignment horizontal="left" wrapText="1"/>
    </xf>
    <xf numFmtId="166" fontId="3" fillId="11" borderId="1" xfId="1" applyNumberFormat="1" applyFont="1" applyFill="1" applyBorder="1" applyAlignment="1">
      <alignment horizontal="left"/>
    </xf>
    <xf numFmtId="166" fontId="8" fillId="11" borderId="1" xfId="1" applyNumberFormat="1" applyFont="1" applyFill="1" applyBorder="1" applyAlignment="1">
      <alignment horizontal="left"/>
    </xf>
    <xf numFmtId="166" fontId="3" fillId="11" borderId="29" xfId="1" applyNumberFormat="1" applyFont="1" applyFill="1" applyBorder="1" applyAlignment="1">
      <alignment horizontal="left"/>
    </xf>
    <xf numFmtId="166" fontId="3" fillId="2" borderId="29" xfId="1" applyNumberFormat="1" applyFont="1" applyFill="1" applyBorder="1" applyAlignment="1">
      <alignment horizontal="left"/>
    </xf>
    <xf numFmtId="0" fontId="3" fillId="2" borderId="29" xfId="1" applyFont="1" applyFill="1" applyBorder="1"/>
    <xf numFmtId="0" fontId="2" fillId="2" borderId="21" xfId="1" applyFont="1" applyFill="1" applyBorder="1" applyAlignment="1">
      <alignment horizontal="center" vertical="center"/>
    </xf>
    <xf numFmtId="0" fontId="2" fillId="2" borderId="21" xfId="1" applyFont="1" applyFill="1" applyBorder="1" applyAlignment="1" applyProtection="1">
      <alignment horizontal="center" vertical="center" wrapText="1"/>
      <protection locked="0"/>
    </xf>
    <xf numFmtId="0" fontId="2" fillId="2" borderId="0" xfId="1" applyFont="1" applyFill="1" applyAlignment="1">
      <alignment horizontal="center" vertical="center"/>
    </xf>
    <xf numFmtId="0" fontId="8" fillId="2" borderId="0" xfId="0" applyFont="1" applyFill="1" applyAlignment="1">
      <alignment horizontal="left" vertical="top" wrapText="1"/>
    </xf>
    <xf numFmtId="0" fontId="27" fillId="2" borderId="0" xfId="0" applyFont="1" applyFill="1" applyAlignment="1">
      <alignment horizontal="left" vertical="top"/>
    </xf>
    <xf numFmtId="0" fontId="27" fillId="2" borderId="0" xfId="0" applyFont="1" applyFill="1" applyAlignment="1">
      <alignment horizontal="right" vertical="top" wrapText="1"/>
    </xf>
    <xf numFmtId="4" fontId="21" fillId="4" borderId="6" xfId="3" applyNumberFormat="1" applyFont="1" applyFill="1" applyBorder="1" applyAlignment="1">
      <alignment horizontal="right" vertical="top" wrapText="1"/>
    </xf>
    <xf numFmtId="4" fontId="26" fillId="4" borderId="6" xfId="3" applyNumberFormat="1" applyFont="1" applyFill="1" applyBorder="1" applyAlignment="1">
      <alignment horizontal="right" vertical="top" wrapText="1"/>
    </xf>
    <xf numFmtId="4" fontId="28" fillId="3" borderId="7" xfId="0" applyNumberFormat="1" applyFont="1" applyFill="1" applyBorder="1" applyAlignment="1">
      <alignment horizontal="right" vertical="top" wrapText="1"/>
    </xf>
    <xf numFmtId="4" fontId="21" fillId="4" borderId="6" xfId="0" applyNumberFormat="1" applyFont="1" applyFill="1" applyBorder="1" applyAlignment="1">
      <alignment horizontal="left" vertical="top" wrapText="1"/>
    </xf>
    <xf numFmtId="4" fontId="13" fillId="5" borderId="6" xfId="0" applyNumberFormat="1" applyFont="1" applyFill="1" applyBorder="1" applyAlignment="1">
      <alignment horizontal="left" vertical="top" wrapText="1"/>
    </xf>
    <xf numFmtId="4" fontId="13" fillId="3" borderId="6" xfId="0" applyNumberFormat="1" applyFont="1" applyFill="1" applyBorder="1" applyAlignment="1">
      <alignment horizontal="left" vertical="top" wrapText="1"/>
    </xf>
    <xf numFmtId="4" fontId="13" fillId="6" borderId="6" xfId="0" applyNumberFormat="1" applyFont="1" applyFill="1" applyBorder="1" applyAlignment="1">
      <alignment horizontal="left" vertical="top" wrapText="1"/>
    </xf>
    <xf numFmtId="4" fontId="13" fillId="0" borderId="6" xfId="0" applyNumberFormat="1" applyFont="1" applyBorder="1" applyAlignment="1">
      <alignment horizontal="left" vertical="top" wrapText="1"/>
    </xf>
    <xf numFmtId="4" fontId="13" fillId="5" borderId="5" xfId="0" applyNumberFormat="1" applyFont="1" applyFill="1" applyBorder="1" applyAlignment="1">
      <alignment horizontal="left" vertical="top" wrapText="1"/>
    </xf>
    <xf numFmtId="0" fontId="5" fillId="5" borderId="11" xfId="0" applyFont="1" applyFill="1" applyBorder="1" applyAlignment="1">
      <alignment horizontal="left" wrapText="1"/>
    </xf>
    <xf numFmtId="2" fontId="5" fillId="5" borderId="7" xfId="0" applyNumberFormat="1" applyFont="1" applyFill="1" applyBorder="1" applyAlignment="1">
      <alignment horizontal="left" wrapText="1"/>
    </xf>
    <xf numFmtId="9" fontId="5" fillId="5" borderId="7" xfId="3" applyFont="1" applyFill="1" applyBorder="1" applyAlignment="1">
      <alignment horizontal="left" wrapText="1"/>
    </xf>
    <xf numFmtId="0" fontId="5" fillId="2" borderId="0" xfId="0" applyFont="1" applyFill="1" applyAlignment="1">
      <alignment horizontal="left" wrapText="1"/>
    </xf>
    <xf numFmtId="4" fontId="5" fillId="2" borderId="0" xfId="0" applyNumberFormat="1" applyFont="1" applyFill="1" applyAlignment="1">
      <alignment vertical="center"/>
    </xf>
    <xf numFmtId="0" fontId="8" fillId="2" borderId="0" xfId="0" applyFont="1" applyFill="1"/>
    <xf numFmtId="4" fontId="8" fillId="2" borderId="0" xfId="0" applyNumberFormat="1" applyFont="1" applyFill="1"/>
    <xf numFmtId="165" fontId="8" fillId="2" borderId="0" xfId="3" applyNumberFormat="1" applyFont="1" applyFill="1"/>
    <xf numFmtId="0" fontId="30" fillId="2" borderId="0" xfId="0" applyFont="1" applyFill="1" applyAlignment="1">
      <alignment vertical="center"/>
    </xf>
    <xf numFmtId="0" fontId="5" fillId="2" borderId="0" xfId="0" applyFont="1" applyFill="1" applyAlignment="1">
      <alignment wrapText="1"/>
    </xf>
    <xf numFmtId="0" fontId="30" fillId="2" borderId="0" xfId="0" applyFont="1" applyFill="1" applyAlignment="1">
      <alignment wrapText="1"/>
    </xf>
    <xf numFmtId="9" fontId="5" fillId="2" borderId="0" xfId="3" applyFont="1" applyFill="1" applyAlignment="1">
      <alignment vertical="center"/>
    </xf>
    <xf numFmtId="9" fontId="3" fillId="2" borderId="0" xfId="0" applyNumberFormat="1" applyFont="1" applyFill="1"/>
    <xf numFmtId="2" fontId="3" fillId="2" borderId="0" xfId="0" applyNumberFormat="1" applyFont="1" applyFill="1"/>
    <xf numFmtId="9" fontId="3" fillId="2" borderId="0" xfId="3" applyFont="1" applyFill="1"/>
    <xf numFmtId="0" fontId="5" fillId="2" borderId="0" xfId="0" applyFont="1" applyFill="1"/>
    <xf numFmtId="2" fontId="8" fillId="2" borderId="0" xfId="0" applyNumberFormat="1" applyFont="1" applyFill="1"/>
    <xf numFmtId="9" fontId="8" fillId="2" borderId="0" xfId="0" applyNumberFormat="1" applyFont="1" applyFill="1"/>
    <xf numFmtId="9" fontId="8" fillId="2" borderId="0" xfId="3" applyFont="1" applyFill="1"/>
    <xf numFmtId="0" fontId="17" fillId="2" borderId="19" xfId="0" applyFont="1" applyFill="1" applyBorder="1"/>
    <xf numFmtId="0" fontId="8" fillId="2" borderId="19" xfId="0" applyFont="1" applyFill="1" applyBorder="1"/>
    <xf numFmtId="0" fontId="8" fillId="2" borderId="14" xfId="0" applyFont="1" applyFill="1" applyBorder="1"/>
    <xf numFmtId="9" fontId="30" fillId="2" borderId="0" xfId="0" applyNumberFormat="1" applyFont="1" applyFill="1" applyAlignment="1">
      <alignment horizontal="center" vertical="center"/>
    </xf>
    <xf numFmtId="3" fontId="30" fillId="2" borderId="0" xfId="0" applyNumberFormat="1" applyFont="1" applyFill="1" applyAlignment="1">
      <alignment horizontal="center" vertical="center"/>
    </xf>
    <xf numFmtId="0" fontId="30" fillId="2" borderId="0" xfId="0" applyFont="1" applyFill="1"/>
    <xf numFmtId="0" fontId="8" fillId="11" borderId="32" xfId="0" applyFont="1" applyFill="1" applyBorder="1" applyAlignment="1">
      <alignment horizontal="left" vertical="top" wrapText="1"/>
    </xf>
    <xf numFmtId="0" fontId="8" fillId="2" borderId="32" xfId="0" applyFont="1" applyFill="1" applyBorder="1" applyAlignment="1">
      <alignment horizontal="center" vertical="top" wrapText="1"/>
    </xf>
    <xf numFmtId="2" fontId="8" fillId="2" borderId="32" xfId="0" applyNumberFormat="1" applyFont="1" applyFill="1" applyBorder="1" applyAlignment="1">
      <alignment horizontal="center" vertical="top" wrapText="1"/>
    </xf>
    <xf numFmtId="4" fontId="8" fillId="2" borderId="32" xfId="0" applyNumberFormat="1" applyFont="1" applyFill="1" applyBorder="1" applyAlignment="1">
      <alignment horizontal="center" vertical="top" wrapText="1"/>
    </xf>
    <xf numFmtId="0" fontId="12" fillId="4" borderId="32" xfId="0" applyFont="1" applyFill="1" applyBorder="1" applyAlignment="1">
      <alignment horizontal="left" wrapText="1"/>
    </xf>
    <xf numFmtId="1" fontId="13" fillId="5" borderId="32" xfId="0" applyNumberFormat="1" applyFont="1" applyFill="1" applyBorder="1" applyAlignment="1">
      <alignment wrapText="1"/>
    </xf>
    <xf numFmtId="0" fontId="28" fillId="3" borderId="32" xfId="0" applyFont="1" applyFill="1" applyBorder="1" applyAlignment="1">
      <alignment horizontal="left" vertical="top" wrapText="1"/>
    </xf>
    <xf numFmtId="4" fontId="13" fillId="3" borderId="32" xfId="0" applyNumberFormat="1" applyFont="1" applyFill="1" applyBorder="1" applyAlignment="1">
      <alignment horizontal="right" vertical="top" wrapText="1"/>
    </xf>
    <xf numFmtId="0" fontId="13" fillId="3" borderId="32" xfId="0" applyFont="1" applyFill="1" applyBorder="1" applyAlignment="1">
      <alignment horizontal="left" vertical="top" wrapText="1"/>
    </xf>
    <xf numFmtId="4" fontId="28" fillId="3" borderId="32" xfId="0" applyNumberFormat="1" applyFont="1" applyFill="1" applyBorder="1" applyAlignment="1">
      <alignment horizontal="right" vertical="top" wrapText="1"/>
    </xf>
    <xf numFmtId="4" fontId="3" fillId="2" borderId="32" xfId="0" applyNumberFormat="1" applyFont="1" applyFill="1" applyBorder="1" applyAlignment="1">
      <alignment horizontal="center" vertical="top" wrapText="1"/>
    </xf>
    <xf numFmtId="0" fontId="13" fillId="5" borderId="36" xfId="0" applyFont="1" applyFill="1" applyBorder="1" applyAlignment="1">
      <alignment vertical="center" wrapText="1"/>
    </xf>
    <xf numFmtId="0" fontId="13" fillId="5" borderId="37" xfId="0" applyFont="1" applyFill="1" applyBorder="1" applyAlignment="1">
      <alignment vertical="center" wrapText="1"/>
    </xf>
    <xf numFmtId="0" fontId="13" fillId="5" borderId="36" xfId="0" applyFont="1" applyFill="1" applyBorder="1" applyAlignment="1">
      <alignment wrapText="1"/>
    </xf>
    <xf numFmtId="0" fontId="13" fillId="5" borderId="37" xfId="0" applyFont="1" applyFill="1" applyBorder="1" applyAlignment="1">
      <alignment wrapText="1"/>
    </xf>
    <xf numFmtId="0" fontId="30" fillId="11" borderId="32" xfId="0" applyFont="1" applyFill="1" applyBorder="1" applyAlignment="1">
      <alignment horizontal="left" vertical="top" wrapText="1"/>
    </xf>
    <xf numFmtId="0" fontId="21" fillId="4" borderId="32" xfId="0" applyFont="1" applyFill="1" applyBorder="1" applyAlignment="1">
      <alignment vertical="top" wrapText="1"/>
    </xf>
    <xf numFmtId="2" fontId="30" fillId="2" borderId="32" xfId="0" applyNumberFormat="1" applyFont="1" applyFill="1" applyBorder="1" applyAlignment="1">
      <alignment horizontal="center" vertical="top" wrapText="1"/>
    </xf>
    <xf numFmtId="0" fontId="31" fillId="2" borderId="0" xfId="4" applyFill="1"/>
    <xf numFmtId="0" fontId="30" fillId="2" borderId="0" xfId="0" applyFont="1" applyFill="1" applyAlignment="1">
      <alignment horizontal="left" wrapText="1"/>
    </xf>
    <xf numFmtId="0" fontId="17" fillId="2" borderId="0" xfId="0" applyFont="1" applyFill="1"/>
    <xf numFmtId="0" fontId="17" fillId="2" borderId="0" xfId="0" applyFont="1" applyFill="1" applyAlignment="1">
      <alignment horizontal="left"/>
    </xf>
    <xf numFmtId="0" fontId="8" fillId="0" borderId="11" xfId="0" applyFont="1" applyBorder="1" applyAlignment="1">
      <alignment vertical="top" wrapText="1"/>
    </xf>
    <xf numFmtId="0" fontId="8" fillId="3" borderId="7" xfId="0" applyFont="1" applyFill="1" applyBorder="1" applyAlignment="1">
      <alignment horizontal="left" vertical="top" wrapText="1"/>
    </xf>
    <xf numFmtId="0" fontId="8" fillId="3" borderId="6" xfId="0" applyFont="1" applyFill="1" applyBorder="1" applyAlignment="1">
      <alignment horizontal="left" vertical="top" wrapText="1"/>
    </xf>
    <xf numFmtId="0" fontId="30" fillId="3" borderId="0" xfId="0" applyFont="1" applyFill="1" applyAlignment="1">
      <alignment horizontal="right" vertical="top" wrapText="1"/>
    </xf>
    <xf numFmtId="0" fontId="8" fillId="5" borderId="5" xfId="0" applyFont="1" applyFill="1" applyBorder="1" applyAlignment="1">
      <alignment horizontal="left" wrapText="1"/>
    </xf>
    <xf numFmtId="0" fontId="8" fillId="3" borderId="0" xfId="0" applyFont="1" applyFill="1" applyAlignment="1">
      <alignment horizontal="left" vertical="top" wrapText="1"/>
    </xf>
    <xf numFmtId="0" fontId="8" fillId="5" borderId="7" xfId="0" applyFont="1" applyFill="1" applyBorder="1" applyAlignment="1">
      <alignment horizontal="left" wrapText="1"/>
    </xf>
    <xf numFmtId="165" fontId="8" fillId="2" borderId="0" xfId="0" applyNumberFormat="1" applyFont="1" applyFill="1" applyAlignment="1">
      <alignment horizontal="right" vertical="top" wrapText="1"/>
    </xf>
    <xf numFmtId="0" fontId="30" fillId="2" borderId="0" xfId="0" applyFont="1" applyFill="1" applyAlignment="1">
      <alignment horizontal="left" vertical="top" wrapText="1"/>
    </xf>
    <xf numFmtId="0" fontId="25" fillId="0" borderId="0" xfId="0" applyFont="1"/>
    <xf numFmtId="0" fontId="21" fillId="4" borderId="5" xfId="0" applyFont="1" applyFill="1" applyBorder="1" applyAlignment="1">
      <alignment horizontal="center" vertical="top" wrapText="1"/>
    </xf>
    <xf numFmtId="0" fontId="33" fillId="4" borderId="5" xfId="0" applyFont="1" applyFill="1" applyBorder="1" applyAlignment="1">
      <alignment horizontal="center" vertical="top" wrapText="1"/>
    </xf>
    <xf numFmtId="0" fontId="8" fillId="2" borderId="39" xfId="0" applyFont="1" applyFill="1" applyBorder="1"/>
    <xf numFmtId="0" fontId="8" fillId="2" borderId="40" xfId="0" applyFont="1" applyFill="1" applyBorder="1"/>
    <xf numFmtId="0" fontId="8" fillId="5" borderId="5" xfId="0" applyFont="1" applyFill="1" applyBorder="1" applyAlignment="1">
      <alignment wrapText="1"/>
    </xf>
    <xf numFmtId="0" fontId="8" fillId="5" borderId="41" xfId="0" applyFont="1" applyFill="1" applyBorder="1" applyAlignment="1">
      <alignment wrapText="1"/>
    </xf>
    <xf numFmtId="0" fontId="28" fillId="11" borderId="5" xfId="0" applyFont="1" applyFill="1" applyBorder="1" applyAlignment="1">
      <alignment vertical="top" wrapText="1"/>
    </xf>
    <xf numFmtId="0" fontId="13" fillId="11" borderId="7" xfId="0" applyFont="1" applyFill="1" applyBorder="1" applyAlignment="1">
      <alignment vertical="top" wrapText="1"/>
    </xf>
    <xf numFmtId="0" fontId="28" fillId="11" borderId="6" xfId="0" applyFont="1" applyFill="1" applyBorder="1" applyAlignment="1">
      <alignment horizontal="left" vertical="top" wrapText="1"/>
    </xf>
    <xf numFmtId="0" fontId="28" fillId="11" borderId="6" xfId="0" applyFont="1" applyFill="1" applyBorder="1" applyAlignment="1">
      <alignment horizontal="right" vertical="top" wrapText="1"/>
    </xf>
    <xf numFmtId="0" fontId="27" fillId="2" borderId="0" xfId="0" applyFont="1" applyFill="1"/>
    <xf numFmtId="0" fontId="28" fillId="11" borderId="5" xfId="0" applyFont="1" applyFill="1" applyBorder="1" applyAlignment="1">
      <alignment horizontal="right" vertical="top" wrapText="1"/>
    </xf>
    <xf numFmtId="0" fontId="28" fillId="11" borderId="7" xfId="0" applyFont="1" applyFill="1" applyBorder="1" applyAlignment="1">
      <alignment horizontal="right" vertical="top" wrapText="1"/>
    </xf>
    <xf numFmtId="4" fontId="28" fillId="11" borderId="7" xfId="0" applyNumberFormat="1" applyFont="1" applyFill="1" applyBorder="1" applyAlignment="1">
      <alignment horizontal="right" vertical="top" wrapText="1"/>
    </xf>
    <xf numFmtId="0" fontId="5" fillId="11" borderId="6" xfId="0" applyFont="1" applyFill="1" applyBorder="1" applyAlignment="1">
      <alignment wrapText="1"/>
    </xf>
    <xf numFmtId="0" fontId="30" fillId="11" borderId="6" xfId="0" applyFont="1" applyFill="1" applyBorder="1" applyAlignment="1">
      <alignment horizontal="right" wrapText="1"/>
    </xf>
    <xf numFmtId="0" fontId="5" fillId="11" borderId="6" xfId="0" applyFont="1" applyFill="1" applyBorder="1" applyAlignment="1">
      <alignment horizontal="right" wrapText="1"/>
    </xf>
    <xf numFmtId="4" fontId="21" fillId="4" borderId="6" xfId="0" applyNumberFormat="1" applyFont="1" applyFill="1" applyBorder="1" applyAlignment="1">
      <alignment horizontal="right" vertical="center" wrapText="1"/>
    </xf>
    <xf numFmtId="0" fontId="34" fillId="12" borderId="0" xfId="6" applyFont="1" applyFill="1"/>
    <xf numFmtId="4" fontId="28" fillId="3" borderId="0" xfId="0" applyNumberFormat="1" applyFont="1" applyFill="1" applyAlignment="1">
      <alignment horizontal="right" vertical="top" wrapText="1"/>
    </xf>
    <xf numFmtId="4" fontId="28" fillId="3" borderId="43" xfId="0" applyNumberFormat="1" applyFont="1" applyFill="1" applyBorder="1" applyAlignment="1">
      <alignment horizontal="right" vertical="top" wrapText="1"/>
    </xf>
    <xf numFmtId="0" fontId="3" fillId="2" borderId="42" xfId="0" applyFont="1" applyFill="1" applyBorder="1"/>
    <xf numFmtId="0" fontId="1" fillId="0" borderId="0" xfId="1"/>
    <xf numFmtId="0" fontId="34" fillId="2" borderId="0" xfId="6" applyFont="1" applyFill="1"/>
    <xf numFmtId="4" fontId="34" fillId="2" borderId="0" xfId="6" applyNumberFormat="1" applyFont="1" applyFill="1" applyAlignment="1">
      <alignment horizontal="right" vertical="top" wrapText="1"/>
    </xf>
    <xf numFmtId="0" fontId="13" fillId="3" borderId="33" xfId="0" applyFont="1" applyFill="1" applyBorder="1" applyAlignment="1">
      <alignment horizontal="left" vertical="top" wrapText="1"/>
    </xf>
    <xf numFmtId="4" fontId="28" fillId="3" borderId="44" xfId="0" applyNumberFormat="1" applyFont="1" applyFill="1" applyBorder="1" applyAlignment="1">
      <alignment horizontal="right" vertical="top" wrapText="1"/>
    </xf>
    <xf numFmtId="4" fontId="13" fillId="3" borderId="36" xfId="0" applyNumberFormat="1" applyFont="1" applyFill="1" applyBorder="1" applyAlignment="1">
      <alignment horizontal="right" vertical="top" wrapText="1"/>
    </xf>
    <xf numFmtId="0" fontId="3" fillId="13" borderId="32" xfId="3" applyNumberFormat="1" applyFont="1" applyFill="1" applyBorder="1" applyAlignment="1">
      <alignment horizontal="center" vertical="top" wrapText="1"/>
    </xf>
    <xf numFmtId="0" fontId="8" fillId="13" borderId="32" xfId="3" applyNumberFormat="1" applyFont="1" applyFill="1" applyBorder="1" applyAlignment="1">
      <alignment horizontal="center" vertical="top" wrapText="1"/>
    </xf>
    <xf numFmtId="0" fontId="1" fillId="2" borderId="0" xfId="1" applyFill="1"/>
    <xf numFmtId="4" fontId="28" fillId="3" borderId="0" xfId="0" applyNumberFormat="1" applyFont="1" applyFill="1" applyAlignment="1">
      <alignment horizontal="right" vertical="top"/>
    </xf>
    <xf numFmtId="0" fontId="12" fillId="4" borderId="22" xfId="0" applyFont="1" applyFill="1" applyBorder="1" applyAlignment="1">
      <alignment horizontal="left" vertical="center" wrapText="1"/>
    </xf>
    <xf numFmtId="0" fontId="12" fillId="4" borderId="25" xfId="0" applyFont="1" applyFill="1" applyBorder="1" applyAlignment="1">
      <alignment horizontal="left" vertical="center" wrapText="1"/>
    </xf>
    <xf numFmtId="0" fontId="8" fillId="5" borderId="8" xfId="0" applyFont="1" applyFill="1" applyBorder="1" applyAlignment="1">
      <alignment horizontal="center" wrapText="1"/>
    </xf>
    <xf numFmtId="0" fontId="13" fillId="2" borderId="0" xfId="0" applyFont="1" applyFill="1" applyAlignment="1">
      <alignment horizontal="left" vertical="top"/>
    </xf>
    <xf numFmtId="4" fontId="28" fillId="2" borderId="0" xfId="0" applyNumberFormat="1" applyFont="1" applyFill="1" applyAlignment="1">
      <alignment horizontal="right" vertical="top"/>
    </xf>
    <xf numFmtId="4" fontId="28" fillId="2" borderId="0" xfId="0" applyNumberFormat="1" applyFont="1" applyFill="1" applyAlignment="1">
      <alignment horizontal="right" vertical="top" wrapText="1"/>
    </xf>
    <xf numFmtId="4" fontId="28" fillId="3" borderId="21" xfId="0" applyNumberFormat="1" applyFont="1" applyFill="1" applyBorder="1" applyAlignment="1">
      <alignment horizontal="right" vertical="top"/>
    </xf>
    <xf numFmtId="0" fontId="13" fillId="2" borderId="21" xfId="0" applyFont="1" applyFill="1" applyBorder="1" applyAlignment="1">
      <alignment horizontal="left" vertical="top"/>
    </xf>
    <xf numFmtId="0" fontId="28" fillId="3" borderId="21" xfId="5" applyNumberFormat="1" applyFont="1" applyFill="1" applyBorder="1" applyAlignment="1">
      <alignment horizontal="center" vertical="top"/>
    </xf>
    <xf numFmtId="0" fontId="0" fillId="2" borderId="0" xfId="0" applyFill="1"/>
    <xf numFmtId="0" fontId="0" fillId="2" borderId="0" xfId="0" applyFill="1" applyAlignment="1">
      <alignment horizontal="right"/>
    </xf>
    <xf numFmtId="0" fontId="35" fillId="2" borderId="0" xfId="0" applyFont="1" applyFill="1"/>
    <xf numFmtId="0" fontId="0" fillId="2" borderId="0" xfId="0" applyFill="1" applyAlignment="1">
      <alignment horizontal="left"/>
    </xf>
    <xf numFmtId="0" fontId="36" fillId="2" borderId="0" xfId="0" applyFont="1" applyFill="1" applyAlignment="1">
      <alignment vertical="center"/>
    </xf>
    <xf numFmtId="0" fontId="31" fillId="2" borderId="0" xfId="4" applyFill="1" applyAlignment="1">
      <alignment horizontal="left" vertical="top" wrapText="1"/>
    </xf>
    <xf numFmtId="0" fontId="0" fillId="0" borderId="0" xfId="0" applyAlignment="1">
      <alignment horizontal="left" vertical="center"/>
    </xf>
    <xf numFmtId="0" fontId="3" fillId="0" borderId="0" xfId="0" applyFont="1" applyAlignment="1">
      <alignment horizontal="left" vertical="center"/>
    </xf>
    <xf numFmtId="2" fontId="3" fillId="0" borderId="0" xfId="0" applyNumberFormat="1" applyFont="1" applyAlignment="1">
      <alignment horizontal="left" vertical="center" wrapText="1"/>
    </xf>
    <xf numFmtId="0" fontId="3" fillId="0" borderId="7" xfId="0" applyFont="1" applyBorder="1" applyAlignment="1">
      <alignment horizontal="left" vertical="top" wrapText="1"/>
    </xf>
    <xf numFmtId="2" fontId="30" fillId="11" borderId="45" xfId="0" applyNumberFormat="1" applyFont="1" applyFill="1" applyBorder="1" applyAlignment="1">
      <alignment horizontal="left" vertical="top" wrapText="1"/>
    </xf>
    <xf numFmtId="0" fontId="30" fillId="11" borderId="46" xfId="0" applyFont="1" applyFill="1" applyBorder="1" applyAlignment="1">
      <alignment horizontal="left" vertical="top" wrapText="1"/>
    </xf>
    <xf numFmtId="0" fontId="26" fillId="4" borderId="47" xfId="0" applyFont="1" applyFill="1" applyBorder="1" applyAlignment="1">
      <alignment horizontal="left" vertical="center" wrapText="1"/>
    </xf>
    <xf numFmtId="0" fontId="5" fillId="4" borderId="48" xfId="0" applyFont="1" applyFill="1" applyBorder="1" applyAlignment="1">
      <alignment horizontal="right" vertical="center" wrapText="1"/>
    </xf>
    <xf numFmtId="4" fontId="26" fillId="4" borderId="47" xfId="0" applyNumberFormat="1" applyFont="1" applyFill="1" applyBorder="1" applyAlignment="1">
      <alignment horizontal="right" vertical="center" wrapText="1"/>
    </xf>
    <xf numFmtId="4" fontId="3" fillId="0" borderId="7" xfId="0" applyNumberFormat="1" applyFont="1" applyBorder="1" applyAlignment="1">
      <alignment horizontal="right" vertical="top" wrapText="1"/>
    </xf>
    <xf numFmtId="4" fontId="3" fillId="2" borderId="0" xfId="0" applyNumberFormat="1" applyFont="1" applyFill="1" applyAlignment="1">
      <alignment wrapText="1"/>
    </xf>
    <xf numFmtId="0" fontId="8" fillId="13" borderId="7" xfId="0" applyFont="1" applyFill="1" applyBorder="1" applyAlignment="1">
      <alignment horizontal="left" vertical="top" wrapText="1"/>
    </xf>
    <xf numFmtId="4" fontId="3" fillId="2" borderId="43" xfId="0" applyNumberFormat="1" applyFont="1" applyFill="1" applyBorder="1"/>
    <xf numFmtId="2" fontId="3" fillId="2" borderId="43" xfId="5" applyNumberFormat="1" applyFont="1" applyFill="1" applyBorder="1"/>
    <xf numFmtId="9" fontId="3" fillId="2" borderId="43" xfId="3" applyFont="1" applyFill="1" applyBorder="1"/>
    <xf numFmtId="0" fontId="13" fillId="2" borderId="32" xfId="0" applyFont="1" applyFill="1" applyBorder="1" applyAlignment="1">
      <alignment horizontal="left" vertical="top"/>
    </xf>
    <xf numFmtId="0" fontId="13" fillId="2" borderId="36" xfId="0" applyFont="1" applyFill="1" applyBorder="1" applyAlignment="1">
      <alignment horizontal="left" vertical="top"/>
    </xf>
    <xf numFmtId="0" fontId="13" fillId="2" borderId="43" xfId="0" applyFont="1" applyFill="1" applyBorder="1" applyAlignment="1">
      <alignment horizontal="left" vertical="top"/>
    </xf>
    <xf numFmtId="0" fontId="13" fillId="2" borderId="37" xfId="0" applyFont="1" applyFill="1" applyBorder="1" applyAlignment="1">
      <alignment horizontal="left" vertical="top"/>
    </xf>
    <xf numFmtId="4" fontId="8" fillId="2" borderId="7" xfId="0" applyNumberFormat="1" applyFont="1" applyFill="1" applyBorder="1" applyAlignment="1">
      <alignment horizontal="right" vertical="top" wrapText="1"/>
    </xf>
    <xf numFmtId="0" fontId="8" fillId="13" borderId="7" xfId="0" applyFont="1" applyFill="1" applyBorder="1" applyAlignment="1">
      <alignment horizontal="center" vertical="top" wrapText="1"/>
    </xf>
    <xf numFmtId="4" fontId="8" fillId="13" borderId="6" xfId="0" applyNumberFormat="1" applyFont="1" applyFill="1" applyBorder="1" applyAlignment="1">
      <alignment horizontal="right" vertical="center" wrapText="1"/>
    </xf>
    <xf numFmtId="4" fontId="3" fillId="2" borderId="7" xfId="0" applyNumberFormat="1" applyFont="1" applyFill="1" applyBorder="1" applyAlignment="1">
      <alignment horizontal="right" wrapText="1"/>
    </xf>
    <xf numFmtId="169" fontId="3" fillId="2" borderId="0" xfId="1" applyNumberFormat="1" applyFont="1" applyFill="1" applyAlignment="1">
      <alignment vertical="center"/>
    </xf>
    <xf numFmtId="164" fontId="13" fillId="2" borderId="43" xfId="5" applyFont="1" applyFill="1" applyBorder="1" applyAlignment="1">
      <alignment horizontal="right" vertical="top" wrapText="1"/>
    </xf>
    <xf numFmtId="4" fontId="13" fillId="2" borderId="7" xfId="0" applyNumberFormat="1" applyFont="1" applyFill="1" applyBorder="1" applyAlignment="1">
      <alignment horizontal="right" vertical="top" wrapText="1"/>
    </xf>
    <xf numFmtId="4" fontId="13" fillId="2" borderId="6" xfId="0" applyNumberFormat="1" applyFont="1" applyFill="1" applyBorder="1" applyAlignment="1">
      <alignment horizontal="right" vertical="top" wrapText="1"/>
    </xf>
    <xf numFmtId="0" fontId="0" fillId="15" borderId="0" xfId="0" applyFill="1"/>
    <xf numFmtId="0" fontId="0" fillId="14" borderId="0" xfId="0" applyFill="1"/>
    <xf numFmtId="0" fontId="0" fillId="2" borderId="0" xfId="0" applyFill="1" applyAlignment="1">
      <alignment horizontal="center"/>
    </xf>
    <xf numFmtId="0" fontId="13" fillId="5" borderId="0" xfId="0" applyFont="1" applyFill="1" applyAlignment="1">
      <alignment horizontal="left" vertical="top" wrapText="1"/>
    </xf>
    <xf numFmtId="0" fontId="31" fillId="2" borderId="0" xfId="4" quotePrefix="1" applyFill="1"/>
    <xf numFmtId="4" fontId="3" fillId="2" borderId="0" xfId="0" applyNumberFormat="1" applyFont="1" applyFill="1"/>
    <xf numFmtId="4" fontId="13" fillId="2" borderId="10" xfId="0" applyNumberFormat="1" applyFont="1" applyFill="1" applyBorder="1" applyAlignment="1">
      <alignment horizontal="right" vertical="top" wrapText="1"/>
    </xf>
    <xf numFmtId="0" fontId="36" fillId="2" borderId="0" xfId="0" applyFont="1" applyFill="1"/>
    <xf numFmtId="0" fontId="3" fillId="2" borderId="0" xfId="0" applyFont="1" applyFill="1" applyAlignment="1">
      <alignment horizontal="left" vertical="top"/>
    </xf>
    <xf numFmtId="0" fontId="37" fillId="2" borderId="0" xfId="0" applyFont="1" applyFill="1"/>
    <xf numFmtId="0" fontId="0" fillId="0" borderId="0" xfId="0" applyAlignment="1">
      <alignment horizontal="left" vertical="top"/>
    </xf>
    <xf numFmtId="0" fontId="13" fillId="2" borderId="32" xfId="0" applyFont="1" applyFill="1" applyBorder="1" applyAlignment="1">
      <alignment horizontal="left" vertical="top" wrapText="1"/>
    </xf>
    <xf numFmtId="0" fontId="13" fillId="2" borderId="36" xfId="0" applyFont="1" applyFill="1" applyBorder="1" applyAlignment="1">
      <alignment horizontal="left" vertical="top" wrapText="1"/>
    </xf>
    <xf numFmtId="4" fontId="28" fillId="3" borderId="21" xfId="0" applyNumberFormat="1" applyFont="1" applyFill="1" applyBorder="1" applyAlignment="1">
      <alignment horizontal="right" vertical="top" wrapText="1"/>
    </xf>
    <xf numFmtId="9" fontId="13" fillId="2" borderId="43" xfId="3" applyFont="1" applyFill="1" applyBorder="1" applyAlignment="1">
      <alignment horizontal="right" vertical="top"/>
    </xf>
    <xf numFmtId="9" fontId="13" fillId="2" borderId="0" xfId="3" applyFont="1" applyFill="1" applyBorder="1" applyAlignment="1">
      <alignment horizontal="right" vertical="top"/>
    </xf>
    <xf numFmtId="14" fontId="2" fillId="2" borderId="0" xfId="1" applyNumberFormat="1" applyFont="1" applyFill="1" applyAlignment="1">
      <alignment vertical="center"/>
    </xf>
    <xf numFmtId="2" fontId="3" fillId="2" borderId="32" xfId="0" applyNumberFormat="1" applyFont="1" applyFill="1" applyBorder="1" applyAlignment="1">
      <alignment horizontal="center" vertical="top" wrapText="1"/>
    </xf>
    <xf numFmtId="0" fontId="13" fillId="2" borderId="43" xfId="0" applyFont="1" applyFill="1" applyBorder="1" applyAlignment="1">
      <alignment horizontal="left" vertical="top" wrapText="1"/>
    </xf>
    <xf numFmtId="0" fontId="3" fillId="2" borderId="49" xfId="0" applyFont="1" applyFill="1" applyBorder="1"/>
    <xf numFmtId="0" fontId="3" fillId="2" borderId="50" xfId="0" applyFont="1" applyFill="1" applyBorder="1"/>
    <xf numFmtId="0" fontId="3" fillId="2" borderId="51" xfId="0" applyFont="1" applyFill="1" applyBorder="1"/>
    <xf numFmtId="0" fontId="0" fillId="17" borderId="0" xfId="0" applyFill="1"/>
    <xf numFmtId="0" fontId="0" fillId="2" borderId="43" xfId="0" applyFill="1" applyBorder="1"/>
    <xf numFmtId="0" fontId="0" fillId="2" borderId="39" xfId="0" applyFill="1" applyBorder="1"/>
    <xf numFmtId="0" fontId="0" fillId="2" borderId="57" xfId="0" applyFill="1" applyBorder="1"/>
    <xf numFmtId="0" fontId="0" fillId="2" borderId="56" xfId="0" applyFill="1" applyBorder="1"/>
    <xf numFmtId="0" fontId="8" fillId="5" borderId="43" xfId="0" applyFont="1" applyFill="1" applyBorder="1" applyAlignment="1">
      <alignment horizontal="center" wrapText="1"/>
    </xf>
    <xf numFmtId="0" fontId="25" fillId="16" borderId="43" xfId="0" applyFont="1" applyFill="1" applyBorder="1"/>
    <xf numFmtId="4" fontId="38" fillId="2" borderId="43" xfId="0" applyNumberFormat="1" applyFont="1" applyFill="1" applyBorder="1" applyAlignment="1">
      <alignment horizontal="right" vertical="top" wrapText="1"/>
    </xf>
    <xf numFmtId="9" fontId="38" fillId="2" borderId="43" xfId="3" applyFont="1" applyFill="1" applyBorder="1" applyAlignment="1">
      <alignment horizontal="right" vertical="top" wrapText="1"/>
    </xf>
    <xf numFmtId="4" fontId="13" fillId="2" borderId="43" xfId="0" applyNumberFormat="1" applyFont="1" applyFill="1" applyBorder="1" applyAlignment="1">
      <alignment horizontal="right" vertical="top" wrapText="1"/>
    </xf>
    <xf numFmtId="1" fontId="13" fillId="5" borderId="43" xfId="0" applyNumberFormat="1" applyFont="1" applyFill="1" applyBorder="1" applyAlignment="1">
      <alignment wrapText="1"/>
    </xf>
    <xf numFmtId="0" fontId="13" fillId="3" borderId="43" xfId="0" applyFont="1" applyFill="1" applyBorder="1" applyAlignment="1">
      <alignment horizontal="left" vertical="top" wrapText="1"/>
    </xf>
    <xf numFmtId="9" fontId="0" fillId="2" borderId="43" xfId="0" applyNumberFormat="1" applyFill="1" applyBorder="1"/>
    <xf numFmtId="0" fontId="11" fillId="2" borderId="0" xfId="0" applyFont="1" applyFill="1" applyAlignment="1">
      <alignment horizontal="left" vertical="center" wrapText="1"/>
    </xf>
    <xf numFmtId="0" fontId="41" fillId="2" borderId="19" xfId="4" applyFont="1" applyFill="1" applyBorder="1" applyAlignment="1">
      <alignment horizontal="left" vertical="top"/>
    </xf>
    <xf numFmtId="0" fontId="11" fillId="2" borderId="21" xfId="0" applyFont="1" applyFill="1" applyBorder="1" applyAlignment="1">
      <alignment horizontal="left" vertical="center" wrapText="1"/>
    </xf>
    <xf numFmtId="0" fontId="42" fillId="0" borderId="0" xfId="0" applyFont="1" applyAlignment="1">
      <alignment horizontal="right" vertical="center" wrapText="1"/>
    </xf>
    <xf numFmtId="0" fontId="11" fillId="2" borderId="0" xfId="0" applyFont="1" applyFill="1" applyAlignment="1">
      <alignment horizontal="right" vertical="center" wrapText="1"/>
    </xf>
    <xf numFmtId="0" fontId="42" fillId="5" borderId="0" xfId="0" applyFont="1" applyFill="1"/>
    <xf numFmtId="0" fontId="42" fillId="5" borderId="0" xfId="4" applyFont="1" applyFill="1" applyBorder="1" applyAlignment="1">
      <alignment horizontal="left" vertical="top"/>
    </xf>
    <xf numFmtId="0" fontId="43" fillId="5" borderId="0" xfId="0" applyFont="1" applyFill="1"/>
    <xf numFmtId="0" fontId="43" fillId="0" borderId="0" xfId="0" applyFont="1"/>
    <xf numFmtId="0" fontId="44" fillId="0" borderId="0" xfId="0" applyFont="1"/>
    <xf numFmtId="0" fontId="42" fillId="0" borderId="0" xfId="0" applyFont="1"/>
    <xf numFmtId="0" fontId="45" fillId="0" borderId="0" xfId="0" applyFont="1"/>
    <xf numFmtId="0" fontId="45" fillId="5" borderId="0" xfId="0" applyFont="1" applyFill="1"/>
    <xf numFmtId="0" fontId="45" fillId="0" borderId="0" xfId="0" applyFont="1" applyAlignment="1">
      <alignment horizontal="right" vertical="center" wrapText="1"/>
    </xf>
    <xf numFmtId="0" fontId="45" fillId="0" borderId="0" xfId="0" applyFont="1" applyAlignment="1">
      <alignment horizontal="left" vertical="center"/>
    </xf>
    <xf numFmtId="0" fontId="42" fillId="0" borderId="0" xfId="0" applyFont="1" applyAlignment="1">
      <alignment horizontal="left" vertical="center"/>
    </xf>
    <xf numFmtId="0" fontId="45" fillId="0" borderId="0" xfId="0" applyFont="1" applyAlignment="1">
      <alignment wrapText="1"/>
    </xf>
    <xf numFmtId="0" fontId="3" fillId="2" borderId="0" xfId="0" applyFont="1" applyFill="1" applyAlignment="1">
      <alignment horizontal="left"/>
    </xf>
    <xf numFmtId="0" fontId="0" fillId="18" borderId="0" xfId="0" applyFill="1"/>
    <xf numFmtId="0" fontId="43" fillId="0" borderId="0" xfId="0" applyFont="1" applyAlignment="1">
      <alignment wrapText="1"/>
    </xf>
    <xf numFmtId="0" fontId="44" fillId="0" borderId="0" xfId="0" applyFont="1" applyAlignment="1">
      <alignment wrapText="1"/>
    </xf>
    <xf numFmtId="0" fontId="43" fillId="18" borderId="0" xfId="0" applyFont="1" applyFill="1" applyAlignment="1">
      <alignment vertical="center" wrapText="1"/>
    </xf>
    <xf numFmtId="0" fontId="42" fillId="18" borderId="0" xfId="0" applyFont="1" applyFill="1" applyAlignment="1">
      <alignment horizontal="left" vertical="top" wrapText="1"/>
    </xf>
    <xf numFmtId="0" fontId="45" fillId="18" borderId="0" xfId="0" applyFont="1" applyFill="1" applyAlignment="1">
      <alignment vertical="center" wrapText="1"/>
    </xf>
    <xf numFmtId="4" fontId="13" fillId="2" borderId="60" xfId="0" applyNumberFormat="1" applyFont="1" applyFill="1" applyBorder="1" applyAlignment="1">
      <alignment horizontal="right" vertical="top" wrapText="1"/>
    </xf>
    <xf numFmtId="1" fontId="13" fillId="5" borderId="61" xfId="0" applyNumberFormat="1" applyFont="1" applyFill="1" applyBorder="1" applyAlignment="1">
      <alignment wrapText="1"/>
    </xf>
    <xf numFmtId="1" fontId="13" fillId="5" borderId="62" xfId="0" applyNumberFormat="1" applyFont="1" applyFill="1" applyBorder="1" applyAlignment="1">
      <alignment wrapText="1"/>
    </xf>
    <xf numFmtId="0" fontId="3" fillId="13" borderId="32" xfId="0" applyFont="1" applyFill="1" applyBorder="1" applyAlignment="1">
      <alignment horizontal="center" vertical="top" wrapText="1"/>
    </xf>
    <xf numFmtId="0" fontId="21" fillId="4" borderId="32" xfId="0" applyFont="1" applyFill="1" applyBorder="1" applyAlignment="1">
      <alignment horizontal="center" vertical="center" wrapText="1"/>
    </xf>
    <xf numFmtId="0" fontId="30" fillId="2" borderId="0" xfId="1" applyFont="1" applyFill="1" applyAlignment="1">
      <alignment horizontal="left" vertical="center"/>
    </xf>
    <xf numFmtId="0" fontId="30" fillId="2" borderId="0" xfId="1" applyFont="1" applyFill="1" applyAlignment="1">
      <alignment vertical="center"/>
    </xf>
    <xf numFmtId="0" fontId="30" fillId="0" borderId="0" xfId="1" applyFont="1" applyAlignment="1">
      <alignment vertical="center"/>
    </xf>
    <xf numFmtId="0" fontId="30" fillId="0" borderId="0" xfId="0" applyFont="1" applyAlignment="1">
      <alignment vertical="center"/>
    </xf>
    <xf numFmtId="0" fontId="37" fillId="8" borderId="0" xfId="0" applyFont="1" applyFill="1" applyAlignment="1">
      <alignment wrapText="1"/>
    </xf>
    <xf numFmtId="4" fontId="37" fillId="8" borderId="0" xfId="0" applyNumberFormat="1" applyFont="1" applyFill="1" applyAlignment="1">
      <alignment wrapText="1"/>
    </xf>
    <xf numFmtId="0" fontId="37" fillId="5" borderId="0" xfId="0" applyFont="1" applyFill="1" applyAlignment="1">
      <alignment wrapText="1"/>
    </xf>
    <xf numFmtId="167" fontId="37" fillId="8" borderId="0" xfId="0" applyNumberFormat="1" applyFont="1" applyFill="1" applyAlignment="1">
      <alignment wrapText="1"/>
    </xf>
    <xf numFmtId="0" fontId="37" fillId="8" borderId="23" xfId="2" applyFont="1" applyFill="1" applyAlignment="1">
      <alignment wrapText="1"/>
    </xf>
    <xf numFmtId="167" fontId="37" fillId="8" borderId="23" xfId="2" applyNumberFormat="1" applyFont="1" applyFill="1" applyAlignment="1">
      <alignment wrapText="1"/>
    </xf>
    <xf numFmtId="170" fontId="37" fillId="8" borderId="23" xfId="2" applyNumberFormat="1" applyFont="1" applyFill="1" applyAlignment="1">
      <alignment wrapText="1"/>
    </xf>
    <xf numFmtId="168" fontId="37" fillId="8" borderId="23" xfId="2" applyNumberFormat="1" applyFont="1" applyFill="1" applyAlignment="1">
      <alignment wrapText="1"/>
    </xf>
    <xf numFmtId="0" fontId="2" fillId="13" borderId="20" xfId="1" applyFont="1" applyFill="1" applyBorder="1" applyAlignment="1" applyProtection="1">
      <alignment horizontal="left" vertical="center" wrapText="1"/>
      <protection locked="0"/>
    </xf>
    <xf numFmtId="0" fontId="3" fillId="2" borderId="0" xfId="0" applyFont="1" applyFill="1" applyAlignment="1">
      <alignment horizontal="left" vertical="center" wrapText="1"/>
    </xf>
    <xf numFmtId="0" fontId="3" fillId="2" borderId="0" xfId="0" applyFont="1" applyFill="1" applyAlignment="1">
      <alignment vertical="center" wrapText="1"/>
    </xf>
    <xf numFmtId="0" fontId="43" fillId="6" borderId="0" xfId="0" applyFont="1" applyFill="1"/>
    <xf numFmtId="0" fontId="8" fillId="2" borderId="19" xfId="1" applyFont="1" applyFill="1" applyBorder="1" applyAlignment="1">
      <alignment vertical="center"/>
    </xf>
    <xf numFmtId="0" fontId="8" fillId="2" borderId="19" xfId="1" applyFont="1" applyFill="1" applyBorder="1" applyAlignment="1">
      <alignment horizontal="center" vertical="center"/>
    </xf>
    <xf numFmtId="166" fontId="8" fillId="11" borderId="1" xfId="1" applyNumberFormat="1" applyFont="1" applyFill="1" applyBorder="1" applyAlignment="1">
      <alignment horizontal="left" vertical="center"/>
    </xf>
    <xf numFmtId="166" fontId="8" fillId="2" borderId="1" xfId="1" applyNumberFormat="1" applyFont="1" applyFill="1" applyBorder="1" applyAlignment="1">
      <alignment horizontal="left" vertical="center"/>
    </xf>
    <xf numFmtId="0" fontId="8" fillId="2" borderId="0" xfId="1" applyFont="1" applyFill="1" applyAlignment="1">
      <alignment vertical="center"/>
    </xf>
    <xf numFmtId="0" fontId="46" fillId="0" borderId="0" xfId="0" applyFont="1"/>
    <xf numFmtId="0" fontId="47" fillId="0" borderId="0" xfId="0" applyFont="1"/>
    <xf numFmtId="0" fontId="48" fillId="0" borderId="0" xfId="0" applyFont="1"/>
    <xf numFmtId="0" fontId="49" fillId="0" borderId="0" xfId="0" applyFont="1"/>
    <xf numFmtId="4" fontId="13" fillId="0" borderId="6" xfId="0" applyNumberFormat="1" applyFont="1" applyBorder="1" applyAlignment="1">
      <alignment horizontal="right" vertical="top" wrapText="1"/>
    </xf>
    <xf numFmtId="4" fontId="13" fillId="5" borderId="6" xfId="0" applyNumberFormat="1" applyFont="1" applyFill="1" applyBorder="1" applyAlignment="1">
      <alignment horizontal="right" vertical="top" wrapText="1"/>
    </xf>
    <xf numFmtId="4" fontId="13" fillId="6" borderId="6" xfId="0" applyNumberFormat="1" applyFont="1" applyFill="1" applyBorder="1" applyAlignment="1">
      <alignment horizontal="right" vertical="top" wrapText="1"/>
    </xf>
    <xf numFmtId="4" fontId="13" fillId="3" borderId="6" xfId="0" applyNumberFormat="1" applyFont="1" applyFill="1" applyBorder="1" applyAlignment="1">
      <alignment horizontal="right" vertical="top" wrapText="1"/>
    </xf>
    <xf numFmtId="4" fontId="13" fillId="13" borderId="6" xfId="0" applyNumberFormat="1" applyFont="1" applyFill="1" applyBorder="1" applyAlignment="1">
      <alignment horizontal="right" vertical="top" wrapText="1"/>
    </xf>
    <xf numFmtId="4" fontId="13" fillId="14" borderId="6" xfId="0" applyNumberFormat="1" applyFont="1" applyFill="1" applyBorder="1" applyAlignment="1">
      <alignment horizontal="right" vertical="top" wrapText="1"/>
    </xf>
    <xf numFmtId="10" fontId="13" fillId="0" borderId="6" xfId="3" applyNumberFormat="1" applyFont="1" applyFill="1" applyBorder="1" applyAlignment="1">
      <alignment horizontal="right" vertical="top" wrapText="1"/>
    </xf>
    <xf numFmtId="10" fontId="21" fillId="4" borderId="6" xfId="0" applyNumberFormat="1" applyFont="1" applyFill="1" applyBorder="1" applyAlignment="1">
      <alignment horizontal="right" vertical="top" wrapText="1"/>
    </xf>
    <xf numFmtId="10" fontId="13" fillId="5" borderId="6" xfId="3" applyNumberFormat="1" applyFont="1" applyFill="1" applyBorder="1" applyAlignment="1">
      <alignment horizontal="right" vertical="top" wrapText="1"/>
    </xf>
    <xf numFmtId="10" fontId="13" fillId="3" borderId="6" xfId="3" applyNumberFormat="1" applyFont="1" applyFill="1" applyBorder="1" applyAlignment="1">
      <alignment horizontal="right" vertical="top" wrapText="1"/>
    </xf>
    <xf numFmtId="10" fontId="21" fillId="4" borderId="6" xfId="3" applyNumberFormat="1" applyFont="1" applyFill="1" applyBorder="1" applyAlignment="1">
      <alignment horizontal="right" vertical="top" wrapText="1"/>
    </xf>
    <xf numFmtId="10" fontId="13" fillId="6" borderId="6" xfId="3" applyNumberFormat="1" applyFont="1" applyFill="1" applyBorder="1" applyAlignment="1">
      <alignment horizontal="right" vertical="top" wrapText="1"/>
    </xf>
    <xf numFmtId="10" fontId="13" fillId="6" borderId="6" xfId="0" applyNumberFormat="1" applyFont="1" applyFill="1" applyBorder="1" applyAlignment="1">
      <alignment horizontal="right" vertical="top" wrapText="1"/>
    </xf>
    <xf numFmtId="10" fontId="13" fillId="3" borderId="6" xfId="0" applyNumberFormat="1" applyFont="1" applyFill="1" applyBorder="1" applyAlignment="1">
      <alignment horizontal="right" vertical="top" wrapText="1"/>
    </xf>
    <xf numFmtId="10" fontId="3" fillId="0" borderId="7" xfId="3" applyNumberFormat="1" applyFont="1" applyFill="1" applyBorder="1" applyAlignment="1">
      <alignment horizontal="right" vertical="top" wrapText="1"/>
    </xf>
    <xf numFmtId="10" fontId="8" fillId="13" borderId="7" xfId="3" applyNumberFormat="1" applyFont="1" applyFill="1" applyBorder="1" applyAlignment="1">
      <alignment horizontal="left" vertical="top" wrapText="1"/>
    </xf>
    <xf numFmtId="10" fontId="8" fillId="9" borderId="7" xfId="3" applyNumberFormat="1" applyFont="1" applyFill="1" applyBorder="1" applyAlignment="1">
      <alignment horizontal="right" vertical="top" wrapText="1"/>
    </xf>
    <xf numFmtId="10" fontId="3" fillId="13" borderId="32" xfId="3" applyNumberFormat="1" applyFont="1" applyFill="1" applyBorder="1" applyAlignment="1">
      <alignment horizontal="center" vertical="top" wrapText="1"/>
    </xf>
    <xf numFmtId="10" fontId="3" fillId="2" borderId="32" xfId="3" applyNumberFormat="1" applyFont="1" applyFill="1" applyBorder="1" applyAlignment="1">
      <alignment horizontal="center" vertical="top" wrapText="1"/>
    </xf>
    <xf numFmtId="10" fontId="8" fillId="13" borderId="32" xfId="3" applyNumberFormat="1" applyFont="1" applyFill="1" applyBorder="1" applyAlignment="1">
      <alignment horizontal="center" vertical="top" wrapText="1"/>
    </xf>
    <xf numFmtId="0" fontId="31" fillId="2" borderId="19" xfId="4" applyFill="1" applyBorder="1" applyAlignment="1">
      <alignment horizontal="left" vertical="top"/>
    </xf>
    <xf numFmtId="171" fontId="13" fillId="3" borderId="6" xfId="0" applyNumberFormat="1" applyFont="1" applyFill="1" applyBorder="1" applyAlignment="1">
      <alignment horizontal="right" vertical="top" wrapText="1"/>
    </xf>
    <xf numFmtId="0" fontId="50" fillId="0" borderId="0" xfId="0" applyFont="1"/>
    <xf numFmtId="0" fontId="8" fillId="0" borderId="7" xfId="0" applyFont="1" applyBorder="1" applyAlignment="1">
      <alignment vertical="top" wrapText="1"/>
    </xf>
    <xf numFmtId="4" fontId="13" fillId="3" borderId="63" xfId="0" applyNumberFormat="1" applyFont="1" applyFill="1" applyBorder="1" applyAlignment="1">
      <alignment horizontal="right" vertical="top" wrapText="1"/>
    </xf>
    <xf numFmtId="0" fontId="13" fillId="2" borderId="0" xfId="0" applyFont="1" applyFill="1" applyAlignment="1">
      <alignment horizontal="left" vertical="top" wrapText="1"/>
    </xf>
    <xf numFmtId="2" fontId="51" fillId="9" borderId="6" xfId="0" applyNumberFormat="1" applyFont="1" applyFill="1" applyBorder="1"/>
    <xf numFmtId="0" fontId="52" fillId="9" borderId="0" xfId="0" applyFont="1" applyFill="1" applyAlignment="1">
      <alignment vertical="center"/>
    </xf>
    <xf numFmtId="0" fontId="53" fillId="9" borderId="19" xfId="0" applyFont="1" applyFill="1" applyBorder="1"/>
    <xf numFmtId="0" fontId="51" fillId="9" borderId="19" xfId="0" applyFont="1" applyFill="1" applyBorder="1"/>
    <xf numFmtId="0" fontId="42" fillId="0" borderId="0" xfId="0" applyFont="1" applyAlignment="1">
      <alignment wrapText="1"/>
    </xf>
    <xf numFmtId="10" fontId="8" fillId="9" borderId="0" xfId="3" applyNumberFormat="1" applyFont="1" applyFill="1" applyBorder="1" applyAlignment="1">
      <alignment horizontal="right" vertical="top" wrapText="1"/>
    </xf>
    <xf numFmtId="0" fontId="8" fillId="5" borderId="6" xfId="0" applyFont="1" applyFill="1" applyBorder="1" applyAlignment="1">
      <alignment horizontal="center" wrapText="1"/>
    </xf>
    <xf numFmtId="10" fontId="8" fillId="9" borderId="6" xfId="3" applyNumberFormat="1" applyFont="1" applyFill="1" applyBorder="1" applyAlignment="1">
      <alignment horizontal="right" vertical="top" wrapText="1"/>
    </xf>
    <xf numFmtId="0" fontId="8" fillId="0" borderId="0" xfId="0" applyFont="1" applyAlignment="1">
      <alignment wrapText="1"/>
    </xf>
    <xf numFmtId="10" fontId="3" fillId="2" borderId="0" xfId="3" applyNumberFormat="1" applyFont="1" applyFill="1" applyBorder="1" applyAlignment="1">
      <alignment horizontal="right" wrapText="1"/>
    </xf>
    <xf numFmtId="10" fontId="3" fillId="2" borderId="7" xfId="0" applyNumberFormat="1" applyFont="1" applyFill="1" applyBorder="1" applyAlignment="1">
      <alignment horizontal="right" wrapText="1"/>
    </xf>
    <xf numFmtId="2" fontId="3" fillId="0" borderId="6" xfId="0" applyNumberFormat="1" applyFont="1" applyBorder="1" applyAlignment="1">
      <alignment horizontal="left" vertical="center" wrapText="1"/>
    </xf>
    <xf numFmtId="0" fontId="30" fillId="2" borderId="67" xfId="1" applyFont="1" applyFill="1" applyBorder="1" applyAlignment="1">
      <alignment horizontal="left" vertical="center"/>
    </xf>
    <xf numFmtId="0" fontId="30" fillId="2" borderId="71" xfId="1" applyFont="1" applyFill="1" applyBorder="1" applyAlignment="1">
      <alignment horizontal="left" vertical="center"/>
    </xf>
    <xf numFmtId="2" fontId="0" fillId="0" borderId="0" xfId="0" applyNumberFormat="1" applyAlignment="1">
      <alignment horizontal="right"/>
    </xf>
    <xf numFmtId="166" fontId="8" fillId="2" borderId="0" xfId="1" applyNumberFormat="1" applyFont="1" applyFill="1" applyAlignment="1">
      <alignment horizontal="left" vertical="center"/>
    </xf>
    <xf numFmtId="166" fontId="8" fillId="2" borderId="0" xfId="1" applyNumberFormat="1" applyFont="1" applyFill="1" applyAlignment="1">
      <alignment horizontal="left"/>
    </xf>
    <xf numFmtId="166" fontId="3" fillId="2" borderId="0" xfId="1" applyNumberFormat="1" applyFont="1" applyFill="1" applyAlignment="1">
      <alignment horizontal="left"/>
    </xf>
    <xf numFmtId="10" fontId="3" fillId="2" borderId="43" xfId="3" applyNumberFormat="1" applyFont="1" applyFill="1" applyBorder="1"/>
    <xf numFmtId="10" fontId="21" fillId="4" borderId="6" xfId="3" applyNumberFormat="1" applyFont="1" applyFill="1" applyBorder="1" applyAlignment="1">
      <alignment horizontal="right" vertical="center" wrapText="1"/>
    </xf>
    <xf numFmtId="10" fontId="26" fillId="4" borderId="7" xfId="3" applyNumberFormat="1" applyFont="1" applyFill="1" applyBorder="1" applyAlignment="1">
      <alignment horizontal="right" vertical="center" wrapText="1"/>
    </xf>
    <xf numFmtId="166" fontId="30" fillId="2" borderId="29" xfId="1" applyNumberFormat="1" applyFont="1" applyFill="1" applyBorder="1" applyAlignment="1">
      <alignment horizontal="left" vertical="center"/>
    </xf>
    <xf numFmtId="166" fontId="30" fillId="2" borderId="67" xfId="1" applyNumberFormat="1" applyFont="1" applyFill="1" applyBorder="1" applyAlignment="1">
      <alignment horizontal="left" vertical="center"/>
    </xf>
    <xf numFmtId="172" fontId="8" fillId="2" borderId="1" xfId="1" applyNumberFormat="1" applyFont="1" applyFill="1" applyBorder="1" applyAlignment="1">
      <alignment horizontal="left"/>
    </xf>
    <xf numFmtId="0" fontId="3" fillId="0" borderId="7" xfId="0" applyFont="1" applyBorder="1" applyAlignment="1">
      <alignment horizontal="right" wrapText="1"/>
    </xf>
    <xf numFmtId="0" fontId="5" fillId="0" borderId="11" xfId="0" applyFont="1" applyBorder="1" applyAlignment="1">
      <alignment horizontal="left" vertical="top" wrapText="1"/>
    </xf>
    <xf numFmtId="4" fontId="3" fillId="2" borderId="6" xfId="0" applyNumberFormat="1" applyFont="1" applyFill="1" applyBorder="1" applyAlignment="1">
      <alignment horizontal="right" wrapText="1"/>
    </xf>
    <xf numFmtId="0" fontId="12" fillId="4" borderId="6" xfId="0" applyFont="1" applyFill="1" applyBorder="1" applyAlignment="1">
      <alignment horizontal="left" wrapText="1"/>
    </xf>
    <xf numFmtId="2" fontId="3" fillId="0" borderId="6" xfId="0" applyNumberFormat="1" applyFont="1" applyBorder="1" applyAlignment="1">
      <alignment horizontal="left" vertical="top" wrapText="1"/>
    </xf>
    <xf numFmtId="10" fontId="3" fillId="2" borderId="6" xfId="0" applyNumberFormat="1" applyFont="1" applyFill="1" applyBorder="1" applyAlignment="1">
      <alignment horizontal="right" wrapText="1"/>
    </xf>
    <xf numFmtId="0" fontId="2" fillId="3" borderId="20" xfId="1" applyFont="1" applyFill="1" applyBorder="1" applyAlignment="1" applyProtection="1">
      <alignment horizontal="left" vertical="center" wrapText="1"/>
      <protection locked="0"/>
    </xf>
    <xf numFmtId="14" fontId="2" fillId="3" borderId="20" xfId="1" applyNumberFormat="1" applyFont="1" applyFill="1" applyBorder="1" applyAlignment="1" applyProtection="1">
      <alignment horizontal="left" vertical="center" wrapText="1"/>
      <protection locked="0"/>
    </xf>
    <xf numFmtId="0" fontId="2" fillId="3" borderId="20" xfId="1" applyFont="1" applyFill="1" applyBorder="1" applyAlignment="1" applyProtection="1">
      <alignment horizontal="left" vertical="top" wrapText="1"/>
      <protection locked="0"/>
    </xf>
    <xf numFmtId="0" fontId="2" fillId="3" borderId="20" xfId="1" applyFont="1" applyFill="1" applyBorder="1" applyAlignment="1" applyProtection="1">
      <alignment horizontal="right" vertical="center" wrapText="1"/>
      <protection locked="0"/>
    </xf>
    <xf numFmtId="0" fontId="3" fillId="3" borderId="7" xfId="0" applyFont="1" applyFill="1" applyBorder="1" applyAlignment="1">
      <alignment horizontal="left" vertical="top" wrapText="1"/>
    </xf>
    <xf numFmtId="4" fontId="3" fillId="3" borderId="7" xfId="0" applyNumberFormat="1" applyFont="1" applyFill="1" applyBorder="1" applyAlignment="1">
      <alignment horizontal="right" vertical="top" wrapText="1"/>
    </xf>
    <xf numFmtId="2" fontId="3" fillId="19" borderId="45" xfId="0" applyNumberFormat="1" applyFont="1" applyFill="1" applyBorder="1" applyAlignment="1">
      <alignment horizontal="left" vertical="top" wrapText="1"/>
    </xf>
    <xf numFmtId="4" fontId="3" fillId="3" borderId="11" xfId="0" applyNumberFormat="1" applyFont="1" applyFill="1" applyBorder="1" applyAlignment="1">
      <alignment horizontal="right" vertical="top" wrapText="1"/>
    </xf>
    <xf numFmtId="4" fontId="3" fillId="3" borderId="6" xfId="0" applyNumberFormat="1" applyFont="1" applyFill="1" applyBorder="1" applyAlignment="1">
      <alignment horizontal="right" wrapText="1"/>
    </xf>
    <xf numFmtId="4" fontId="3" fillId="3" borderId="7" xfId="0" applyNumberFormat="1" applyFont="1" applyFill="1" applyBorder="1" applyAlignment="1">
      <alignment horizontal="right" wrapText="1"/>
    </xf>
    <xf numFmtId="4" fontId="13" fillId="20" borderId="6" xfId="0" applyNumberFormat="1" applyFont="1" applyFill="1" applyBorder="1" applyAlignment="1">
      <alignment horizontal="right" vertical="top" wrapText="1"/>
    </xf>
    <xf numFmtId="4" fontId="13" fillId="19" borderId="6" xfId="0" applyNumberFormat="1" applyFont="1" applyFill="1" applyBorder="1" applyAlignment="1">
      <alignment horizontal="right" vertical="top" wrapText="1"/>
    </xf>
    <xf numFmtId="166" fontId="3" fillId="3" borderId="1" xfId="1" applyNumberFormat="1" applyFont="1" applyFill="1" applyBorder="1" applyAlignment="1">
      <alignment horizontal="left"/>
    </xf>
    <xf numFmtId="166" fontId="8" fillId="3" borderId="1" xfId="1" applyNumberFormat="1" applyFont="1" applyFill="1" applyBorder="1" applyAlignment="1">
      <alignment horizontal="left"/>
    </xf>
    <xf numFmtId="0" fontId="11" fillId="0" borderId="0" xfId="0" applyFont="1" applyAlignment="1">
      <alignment horizontal="left" vertical="center" wrapText="1"/>
    </xf>
    <xf numFmtId="0" fontId="2" fillId="2" borderId="16" xfId="1" applyFont="1" applyFill="1" applyBorder="1" applyAlignment="1">
      <alignment vertical="center"/>
    </xf>
    <xf numFmtId="0" fontId="0" fillId="0" borderId="0" xfId="0" applyAlignment="1">
      <alignment vertical="center"/>
    </xf>
    <xf numFmtId="0" fontId="28" fillId="11" borderId="5" xfId="0" applyFont="1" applyFill="1" applyBorder="1" applyAlignment="1">
      <alignment horizontal="right" vertical="top" wrapText="1"/>
    </xf>
    <xf numFmtId="0" fontId="0" fillId="11" borderId="7" xfId="0" applyFill="1" applyBorder="1" applyAlignment="1">
      <alignment horizontal="right" vertical="top" wrapText="1"/>
    </xf>
    <xf numFmtId="0" fontId="12" fillId="4" borderId="8" xfId="0" applyFont="1" applyFill="1" applyBorder="1" applyAlignment="1">
      <alignment horizontal="left" vertical="center" wrapText="1"/>
    </xf>
    <xf numFmtId="0" fontId="12" fillId="4" borderId="9" xfId="0" applyFont="1" applyFill="1" applyBorder="1" applyAlignment="1">
      <alignment horizontal="left" vertical="center" wrapText="1"/>
    </xf>
    <xf numFmtId="0" fontId="5" fillId="2" borderId="0" xfId="0" applyFont="1" applyFill="1" applyAlignment="1">
      <alignment horizontal="left" vertical="top" wrapText="1"/>
    </xf>
    <xf numFmtId="0" fontId="0" fillId="0" borderId="0" xfId="0" applyAlignment="1">
      <alignment horizontal="left" vertical="top" wrapText="1"/>
    </xf>
    <xf numFmtId="0" fontId="3" fillId="2" borderId="0" xfId="0" applyFont="1" applyFill="1" applyAlignment="1">
      <alignment horizontal="left" vertical="top" wrapText="1"/>
    </xf>
    <xf numFmtId="0" fontId="0" fillId="0" borderId="0" xfId="0"/>
    <xf numFmtId="0" fontId="15" fillId="2" borderId="0" xfId="0" applyFont="1" applyFill="1" applyAlignment="1">
      <alignment horizontal="left"/>
    </xf>
    <xf numFmtId="0" fontId="42" fillId="0" borderId="0" xfId="0" applyFont="1" applyAlignment="1">
      <alignment horizontal="left" vertical="center" wrapText="1"/>
    </xf>
    <xf numFmtId="0" fontId="3" fillId="3" borderId="13" xfId="0" applyFont="1" applyFill="1" applyBorder="1" applyAlignment="1">
      <alignment horizontal="left" vertical="top" wrapText="1"/>
    </xf>
    <xf numFmtId="0" fontId="3" fillId="13" borderId="14" xfId="0" applyFont="1" applyFill="1" applyBorder="1" applyAlignment="1">
      <alignment horizontal="left" vertical="top" wrapText="1"/>
    </xf>
    <xf numFmtId="0" fontId="3" fillId="13" borderId="15" xfId="0" applyFont="1" applyFill="1" applyBorder="1" applyAlignment="1">
      <alignment horizontal="left" vertical="top" wrapText="1"/>
    </xf>
    <xf numFmtId="0" fontId="3" fillId="13" borderId="16" xfId="0" applyFont="1" applyFill="1" applyBorder="1" applyAlignment="1">
      <alignment horizontal="left" vertical="top" wrapText="1"/>
    </xf>
    <xf numFmtId="0" fontId="3" fillId="13" borderId="0" xfId="0" applyFont="1" applyFill="1" applyAlignment="1">
      <alignment horizontal="left" vertical="top" wrapText="1"/>
    </xf>
    <xf numFmtId="0" fontId="3" fillId="13" borderId="17" xfId="0" applyFont="1" applyFill="1" applyBorder="1" applyAlignment="1">
      <alignment horizontal="left" vertical="top" wrapText="1"/>
    </xf>
    <xf numFmtId="0" fontId="3" fillId="13" borderId="18" xfId="0" applyFont="1" applyFill="1" applyBorder="1" applyAlignment="1">
      <alignment horizontal="left" vertical="top" wrapText="1"/>
    </xf>
    <xf numFmtId="0" fontId="3" fillId="13" borderId="19" xfId="0" applyFont="1" applyFill="1" applyBorder="1" applyAlignment="1">
      <alignment horizontal="left" vertical="top" wrapText="1"/>
    </xf>
    <xf numFmtId="0" fontId="3" fillId="13" borderId="20" xfId="0" applyFont="1" applyFill="1" applyBorder="1" applyAlignment="1">
      <alignment horizontal="left" vertical="top" wrapText="1"/>
    </xf>
    <xf numFmtId="0" fontId="3" fillId="0" borderId="11" xfId="0" applyFont="1" applyBorder="1" applyAlignment="1">
      <alignment horizontal="left" vertical="top" wrapText="1"/>
    </xf>
    <xf numFmtId="0" fontId="3" fillId="0" borderId="12" xfId="0" applyFont="1" applyBorder="1" applyAlignment="1">
      <alignment horizontal="left" vertical="top" wrapText="1"/>
    </xf>
    <xf numFmtId="0" fontId="13" fillId="3" borderId="8" xfId="0" applyFont="1" applyFill="1" applyBorder="1" applyAlignment="1">
      <alignment horizontal="left" vertical="top" wrapText="1"/>
    </xf>
    <xf numFmtId="0" fontId="13" fillId="3" borderId="10" xfId="0" applyFont="1" applyFill="1" applyBorder="1" applyAlignment="1">
      <alignment horizontal="left" vertical="top" wrapText="1"/>
    </xf>
    <xf numFmtId="0" fontId="5" fillId="2" borderId="0" xfId="0" applyFont="1" applyFill="1" applyAlignment="1">
      <alignment horizontal="left" wrapText="1"/>
    </xf>
    <xf numFmtId="0" fontId="0" fillId="0" borderId="0" xfId="0" applyAlignment="1">
      <alignment horizontal="left" wrapText="1"/>
    </xf>
    <xf numFmtId="0" fontId="28" fillId="11" borderId="5" xfId="0" applyFont="1" applyFill="1" applyBorder="1" applyAlignment="1">
      <alignment horizontal="left" vertical="top" wrapText="1"/>
    </xf>
    <xf numFmtId="0" fontId="0" fillId="11" borderId="7" xfId="0" applyFill="1" applyBorder="1" applyAlignment="1">
      <alignment horizontal="left" vertical="top" wrapText="1"/>
    </xf>
    <xf numFmtId="0" fontId="12" fillId="4" borderId="8" xfId="0" applyFont="1" applyFill="1" applyBorder="1" applyAlignment="1">
      <alignment horizontal="left" vertical="top" wrapText="1"/>
    </xf>
    <xf numFmtId="0" fontId="12" fillId="4" borderId="9" xfId="0" applyFont="1" applyFill="1" applyBorder="1" applyAlignment="1">
      <alignment horizontal="left" vertical="top" wrapText="1"/>
    </xf>
    <xf numFmtId="0" fontId="3" fillId="2" borderId="13" xfId="0" applyFont="1" applyFill="1" applyBorder="1" applyAlignment="1">
      <alignment horizontal="left" vertical="top" wrapText="1"/>
    </xf>
    <xf numFmtId="0" fontId="3" fillId="2" borderId="14" xfId="0" applyFont="1" applyFill="1" applyBorder="1" applyAlignment="1">
      <alignment horizontal="left" vertical="top" wrapText="1"/>
    </xf>
    <xf numFmtId="0" fontId="3" fillId="2" borderId="15" xfId="0" applyFont="1" applyFill="1" applyBorder="1" applyAlignment="1">
      <alignment horizontal="left" vertical="top" wrapText="1"/>
    </xf>
    <xf numFmtId="0" fontId="3" fillId="2" borderId="16" xfId="0" applyFont="1" applyFill="1" applyBorder="1" applyAlignment="1">
      <alignment horizontal="left" vertical="top" wrapText="1"/>
    </xf>
    <xf numFmtId="0" fontId="3" fillId="2" borderId="17" xfId="0" applyFont="1" applyFill="1" applyBorder="1" applyAlignment="1">
      <alignment horizontal="left" vertical="top" wrapText="1"/>
    </xf>
    <xf numFmtId="0" fontId="3" fillId="2" borderId="18" xfId="0" applyFont="1" applyFill="1" applyBorder="1" applyAlignment="1">
      <alignment horizontal="left" vertical="top" wrapText="1"/>
    </xf>
    <xf numFmtId="0" fontId="3" fillId="2" borderId="19" xfId="0" applyFont="1" applyFill="1" applyBorder="1" applyAlignment="1">
      <alignment horizontal="left" vertical="top" wrapText="1"/>
    </xf>
    <xf numFmtId="0" fontId="3" fillId="2" borderId="20" xfId="0" applyFont="1" applyFill="1" applyBorder="1" applyAlignment="1">
      <alignment horizontal="left" vertical="top" wrapText="1"/>
    </xf>
    <xf numFmtId="0" fontId="12" fillId="4" borderId="10" xfId="0" applyFont="1" applyFill="1" applyBorder="1" applyAlignment="1">
      <alignment horizontal="left" vertical="top" wrapText="1"/>
    </xf>
    <xf numFmtId="0" fontId="10" fillId="0" borderId="11" xfId="0" applyFont="1" applyBorder="1" applyAlignment="1">
      <alignment horizontal="left" vertical="top" wrapText="1"/>
    </xf>
    <xf numFmtId="0" fontId="10" fillId="0" borderId="12" xfId="0" applyFont="1" applyBorder="1" applyAlignment="1">
      <alignment horizontal="left" vertical="top" wrapText="1"/>
    </xf>
    <xf numFmtId="0" fontId="21" fillId="4" borderId="8" xfId="0" applyFont="1" applyFill="1" applyBorder="1" applyAlignment="1">
      <alignment horizontal="left" vertical="top" wrapText="1"/>
    </xf>
    <xf numFmtId="0" fontId="21" fillId="4" borderId="10" xfId="0" applyFont="1" applyFill="1" applyBorder="1" applyAlignment="1">
      <alignment horizontal="left" vertical="top" wrapText="1"/>
    </xf>
    <xf numFmtId="10" fontId="3" fillId="2" borderId="6" xfId="0" applyNumberFormat="1" applyFont="1" applyFill="1" applyBorder="1" applyAlignment="1">
      <alignment horizontal="right" wrapText="1"/>
    </xf>
    <xf numFmtId="0" fontId="12" fillId="4" borderId="6" xfId="0" applyFont="1" applyFill="1" applyBorder="1" applyAlignment="1">
      <alignment horizontal="left" vertical="center" wrapText="1"/>
    </xf>
    <xf numFmtId="0" fontId="5" fillId="0" borderId="6" xfId="0" applyFont="1" applyBorder="1" applyAlignment="1">
      <alignment horizontal="left" vertical="top" wrapText="1"/>
    </xf>
    <xf numFmtId="0" fontId="3" fillId="0" borderId="6" xfId="0" applyFont="1" applyBorder="1" applyAlignment="1">
      <alignment horizontal="left" vertical="top" wrapText="1"/>
    </xf>
    <xf numFmtId="0" fontId="12" fillId="4" borderId="6" xfId="0" applyFont="1" applyFill="1" applyBorder="1" applyAlignment="1">
      <alignment horizontal="left" wrapText="1"/>
    </xf>
    <xf numFmtId="4" fontId="3" fillId="3" borderId="6" xfId="0" applyNumberFormat="1" applyFont="1" applyFill="1" applyBorder="1" applyAlignment="1">
      <alignment horizontal="right" wrapText="1"/>
    </xf>
    <xf numFmtId="4" fontId="3" fillId="13" borderId="6" xfId="0" applyNumberFormat="1" applyFont="1" applyFill="1" applyBorder="1" applyAlignment="1">
      <alignment horizontal="right" wrapText="1"/>
    </xf>
    <xf numFmtId="0" fontId="3" fillId="0" borderId="72" xfId="0" applyFont="1" applyBorder="1" applyAlignment="1">
      <alignment horizontal="left" vertical="top" wrapText="1"/>
    </xf>
    <xf numFmtId="0" fontId="4" fillId="2" borderId="0" xfId="0" applyFont="1" applyFill="1"/>
    <xf numFmtId="0" fontId="3" fillId="0" borderId="0" xfId="0" applyFont="1" applyAlignment="1">
      <alignment horizontal="left" vertical="top" wrapText="1"/>
    </xf>
    <xf numFmtId="4" fontId="3" fillId="2" borderId="6" xfId="0" applyNumberFormat="1" applyFont="1" applyFill="1" applyBorder="1" applyAlignment="1">
      <alignment horizontal="right" wrapText="1"/>
    </xf>
    <xf numFmtId="4" fontId="3" fillId="0" borderId="6" xfId="0" applyNumberFormat="1" applyFont="1" applyBorder="1" applyAlignment="1">
      <alignment horizontal="right" wrapText="1"/>
    </xf>
    <xf numFmtId="0" fontId="11" fillId="0" borderId="0" xfId="0" applyFont="1" applyAlignment="1">
      <alignment horizontal="left" vertical="top" wrapText="1"/>
    </xf>
    <xf numFmtId="0" fontId="0" fillId="0" borderId="0" xfId="0" applyAlignment="1">
      <alignment vertical="top"/>
    </xf>
    <xf numFmtId="0" fontId="0" fillId="0" borderId="0" xfId="0" applyAlignment="1">
      <alignment wrapText="1"/>
    </xf>
    <xf numFmtId="0" fontId="12" fillId="4" borderId="22" xfId="0" applyFont="1" applyFill="1" applyBorder="1" applyAlignment="1">
      <alignment horizontal="left" vertical="center" wrapText="1"/>
    </xf>
    <xf numFmtId="0" fontId="12" fillId="4" borderId="25" xfId="0" applyFont="1" applyFill="1" applyBorder="1" applyAlignment="1">
      <alignment horizontal="left" vertical="center" wrapText="1"/>
    </xf>
    <xf numFmtId="0" fontId="12" fillId="4" borderId="24" xfId="0" applyFont="1" applyFill="1" applyBorder="1" applyAlignment="1">
      <alignment horizontal="left" vertical="center" wrapText="1"/>
    </xf>
    <xf numFmtId="0" fontId="30" fillId="2" borderId="0" xfId="0" applyFont="1" applyFill="1" applyAlignment="1">
      <alignment horizontal="left" wrapText="1"/>
    </xf>
    <xf numFmtId="0" fontId="8" fillId="6" borderId="0" xfId="0" applyFont="1" applyFill="1" applyAlignment="1">
      <alignment vertical="center"/>
    </xf>
    <xf numFmtId="0" fontId="21" fillId="4" borderId="22" xfId="0" applyFont="1" applyFill="1" applyBorder="1" applyAlignment="1">
      <alignment horizontal="center" vertical="top" wrapText="1"/>
    </xf>
    <xf numFmtId="0" fontId="21" fillId="4" borderId="24" xfId="0" applyFont="1" applyFill="1" applyBorder="1" applyAlignment="1">
      <alignment horizontal="center" vertical="top" wrapText="1"/>
    </xf>
    <xf numFmtId="0" fontId="32" fillId="13" borderId="11" xfId="1" applyFont="1" applyFill="1" applyBorder="1" applyAlignment="1" applyProtection="1">
      <alignment horizontal="center" vertical="center" wrapText="1"/>
      <protection locked="0"/>
    </xf>
    <xf numFmtId="0" fontId="32" fillId="13" borderId="12" xfId="1" applyFont="1" applyFill="1" applyBorder="1" applyAlignment="1" applyProtection="1">
      <alignment horizontal="center" vertical="center" wrapText="1"/>
      <protection locked="0"/>
    </xf>
    <xf numFmtId="0" fontId="21" fillId="4" borderId="8" xfId="0" applyFont="1" applyFill="1" applyBorder="1" applyAlignment="1">
      <alignment horizontal="left" wrapText="1"/>
    </xf>
    <xf numFmtId="0" fontId="21" fillId="4" borderId="9" xfId="0" applyFont="1" applyFill="1" applyBorder="1" applyAlignment="1">
      <alignment horizontal="left" wrapText="1"/>
    </xf>
    <xf numFmtId="0" fontId="8" fillId="2" borderId="0" xfId="0" applyFont="1" applyFill="1" applyAlignment="1">
      <alignment horizontal="left" vertical="top" wrapText="1"/>
    </xf>
    <xf numFmtId="0" fontId="8" fillId="5" borderId="8" xfId="0" applyFont="1" applyFill="1" applyBorder="1" applyAlignment="1">
      <alignment horizontal="center" wrapText="1"/>
    </xf>
    <xf numFmtId="0" fontId="8" fillId="5" borderId="10" xfId="0" applyFont="1" applyFill="1" applyBorder="1" applyAlignment="1">
      <alignment horizontal="center" wrapText="1"/>
    </xf>
    <xf numFmtId="0" fontId="8" fillId="10" borderId="8" xfId="0" applyFont="1" applyFill="1" applyBorder="1" applyAlignment="1">
      <alignment horizontal="center" wrapText="1"/>
    </xf>
    <xf numFmtId="0" fontId="8" fillId="10" borderId="10" xfId="0" applyFont="1" applyFill="1" applyBorder="1" applyAlignment="1">
      <alignment horizontal="center" wrapText="1"/>
    </xf>
    <xf numFmtId="0" fontId="21" fillId="4" borderId="38" xfId="0" applyFont="1" applyFill="1" applyBorder="1" applyAlignment="1">
      <alignment horizontal="left" wrapText="1"/>
    </xf>
    <xf numFmtId="0" fontId="8" fillId="10" borderId="11" xfId="0" applyFont="1" applyFill="1" applyBorder="1" applyAlignment="1">
      <alignment horizontal="center" wrapText="1"/>
    </xf>
    <xf numFmtId="0" fontId="8" fillId="10" borderId="40" xfId="0" applyFont="1" applyFill="1" applyBorder="1" applyAlignment="1">
      <alignment horizontal="center" wrapText="1"/>
    </xf>
    <xf numFmtId="0" fontId="21" fillId="4" borderId="64" xfId="0" applyFont="1" applyFill="1" applyBorder="1" applyAlignment="1">
      <alignment horizontal="left" wrapText="1"/>
    </xf>
    <xf numFmtId="0" fontId="21" fillId="4" borderId="65" xfId="0" applyFont="1" applyFill="1" applyBorder="1" applyAlignment="1">
      <alignment horizontal="left" wrapText="1"/>
    </xf>
    <xf numFmtId="0" fontId="21" fillId="4" borderId="66" xfId="0" applyFont="1" applyFill="1" applyBorder="1" applyAlignment="1">
      <alignment horizontal="left" wrapText="1"/>
    </xf>
    <xf numFmtId="0" fontId="8" fillId="2" borderId="22" xfId="0" applyFont="1" applyFill="1" applyBorder="1" applyAlignment="1">
      <alignment horizontal="center" vertical="top" wrapText="1"/>
    </xf>
    <xf numFmtId="0" fontId="8" fillId="2" borderId="25" xfId="0" applyFont="1" applyFill="1" applyBorder="1" applyAlignment="1">
      <alignment horizontal="center" vertical="top" wrapText="1"/>
    </xf>
    <xf numFmtId="0" fontId="8" fillId="2" borderId="24" xfId="0" applyFont="1" applyFill="1" applyBorder="1" applyAlignment="1">
      <alignment horizontal="center" vertical="top" wrapText="1"/>
    </xf>
    <xf numFmtId="0" fontId="13" fillId="5" borderId="8" xfId="0" applyFont="1" applyFill="1" applyBorder="1" applyAlignment="1">
      <alignment horizontal="center" wrapText="1"/>
    </xf>
    <xf numFmtId="0" fontId="13" fillId="5" borderId="9" xfId="0" applyFont="1" applyFill="1" applyBorder="1" applyAlignment="1">
      <alignment horizontal="center" wrapText="1"/>
    </xf>
    <xf numFmtId="0" fontId="13" fillId="5" borderId="24" xfId="0" applyFont="1" applyFill="1" applyBorder="1" applyAlignment="1">
      <alignment horizontal="center" wrapText="1"/>
    </xf>
    <xf numFmtId="0" fontId="29" fillId="2" borderId="0" xfId="0" applyFont="1" applyFill="1" applyAlignment="1">
      <alignment horizontal="left"/>
    </xf>
    <xf numFmtId="0" fontId="13" fillId="3" borderId="5" xfId="0" applyFont="1" applyFill="1" applyBorder="1" applyAlignment="1">
      <alignment horizontal="left" wrapText="1"/>
    </xf>
    <xf numFmtId="0" fontId="13" fillId="3" borderId="7" xfId="0" applyFont="1" applyFill="1" applyBorder="1" applyAlignment="1">
      <alignment horizontal="left" wrapText="1"/>
    </xf>
    <xf numFmtId="0" fontId="8" fillId="2" borderId="28" xfId="0" applyFont="1" applyFill="1" applyBorder="1" applyAlignment="1">
      <alignment horizontal="center" vertical="top" wrapText="1"/>
    </xf>
    <xf numFmtId="0" fontId="8" fillId="2" borderId="27" xfId="0" applyFont="1" applyFill="1" applyBorder="1" applyAlignment="1">
      <alignment horizontal="center" vertical="top" wrapText="1"/>
    </xf>
    <xf numFmtId="0" fontId="8" fillId="2" borderId="26" xfId="0" applyFont="1" applyFill="1" applyBorder="1" applyAlignment="1">
      <alignment horizontal="center" vertical="top" wrapText="1"/>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8" fillId="2" borderId="0" xfId="0" applyFont="1" applyFill="1" applyAlignment="1">
      <alignment vertical="top" wrapText="1"/>
    </xf>
    <xf numFmtId="0" fontId="3" fillId="6" borderId="0" xfId="0" applyFont="1" applyFill="1" applyAlignment="1">
      <alignment horizontal="left" vertical="center" wrapText="1"/>
    </xf>
    <xf numFmtId="0" fontId="12" fillId="4" borderId="22" xfId="0" applyFont="1" applyFill="1" applyBorder="1" applyAlignment="1">
      <alignment horizontal="center" vertical="top" wrapText="1"/>
    </xf>
    <xf numFmtId="0" fontId="12" fillId="4" borderId="24" xfId="0" applyFont="1" applyFill="1" applyBorder="1" applyAlignment="1">
      <alignment horizontal="center" vertical="top" wrapText="1"/>
    </xf>
    <xf numFmtId="0" fontId="2" fillId="13" borderId="11" xfId="1" applyFont="1" applyFill="1" applyBorder="1" applyAlignment="1" applyProtection="1">
      <alignment horizontal="center" vertical="center" wrapText="1"/>
      <protection locked="0"/>
    </xf>
    <xf numFmtId="0" fontId="2" fillId="13" borderId="12" xfId="1" applyFont="1" applyFill="1" applyBorder="1" applyAlignment="1" applyProtection="1">
      <alignment horizontal="center" vertical="center" wrapText="1"/>
      <protection locked="0"/>
    </xf>
    <xf numFmtId="0" fontId="12" fillId="4" borderId="32" xfId="0" applyFont="1" applyFill="1" applyBorder="1" applyAlignment="1">
      <alignment horizontal="left" vertical="top" wrapText="1"/>
    </xf>
    <xf numFmtId="0" fontId="12" fillId="4" borderId="32" xfId="0" applyFont="1" applyFill="1" applyBorder="1" applyAlignment="1">
      <alignment horizontal="left" wrapText="1"/>
    </xf>
    <xf numFmtId="0" fontId="13" fillId="5" borderId="32" xfId="0" applyFont="1" applyFill="1" applyBorder="1" applyAlignment="1">
      <alignment horizontal="center" wrapText="1"/>
    </xf>
    <xf numFmtId="0" fontId="13" fillId="5" borderId="33" xfId="0" applyFont="1" applyFill="1" applyBorder="1" applyAlignment="1">
      <alignment horizontal="center" wrapText="1"/>
    </xf>
    <xf numFmtId="0" fontId="13" fillId="5" borderId="34" xfId="0" applyFont="1" applyFill="1" applyBorder="1" applyAlignment="1">
      <alignment horizontal="center" wrapText="1"/>
    </xf>
    <xf numFmtId="0" fontId="13" fillId="5" borderId="35" xfId="0" applyFont="1" applyFill="1" applyBorder="1" applyAlignment="1">
      <alignment horizontal="center" wrapText="1"/>
    </xf>
    <xf numFmtId="0" fontId="30" fillId="2" borderId="68" xfId="1" applyFont="1" applyFill="1" applyBorder="1" applyAlignment="1">
      <alignment horizontal="center" vertical="center"/>
    </xf>
    <xf numFmtId="0" fontId="30" fillId="2" borderId="69" xfId="1" applyFont="1" applyFill="1" applyBorder="1" applyAlignment="1">
      <alignment horizontal="center" vertical="center"/>
    </xf>
    <xf numFmtId="0" fontId="30" fillId="2" borderId="70" xfId="1" applyFont="1" applyFill="1" applyBorder="1" applyAlignment="1">
      <alignment horizontal="center" vertical="center"/>
    </xf>
    <xf numFmtId="0" fontId="5" fillId="2" borderId="0" xfId="1" applyFont="1" applyFill="1" applyAlignment="1">
      <alignment horizontal="center"/>
    </xf>
    <xf numFmtId="0" fontId="30" fillId="2" borderId="0" xfId="1" applyFont="1" applyFill="1" applyAlignment="1">
      <alignment horizontal="center"/>
    </xf>
    <xf numFmtId="0" fontId="30" fillId="11" borderId="4" xfId="1" applyFont="1" applyFill="1" applyBorder="1" applyAlignment="1">
      <alignment horizontal="center"/>
    </xf>
    <xf numFmtId="0" fontId="30" fillId="11" borderId="31" xfId="1" applyFont="1" applyFill="1" applyBorder="1" applyAlignment="1">
      <alignment horizontal="center"/>
    </xf>
    <xf numFmtId="0" fontId="30" fillId="11" borderId="30" xfId="1" applyFont="1" applyFill="1" applyBorder="1" applyAlignment="1">
      <alignment horizontal="center"/>
    </xf>
    <xf numFmtId="0" fontId="5" fillId="2" borderId="4" xfId="1" applyFont="1" applyFill="1" applyBorder="1" applyAlignment="1">
      <alignment horizontal="center"/>
    </xf>
    <xf numFmtId="0" fontId="5" fillId="2" borderId="31" xfId="1" applyFont="1" applyFill="1" applyBorder="1" applyAlignment="1">
      <alignment horizontal="center"/>
    </xf>
    <xf numFmtId="0" fontId="5" fillId="2" borderId="30" xfId="1" applyFont="1" applyFill="1" applyBorder="1" applyAlignment="1">
      <alignment horizontal="center"/>
    </xf>
    <xf numFmtId="0" fontId="0" fillId="2" borderId="55" xfId="0" applyFill="1" applyBorder="1"/>
    <xf numFmtId="0" fontId="0" fillId="2" borderId="0" xfId="0" applyFill="1"/>
    <xf numFmtId="0" fontId="0" fillId="2" borderId="40" xfId="0" applyFill="1" applyBorder="1"/>
    <xf numFmtId="0" fontId="0" fillId="2" borderId="52" xfId="0" applyFill="1" applyBorder="1"/>
    <xf numFmtId="0" fontId="0" fillId="2" borderId="53" xfId="0" applyFill="1" applyBorder="1"/>
    <xf numFmtId="0" fontId="0" fillId="2" borderId="54" xfId="0" applyFill="1" applyBorder="1"/>
    <xf numFmtId="0" fontId="31" fillId="2" borderId="55" xfId="4" applyFill="1" applyBorder="1" applyAlignment="1"/>
    <xf numFmtId="0" fontId="31" fillId="2" borderId="0" xfId="4" applyFill="1" applyBorder="1" applyAlignment="1"/>
    <xf numFmtId="0" fontId="31" fillId="2" borderId="40" xfId="4" applyFill="1" applyBorder="1" applyAlignment="1"/>
    <xf numFmtId="0" fontId="0" fillId="2" borderId="55" xfId="0" applyFill="1" applyBorder="1" applyAlignment="1">
      <alignment horizontal="center" vertical="center"/>
    </xf>
    <xf numFmtId="0" fontId="0" fillId="2" borderId="0" xfId="0" applyFill="1" applyAlignment="1">
      <alignment horizontal="center" vertical="center"/>
    </xf>
    <xf numFmtId="0" fontId="0" fillId="2" borderId="40" xfId="0" applyFill="1" applyBorder="1" applyAlignment="1">
      <alignment horizontal="center" vertical="center"/>
    </xf>
    <xf numFmtId="0" fontId="39" fillId="2" borderId="55" xfId="0" applyFont="1" applyFill="1" applyBorder="1" applyAlignment="1">
      <alignment horizontal="center" vertical="center"/>
    </xf>
    <xf numFmtId="0" fontId="39" fillId="2" borderId="40" xfId="0" applyFont="1" applyFill="1" applyBorder="1" applyAlignment="1">
      <alignment horizontal="center" vertical="center"/>
    </xf>
    <xf numFmtId="0" fontId="31" fillId="2" borderId="56" xfId="4" applyFill="1" applyBorder="1" applyAlignment="1"/>
    <xf numFmtId="0" fontId="31" fillId="2" borderId="39" xfId="4" applyFill="1" applyBorder="1" applyAlignment="1"/>
    <xf numFmtId="0" fontId="31" fillId="2" borderId="57" xfId="4" applyFill="1" applyBorder="1" applyAlignment="1"/>
    <xf numFmtId="0" fontId="36" fillId="2" borderId="55" xfId="0" applyFont="1" applyFill="1" applyBorder="1" applyAlignment="1">
      <alignment vertical="center"/>
    </xf>
    <xf numFmtId="0" fontId="36" fillId="2" borderId="0" xfId="0" applyFont="1" applyFill="1" applyAlignment="1">
      <alignment vertical="center"/>
    </xf>
    <xf numFmtId="0" fontId="36" fillId="2" borderId="40" xfId="0" applyFont="1" applyFill="1" applyBorder="1" applyAlignment="1">
      <alignment vertical="center"/>
    </xf>
    <xf numFmtId="0" fontId="0" fillId="2" borderId="58" xfId="0" applyFill="1" applyBorder="1"/>
    <xf numFmtId="0" fontId="0" fillId="2" borderId="59" xfId="0" applyFill="1" applyBorder="1"/>
    <xf numFmtId="0" fontId="0" fillId="2" borderId="44" xfId="0" applyFill="1" applyBorder="1"/>
    <xf numFmtId="0" fontId="0" fillId="2" borderId="56" xfId="0" applyFill="1" applyBorder="1" applyAlignment="1">
      <alignment horizontal="center" vertical="center"/>
    </xf>
    <xf numFmtId="0" fontId="0" fillId="2" borderId="39" xfId="0" applyFill="1" applyBorder="1" applyAlignment="1">
      <alignment horizontal="center" vertical="center"/>
    </xf>
    <xf numFmtId="0" fontId="0" fillId="2" borderId="57" xfId="0" applyFill="1" applyBorder="1" applyAlignment="1">
      <alignment horizontal="center" vertical="center"/>
    </xf>
    <xf numFmtId="0" fontId="0" fillId="2" borderId="58" xfId="0" applyFill="1" applyBorder="1" applyAlignment="1">
      <alignment horizontal="center" vertical="center"/>
    </xf>
    <xf numFmtId="0" fontId="0" fillId="2" borderId="59" xfId="0" applyFill="1" applyBorder="1" applyAlignment="1">
      <alignment horizontal="center" vertical="center"/>
    </xf>
    <xf numFmtId="0" fontId="0" fillId="2" borderId="44" xfId="0" applyFill="1" applyBorder="1" applyAlignment="1">
      <alignment horizontal="center" vertical="center"/>
    </xf>
    <xf numFmtId="0" fontId="36" fillId="2" borderId="52" xfId="0" applyFont="1" applyFill="1" applyBorder="1" applyAlignment="1">
      <alignment vertical="center"/>
    </xf>
    <xf numFmtId="0" fontId="36" fillId="2" borderId="53" xfId="0" applyFont="1" applyFill="1" applyBorder="1" applyAlignment="1">
      <alignment vertical="center"/>
    </xf>
    <xf numFmtId="0" fontId="36" fillId="2" borderId="54" xfId="0" applyFont="1" applyFill="1" applyBorder="1" applyAlignment="1">
      <alignment vertical="center"/>
    </xf>
    <xf numFmtId="0" fontId="31" fillId="2" borderId="55" xfId="4" applyFill="1" applyBorder="1" applyAlignment="1">
      <alignment horizontal="left" vertical="top" wrapText="1"/>
    </xf>
    <xf numFmtId="0" fontId="31" fillId="2" borderId="0" xfId="4" applyFill="1" applyBorder="1" applyAlignment="1">
      <alignment horizontal="left" vertical="top" wrapText="1"/>
    </xf>
    <xf numFmtId="0" fontId="31" fillId="2" borderId="40" xfId="4" applyFill="1" applyBorder="1" applyAlignment="1">
      <alignment horizontal="left" vertical="top" wrapText="1"/>
    </xf>
    <xf numFmtId="0" fontId="0" fillId="2" borderId="52" xfId="0" applyFill="1" applyBorder="1" applyAlignment="1">
      <alignment horizontal="center" vertical="center"/>
    </xf>
    <xf numFmtId="0" fontId="0" fillId="2" borderId="53" xfId="0" applyFill="1" applyBorder="1" applyAlignment="1">
      <alignment horizontal="center" vertical="center"/>
    </xf>
    <xf numFmtId="0" fontId="0" fillId="2" borderId="54" xfId="0" applyFill="1" applyBorder="1" applyAlignment="1">
      <alignment horizontal="center" vertical="center"/>
    </xf>
  </cellXfs>
  <cellStyles count="7">
    <cellStyle name="Bad" xfId="6" builtinId="27"/>
    <cellStyle name="Comma" xfId="5" builtinId="3"/>
    <cellStyle name="Hyperlink" xfId="4" builtinId="8"/>
    <cellStyle name="Normal" xfId="0" builtinId="0"/>
    <cellStyle name="Normal 2" xfId="1" xr:uid="{00000000-0005-0000-0000-000001000000}"/>
    <cellStyle name="Note" xfId="2" builtinId="10"/>
    <cellStyle name="Per cent" xfId="3" builtinId="5"/>
  </cellStyles>
  <dxfs count="59">
    <dxf>
      <fill>
        <patternFill>
          <bgColor rgb="FFC7E6A4"/>
        </patternFill>
      </fill>
    </dxf>
    <dxf>
      <fill>
        <patternFill>
          <bgColor rgb="FFC7E6A4"/>
        </patternFill>
      </fill>
    </dxf>
    <dxf>
      <fill>
        <patternFill>
          <bgColor rgb="FFC7E6A4"/>
        </patternFill>
      </fill>
    </dxf>
    <dxf>
      <fill>
        <patternFill>
          <bgColor rgb="FFC7E6A4"/>
        </patternFill>
      </fill>
    </dxf>
    <dxf>
      <fill>
        <patternFill>
          <bgColor rgb="FFC7E6A4"/>
        </patternFill>
      </fill>
    </dxf>
    <dxf>
      <fill>
        <patternFill>
          <bgColor rgb="FFC7E6A4"/>
        </patternFill>
      </fill>
    </dxf>
    <dxf>
      <fill>
        <patternFill>
          <bgColor rgb="FFFF9999"/>
        </patternFill>
      </fill>
    </dxf>
    <dxf>
      <fill>
        <patternFill>
          <bgColor rgb="FFC7E6A4"/>
        </patternFill>
      </fill>
    </dxf>
    <dxf>
      <fill>
        <patternFill>
          <bgColor rgb="FFFF9999"/>
        </patternFill>
      </fill>
    </dxf>
    <dxf>
      <fill>
        <patternFill>
          <bgColor rgb="FFC7E6A4"/>
        </patternFill>
      </fill>
    </dxf>
    <dxf>
      <fill>
        <patternFill>
          <bgColor rgb="FFFF9999"/>
        </patternFill>
      </fill>
    </dxf>
    <dxf>
      <fill>
        <patternFill>
          <bgColor rgb="FFC7E6A4"/>
        </patternFill>
      </fill>
    </dxf>
    <dxf>
      <fill>
        <patternFill>
          <bgColor rgb="FFFF9999"/>
        </patternFill>
      </fill>
    </dxf>
    <dxf>
      <fill>
        <patternFill>
          <bgColor rgb="FFC7E6A4"/>
        </patternFill>
      </fill>
    </dxf>
    <dxf>
      <fill>
        <patternFill>
          <bgColor rgb="FFC7E6A4"/>
        </patternFill>
      </fill>
    </dxf>
    <dxf>
      <fill>
        <patternFill>
          <bgColor rgb="FFFF9999"/>
        </patternFill>
      </fill>
    </dxf>
    <dxf>
      <fill>
        <patternFill>
          <bgColor rgb="FFFF9999"/>
        </patternFill>
      </fill>
    </dxf>
    <dxf>
      <fill>
        <patternFill>
          <bgColor rgb="FFC7E6A4"/>
        </patternFill>
      </fill>
    </dxf>
    <dxf>
      <fill>
        <patternFill>
          <bgColor rgb="FFFF9999"/>
        </patternFill>
      </fill>
    </dxf>
    <dxf>
      <fill>
        <patternFill>
          <bgColor rgb="FFC7E6A4"/>
        </patternFill>
      </fill>
    </dxf>
    <dxf>
      <fill>
        <patternFill>
          <bgColor rgb="FFFF9999"/>
        </patternFill>
      </fill>
    </dxf>
    <dxf>
      <fill>
        <patternFill>
          <bgColor rgb="FFC7E6A4"/>
        </patternFill>
      </fill>
    </dxf>
    <dxf>
      <fill>
        <patternFill>
          <bgColor rgb="FFFF9999"/>
        </patternFill>
      </fill>
    </dxf>
    <dxf>
      <fill>
        <patternFill>
          <bgColor rgb="FFC7E6A4"/>
        </patternFill>
      </fill>
    </dxf>
    <dxf>
      <fill>
        <patternFill>
          <bgColor rgb="FFFF7C80"/>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C7E6A4"/>
        </patternFill>
      </fill>
    </dxf>
    <dxf>
      <fill>
        <patternFill>
          <bgColor rgb="FFFF9999"/>
        </patternFill>
      </fill>
    </dxf>
    <dxf>
      <fill>
        <patternFill>
          <bgColor rgb="FFC7E6A4"/>
        </patternFill>
      </fill>
    </dxf>
    <dxf>
      <fill>
        <patternFill>
          <bgColor rgb="FFFF9999"/>
        </patternFill>
      </fill>
    </dxf>
    <dxf>
      <fill>
        <patternFill>
          <bgColor rgb="FFC7E6A4"/>
        </patternFill>
      </fill>
    </dxf>
    <dxf>
      <fill>
        <patternFill>
          <bgColor rgb="FFFF9999"/>
        </patternFill>
      </fill>
    </dxf>
    <dxf>
      <fill>
        <patternFill>
          <bgColor rgb="FFC7E6A4"/>
        </patternFill>
      </fill>
    </dxf>
    <dxf>
      <fill>
        <patternFill>
          <bgColor rgb="FFFF9999"/>
        </patternFill>
      </fill>
    </dxf>
    <dxf>
      <fill>
        <patternFill>
          <bgColor rgb="FFC7E6A4"/>
        </patternFill>
      </fill>
    </dxf>
    <dxf>
      <fill>
        <patternFill>
          <bgColor rgb="FFC7E6A4"/>
        </patternFill>
      </fill>
    </dxf>
    <dxf>
      <fill>
        <patternFill>
          <bgColor rgb="FFFF9999"/>
        </patternFill>
      </fill>
    </dxf>
    <dxf>
      <fill>
        <patternFill>
          <bgColor rgb="FFC7E6A4"/>
        </patternFill>
      </fill>
    </dxf>
    <dxf>
      <fill>
        <patternFill>
          <bgColor rgb="FFFF9999"/>
        </patternFill>
      </fill>
    </dxf>
    <dxf>
      <fill>
        <patternFill>
          <bgColor rgb="FFFF9999"/>
        </patternFill>
      </fill>
    </dxf>
    <dxf>
      <fill>
        <patternFill>
          <bgColor rgb="FFC7E6A4"/>
        </patternFill>
      </fill>
    </dxf>
    <dxf>
      <fill>
        <patternFill>
          <bgColor rgb="FFC7E6A4"/>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s>
  <tableStyles count="0" defaultTableStyle="TableStyleMedium2" defaultPivotStyle="PivotStyleLight16"/>
  <colors>
    <mruColors>
      <color rgb="FFCCECFF"/>
      <color rgb="FFFF9999"/>
      <color rgb="FFFF7C80"/>
      <color rgb="FFC7E6A4"/>
      <color rgb="FF66FF66"/>
      <color rgb="FF33CC33"/>
      <color rgb="FFFF5050"/>
      <color rgb="FF74C476"/>
      <color rgb="FF99CCFF"/>
      <color rgb="FF248B4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1"/>
        <c:ser>
          <c:idx val="0"/>
          <c:order val="0"/>
          <c:tx>
            <c:v>Figur 1: CO2e-udledning i ton (scope 1+2+3) fordelt på hovedkategorier</c:v>
          </c:tx>
          <c:spPr>
            <a:solidFill>
              <a:srgbClr val="08306B"/>
            </a:solidFill>
            <a:ln>
              <a:noFill/>
            </a:ln>
          </c:spPr>
          <c:invertIfNegative val="0"/>
          <c:dPt>
            <c:idx val="0"/>
            <c:invertIfNegative val="0"/>
            <c:bubble3D val="0"/>
            <c:spPr>
              <a:solidFill>
                <a:srgbClr val="08306B"/>
              </a:solidFill>
              <a:ln>
                <a:noFill/>
              </a:ln>
              <a:effectLst/>
            </c:spPr>
            <c:extLst>
              <c:ext xmlns:c16="http://schemas.microsoft.com/office/drawing/2014/chart" uri="{C3380CC4-5D6E-409C-BE32-E72D297353CC}">
                <c16:uniqueId val="{00000001-6946-48A8-8293-E29C385AB708}"/>
              </c:ext>
            </c:extLst>
          </c:dPt>
          <c:dPt>
            <c:idx val="1"/>
            <c:invertIfNegative val="0"/>
            <c:bubble3D val="0"/>
            <c:spPr>
              <a:solidFill>
                <a:srgbClr val="1F72B6"/>
              </a:solidFill>
              <a:ln>
                <a:noFill/>
              </a:ln>
              <a:effectLst/>
            </c:spPr>
            <c:extLst>
              <c:ext xmlns:c16="http://schemas.microsoft.com/office/drawing/2014/chart" uri="{C3380CC4-5D6E-409C-BE32-E72D297353CC}">
                <c16:uniqueId val="{00000003-6946-48A8-8293-E29C385AB708}"/>
              </c:ext>
            </c:extLst>
          </c:dPt>
          <c:dPt>
            <c:idx val="2"/>
            <c:invertIfNegative val="0"/>
            <c:bubble3D val="0"/>
            <c:spPr>
              <a:solidFill>
                <a:srgbClr val="6BAFD6"/>
              </a:solidFill>
              <a:ln>
                <a:noFill/>
              </a:ln>
              <a:effectLst/>
            </c:spPr>
            <c:extLst>
              <c:ext xmlns:c16="http://schemas.microsoft.com/office/drawing/2014/chart" uri="{C3380CC4-5D6E-409C-BE32-E72D297353CC}">
                <c16:uniqueId val="{00000005-6946-48A8-8293-E29C385AB708}"/>
              </c:ext>
            </c:extLst>
          </c:dPt>
          <c:dPt>
            <c:idx val="3"/>
            <c:invertIfNegative val="0"/>
            <c:bubble3D val="0"/>
            <c:spPr>
              <a:solidFill>
                <a:srgbClr val="9FC9DF"/>
              </a:solidFill>
              <a:ln>
                <a:noFill/>
              </a:ln>
              <a:effectLst/>
            </c:spPr>
            <c:extLst>
              <c:ext xmlns:c16="http://schemas.microsoft.com/office/drawing/2014/chart" uri="{C3380CC4-5D6E-409C-BE32-E72D297353CC}">
                <c16:uniqueId val="{00000007-6946-48A8-8293-E29C385AB708}"/>
              </c:ext>
            </c:extLst>
          </c:dPt>
          <c:dPt>
            <c:idx val="4"/>
            <c:invertIfNegative val="0"/>
            <c:bubble3D val="0"/>
            <c:spPr>
              <a:solidFill>
                <a:srgbClr val="C6DBF9"/>
              </a:solidFill>
              <a:ln>
                <a:noFill/>
              </a:ln>
              <a:effectLst/>
            </c:spPr>
            <c:extLst>
              <c:ext xmlns:c16="http://schemas.microsoft.com/office/drawing/2014/chart" uri="{C3380CC4-5D6E-409C-BE32-E72D297353CC}">
                <c16:uniqueId val="{00000009-6946-48A8-8293-E29C385AB70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a-D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Hovedresultater!$C$24:$C$28</c:f>
              <c:strCache>
                <c:ptCount val="5"/>
                <c:pt idx="0">
                  <c:v>Energi og processer</c:v>
                </c:pt>
                <c:pt idx="1">
                  <c:v>Indkøb</c:v>
                </c:pt>
                <c:pt idx="2">
                  <c:v>Transport</c:v>
                </c:pt>
                <c:pt idx="3">
                  <c:v>Affald og genbrug</c:v>
                </c:pt>
                <c:pt idx="4">
                  <c:v>Solgte produkter</c:v>
                </c:pt>
              </c:strCache>
            </c:strRef>
          </c:cat>
          <c:val>
            <c:numRef>
              <c:f>Hovedresultater!$D$24:$D$28</c:f>
              <c:numCache>
                <c:formatCode>#,##0.00</c:formatCode>
                <c:ptCount val="5"/>
                <c:pt idx="0">
                  <c:v>2699.8361128161005</c:v>
                </c:pt>
                <c:pt idx="1">
                  <c:v>6765.5856396935997</c:v>
                </c:pt>
                <c:pt idx="2">
                  <c:v>765.18680574479993</c:v>
                </c:pt>
                <c:pt idx="3">
                  <c:v>0</c:v>
                </c:pt>
                <c:pt idx="4">
                  <c:v>0</c:v>
                </c:pt>
              </c:numCache>
            </c:numRef>
          </c:val>
          <c:extLst>
            <c:ext xmlns:c16="http://schemas.microsoft.com/office/drawing/2014/chart" uri="{C3380CC4-5D6E-409C-BE32-E72D297353CC}">
              <c16:uniqueId val="{00000000-D508-44BC-9F9B-4C8E5071D701}"/>
            </c:ext>
          </c:extLst>
        </c:ser>
        <c:dLbls>
          <c:showLegendKey val="0"/>
          <c:showVal val="0"/>
          <c:showCatName val="0"/>
          <c:showSerName val="0"/>
          <c:showPercent val="0"/>
          <c:showBubbleSize val="0"/>
        </c:dLbls>
        <c:gapWidth val="219"/>
        <c:overlap val="-27"/>
        <c:axId val="387987176"/>
        <c:axId val="387987504"/>
      </c:barChart>
      <c:catAx>
        <c:axId val="3879871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387987504"/>
        <c:crosses val="autoZero"/>
        <c:auto val="1"/>
        <c:lblAlgn val="ctr"/>
        <c:lblOffset val="100"/>
        <c:noMultiLvlLbl val="0"/>
      </c:catAx>
      <c:valAx>
        <c:axId val="387987504"/>
        <c:scaling>
          <c:orientation val="minMax"/>
        </c:scaling>
        <c:delete val="0"/>
        <c:axPos val="l"/>
        <c:title>
          <c:tx>
            <c:strRef>
              <c:f>Tekstnøgler!$C$582</c:f>
              <c:strCache>
                <c:ptCount val="1"/>
                <c:pt idx="0">
                  <c:v>ton CO₂e</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a-DK"/>
            </a:p>
          </c:txPr>
        </c:title>
        <c:numFmt formatCode="#,##0.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3879871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1"/>
          <c:order val="0"/>
          <c:tx>
            <c:v>Figur 2: Procentfordeling af CO2e-udledning (scope 1+2+3) fordelt på hovedkategorier</c:v>
          </c:tx>
          <c:spPr>
            <a:ln w="3175">
              <a:noFill/>
            </a:ln>
          </c:spPr>
          <c:dPt>
            <c:idx val="0"/>
            <c:bubble3D val="0"/>
            <c:spPr>
              <a:solidFill>
                <a:srgbClr val="08306B"/>
              </a:solidFill>
              <a:ln w="3175">
                <a:noFill/>
              </a:ln>
              <a:effectLst/>
            </c:spPr>
            <c:extLst>
              <c:ext xmlns:c16="http://schemas.microsoft.com/office/drawing/2014/chart" uri="{C3380CC4-5D6E-409C-BE32-E72D297353CC}">
                <c16:uniqueId val="{00000001-0A75-47AA-91DE-9FB0F5793F76}"/>
              </c:ext>
            </c:extLst>
          </c:dPt>
          <c:dPt>
            <c:idx val="1"/>
            <c:bubble3D val="0"/>
            <c:spPr>
              <a:solidFill>
                <a:srgbClr val="1F72B6"/>
              </a:solidFill>
              <a:ln w="3175">
                <a:noFill/>
              </a:ln>
              <a:effectLst/>
            </c:spPr>
            <c:extLst>
              <c:ext xmlns:c16="http://schemas.microsoft.com/office/drawing/2014/chart" uri="{C3380CC4-5D6E-409C-BE32-E72D297353CC}">
                <c16:uniqueId val="{00000003-0A75-47AA-91DE-9FB0F5793F76}"/>
              </c:ext>
            </c:extLst>
          </c:dPt>
          <c:dPt>
            <c:idx val="2"/>
            <c:bubble3D val="0"/>
            <c:spPr>
              <a:solidFill>
                <a:srgbClr val="6BAFD6"/>
              </a:solidFill>
              <a:ln w="3175">
                <a:noFill/>
              </a:ln>
              <a:effectLst/>
            </c:spPr>
            <c:extLst>
              <c:ext xmlns:c16="http://schemas.microsoft.com/office/drawing/2014/chart" uri="{C3380CC4-5D6E-409C-BE32-E72D297353CC}">
                <c16:uniqueId val="{00000005-0A75-47AA-91DE-9FB0F5793F76}"/>
              </c:ext>
            </c:extLst>
          </c:dPt>
          <c:dPt>
            <c:idx val="3"/>
            <c:bubble3D val="0"/>
            <c:spPr>
              <a:solidFill>
                <a:srgbClr val="9FC9DF"/>
              </a:solidFill>
              <a:ln w="3175">
                <a:noFill/>
              </a:ln>
              <a:effectLst/>
            </c:spPr>
            <c:extLst>
              <c:ext xmlns:c16="http://schemas.microsoft.com/office/drawing/2014/chart" uri="{C3380CC4-5D6E-409C-BE32-E72D297353CC}">
                <c16:uniqueId val="{00000007-0A75-47AA-91DE-9FB0F5793F76}"/>
              </c:ext>
            </c:extLst>
          </c:dPt>
          <c:dPt>
            <c:idx val="4"/>
            <c:bubble3D val="0"/>
            <c:spPr>
              <a:solidFill>
                <a:srgbClr val="C6DBF0"/>
              </a:solidFill>
              <a:ln w="3175">
                <a:noFill/>
              </a:ln>
              <a:effectLst/>
            </c:spPr>
            <c:extLst>
              <c:ext xmlns:c16="http://schemas.microsoft.com/office/drawing/2014/chart" uri="{C3380CC4-5D6E-409C-BE32-E72D297353CC}">
                <c16:uniqueId val="{00000009-0A75-47AA-91DE-9FB0F5793F7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a-DK"/>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Hovedresultater!$C$24:$C$28</c:f>
              <c:strCache>
                <c:ptCount val="5"/>
                <c:pt idx="0">
                  <c:v>Energi og processer</c:v>
                </c:pt>
                <c:pt idx="1">
                  <c:v>Indkøb</c:v>
                </c:pt>
                <c:pt idx="2">
                  <c:v>Transport</c:v>
                </c:pt>
                <c:pt idx="3">
                  <c:v>Affald og genbrug</c:v>
                </c:pt>
                <c:pt idx="4">
                  <c:v>Solgte produkter</c:v>
                </c:pt>
              </c:strCache>
            </c:strRef>
          </c:cat>
          <c:val>
            <c:numRef>
              <c:f>Hovedresultater!$E$24:$E$28</c:f>
              <c:numCache>
                <c:formatCode>0.00%</c:formatCode>
                <c:ptCount val="5"/>
                <c:pt idx="0">
                  <c:v>0.26389789986029277</c:v>
                </c:pt>
                <c:pt idx="1">
                  <c:v>0.66130823021616159</c:v>
                </c:pt>
                <c:pt idx="2">
                  <c:v>7.4793869923545642E-2</c:v>
                </c:pt>
                <c:pt idx="3">
                  <c:v>0</c:v>
                </c:pt>
                <c:pt idx="4">
                  <c:v>0</c:v>
                </c:pt>
              </c:numCache>
            </c:numRef>
          </c:val>
          <c:extLst>
            <c:ext xmlns:c16="http://schemas.microsoft.com/office/drawing/2014/chart" uri="{C3380CC4-5D6E-409C-BE32-E72D297353CC}">
              <c16:uniqueId val="{00000001-562D-464F-BEE7-615E9C301BDF}"/>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noFill/>
      <a:round/>
    </a:ln>
    <a:effectLst/>
  </c:spPr>
  <c:txPr>
    <a:bodyPr/>
    <a:lstStyle/>
    <a:p>
      <a:pPr>
        <a:defRPr/>
      </a:pPr>
      <a:endParaRPr lang="da-DK"/>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1"/>
        <c:ser>
          <c:idx val="0"/>
          <c:order val="0"/>
          <c:tx>
            <c:v>Figur 3: CO2e-udledning i ton (scope 1+2+3 og udenfor scopes) fordelt på hovedkategorier</c:v>
          </c:tx>
          <c:spPr>
            <a:solidFill>
              <a:srgbClr val="08306B"/>
            </a:solidFill>
            <a:ln>
              <a:noFill/>
            </a:ln>
          </c:spPr>
          <c:invertIfNegative val="0"/>
          <c:dPt>
            <c:idx val="0"/>
            <c:invertIfNegative val="0"/>
            <c:bubble3D val="0"/>
            <c:spPr>
              <a:solidFill>
                <a:srgbClr val="08306B"/>
              </a:solidFill>
              <a:ln>
                <a:noFill/>
              </a:ln>
              <a:effectLst/>
            </c:spPr>
            <c:extLst>
              <c:ext xmlns:c16="http://schemas.microsoft.com/office/drawing/2014/chart" uri="{C3380CC4-5D6E-409C-BE32-E72D297353CC}">
                <c16:uniqueId val="{00000001-514B-4686-AF92-0EF1C02C4192}"/>
              </c:ext>
            </c:extLst>
          </c:dPt>
          <c:dPt>
            <c:idx val="1"/>
            <c:invertIfNegative val="0"/>
            <c:bubble3D val="0"/>
            <c:spPr>
              <a:solidFill>
                <a:srgbClr val="1F72B6"/>
              </a:solidFill>
              <a:ln>
                <a:noFill/>
              </a:ln>
              <a:effectLst/>
            </c:spPr>
            <c:extLst>
              <c:ext xmlns:c16="http://schemas.microsoft.com/office/drawing/2014/chart" uri="{C3380CC4-5D6E-409C-BE32-E72D297353CC}">
                <c16:uniqueId val="{00000003-514B-4686-AF92-0EF1C02C4192}"/>
              </c:ext>
            </c:extLst>
          </c:dPt>
          <c:dPt>
            <c:idx val="2"/>
            <c:invertIfNegative val="0"/>
            <c:bubble3D val="0"/>
            <c:spPr>
              <a:solidFill>
                <a:srgbClr val="6BAFD6"/>
              </a:solidFill>
              <a:ln>
                <a:noFill/>
              </a:ln>
              <a:effectLst/>
            </c:spPr>
            <c:extLst>
              <c:ext xmlns:c16="http://schemas.microsoft.com/office/drawing/2014/chart" uri="{C3380CC4-5D6E-409C-BE32-E72D297353CC}">
                <c16:uniqueId val="{00000005-514B-4686-AF92-0EF1C02C4192}"/>
              </c:ext>
            </c:extLst>
          </c:dPt>
          <c:dPt>
            <c:idx val="3"/>
            <c:invertIfNegative val="0"/>
            <c:bubble3D val="0"/>
            <c:spPr>
              <a:solidFill>
                <a:srgbClr val="9FC9DF"/>
              </a:solidFill>
              <a:ln>
                <a:noFill/>
              </a:ln>
              <a:effectLst/>
            </c:spPr>
            <c:extLst>
              <c:ext xmlns:c16="http://schemas.microsoft.com/office/drawing/2014/chart" uri="{C3380CC4-5D6E-409C-BE32-E72D297353CC}">
                <c16:uniqueId val="{00000007-514B-4686-AF92-0EF1C02C4192}"/>
              </c:ext>
            </c:extLst>
          </c:dPt>
          <c:dPt>
            <c:idx val="4"/>
            <c:invertIfNegative val="0"/>
            <c:bubble3D val="0"/>
            <c:spPr>
              <a:solidFill>
                <a:srgbClr val="C6DBF9"/>
              </a:solidFill>
              <a:ln>
                <a:noFill/>
              </a:ln>
              <a:effectLst/>
            </c:spPr>
            <c:extLst>
              <c:ext xmlns:c16="http://schemas.microsoft.com/office/drawing/2014/chart" uri="{C3380CC4-5D6E-409C-BE32-E72D297353CC}">
                <c16:uniqueId val="{00000009-514B-4686-AF92-0EF1C02C419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a-D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Hovedresultater!$C$24:$C$28</c:f>
              <c:strCache>
                <c:ptCount val="5"/>
                <c:pt idx="0">
                  <c:v>Energi og processer</c:v>
                </c:pt>
                <c:pt idx="1">
                  <c:v>Indkøb</c:v>
                </c:pt>
                <c:pt idx="2">
                  <c:v>Transport</c:v>
                </c:pt>
                <c:pt idx="3">
                  <c:v>Affald og genbrug</c:v>
                </c:pt>
                <c:pt idx="4">
                  <c:v>Solgte produkter</c:v>
                </c:pt>
              </c:strCache>
            </c:strRef>
          </c:cat>
          <c:val>
            <c:numRef>
              <c:f>Hovedresultater!$F$24:$F$28</c:f>
              <c:numCache>
                <c:formatCode>#,##0.00</c:formatCode>
                <c:ptCount val="5"/>
                <c:pt idx="0">
                  <c:v>137.48753816509998</c:v>
                </c:pt>
                <c:pt idx="1">
                  <c:v>0</c:v>
                </c:pt>
                <c:pt idx="2">
                  <c:v>41.952344429199997</c:v>
                </c:pt>
                <c:pt idx="3">
                  <c:v>-128.217817</c:v>
                </c:pt>
                <c:pt idx="4">
                  <c:v>-111.89732480000001</c:v>
                </c:pt>
              </c:numCache>
            </c:numRef>
          </c:val>
          <c:extLst>
            <c:ext xmlns:c16="http://schemas.microsoft.com/office/drawing/2014/chart" uri="{C3380CC4-5D6E-409C-BE32-E72D297353CC}">
              <c16:uniqueId val="{0000000A-514B-4686-AF92-0EF1C02C4192}"/>
            </c:ext>
          </c:extLst>
        </c:ser>
        <c:dLbls>
          <c:dLblPos val="outEnd"/>
          <c:showLegendKey val="0"/>
          <c:showVal val="1"/>
          <c:showCatName val="0"/>
          <c:showSerName val="0"/>
          <c:showPercent val="0"/>
          <c:showBubbleSize val="0"/>
        </c:dLbls>
        <c:gapWidth val="219"/>
        <c:overlap val="-27"/>
        <c:axId val="387987176"/>
        <c:axId val="387987504"/>
      </c:barChart>
      <c:catAx>
        <c:axId val="3879871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387987504"/>
        <c:crosses val="autoZero"/>
        <c:auto val="1"/>
        <c:lblAlgn val="ctr"/>
        <c:lblOffset val="100"/>
        <c:noMultiLvlLbl val="0"/>
      </c:catAx>
      <c:valAx>
        <c:axId val="387987504"/>
        <c:scaling>
          <c:orientation val="minMax"/>
        </c:scaling>
        <c:delete val="0"/>
        <c:axPos val="l"/>
        <c:title>
          <c:tx>
            <c:strRef>
              <c:f>Tekstnøgler!$C$582</c:f>
              <c:strCache>
                <c:ptCount val="1"/>
                <c:pt idx="0">
                  <c:v>ton CO₂e</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a-DK"/>
            </a:p>
          </c:txPr>
        </c:title>
        <c:numFmt formatCode="#,##0.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3879871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1"/>
        <c:ser>
          <c:idx val="0"/>
          <c:order val="0"/>
          <c:tx>
            <c:v>Figur 1:'Hovedresultater (GHG)'!$25:$25 Virksomhedens samlede CO2e-udledning i ton fordelt på scopes</c:v>
          </c:tx>
          <c:spPr>
            <a:ln>
              <a:noFill/>
            </a:ln>
          </c:spPr>
          <c:invertIfNegative val="0"/>
          <c:dPt>
            <c:idx val="0"/>
            <c:invertIfNegative val="0"/>
            <c:bubble3D val="0"/>
            <c:spPr>
              <a:solidFill>
                <a:srgbClr val="00441B"/>
              </a:solidFill>
              <a:ln>
                <a:noFill/>
              </a:ln>
              <a:effectLst/>
            </c:spPr>
            <c:extLst>
              <c:ext xmlns:c16="http://schemas.microsoft.com/office/drawing/2014/chart" uri="{C3380CC4-5D6E-409C-BE32-E72D297353CC}">
                <c16:uniqueId val="{00000001-4FAD-4DA3-9FD6-3F3CF81CC8B3}"/>
              </c:ext>
            </c:extLst>
          </c:dPt>
          <c:dPt>
            <c:idx val="1"/>
            <c:invertIfNegative val="0"/>
            <c:bubble3D val="0"/>
            <c:spPr>
              <a:solidFill>
                <a:srgbClr val="248B46"/>
              </a:solidFill>
              <a:ln>
                <a:noFill/>
              </a:ln>
              <a:effectLst/>
            </c:spPr>
            <c:extLst>
              <c:ext xmlns:c16="http://schemas.microsoft.com/office/drawing/2014/chart" uri="{C3380CC4-5D6E-409C-BE32-E72D297353CC}">
                <c16:uniqueId val="{00000003-4FAD-4DA3-9FD6-3F3CF81CC8B3}"/>
              </c:ext>
            </c:extLst>
          </c:dPt>
          <c:dPt>
            <c:idx val="2"/>
            <c:invertIfNegative val="0"/>
            <c:bubble3D val="0"/>
            <c:spPr>
              <a:solidFill>
                <a:srgbClr val="73C475"/>
              </a:solidFill>
              <a:ln>
                <a:noFill/>
              </a:ln>
              <a:effectLst/>
            </c:spPr>
            <c:extLst>
              <c:ext xmlns:c16="http://schemas.microsoft.com/office/drawing/2014/chart" uri="{C3380CC4-5D6E-409C-BE32-E72D297353CC}">
                <c16:uniqueId val="{00000005-4FAD-4DA3-9FD6-3F3CF81CC8B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a-D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'Hovedresultater (GHG)'!$C$22:$C$24</c:f>
              <c:strCache>
                <c:ptCount val="3"/>
                <c:pt idx="0">
                  <c:v>Scope 1</c:v>
                </c:pt>
                <c:pt idx="1">
                  <c:v>Scope 2</c:v>
                </c:pt>
                <c:pt idx="2">
                  <c:v>Scope 3</c:v>
                </c:pt>
              </c:strCache>
            </c:strRef>
          </c:cat>
          <c:val>
            <c:numRef>
              <c:f>'Hovedresultater (GHG)'!$D$22:$D$24</c:f>
              <c:numCache>
                <c:formatCode>#,##0.00</c:formatCode>
                <c:ptCount val="3"/>
                <c:pt idx="0">
                  <c:v>443.36484074510003</c:v>
                </c:pt>
                <c:pt idx="1">
                  <c:v>1851.7950000000001</c:v>
                </c:pt>
                <c:pt idx="2">
                  <c:v>7935.4487175093991</c:v>
                </c:pt>
              </c:numCache>
            </c:numRef>
          </c:val>
          <c:extLst>
            <c:ext xmlns:c16="http://schemas.microsoft.com/office/drawing/2014/chart" uri="{C3380CC4-5D6E-409C-BE32-E72D297353CC}">
              <c16:uniqueId val="{0000000A-4FAD-4DA3-9FD6-3F3CF81CC8B3}"/>
            </c:ext>
          </c:extLst>
        </c:ser>
        <c:dLbls>
          <c:showLegendKey val="0"/>
          <c:showVal val="0"/>
          <c:showCatName val="0"/>
          <c:showSerName val="0"/>
          <c:showPercent val="0"/>
          <c:showBubbleSize val="0"/>
        </c:dLbls>
        <c:gapWidth val="219"/>
        <c:overlap val="-27"/>
        <c:axId val="387987176"/>
        <c:axId val="387987504"/>
      </c:barChart>
      <c:catAx>
        <c:axId val="3879871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387987504"/>
        <c:crosses val="autoZero"/>
        <c:auto val="1"/>
        <c:lblAlgn val="ctr"/>
        <c:lblOffset val="100"/>
        <c:noMultiLvlLbl val="0"/>
      </c:catAx>
      <c:valAx>
        <c:axId val="387987504"/>
        <c:scaling>
          <c:orientation val="minMax"/>
        </c:scaling>
        <c:delete val="0"/>
        <c:axPos val="l"/>
        <c:title>
          <c:tx>
            <c:strRef>
              <c:f>Tekstnøgler!$C$582</c:f>
              <c:strCache>
                <c:ptCount val="1"/>
                <c:pt idx="0">
                  <c:v>ton CO₂e</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a-DK"/>
            </a:p>
          </c:txPr>
        </c:title>
        <c:numFmt formatCode="#,##0.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3879871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v>Figur 2: Procentfordeling af CO2e-udledning fordelt på scopes</c:v>
          </c:tx>
          <c:spPr>
            <a:ln>
              <a:noFill/>
            </a:ln>
          </c:spPr>
          <c:dPt>
            <c:idx val="0"/>
            <c:bubble3D val="0"/>
            <c:spPr>
              <a:solidFill>
                <a:srgbClr val="00441B"/>
              </a:solidFill>
              <a:ln>
                <a:noFill/>
              </a:ln>
              <a:effectLst/>
            </c:spPr>
            <c:extLst>
              <c:ext xmlns:c16="http://schemas.microsoft.com/office/drawing/2014/chart" uri="{C3380CC4-5D6E-409C-BE32-E72D297353CC}">
                <c16:uniqueId val="{00000001-AC3B-4DA1-A0BE-FEA4E7A4D1BD}"/>
              </c:ext>
            </c:extLst>
          </c:dPt>
          <c:dPt>
            <c:idx val="1"/>
            <c:bubble3D val="0"/>
            <c:spPr>
              <a:solidFill>
                <a:srgbClr val="248B46"/>
              </a:solidFill>
              <a:ln>
                <a:noFill/>
              </a:ln>
              <a:effectLst/>
            </c:spPr>
            <c:extLst>
              <c:ext xmlns:c16="http://schemas.microsoft.com/office/drawing/2014/chart" uri="{C3380CC4-5D6E-409C-BE32-E72D297353CC}">
                <c16:uniqueId val="{00000003-AC3B-4DA1-A0BE-FEA4E7A4D1BD}"/>
              </c:ext>
            </c:extLst>
          </c:dPt>
          <c:dPt>
            <c:idx val="2"/>
            <c:bubble3D val="0"/>
            <c:spPr>
              <a:solidFill>
                <a:srgbClr val="73C475"/>
              </a:solidFill>
              <a:ln>
                <a:noFill/>
              </a:ln>
              <a:effectLst/>
            </c:spPr>
            <c:extLst>
              <c:ext xmlns:c16="http://schemas.microsoft.com/office/drawing/2014/chart" uri="{C3380CC4-5D6E-409C-BE32-E72D297353CC}">
                <c16:uniqueId val="{00000005-AC3B-4DA1-A0BE-FEA4E7A4D1B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a-DK"/>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'Hovedresultater (GHG)'!$C$22:$C$24</c:f>
              <c:strCache>
                <c:ptCount val="3"/>
                <c:pt idx="0">
                  <c:v>Scope 1</c:v>
                </c:pt>
                <c:pt idx="1">
                  <c:v>Scope 2</c:v>
                </c:pt>
                <c:pt idx="2">
                  <c:v>Scope 3</c:v>
                </c:pt>
              </c:strCache>
            </c:strRef>
          </c:cat>
          <c:val>
            <c:numRef>
              <c:f>'Hovedresultater (GHG)'!$E$22:$E$24</c:f>
              <c:numCache>
                <c:formatCode>0.00%</c:formatCode>
                <c:ptCount val="3"/>
                <c:pt idx="0">
                  <c:v>4.3337093606946195E-2</c:v>
                </c:pt>
                <c:pt idx="1">
                  <c:v>0.1810053614558336</c:v>
                </c:pt>
                <c:pt idx="2">
                  <c:v>0.77565754493722028</c:v>
                </c:pt>
              </c:numCache>
            </c:numRef>
          </c:val>
          <c:extLst>
            <c:ext xmlns:c16="http://schemas.microsoft.com/office/drawing/2014/chart" uri="{C3380CC4-5D6E-409C-BE32-E72D297353CC}">
              <c16:uniqueId val="{00000006-AC3B-4DA1-A0BE-FEA4E7A4D1BD}"/>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882099338343162"/>
          <c:y val="3.1918748620547999E-2"/>
          <c:w val="0.84259007548010867"/>
          <c:h val="0.50078643044203242"/>
        </c:manualLayout>
      </c:layout>
      <c:barChart>
        <c:barDir val="col"/>
        <c:grouping val="clustered"/>
        <c:varyColors val="0"/>
        <c:ser>
          <c:idx val="0"/>
          <c:order val="0"/>
          <c:tx>
            <c:strRef>
              <c:f>'Scope 3 kategorier'!$D$22</c:f>
              <c:strCache>
                <c:ptCount val="1"/>
                <c:pt idx="0">
                  <c:v>Opstrøms</c:v>
                </c:pt>
              </c:strCache>
            </c:strRef>
          </c:tx>
          <c:spPr>
            <a:solidFill>
              <a:srgbClr val="25F1A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a-D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'Scope 3 kategorier'!$C$23:$C$35</c:f>
              <c:strCache>
                <c:ptCount val="13"/>
                <c:pt idx="0">
                  <c:v>1. Indkøb af varer og tjenesteydelser</c:v>
                </c:pt>
                <c:pt idx="1">
                  <c:v>2. Anlægsaktiver</c:v>
                </c:pt>
                <c:pt idx="2">
                  <c:v>3. Brændsels- og energirelaterede aktiviteter</c:v>
                </c:pt>
                <c:pt idx="3">
                  <c:v>4. Opstrømstransport og distribution</c:v>
                </c:pt>
                <c:pt idx="4">
                  <c:v>5. Affald fra drift</c:v>
                </c:pt>
                <c:pt idx="5">
                  <c:v>6. Forretningsrejser</c:v>
                </c:pt>
                <c:pt idx="6">
                  <c:v>7. Medarbejderpendling</c:v>
                </c:pt>
                <c:pt idx="7">
                  <c:v>8. Opstrøms leasede aktiver</c:v>
                </c:pt>
                <c:pt idx="8">
                  <c:v>9. Nedstrømstransport og distribution</c:v>
                </c:pt>
                <c:pt idx="9">
                  <c:v>10. Forarbejdning af solgte produkter</c:v>
                </c:pt>
                <c:pt idx="10">
                  <c:v>11. Brug af solgte produkter</c:v>
                </c:pt>
                <c:pt idx="11">
                  <c:v>12. Behandling af solgte produkter efter endt levetid</c:v>
                </c:pt>
                <c:pt idx="12">
                  <c:v>13. Nedstrøms leasede aktiver</c:v>
                </c:pt>
              </c:strCache>
            </c:strRef>
          </c:cat>
          <c:val>
            <c:numRef>
              <c:f>'Scope 3 kategorier'!$D$23:$D$35</c:f>
              <c:numCache>
                <c:formatCode>#,##0.00</c:formatCode>
                <c:ptCount val="13"/>
                <c:pt idx="0">
                  <c:v>6765.5856396935997</c:v>
                </c:pt>
                <c:pt idx="2">
                  <c:v>414.72539394220001</c:v>
                </c:pt>
                <c:pt idx="3">
                  <c:v>204.96</c:v>
                </c:pt>
                <c:pt idx="4">
                  <c:v>0</c:v>
                </c:pt>
                <c:pt idx="6">
                  <c:v>3.6176838735999999</c:v>
                </c:pt>
              </c:numCache>
            </c:numRef>
          </c:val>
          <c:extLst>
            <c:ext xmlns:c16="http://schemas.microsoft.com/office/drawing/2014/chart" uri="{C3380CC4-5D6E-409C-BE32-E72D297353CC}">
              <c16:uniqueId val="{00000000-6A5A-4DB9-BEFA-573127BF97CD}"/>
            </c:ext>
          </c:extLst>
        </c:ser>
        <c:ser>
          <c:idx val="1"/>
          <c:order val="1"/>
          <c:tx>
            <c:strRef>
              <c:f>'Scope 3 kategorier'!$E$22</c:f>
              <c:strCache>
                <c:ptCount val="1"/>
                <c:pt idx="0">
                  <c:v>Nedstrøms</c:v>
                </c:pt>
              </c:strCache>
            </c:strRef>
          </c:tx>
          <c:spPr>
            <a:solidFill>
              <a:srgbClr val="2B9A6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a-D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'Scope 3 kategorier'!$C$23:$C$35</c:f>
              <c:strCache>
                <c:ptCount val="13"/>
                <c:pt idx="0">
                  <c:v>1. Indkøb af varer og tjenesteydelser</c:v>
                </c:pt>
                <c:pt idx="1">
                  <c:v>2. Anlægsaktiver</c:v>
                </c:pt>
                <c:pt idx="2">
                  <c:v>3. Brændsels- og energirelaterede aktiviteter</c:v>
                </c:pt>
                <c:pt idx="3">
                  <c:v>4. Opstrømstransport og distribution</c:v>
                </c:pt>
                <c:pt idx="4">
                  <c:v>5. Affald fra drift</c:v>
                </c:pt>
                <c:pt idx="5">
                  <c:v>6. Forretningsrejser</c:v>
                </c:pt>
                <c:pt idx="6">
                  <c:v>7. Medarbejderpendling</c:v>
                </c:pt>
                <c:pt idx="7">
                  <c:v>8. Opstrøms leasede aktiver</c:v>
                </c:pt>
                <c:pt idx="8">
                  <c:v>9. Nedstrømstransport og distribution</c:v>
                </c:pt>
                <c:pt idx="9">
                  <c:v>10. Forarbejdning af solgte produkter</c:v>
                </c:pt>
                <c:pt idx="10">
                  <c:v>11. Brug af solgte produkter</c:v>
                </c:pt>
                <c:pt idx="11">
                  <c:v>12. Behandling af solgte produkter efter endt levetid</c:v>
                </c:pt>
                <c:pt idx="12">
                  <c:v>13. Nedstrøms leasede aktiver</c:v>
                </c:pt>
              </c:strCache>
            </c:strRef>
          </c:cat>
          <c:val>
            <c:numRef>
              <c:f>'Scope 3 kategorier'!$E$23:$E$35</c:f>
              <c:numCache>
                <c:formatCode>#,##0.00</c:formatCode>
                <c:ptCount val="13"/>
                <c:pt idx="8">
                  <c:v>546.55999999999995</c:v>
                </c:pt>
                <c:pt idx="11">
                  <c:v>0</c:v>
                </c:pt>
              </c:numCache>
            </c:numRef>
          </c:val>
          <c:extLst>
            <c:ext xmlns:c16="http://schemas.microsoft.com/office/drawing/2014/chart" uri="{C3380CC4-5D6E-409C-BE32-E72D297353CC}">
              <c16:uniqueId val="{00000001-6A5A-4DB9-BEFA-573127BF97CD}"/>
            </c:ext>
          </c:extLst>
        </c:ser>
        <c:dLbls>
          <c:showLegendKey val="0"/>
          <c:showVal val="0"/>
          <c:showCatName val="0"/>
          <c:showSerName val="0"/>
          <c:showPercent val="0"/>
          <c:showBubbleSize val="0"/>
        </c:dLbls>
        <c:gapWidth val="219"/>
        <c:overlap val="-27"/>
        <c:axId val="721699279"/>
        <c:axId val="721701359"/>
      </c:barChart>
      <c:catAx>
        <c:axId val="721699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721701359"/>
        <c:crosses val="autoZero"/>
        <c:auto val="1"/>
        <c:lblAlgn val="ctr"/>
        <c:lblOffset val="100"/>
        <c:noMultiLvlLbl val="0"/>
      </c:catAx>
      <c:valAx>
        <c:axId val="721701359"/>
        <c:scaling>
          <c:orientation val="minMax"/>
        </c:scaling>
        <c:delete val="0"/>
        <c:axPos val="l"/>
        <c:majorGridlines>
          <c:spPr>
            <a:ln w="9525" cap="flat" cmpd="sng" algn="ctr">
              <a:solidFill>
                <a:schemeClr val="tx1">
                  <a:lumMod val="15000"/>
                  <a:lumOff val="85000"/>
                </a:schemeClr>
              </a:solidFill>
              <a:round/>
            </a:ln>
            <a:effectLst/>
          </c:spPr>
        </c:majorGridlines>
        <c:title>
          <c:tx>
            <c:strRef>
              <c:f>Tekstnøgler!$C$582</c:f>
              <c:strCache>
                <c:ptCount val="1"/>
                <c:pt idx="0">
                  <c:v>ton CO₂e</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a-DK"/>
            </a:p>
          </c:txPr>
        </c:title>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7216992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'Største udledningsposter'!$E$40</c:f>
              <c:strCache>
                <c:ptCount val="1"/>
                <c:pt idx="0">
                  <c:v>Scope 1</c:v>
                </c:pt>
              </c:strCache>
            </c:strRef>
          </c:tx>
          <c:spPr>
            <a:solidFill>
              <a:srgbClr val="00441B"/>
            </a:solidFill>
            <a:ln>
              <a:noFill/>
            </a:ln>
            <a:effectLst/>
          </c:spPr>
          <c:invertIfNegative val="0"/>
          <c:cat>
            <c:strRef>
              <c:f>'Største udledningsposter'!$D$41:$D$48</c:f>
              <c:strCache>
                <c:ptCount val="8"/>
                <c:pt idx="0">
                  <c:v>Træ</c:v>
                </c:pt>
                <c:pt idx="1">
                  <c:v>Nyt glas</c:v>
                </c:pt>
                <c:pt idx="2">
                  <c:v>Elektricitet</c:v>
                </c:pt>
                <c:pt idx="3">
                  <c:v>Stål</c:v>
                </c:pt>
                <c:pt idx="4">
                  <c:v>Varetransport til ku</c:v>
                </c:pt>
                <c:pt idx="5">
                  <c:v>Varme</c:v>
                </c:pt>
                <c:pt idx="6">
                  <c:v>Transport til virk</c:v>
                </c:pt>
                <c:pt idx="7">
                  <c:v>Benzin</c:v>
                </c:pt>
              </c:strCache>
            </c:strRef>
          </c:cat>
          <c:val>
            <c:numRef>
              <c:f>'Største udledningsposter'!$E$41:$E$48</c:f>
              <c:numCache>
                <c:formatCode>#,##0.00</c:formatCode>
                <c:ptCount val="8"/>
                <c:pt idx="0">
                  <c:v>0</c:v>
                </c:pt>
                <c:pt idx="1">
                  <c:v>0</c:v>
                </c:pt>
                <c:pt idx="2">
                  <c:v>0</c:v>
                </c:pt>
                <c:pt idx="3">
                  <c:v>0</c:v>
                </c:pt>
                <c:pt idx="4">
                  <c:v>0</c:v>
                </c:pt>
                <c:pt idx="5">
                  <c:v>326.85819987560001</c:v>
                </c:pt>
                <c:pt idx="6">
                  <c:v>0</c:v>
                </c:pt>
                <c:pt idx="7">
                  <c:v>108.58750547779999</c:v>
                </c:pt>
              </c:numCache>
            </c:numRef>
          </c:val>
          <c:extLst>
            <c:ext xmlns:c16="http://schemas.microsoft.com/office/drawing/2014/chart" uri="{C3380CC4-5D6E-409C-BE32-E72D297353CC}">
              <c16:uniqueId val="{00000000-5DC8-4BC6-AC95-B2ED1A8BDBB0}"/>
            </c:ext>
          </c:extLst>
        </c:ser>
        <c:ser>
          <c:idx val="1"/>
          <c:order val="1"/>
          <c:tx>
            <c:strRef>
              <c:f>'Største udledningsposter'!$F$40</c:f>
              <c:strCache>
                <c:ptCount val="1"/>
                <c:pt idx="0">
                  <c:v>Scope 2</c:v>
                </c:pt>
              </c:strCache>
            </c:strRef>
          </c:tx>
          <c:spPr>
            <a:solidFill>
              <a:srgbClr val="248B46"/>
            </a:solidFill>
            <a:ln>
              <a:noFill/>
            </a:ln>
            <a:effectLst/>
          </c:spPr>
          <c:invertIfNegative val="0"/>
          <c:cat>
            <c:strRef>
              <c:f>'Største udledningsposter'!$D$41:$D$48</c:f>
              <c:strCache>
                <c:ptCount val="8"/>
                <c:pt idx="0">
                  <c:v>Træ</c:v>
                </c:pt>
                <c:pt idx="1">
                  <c:v>Nyt glas</c:v>
                </c:pt>
                <c:pt idx="2">
                  <c:v>Elektricitet</c:v>
                </c:pt>
                <c:pt idx="3">
                  <c:v>Stål</c:v>
                </c:pt>
                <c:pt idx="4">
                  <c:v>Varetransport til ku</c:v>
                </c:pt>
                <c:pt idx="5">
                  <c:v>Varme</c:v>
                </c:pt>
                <c:pt idx="6">
                  <c:v>Transport til virk</c:v>
                </c:pt>
                <c:pt idx="7">
                  <c:v>Benzin</c:v>
                </c:pt>
              </c:strCache>
            </c:strRef>
          </c:cat>
          <c:val>
            <c:numRef>
              <c:f>'Største udledningsposter'!$F$41:$F$48</c:f>
              <c:numCache>
                <c:formatCode>#,##0.00</c:formatCode>
                <c:ptCount val="8"/>
                <c:pt idx="0">
                  <c:v>0</c:v>
                </c:pt>
                <c:pt idx="1">
                  <c:v>0</c:v>
                </c:pt>
                <c:pt idx="2">
                  <c:v>1851.7950000000001</c:v>
                </c:pt>
                <c:pt idx="3">
                  <c:v>0</c:v>
                </c:pt>
                <c:pt idx="4">
                  <c:v>0</c:v>
                </c:pt>
                <c:pt idx="5">
                  <c:v>0</c:v>
                </c:pt>
                <c:pt idx="6">
                  <c:v>0</c:v>
                </c:pt>
                <c:pt idx="7">
                  <c:v>0</c:v>
                </c:pt>
              </c:numCache>
            </c:numRef>
          </c:val>
          <c:extLst>
            <c:ext xmlns:c16="http://schemas.microsoft.com/office/drawing/2014/chart" uri="{C3380CC4-5D6E-409C-BE32-E72D297353CC}">
              <c16:uniqueId val="{00000001-5DC8-4BC6-AC95-B2ED1A8BDBB0}"/>
            </c:ext>
          </c:extLst>
        </c:ser>
        <c:ser>
          <c:idx val="2"/>
          <c:order val="2"/>
          <c:tx>
            <c:strRef>
              <c:f>'Største udledningsposter'!$G$40</c:f>
              <c:strCache>
                <c:ptCount val="1"/>
                <c:pt idx="0">
                  <c:v>Scope 3</c:v>
                </c:pt>
              </c:strCache>
            </c:strRef>
          </c:tx>
          <c:spPr>
            <a:solidFill>
              <a:srgbClr val="74C476"/>
            </a:solidFill>
            <a:ln>
              <a:noFill/>
            </a:ln>
            <a:effectLst/>
          </c:spPr>
          <c:invertIfNegative val="0"/>
          <c:cat>
            <c:strRef>
              <c:f>'Største udledningsposter'!$D$41:$D$48</c:f>
              <c:strCache>
                <c:ptCount val="8"/>
                <c:pt idx="0">
                  <c:v>Træ</c:v>
                </c:pt>
                <c:pt idx="1">
                  <c:v>Nyt glas</c:v>
                </c:pt>
                <c:pt idx="2">
                  <c:v>Elektricitet</c:v>
                </c:pt>
                <c:pt idx="3">
                  <c:v>Stål</c:v>
                </c:pt>
                <c:pt idx="4">
                  <c:v>Varetransport til ku</c:v>
                </c:pt>
                <c:pt idx="5">
                  <c:v>Varme</c:v>
                </c:pt>
                <c:pt idx="6">
                  <c:v>Transport til virk</c:v>
                </c:pt>
                <c:pt idx="7">
                  <c:v>Benzin</c:v>
                </c:pt>
              </c:strCache>
            </c:strRef>
          </c:cat>
          <c:val>
            <c:numRef>
              <c:f>'Største udledningsposter'!$G$41:$G$48</c:f>
              <c:numCache>
                <c:formatCode>#,##0.00</c:formatCode>
                <c:ptCount val="8"/>
                <c:pt idx="0">
                  <c:v>3311.849181739</c:v>
                </c:pt>
                <c:pt idx="1">
                  <c:v>2500.1329999999998</c:v>
                </c:pt>
                <c:pt idx="2">
                  <c:v>331.10114552139999</c:v>
                </c:pt>
                <c:pt idx="3">
                  <c:v>948.94802137399995</c:v>
                </c:pt>
                <c:pt idx="4">
                  <c:v>546.55999999999995</c:v>
                </c:pt>
                <c:pt idx="5">
                  <c:v>52.287801000000002</c:v>
                </c:pt>
                <c:pt idx="6">
                  <c:v>204.96</c:v>
                </c:pt>
                <c:pt idx="7">
                  <c:v>29.206460941300001</c:v>
                </c:pt>
              </c:numCache>
            </c:numRef>
          </c:val>
          <c:extLst>
            <c:ext xmlns:c16="http://schemas.microsoft.com/office/drawing/2014/chart" uri="{C3380CC4-5D6E-409C-BE32-E72D297353CC}">
              <c16:uniqueId val="{00000002-5DC8-4BC6-AC95-B2ED1A8BDBB0}"/>
            </c:ext>
          </c:extLst>
        </c:ser>
        <c:dLbls>
          <c:showLegendKey val="0"/>
          <c:showVal val="0"/>
          <c:showCatName val="0"/>
          <c:showSerName val="0"/>
          <c:showPercent val="0"/>
          <c:showBubbleSize val="0"/>
        </c:dLbls>
        <c:gapWidth val="150"/>
        <c:overlap val="100"/>
        <c:axId val="539848543"/>
        <c:axId val="310913471"/>
        <c:extLst>
          <c:ext xmlns:c15="http://schemas.microsoft.com/office/drawing/2012/chart" uri="{02D57815-91ED-43cb-92C2-25804820EDAC}">
            <c15:filteredBarSeries>
              <c15:ser>
                <c:idx val="3"/>
                <c:order val="3"/>
                <c:tx>
                  <c:strRef>
                    <c:extLst>
                      <c:ext uri="{02D57815-91ED-43cb-92C2-25804820EDAC}">
                        <c15:formulaRef>
                          <c15:sqref>'Største udledningsposter'!$H$40</c15:sqref>
                        </c15:formulaRef>
                      </c:ext>
                    </c:extLst>
                    <c:strCache>
                      <c:ptCount val="1"/>
                      <c:pt idx="0">
                        <c:v>Scope 1, 2 og 3 udledning</c:v>
                      </c:pt>
                    </c:strCache>
                  </c:strRef>
                </c:tx>
                <c:spPr>
                  <a:solidFill>
                    <a:schemeClr val="accent4"/>
                  </a:solidFill>
                  <a:ln>
                    <a:noFill/>
                  </a:ln>
                  <a:effectLst/>
                </c:spPr>
                <c:invertIfNegative val="0"/>
                <c:cat>
                  <c:strRef>
                    <c:extLst>
                      <c:ext uri="{02D57815-91ED-43cb-92C2-25804820EDAC}">
                        <c15:formulaRef>
                          <c15:sqref>'Største udledningsposter'!$D$41:$D$48</c15:sqref>
                        </c15:formulaRef>
                      </c:ext>
                    </c:extLst>
                    <c:strCache>
                      <c:ptCount val="8"/>
                      <c:pt idx="0">
                        <c:v>Træ</c:v>
                      </c:pt>
                      <c:pt idx="1">
                        <c:v>Nyt glas</c:v>
                      </c:pt>
                      <c:pt idx="2">
                        <c:v>Elektricitet</c:v>
                      </c:pt>
                      <c:pt idx="3">
                        <c:v>Stål</c:v>
                      </c:pt>
                      <c:pt idx="4">
                        <c:v>Varetransport til ku</c:v>
                      </c:pt>
                      <c:pt idx="5">
                        <c:v>Varme</c:v>
                      </c:pt>
                      <c:pt idx="6">
                        <c:v>Transport til virk</c:v>
                      </c:pt>
                      <c:pt idx="7">
                        <c:v>Benzin</c:v>
                      </c:pt>
                    </c:strCache>
                  </c:strRef>
                </c:cat>
                <c:val>
                  <c:numRef>
                    <c:extLst>
                      <c:ext uri="{02D57815-91ED-43cb-92C2-25804820EDAC}">
                        <c15:formulaRef>
                          <c15:sqref>'Største udledningsposter'!$H$41:$H$48</c15:sqref>
                        </c15:formulaRef>
                      </c:ext>
                    </c:extLst>
                    <c:numCache>
                      <c:formatCode>#,##0.00</c:formatCode>
                      <c:ptCount val="8"/>
                      <c:pt idx="0">
                        <c:v>3311.849181739</c:v>
                      </c:pt>
                      <c:pt idx="1">
                        <c:v>2500.1329999999998</c:v>
                      </c:pt>
                      <c:pt idx="2">
                        <c:v>2182.8961455214003</c:v>
                      </c:pt>
                      <c:pt idx="3">
                        <c:v>948.94802137399995</c:v>
                      </c:pt>
                      <c:pt idx="4">
                        <c:v>546.55999999999995</c:v>
                      </c:pt>
                      <c:pt idx="5">
                        <c:v>379.14600087560001</c:v>
                      </c:pt>
                      <c:pt idx="6">
                        <c:v>204.96</c:v>
                      </c:pt>
                      <c:pt idx="7">
                        <c:v>137.7939664191</c:v>
                      </c:pt>
                    </c:numCache>
                  </c:numRef>
                </c:val>
                <c:extLst>
                  <c:ext xmlns:c16="http://schemas.microsoft.com/office/drawing/2014/chart" uri="{C3380CC4-5D6E-409C-BE32-E72D297353CC}">
                    <c16:uniqueId val="{00000003-5DC8-4BC6-AC95-B2ED1A8BDBB0}"/>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'Største udledningsposter'!$I$40</c15:sqref>
                        </c15:formulaRef>
                      </c:ext>
                    </c:extLst>
                    <c:strCache>
                      <c:ptCount val="1"/>
                      <c:pt idx="0">
                        <c:v>Procentdel af udledning i scope 1, 2 og 3</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'Største udledningsposter'!$D$41:$D$48</c15:sqref>
                        </c15:formulaRef>
                      </c:ext>
                    </c:extLst>
                    <c:strCache>
                      <c:ptCount val="8"/>
                      <c:pt idx="0">
                        <c:v>Træ</c:v>
                      </c:pt>
                      <c:pt idx="1">
                        <c:v>Nyt glas</c:v>
                      </c:pt>
                      <c:pt idx="2">
                        <c:v>Elektricitet</c:v>
                      </c:pt>
                      <c:pt idx="3">
                        <c:v>Stål</c:v>
                      </c:pt>
                      <c:pt idx="4">
                        <c:v>Varetransport til ku</c:v>
                      </c:pt>
                      <c:pt idx="5">
                        <c:v>Varme</c:v>
                      </c:pt>
                      <c:pt idx="6">
                        <c:v>Transport til virk</c:v>
                      </c:pt>
                      <c:pt idx="7">
                        <c:v>Benzin</c:v>
                      </c:pt>
                    </c:strCache>
                  </c:strRef>
                </c:cat>
                <c:val>
                  <c:numRef>
                    <c:extLst xmlns:c15="http://schemas.microsoft.com/office/drawing/2012/chart">
                      <c:ext xmlns:c15="http://schemas.microsoft.com/office/drawing/2012/chart" uri="{02D57815-91ED-43cb-92C2-25804820EDAC}">
                        <c15:formulaRef>
                          <c15:sqref>'Største udledningsposter'!$I$41:$I$48</c15:sqref>
                        </c15:formulaRef>
                      </c:ext>
                    </c:extLst>
                    <c:numCache>
                      <c:formatCode>0.00%</c:formatCode>
                      <c:ptCount val="8"/>
                      <c:pt idx="0">
                        <c:v>0.32371966563678717</c:v>
                      </c:pt>
                      <c:pt idx="1">
                        <c:v>0.24437774016705816</c:v>
                      </c:pt>
                      <c:pt idx="2">
                        <c:v>0.21336913958653464</c:v>
                      </c:pt>
                      <c:pt idx="3">
                        <c:v>9.2755774592543416E-2</c:v>
                      </c:pt>
                      <c:pt idx="4">
                        <c:v>5.3423996909647331E-2</c:v>
                      </c:pt>
                      <c:pt idx="5">
                        <c:v>3.7059965564774588E-2</c:v>
                      </c:pt>
                      <c:pt idx="6">
                        <c:v>2.0033998841117753E-2</c:v>
                      </c:pt>
                      <c:pt idx="7">
                        <c:v>1.3468794708983546E-2</c:v>
                      </c:pt>
                    </c:numCache>
                  </c:numRef>
                </c:val>
                <c:extLst xmlns:c15="http://schemas.microsoft.com/office/drawing/2012/chart">
                  <c:ext xmlns:c16="http://schemas.microsoft.com/office/drawing/2014/chart" uri="{C3380CC4-5D6E-409C-BE32-E72D297353CC}">
                    <c16:uniqueId val="{00000000-B480-4938-BDB6-8E6939E0780B}"/>
                  </c:ext>
                </c:extLst>
              </c15:ser>
            </c15:filteredBarSeries>
          </c:ext>
        </c:extLst>
      </c:barChart>
      <c:catAx>
        <c:axId val="539848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310913471"/>
        <c:crosses val="autoZero"/>
        <c:auto val="1"/>
        <c:lblAlgn val="ctr"/>
        <c:lblOffset val="100"/>
        <c:noMultiLvlLbl val="0"/>
      </c:catAx>
      <c:valAx>
        <c:axId val="310913471"/>
        <c:scaling>
          <c:orientation val="minMax"/>
        </c:scaling>
        <c:delete val="0"/>
        <c:axPos val="l"/>
        <c:majorGridlines>
          <c:spPr>
            <a:ln w="9525" cap="flat" cmpd="sng" algn="ctr">
              <a:solidFill>
                <a:schemeClr val="tx1">
                  <a:lumMod val="15000"/>
                  <a:lumOff val="85000"/>
                </a:schemeClr>
              </a:solidFill>
              <a:round/>
            </a:ln>
            <a:effectLst/>
          </c:spPr>
        </c:majorGridlines>
        <c:title>
          <c:tx>
            <c:strRef>
              <c:f>Tekstnøgler!$C$582</c:f>
              <c:strCache>
                <c:ptCount val="1"/>
                <c:pt idx="0">
                  <c:v>ton CO₂e</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a-DK"/>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5398485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'Fremskrivning - Hovedresultater'!$D$64</c:f>
              <c:strCache>
                <c:ptCount val="1"/>
                <c:pt idx="0">
                  <c:v>2015</c:v>
                </c:pt>
              </c:strCache>
            </c:strRef>
          </c:tx>
          <c:spPr>
            <a:solidFill>
              <a:srgbClr val="2171B5">
                <a:alpha val="29804"/>
              </a:srgbClr>
            </a:solidFill>
            <a:ln>
              <a:solidFill>
                <a:srgbClr val="08306B"/>
              </a:solidFill>
            </a:ln>
            <a:effectLst/>
          </c:spPr>
          <c:invertIfNegative val="0"/>
          <c:cat>
            <c:strRef>
              <c:extLst>
                <c:ext xmlns:c15="http://schemas.microsoft.com/office/drawing/2012/chart" uri="{02D57815-91ED-43cb-92C2-25804820EDAC}">
                  <c15:fullRef>
                    <c15:sqref>'Fremskrivning - Hovedresultater'!$C$64:$C$69</c15:sqref>
                  </c15:fullRef>
                </c:ext>
              </c:extLst>
              <c:f>'Fremskrivning - Hovedresultater'!$C$65:$C$69</c:f>
              <c:strCache>
                <c:ptCount val="5"/>
                <c:pt idx="0">
                  <c:v>Energi og processer</c:v>
                </c:pt>
                <c:pt idx="1">
                  <c:v>Indkøb</c:v>
                </c:pt>
                <c:pt idx="2">
                  <c:v>Transport</c:v>
                </c:pt>
                <c:pt idx="3">
                  <c:v>Affald og genbrug</c:v>
                </c:pt>
                <c:pt idx="4">
                  <c:v>Solgte produkter</c:v>
                </c:pt>
              </c:strCache>
            </c:strRef>
          </c:cat>
          <c:val>
            <c:numRef>
              <c:extLst>
                <c:ext xmlns:c15="http://schemas.microsoft.com/office/drawing/2012/chart" uri="{02D57815-91ED-43cb-92C2-25804820EDAC}">
                  <c15:fullRef>
                    <c15:sqref>'Fremskrivning - Hovedresultater'!$D$64:$D$69</c15:sqref>
                  </c15:fullRef>
                </c:ext>
              </c:extLst>
              <c:f>'Fremskrivning - Hovedresultater'!$D$65:$D$69</c:f>
              <c:numCache>
                <c:formatCode>#,##0.00</c:formatCode>
                <c:ptCount val="5"/>
                <c:pt idx="0">
                  <c:v>1000</c:v>
                </c:pt>
                <c:pt idx="1">
                  <c:v>1500</c:v>
                </c:pt>
                <c:pt idx="3">
                  <c:v>500</c:v>
                </c:pt>
                <c:pt idx="4">
                  <c:v>3000</c:v>
                </c:pt>
              </c:numCache>
            </c:numRef>
          </c:val>
          <c:extLst>
            <c:ext xmlns:c16="http://schemas.microsoft.com/office/drawing/2014/chart" uri="{C3380CC4-5D6E-409C-BE32-E72D297353CC}">
              <c16:uniqueId val="{00000000-2D97-44A7-9098-C71FECA379FB}"/>
            </c:ext>
          </c:extLst>
        </c:ser>
        <c:ser>
          <c:idx val="1"/>
          <c:order val="1"/>
          <c:tx>
            <c:strRef>
              <c:f>'Fremskrivning - Hovedresultater'!$E$64</c:f>
              <c:strCache>
                <c:ptCount val="1"/>
                <c:pt idx="0">
                  <c:v>2030</c:v>
                </c:pt>
              </c:strCache>
            </c:strRef>
          </c:tx>
          <c:spPr>
            <a:solidFill>
              <a:srgbClr val="08306B">
                <a:alpha val="80000"/>
              </a:srgbClr>
            </a:solidFill>
            <a:ln>
              <a:noFill/>
            </a:ln>
            <a:effectLst/>
          </c:spPr>
          <c:invertIfNegative val="0"/>
          <c:cat>
            <c:strRef>
              <c:extLst>
                <c:ext xmlns:c15="http://schemas.microsoft.com/office/drawing/2012/chart" uri="{02D57815-91ED-43cb-92C2-25804820EDAC}">
                  <c15:fullRef>
                    <c15:sqref>'Fremskrivning - Hovedresultater'!$C$64:$C$69</c15:sqref>
                  </c15:fullRef>
                </c:ext>
              </c:extLst>
              <c:f>'Fremskrivning - Hovedresultater'!$C$65:$C$69</c:f>
              <c:strCache>
                <c:ptCount val="5"/>
                <c:pt idx="0">
                  <c:v>Energi og processer</c:v>
                </c:pt>
                <c:pt idx="1">
                  <c:v>Indkøb</c:v>
                </c:pt>
                <c:pt idx="2">
                  <c:v>Transport</c:v>
                </c:pt>
                <c:pt idx="3">
                  <c:v>Affald og genbrug</c:v>
                </c:pt>
                <c:pt idx="4">
                  <c:v>Solgte produkter</c:v>
                </c:pt>
              </c:strCache>
            </c:strRef>
          </c:cat>
          <c:val>
            <c:numRef>
              <c:extLst>
                <c:ext xmlns:c15="http://schemas.microsoft.com/office/drawing/2012/chart" uri="{02D57815-91ED-43cb-92C2-25804820EDAC}">
                  <c15:fullRef>
                    <c15:sqref>'Fremskrivning - Hovedresultater'!$E$64:$E$69</c15:sqref>
                  </c15:fullRef>
                </c:ext>
              </c:extLst>
              <c:f>'Fremskrivning - Hovedresultater'!$E$65:$E$69</c:f>
              <c:numCache>
                <c:formatCode>#,##0.00</c:formatCode>
                <c:ptCount val="5"/>
                <c:pt idx="0">
                  <c:v>2000</c:v>
                </c:pt>
                <c:pt idx="1">
                  <c:v>2000</c:v>
                </c:pt>
                <c:pt idx="2">
                  <c:v>2000</c:v>
                </c:pt>
                <c:pt idx="3">
                  <c:v>2000</c:v>
                </c:pt>
                <c:pt idx="4">
                  <c:v>4000</c:v>
                </c:pt>
              </c:numCache>
            </c:numRef>
          </c:val>
          <c:extLst>
            <c:ext xmlns:c16="http://schemas.microsoft.com/office/drawing/2014/chart" uri="{C3380CC4-5D6E-409C-BE32-E72D297353CC}">
              <c16:uniqueId val="{00000001-2D97-44A7-9098-C71FECA379FB}"/>
            </c:ext>
          </c:extLst>
        </c:ser>
        <c:dLbls>
          <c:showLegendKey val="0"/>
          <c:showVal val="0"/>
          <c:showCatName val="0"/>
          <c:showSerName val="0"/>
          <c:showPercent val="0"/>
          <c:showBubbleSize val="0"/>
        </c:dLbls>
        <c:gapWidth val="219"/>
        <c:axId val="1711572399"/>
        <c:axId val="1711574063"/>
        <c:extLst/>
      </c:barChart>
      <c:catAx>
        <c:axId val="1711572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711574063"/>
        <c:crosses val="autoZero"/>
        <c:auto val="1"/>
        <c:lblAlgn val="ctr"/>
        <c:lblOffset val="100"/>
        <c:noMultiLvlLbl val="0"/>
      </c:catAx>
      <c:valAx>
        <c:axId val="1711574063"/>
        <c:scaling>
          <c:orientation val="minMax"/>
        </c:scaling>
        <c:delete val="0"/>
        <c:axPos val="l"/>
        <c:majorGridlines>
          <c:spPr>
            <a:ln w="9525" cap="flat" cmpd="sng" algn="ctr">
              <a:solidFill>
                <a:schemeClr val="tx1">
                  <a:lumMod val="15000"/>
                  <a:lumOff val="85000"/>
                </a:schemeClr>
              </a:solidFill>
              <a:round/>
            </a:ln>
            <a:effectLst/>
          </c:spPr>
        </c:majorGridlines>
        <c:title>
          <c:tx>
            <c:strRef>
              <c:f>Tekstnøgler!$C$582</c:f>
              <c:strCache>
                <c:ptCount val="1"/>
                <c:pt idx="0">
                  <c:v>ton CO₂e</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a-DK"/>
            </a:p>
          </c:txPr>
        </c:title>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711572399"/>
        <c:crosses val="autoZero"/>
        <c:crossBetween val="between"/>
      </c:valAx>
      <c:spPr>
        <a:noFill/>
        <a:ln>
          <a:noFill/>
        </a:ln>
        <a:effectLst/>
      </c:spPr>
    </c:plotArea>
    <c:legend>
      <c:legendPos val="b"/>
      <c:layout>
        <c:manualLayout>
          <c:xMode val="edge"/>
          <c:yMode val="edge"/>
          <c:x val="0.37774667333485368"/>
          <c:y val="0.85754357738357279"/>
          <c:w val="0.24450643213877379"/>
          <c:h val="7.094914995377715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'Fremskrivning - Delresultater'!$C$16</c:f>
              <c:strCache>
                <c:ptCount val="1"/>
                <c:pt idx="0">
                  <c:v>Scope 1</c:v>
                </c:pt>
              </c:strCache>
            </c:strRef>
          </c:tx>
          <c:spPr>
            <a:solidFill>
              <a:srgbClr val="00441B"/>
            </a:solidFill>
            <a:ln>
              <a:noFill/>
            </a:ln>
            <a:effectLst/>
          </c:spPr>
          <c:invertIfNegative val="0"/>
          <c:dLbls>
            <c:dLbl>
              <c:idx val="0"/>
              <c:tx>
                <c:rich>
                  <a:bodyPr/>
                  <a:lstStyle/>
                  <a:p>
                    <a:fld id="{2ACC2A30-321F-4795-A3D7-63C7BDF16E95}"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F234-49BE-9A27-AD4073DC9F29}"/>
                </c:ext>
              </c:extLst>
            </c:dLbl>
            <c:dLbl>
              <c:idx val="1"/>
              <c:tx>
                <c:rich>
                  <a:bodyPr/>
                  <a:lstStyle/>
                  <a:p>
                    <a:fld id="{B0109FCB-E2AF-49C0-BE1B-487778D6590D}" type="CELLRANGE">
                      <a:rPr lang="da-DK"/>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F234-49BE-9A27-AD4073DC9F29}"/>
                </c:ext>
              </c:extLst>
            </c:dLbl>
            <c:dLbl>
              <c:idx val="2"/>
              <c:tx>
                <c:rich>
                  <a:bodyPr/>
                  <a:lstStyle/>
                  <a:p>
                    <a:fld id="{8038B9DF-5A5D-43E2-A097-FF63D18122B2}" type="CELLRANGE">
                      <a:rPr lang="da-DK"/>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4-F234-49BE-9A27-AD4073DC9F29}"/>
                </c:ext>
              </c:extLst>
            </c:dLbl>
            <c:dLbl>
              <c:idx val="3"/>
              <c:tx>
                <c:rich>
                  <a:bodyPr/>
                  <a:lstStyle/>
                  <a:p>
                    <a:fld id="{12FB41F6-9AA1-43DD-8AE8-CAE4C99C6662}" type="CELLRANGE">
                      <a:rPr lang="da-DK"/>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F234-49BE-9A27-AD4073DC9F29}"/>
                </c:ext>
              </c:extLst>
            </c:dLbl>
            <c:dLbl>
              <c:idx val="4"/>
              <c:tx>
                <c:rich>
                  <a:bodyPr/>
                  <a:lstStyle/>
                  <a:p>
                    <a:fld id="{AB284B9C-9B94-4878-8769-8EABF533C977}" type="CELLRANGE">
                      <a:rPr lang="da-DK"/>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6-F234-49BE-9A27-AD4073DC9F29}"/>
                </c:ext>
              </c:extLst>
            </c:dLbl>
            <c:dLbl>
              <c:idx val="5"/>
              <c:tx>
                <c:rich>
                  <a:bodyPr/>
                  <a:lstStyle/>
                  <a:p>
                    <a:fld id="{876196BC-45C4-4BAE-8188-19DD5F0CB9F0}" type="CELLRANGE">
                      <a:rPr lang="da-DK"/>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F234-49BE-9A27-AD4073DC9F29}"/>
                </c:ext>
              </c:extLst>
            </c:dLbl>
            <c:dLbl>
              <c:idx val="6"/>
              <c:tx>
                <c:rich>
                  <a:bodyPr/>
                  <a:lstStyle/>
                  <a:p>
                    <a:fld id="{EBDEDC4F-2B76-4721-98E1-6F7770F0FA04}" type="CELLRANGE">
                      <a:rPr lang="da-DK"/>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8-F234-49BE-9A27-AD4073DC9F29}"/>
                </c:ext>
              </c:extLst>
            </c:dLbl>
            <c:dLbl>
              <c:idx val="7"/>
              <c:tx>
                <c:rich>
                  <a:bodyPr/>
                  <a:lstStyle/>
                  <a:p>
                    <a:fld id="{A6F97511-2CF6-4C8D-B8B2-16A055B4C1C1}" type="CELLRANGE">
                      <a:rPr lang="da-DK"/>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9-F234-49BE-9A27-AD4073DC9F29}"/>
                </c:ext>
              </c:extLst>
            </c:dLbl>
            <c:dLbl>
              <c:idx val="8"/>
              <c:tx>
                <c:rich>
                  <a:bodyPr/>
                  <a:lstStyle/>
                  <a:p>
                    <a:fld id="{472D0D6E-4E25-4C76-85D5-06D02B329B04}" type="CELLRANGE">
                      <a:rPr lang="da-DK"/>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A-F234-49BE-9A27-AD4073DC9F29}"/>
                </c:ext>
              </c:extLst>
            </c:dLbl>
            <c:dLbl>
              <c:idx val="9"/>
              <c:tx>
                <c:rich>
                  <a:bodyPr/>
                  <a:lstStyle/>
                  <a:p>
                    <a:fld id="{8BFCF31B-338A-4973-A6B1-7CC68E584B52}" type="CELLRANGE">
                      <a:rPr lang="da-DK"/>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B-F234-49BE-9A27-AD4073DC9F29}"/>
                </c:ext>
              </c:extLst>
            </c:dLbl>
            <c:dLbl>
              <c:idx val="10"/>
              <c:tx>
                <c:rich>
                  <a:bodyPr/>
                  <a:lstStyle/>
                  <a:p>
                    <a:fld id="{049E4CCB-FA26-4E61-B44F-863CD778EFB0}" type="CELLRANGE">
                      <a:rPr lang="da-DK"/>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C-F234-49BE-9A27-AD4073DC9F29}"/>
                </c:ext>
              </c:extLst>
            </c:dLbl>
            <c:dLbl>
              <c:idx val="11"/>
              <c:tx>
                <c:rich>
                  <a:bodyPr/>
                  <a:lstStyle/>
                  <a:p>
                    <a:fld id="{E3939064-C81A-4B0E-98A6-4B7CAC6B700D}" type="CELLRANGE">
                      <a:rPr lang="da-DK"/>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D-F234-49BE-9A27-AD4073DC9F29}"/>
                </c:ext>
              </c:extLst>
            </c:dLbl>
            <c:dLbl>
              <c:idx val="12"/>
              <c:tx>
                <c:rich>
                  <a:bodyPr/>
                  <a:lstStyle/>
                  <a:p>
                    <a:fld id="{D6C6B4EF-7D22-48CF-BE4B-8BDC85FC6726}" type="CELLRANGE">
                      <a:rPr lang="da-DK"/>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E-F234-49BE-9A27-AD4073DC9F29}"/>
                </c:ext>
              </c:extLst>
            </c:dLbl>
            <c:dLbl>
              <c:idx val="13"/>
              <c:tx>
                <c:rich>
                  <a:bodyPr/>
                  <a:lstStyle/>
                  <a:p>
                    <a:fld id="{7DB32354-262A-495F-A9D0-F9B9CE6A7D17}" type="CELLRANGE">
                      <a:rPr lang="da-DK"/>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F-F234-49BE-9A27-AD4073DC9F29}"/>
                </c:ext>
              </c:extLst>
            </c:dLbl>
            <c:dLbl>
              <c:idx val="14"/>
              <c:tx>
                <c:rich>
                  <a:bodyPr/>
                  <a:lstStyle/>
                  <a:p>
                    <a:fld id="{6BF2D165-3817-4E15-AE72-FBAE2D6E57BE}" type="CELLRANGE">
                      <a:rPr lang="da-DK"/>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0-F234-49BE-9A27-AD4073DC9F29}"/>
                </c:ext>
              </c:extLst>
            </c:dLbl>
            <c:dLbl>
              <c:idx val="15"/>
              <c:tx>
                <c:rich>
                  <a:bodyPr/>
                  <a:lstStyle/>
                  <a:p>
                    <a:fld id="{876D65BE-C16A-481A-8886-32CAA2C8D279}" type="CELLRANGE">
                      <a:rPr lang="da-DK"/>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1-F234-49BE-9A27-AD4073DC9F29}"/>
                </c:ext>
              </c:extLst>
            </c:dLbl>
            <c:dLbl>
              <c:idx val="16"/>
              <c:tx>
                <c:rich>
                  <a:bodyPr/>
                  <a:lstStyle/>
                  <a:p>
                    <a:fld id="{17E70782-6DAD-4BB5-9495-320551A0DF13}" type="CELLRANGE">
                      <a:rPr lang="da-DK"/>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2-F234-49BE-9A27-AD4073DC9F29}"/>
                </c:ext>
              </c:extLst>
            </c:dLbl>
            <c:dLbl>
              <c:idx val="17"/>
              <c:tx>
                <c:rich>
                  <a:bodyPr/>
                  <a:lstStyle/>
                  <a:p>
                    <a:fld id="{84CDF10A-DD1A-447B-B8B6-BE370C77F2A7}" type="CELLRANGE">
                      <a:rPr lang="da-DK"/>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3-F234-49BE-9A27-AD4073DC9F29}"/>
                </c:ext>
              </c:extLst>
            </c:dLbl>
            <c:dLbl>
              <c:idx val="18"/>
              <c:tx>
                <c:rich>
                  <a:bodyPr/>
                  <a:lstStyle/>
                  <a:p>
                    <a:fld id="{8C1E10F7-3663-4F07-99E5-54F1E7281450}" type="CELLRANGE">
                      <a:rPr lang="da-DK"/>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4-F234-49BE-9A27-AD4073DC9F29}"/>
                </c:ext>
              </c:extLst>
            </c:dLbl>
            <c:dLbl>
              <c:idx val="19"/>
              <c:tx>
                <c:rich>
                  <a:bodyPr/>
                  <a:lstStyle/>
                  <a:p>
                    <a:fld id="{90BFF50A-10D2-4140-B877-32D0283AFF38}" type="CELLRANGE">
                      <a:rPr lang="da-DK"/>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5-F234-49BE-9A27-AD4073DC9F29}"/>
                </c:ext>
              </c:extLst>
            </c:dLbl>
            <c:dLbl>
              <c:idx val="20"/>
              <c:tx>
                <c:rich>
                  <a:bodyPr/>
                  <a:lstStyle/>
                  <a:p>
                    <a:fld id="{BAD1386D-2B54-46B0-95DD-47F3874E8E1A}" type="CELLRANGE">
                      <a:rPr lang="da-DK"/>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6-F234-49BE-9A27-AD4073DC9F29}"/>
                </c:ext>
              </c:extLst>
            </c:dLbl>
            <c:dLbl>
              <c:idx val="21"/>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7-F234-49BE-9A27-AD4073DC9F29}"/>
                </c:ext>
              </c:extLst>
            </c:dLbl>
            <c:dLbl>
              <c:idx val="22"/>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8-F234-49BE-9A27-AD4073DC9F2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a-DK"/>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f>'Fremskrivning - Delresultater'!$D$15:$Z$15</c:f>
              <c:numCache>
                <c:formatCode>0</c:formatCode>
                <c:ptCount val="23"/>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numCache>
            </c:numRef>
          </c:cat>
          <c:val>
            <c:numRef>
              <c:f>'Fremskrivning - Delresultater'!$D$16:$Z$16</c:f>
              <c:numCache>
                <c:formatCode>#,##0.00</c:formatCode>
                <c:ptCount val="23"/>
                <c:pt idx="0">
                  <c:v>11</c:v>
                </c:pt>
                <c:pt idx="1">
                  <c:v>8</c:v>
                </c:pt>
                <c:pt idx="2">
                  <c:v>8</c:v>
                </c:pt>
                <c:pt idx="3">
                  <c:v>8</c:v>
                </c:pt>
                <c:pt idx="4">
                  <c:v>8</c:v>
                </c:pt>
                <c:pt idx="5">
                  <c:v>8</c:v>
                </c:pt>
                <c:pt idx="6">
                  <c:v>8</c:v>
                </c:pt>
                <c:pt idx="7">
                  <c:v>8</c:v>
                </c:pt>
                <c:pt idx="8">
                  <c:v>8</c:v>
                </c:pt>
                <c:pt idx="9">
                  <c:v>8</c:v>
                </c:pt>
                <c:pt idx="10">
                  <c:v>8</c:v>
                </c:pt>
                <c:pt idx="11">
                  <c:v>8</c:v>
                </c:pt>
                <c:pt idx="12">
                  <c:v>8</c:v>
                </c:pt>
                <c:pt idx="13">
                  <c:v>8</c:v>
                </c:pt>
                <c:pt idx="14">
                  <c:v>8</c:v>
                </c:pt>
                <c:pt idx="15">
                  <c:v>4</c:v>
                </c:pt>
                <c:pt idx="16">
                  <c:v>8</c:v>
                </c:pt>
                <c:pt idx="17">
                  <c:v>8</c:v>
                </c:pt>
                <c:pt idx="18">
                  <c:v>8</c:v>
                </c:pt>
                <c:pt idx="19">
                  <c:v>8</c:v>
                </c:pt>
                <c:pt idx="20">
                  <c:v>8</c:v>
                </c:pt>
              </c:numCache>
            </c:numRef>
          </c:val>
          <c:extLst>
            <c:ext xmlns:c15="http://schemas.microsoft.com/office/drawing/2012/chart" uri="{02D57815-91ED-43cb-92C2-25804820EDAC}">
              <c15:datalabelsRange>
                <c15:f>'Fremskrivning - Delresultater'!$D$27:$Z$27</c15:f>
                <c15:dlblRangeCache>
                  <c:ptCount val="23"/>
                </c15:dlblRangeCache>
              </c15:datalabelsRange>
            </c:ext>
            <c:ext xmlns:c16="http://schemas.microsoft.com/office/drawing/2014/chart" uri="{C3380CC4-5D6E-409C-BE32-E72D297353CC}">
              <c16:uniqueId val="{00000000-8CAA-458D-8B83-6F3065553D70}"/>
            </c:ext>
          </c:extLst>
        </c:ser>
        <c:ser>
          <c:idx val="1"/>
          <c:order val="1"/>
          <c:tx>
            <c:strRef>
              <c:f>'Fremskrivning - Delresultater'!$C$17</c:f>
              <c:strCache>
                <c:ptCount val="1"/>
                <c:pt idx="0">
                  <c:v>Scope 2</c:v>
                </c:pt>
              </c:strCache>
            </c:strRef>
          </c:tx>
          <c:spPr>
            <a:solidFill>
              <a:srgbClr val="078856"/>
            </a:solidFill>
            <a:ln>
              <a:noFill/>
            </a:ln>
            <a:effectLst/>
          </c:spPr>
          <c:invertIfNegative val="0"/>
          <c:dLbls>
            <c:delete val="1"/>
          </c:dLbls>
          <c:cat>
            <c:numRef>
              <c:f>'Fremskrivning - Delresultater'!$D$15:$Z$15</c:f>
              <c:numCache>
                <c:formatCode>0</c:formatCode>
                <c:ptCount val="23"/>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numCache>
            </c:numRef>
          </c:cat>
          <c:val>
            <c:numRef>
              <c:f>'Fremskrivning - Delresultater'!$D$17:$Z$17</c:f>
              <c:numCache>
                <c:formatCode>#,##0.00</c:formatCode>
                <c:ptCount val="23"/>
                <c:pt idx="0">
                  <c:v>7</c:v>
                </c:pt>
                <c:pt idx="1">
                  <c:v>8</c:v>
                </c:pt>
                <c:pt idx="2">
                  <c:v>8</c:v>
                </c:pt>
                <c:pt idx="3">
                  <c:v>8</c:v>
                </c:pt>
                <c:pt idx="4">
                  <c:v>8</c:v>
                </c:pt>
                <c:pt idx="5">
                  <c:v>20</c:v>
                </c:pt>
                <c:pt idx="6">
                  <c:v>8</c:v>
                </c:pt>
                <c:pt idx="7">
                  <c:v>8</c:v>
                </c:pt>
                <c:pt idx="8">
                  <c:v>8</c:v>
                </c:pt>
                <c:pt idx="9">
                  <c:v>8</c:v>
                </c:pt>
                <c:pt idx="10">
                  <c:v>8</c:v>
                </c:pt>
                <c:pt idx="11">
                  <c:v>8</c:v>
                </c:pt>
                <c:pt idx="12">
                  <c:v>8</c:v>
                </c:pt>
                <c:pt idx="13">
                  <c:v>8</c:v>
                </c:pt>
                <c:pt idx="14">
                  <c:v>21</c:v>
                </c:pt>
                <c:pt idx="15">
                  <c:v>4</c:v>
                </c:pt>
                <c:pt idx="16">
                  <c:v>8</c:v>
                </c:pt>
                <c:pt idx="17">
                  <c:v>8</c:v>
                </c:pt>
                <c:pt idx="18">
                  <c:v>8</c:v>
                </c:pt>
                <c:pt idx="19">
                  <c:v>8</c:v>
                </c:pt>
                <c:pt idx="20">
                  <c:v>8</c:v>
                </c:pt>
              </c:numCache>
            </c:numRef>
          </c:val>
          <c:extLst>
            <c:ext xmlns:c16="http://schemas.microsoft.com/office/drawing/2014/chart" uri="{C3380CC4-5D6E-409C-BE32-E72D297353CC}">
              <c16:uniqueId val="{00000001-8CAA-458D-8B83-6F3065553D70}"/>
            </c:ext>
          </c:extLst>
        </c:ser>
        <c:ser>
          <c:idx val="2"/>
          <c:order val="2"/>
          <c:tx>
            <c:strRef>
              <c:f>'Fremskrivning - Delresultater'!$C$18</c:f>
              <c:strCache>
                <c:ptCount val="1"/>
                <c:pt idx="0">
                  <c:v>Scope 3</c:v>
                </c:pt>
              </c:strCache>
            </c:strRef>
          </c:tx>
          <c:spPr>
            <a:solidFill>
              <a:srgbClr val="74C476"/>
            </a:solidFill>
            <a:ln>
              <a:noFill/>
            </a:ln>
            <a:effectLst/>
          </c:spPr>
          <c:invertIfNegative val="0"/>
          <c:dLbls>
            <c:delete val="1"/>
          </c:dLbls>
          <c:cat>
            <c:numRef>
              <c:f>'Fremskrivning - Delresultater'!$D$15:$Z$15</c:f>
              <c:numCache>
                <c:formatCode>0</c:formatCode>
                <c:ptCount val="23"/>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numCache>
            </c:numRef>
          </c:cat>
          <c:val>
            <c:numRef>
              <c:f>'Fremskrivning - Delresultater'!$D$18:$Z$18</c:f>
              <c:numCache>
                <c:formatCode>#,##0.00</c:formatCode>
                <c:ptCount val="23"/>
                <c:pt idx="0">
                  <c:v>8</c:v>
                </c:pt>
                <c:pt idx="1">
                  <c:v>8</c:v>
                </c:pt>
                <c:pt idx="2">
                  <c:v>8</c:v>
                </c:pt>
                <c:pt idx="3">
                  <c:v>8</c:v>
                </c:pt>
                <c:pt idx="4">
                  <c:v>8</c:v>
                </c:pt>
                <c:pt idx="5">
                  <c:v>8</c:v>
                </c:pt>
                <c:pt idx="6">
                  <c:v>8</c:v>
                </c:pt>
                <c:pt idx="7">
                  <c:v>8</c:v>
                </c:pt>
                <c:pt idx="8">
                  <c:v>8</c:v>
                </c:pt>
                <c:pt idx="9">
                  <c:v>8</c:v>
                </c:pt>
                <c:pt idx="10">
                  <c:v>8</c:v>
                </c:pt>
                <c:pt idx="11">
                  <c:v>8</c:v>
                </c:pt>
                <c:pt idx="12">
                  <c:v>8</c:v>
                </c:pt>
                <c:pt idx="13">
                  <c:v>20</c:v>
                </c:pt>
                <c:pt idx="14">
                  <c:v>8</c:v>
                </c:pt>
                <c:pt idx="15">
                  <c:v>5</c:v>
                </c:pt>
                <c:pt idx="16">
                  <c:v>8</c:v>
                </c:pt>
                <c:pt idx="17">
                  <c:v>8</c:v>
                </c:pt>
                <c:pt idx="18">
                  <c:v>8</c:v>
                </c:pt>
                <c:pt idx="19">
                  <c:v>8</c:v>
                </c:pt>
                <c:pt idx="20">
                  <c:v>8</c:v>
                </c:pt>
              </c:numCache>
            </c:numRef>
          </c:val>
          <c:extLst>
            <c:ext xmlns:c16="http://schemas.microsoft.com/office/drawing/2014/chart" uri="{C3380CC4-5D6E-409C-BE32-E72D297353CC}">
              <c16:uniqueId val="{00000002-8CAA-458D-8B83-6F3065553D70}"/>
            </c:ext>
          </c:extLst>
        </c:ser>
        <c:ser>
          <c:idx val="4"/>
          <c:order val="4"/>
          <c:tx>
            <c:strRef>
              <c:f>'Fremskrivning - Delresultater'!$C$20</c:f>
              <c:strCache>
                <c:ptCount val="1"/>
                <c:pt idx="0">
                  <c:v>Scopes 1+2+3 i målår</c:v>
                </c:pt>
              </c:strCache>
            </c:strRef>
          </c:tx>
          <c:spPr>
            <a:noFill/>
            <a:ln>
              <a:noFill/>
            </a:ln>
            <a:effectLst/>
          </c:spPr>
          <c:invertIfNegative val="0"/>
          <c:dLbls>
            <c:delete val="1"/>
          </c:dLbls>
          <c:cat>
            <c:numRef>
              <c:f>'Fremskrivning - Delresultater'!$D$15:$Z$15</c:f>
              <c:numCache>
                <c:formatCode>0</c:formatCode>
                <c:ptCount val="23"/>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numCache>
            </c:numRef>
          </c:cat>
          <c:val>
            <c:numRef>
              <c:f>'Fremskrivning - Delresultater'!$D$20:$Z$20</c:f>
              <c:numCache>
                <c:formatCode>General</c:formatCode>
                <c:ptCount val="23"/>
                <c:pt idx="21" formatCode="#,##0.00">
                  <c:v>13</c:v>
                </c:pt>
              </c:numCache>
            </c:numRef>
          </c:val>
          <c:extLst>
            <c:ext xmlns:c16="http://schemas.microsoft.com/office/drawing/2014/chart" uri="{C3380CC4-5D6E-409C-BE32-E72D297353CC}">
              <c16:uniqueId val="{00000004-8CAA-458D-8B83-6F3065553D70}"/>
            </c:ext>
          </c:extLst>
        </c:ser>
        <c:ser>
          <c:idx val="5"/>
          <c:order val="5"/>
          <c:tx>
            <c:strRef>
              <c:f>'Fremskrivning - Delresultater'!$C$21</c:f>
              <c:strCache>
                <c:ptCount val="1"/>
                <c:pt idx="0">
                  <c:v>Reduktion opnået (scope 1+2+3)</c:v>
                </c:pt>
              </c:strCache>
            </c:strRef>
          </c:tx>
          <c:spPr>
            <a:solidFill>
              <a:srgbClr val="74C476">
                <a:alpha val="60000"/>
              </a:srgbClr>
            </a:solidFill>
            <a:ln>
              <a:noFill/>
            </a:ln>
            <a:effectLst/>
          </c:spPr>
          <c:invertIfNegative val="0"/>
          <c:dLbls>
            <c:delete val="1"/>
          </c:dLbls>
          <c:cat>
            <c:numRef>
              <c:f>'Fremskrivning - Delresultater'!$D$15:$Z$15</c:f>
              <c:numCache>
                <c:formatCode>0</c:formatCode>
                <c:ptCount val="23"/>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numCache>
            </c:numRef>
          </c:cat>
          <c:val>
            <c:numRef>
              <c:f>'Fremskrivning - Delresultater'!$D$21:$Z$21</c:f>
              <c:numCache>
                <c:formatCode>General</c:formatCode>
                <c:ptCount val="23"/>
                <c:pt idx="21" formatCode="#,##0.00">
                  <c:v>13</c:v>
                </c:pt>
              </c:numCache>
            </c:numRef>
          </c:val>
          <c:extLst>
            <c:ext xmlns:c16="http://schemas.microsoft.com/office/drawing/2014/chart" uri="{C3380CC4-5D6E-409C-BE32-E72D297353CC}">
              <c16:uniqueId val="{00000005-8CAA-458D-8B83-6F3065553D70}"/>
            </c:ext>
          </c:extLst>
        </c:ser>
        <c:ser>
          <c:idx val="6"/>
          <c:order val="6"/>
          <c:tx>
            <c:strRef>
              <c:f>'Fremskrivning - Delresultater'!$C$22</c:f>
              <c:strCache>
                <c:ptCount val="1"/>
                <c:pt idx="0">
                  <c:v>(ikke relevant)</c:v>
                </c:pt>
              </c:strCache>
            </c:strRef>
          </c:tx>
          <c:spPr>
            <a:solidFill>
              <a:srgbClr val="FF0000">
                <a:alpha val="40000"/>
              </a:srgbClr>
            </a:solidFill>
            <a:ln>
              <a:noFill/>
            </a:ln>
            <a:effectLst/>
          </c:spPr>
          <c:invertIfNegative val="0"/>
          <c:dLbls>
            <c:delete val="1"/>
          </c:dLbls>
          <c:cat>
            <c:numRef>
              <c:f>'Fremskrivning - Delresultater'!$D$15:$Z$15</c:f>
              <c:numCache>
                <c:formatCode>0</c:formatCode>
                <c:ptCount val="23"/>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numCache>
            </c:numRef>
          </c:cat>
          <c:val>
            <c:numRef>
              <c:f>'Fremskrivning - Delresultater'!$D$22:$Z$22</c:f>
              <c:numCache>
                <c:formatCode>General</c:formatCode>
                <c:ptCount val="23"/>
                <c:pt idx="21" formatCode="#,##0.00">
                  <c:v>0</c:v>
                </c:pt>
              </c:numCache>
            </c:numRef>
          </c:val>
          <c:extLst>
            <c:ext xmlns:c16="http://schemas.microsoft.com/office/drawing/2014/chart" uri="{C3380CC4-5D6E-409C-BE32-E72D297353CC}">
              <c16:uniqueId val="{00000006-8CAA-458D-8B83-6F3065553D70}"/>
            </c:ext>
          </c:extLst>
        </c:ser>
        <c:ser>
          <c:idx val="7"/>
          <c:order val="7"/>
          <c:tx>
            <c:strRef>
              <c:f>'Fremskrivning - Delresultater'!$C$23</c:f>
              <c:strCache>
                <c:ptCount val="1"/>
                <c:pt idx="0">
                  <c:v>Scopes 1+2+3 i målår (visning)</c:v>
                </c:pt>
              </c:strCache>
            </c:strRef>
          </c:tx>
          <c:spPr>
            <a:solidFill>
              <a:schemeClr val="accent2">
                <a:lumMod val="60000"/>
              </a:schemeClr>
            </a:solidFill>
            <a:ln>
              <a:noFill/>
            </a:ln>
            <a:effectLst/>
          </c:spPr>
          <c:invertIfNegative val="0"/>
          <c:dPt>
            <c:idx val="22"/>
            <c:invertIfNegative val="0"/>
            <c:bubble3D val="0"/>
            <c:spPr>
              <a:noFill/>
              <a:ln>
                <a:noFill/>
              </a:ln>
              <a:effectLst/>
            </c:spPr>
            <c:extLst>
              <c:ext xmlns:c16="http://schemas.microsoft.com/office/drawing/2014/chart" uri="{C3380CC4-5D6E-409C-BE32-E72D297353CC}">
                <c16:uniqueId val="{0000000B-8CAA-458D-8B83-6F3065553D70}"/>
              </c:ext>
            </c:extLst>
          </c:dPt>
          <c:dLbls>
            <c:delete val="1"/>
          </c:dLbls>
          <c:cat>
            <c:numRef>
              <c:f>'Fremskrivning - Delresultater'!$D$15:$Z$15</c:f>
              <c:numCache>
                <c:formatCode>0</c:formatCode>
                <c:ptCount val="23"/>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numCache>
            </c:numRef>
          </c:cat>
          <c:val>
            <c:numRef>
              <c:f>'Fremskrivning - Delresultater'!$D$23:$Z$23</c:f>
              <c:numCache>
                <c:formatCode>General</c:formatCode>
                <c:ptCount val="23"/>
                <c:pt idx="22" formatCode="_(* #,##0.00_);_(* \(#,##0.00\);_(* &quot;-&quot;??_);_(@_)">
                  <c:v>13</c:v>
                </c:pt>
              </c:numCache>
            </c:numRef>
          </c:val>
          <c:extLst>
            <c:ext xmlns:c16="http://schemas.microsoft.com/office/drawing/2014/chart" uri="{C3380CC4-5D6E-409C-BE32-E72D297353CC}">
              <c16:uniqueId val="{00000007-8CAA-458D-8B83-6F3065553D70}"/>
            </c:ext>
          </c:extLst>
        </c:ser>
        <c:ser>
          <c:idx val="8"/>
          <c:order val="8"/>
          <c:tx>
            <c:strRef>
              <c:f>'Fremskrivning - Delresultater'!$C$24</c:f>
              <c:strCache>
                <c:ptCount val="1"/>
                <c:pt idx="0">
                  <c:v>Reduktion opnået for alle scopes (visning)</c:v>
                </c:pt>
              </c:strCache>
            </c:strRef>
          </c:tx>
          <c:spPr>
            <a:solidFill>
              <a:schemeClr val="accent3">
                <a:lumMod val="60000"/>
              </a:schemeClr>
            </a:solidFill>
            <a:ln>
              <a:noFill/>
            </a:ln>
            <a:effectLst/>
          </c:spPr>
          <c:invertIfNegative val="0"/>
          <c:dPt>
            <c:idx val="22"/>
            <c:invertIfNegative val="0"/>
            <c:bubble3D val="0"/>
            <c:spPr>
              <a:noFill/>
              <a:ln>
                <a:noFill/>
              </a:ln>
              <a:effectLst/>
            </c:spPr>
            <c:extLst>
              <c:ext xmlns:c16="http://schemas.microsoft.com/office/drawing/2014/chart" uri="{C3380CC4-5D6E-409C-BE32-E72D297353CC}">
                <c16:uniqueId val="{00000024-8CAA-458D-8B83-6F3065553D70}"/>
              </c:ext>
            </c:extLst>
          </c:dPt>
          <c:dLbls>
            <c:dLbl>
              <c:idx val="0"/>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0629-4E64-8C5B-01D8B0D9EB7F}"/>
                </c:ext>
              </c:extLst>
            </c:dLbl>
            <c:dLbl>
              <c:idx val="1"/>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0629-4E64-8C5B-01D8B0D9EB7F}"/>
                </c:ext>
              </c:extLst>
            </c:dLbl>
            <c:dLbl>
              <c:idx val="2"/>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0629-4E64-8C5B-01D8B0D9EB7F}"/>
                </c:ext>
              </c:extLst>
            </c:dLbl>
            <c:dLbl>
              <c:idx val="3"/>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0629-4E64-8C5B-01D8B0D9EB7F}"/>
                </c:ext>
              </c:extLst>
            </c:dLbl>
            <c:dLbl>
              <c:idx val="4"/>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0629-4E64-8C5B-01D8B0D9EB7F}"/>
                </c:ext>
              </c:extLst>
            </c:dLbl>
            <c:dLbl>
              <c:idx val="5"/>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0629-4E64-8C5B-01D8B0D9EB7F}"/>
                </c:ext>
              </c:extLst>
            </c:dLbl>
            <c:dLbl>
              <c:idx val="6"/>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0629-4E64-8C5B-01D8B0D9EB7F}"/>
                </c:ext>
              </c:extLst>
            </c:dLbl>
            <c:dLbl>
              <c:idx val="7"/>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0629-4E64-8C5B-01D8B0D9EB7F}"/>
                </c:ext>
              </c:extLst>
            </c:dLbl>
            <c:dLbl>
              <c:idx val="8"/>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0629-4E64-8C5B-01D8B0D9EB7F}"/>
                </c:ext>
              </c:extLst>
            </c:dLbl>
            <c:dLbl>
              <c:idx val="9"/>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0629-4E64-8C5B-01D8B0D9EB7F}"/>
                </c:ext>
              </c:extLst>
            </c:dLbl>
            <c:dLbl>
              <c:idx val="10"/>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0629-4E64-8C5B-01D8B0D9EB7F}"/>
                </c:ext>
              </c:extLst>
            </c:dLbl>
            <c:dLbl>
              <c:idx val="11"/>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0629-4E64-8C5B-01D8B0D9EB7F}"/>
                </c:ext>
              </c:extLst>
            </c:dLbl>
            <c:dLbl>
              <c:idx val="12"/>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0629-4E64-8C5B-01D8B0D9EB7F}"/>
                </c:ext>
              </c:extLst>
            </c:dLbl>
            <c:dLbl>
              <c:idx val="13"/>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0629-4E64-8C5B-01D8B0D9EB7F}"/>
                </c:ext>
              </c:extLst>
            </c:dLbl>
            <c:dLbl>
              <c:idx val="14"/>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0629-4E64-8C5B-01D8B0D9EB7F}"/>
                </c:ext>
              </c:extLst>
            </c:dLbl>
            <c:dLbl>
              <c:idx val="15"/>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0629-4E64-8C5B-01D8B0D9EB7F}"/>
                </c:ext>
              </c:extLst>
            </c:dLbl>
            <c:dLbl>
              <c:idx val="16"/>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0629-4E64-8C5B-01D8B0D9EB7F}"/>
                </c:ext>
              </c:extLst>
            </c:dLbl>
            <c:dLbl>
              <c:idx val="17"/>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0629-4E64-8C5B-01D8B0D9EB7F}"/>
                </c:ext>
              </c:extLst>
            </c:dLbl>
            <c:dLbl>
              <c:idx val="18"/>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A-0629-4E64-8C5B-01D8B0D9EB7F}"/>
                </c:ext>
              </c:extLst>
            </c:dLbl>
            <c:dLbl>
              <c:idx val="19"/>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0629-4E64-8C5B-01D8B0D9EB7F}"/>
                </c:ext>
              </c:extLst>
            </c:dLbl>
            <c:dLbl>
              <c:idx val="20"/>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0629-4E64-8C5B-01D8B0D9EB7F}"/>
                </c:ext>
              </c:extLst>
            </c:dLbl>
            <c:dLbl>
              <c:idx val="21"/>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D-0629-4E64-8C5B-01D8B0D9EB7F}"/>
                </c:ext>
              </c:extLst>
            </c:dLbl>
            <c:dLbl>
              <c:idx val="22"/>
              <c:tx>
                <c:rich>
                  <a:bodyPr/>
                  <a:lstStyle/>
                  <a:p>
                    <a:fld id="{37E13A39-5418-034A-9390-00595166D67A}"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8CAA-458D-8B83-6F3065553D7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a-DK"/>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f>'Fremskrivning - Delresultater'!$D$15:$Z$15</c:f>
              <c:numCache>
                <c:formatCode>0</c:formatCode>
                <c:ptCount val="23"/>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numCache>
            </c:numRef>
          </c:cat>
          <c:val>
            <c:numRef>
              <c:f>'Fremskrivning - Delresultater'!$D$24:$Z$24</c:f>
              <c:numCache>
                <c:formatCode>General</c:formatCode>
                <c:ptCount val="23"/>
                <c:pt idx="22" formatCode="_(* #,##0.00_);_(* \(#,##0.00\);_(* &quot;-&quot;??_);_(@_)">
                  <c:v>13</c:v>
                </c:pt>
              </c:numCache>
            </c:numRef>
          </c:val>
          <c:extLst>
            <c:ext xmlns:c15="http://schemas.microsoft.com/office/drawing/2012/chart" uri="{02D57815-91ED-43cb-92C2-25804820EDAC}">
              <c15:datalabelsRange>
                <c15:f>'Fremskrivning - Delresultater'!$D$26:$Z$26</c15:f>
                <c15:dlblRangeCache>
                  <c:ptCount val="23"/>
                  <c:pt idx="22">
                    <c:v>-50%</c:v>
                  </c:pt>
                </c15:dlblRangeCache>
              </c15:datalabelsRange>
            </c:ext>
            <c:ext xmlns:c16="http://schemas.microsoft.com/office/drawing/2014/chart" uri="{C3380CC4-5D6E-409C-BE32-E72D297353CC}">
              <c16:uniqueId val="{00000008-8CAA-458D-8B83-6F3065553D70}"/>
            </c:ext>
          </c:extLst>
        </c:ser>
        <c:ser>
          <c:idx val="9"/>
          <c:order val="9"/>
          <c:tx>
            <c:strRef>
              <c:f>'Fremskrivning - Delresultater'!$C$25</c:f>
              <c:strCache>
                <c:ptCount val="1"/>
              </c:strCache>
            </c:strRef>
          </c:tx>
          <c:spPr>
            <a:solidFill>
              <a:schemeClr val="accent4">
                <a:lumMod val="60000"/>
              </a:schemeClr>
            </a:solidFill>
            <a:ln>
              <a:noFill/>
            </a:ln>
            <a:effectLst/>
          </c:spPr>
          <c:invertIfNegative val="0"/>
          <c:dPt>
            <c:idx val="22"/>
            <c:invertIfNegative val="0"/>
            <c:bubble3D val="0"/>
            <c:spPr>
              <a:noFill/>
              <a:ln>
                <a:noFill/>
              </a:ln>
              <a:effectLst/>
            </c:spPr>
            <c:extLst>
              <c:ext xmlns:c16="http://schemas.microsoft.com/office/drawing/2014/chart" uri="{C3380CC4-5D6E-409C-BE32-E72D297353CC}">
                <c16:uniqueId val="{0000000C-8CAA-458D-8B83-6F3065553D70}"/>
              </c:ext>
            </c:extLst>
          </c:dPt>
          <c:dLbls>
            <c:dLbl>
              <c:idx val="0"/>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E-0629-4E64-8C5B-01D8B0D9EB7F}"/>
                </c:ext>
              </c:extLst>
            </c:dLbl>
            <c:dLbl>
              <c:idx val="1"/>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F-0629-4E64-8C5B-01D8B0D9EB7F}"/>
                </c:ext>
              </c:extLst>
            </c:dLbl>
            <c:dLbl>
              <c:idx val="2"/>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0-0629-4E64-8C5B-01D8B0D9EB7F}"/>
                </c:ext>
              </c:extLst>
            </c:dLbl>
            <c:dLbl>
              <c:idx val="3"/>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1-0629-4E64-8C5B-01D8B0D9EB7F}"/>
                </c:ext>
              </c:extLst>
            </c:dLbl>
            <c:dLbl>
              <c:idx val="4"/>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2-0629-4E64-8C5B-01D8B0D9EB7F}"/>
                </c:ext>
              </c:extLst>
            </c:dLbl>
            <c:dLbl>
              <c:idx val="5"/>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3-0629-4E64-8C5B-01D8B0D9EB7F}"/>
                </c:ext>
              </c:extLst>
            </c:dLbl>
            <c:dLbl>
              <c:idx val="6"/>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4-0629-4E64-8C5B-01D8B0D9EB7F}"/>
                </c:ext>
              </c:extLst>
            </c:dLbl>
            <c:dLbl>
              <c:idx val="7"/>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5-0629-4E64-8C5B-01D8B0D9EB7F}"/>
                </c:ext>
              </c:extLst>
            </c:dLbl>
            <c:dLbl>
              <c:idx val="8"/>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6-0629-4E64-8C5B-01D8B0D9EB7F}"/>
                </c:ext>
              </c:extLst>
            </c:dLbl>
            <c:dLbl>
              <c:idx val="9"/>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7-0629-4E64-8C5B-01D8B0D9EB7F}"/>
                </c:ext>
              </c:extLst>
            </c:dLbl>
            <c:dLbl>
              <c:idx val="10"/>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8-0629-4E64-8C5B-01D8B0D9EB7F}"/>
                </c:ext>
              </c:extLst>
            </c:dLbl>
            <c:dLbl>
              <c:idx val="11"/>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9-0629-4E64-8C5B-01D8B0D9EB7F}"/>
                </c:ext>
              </c:extLst>
            </c:dLbl>
            <c:dLbl>
              <c:idx val="12"/>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A-0629-4E64-8C5B-01D8B0D9EB7F}"/>
                </c:ext>
              </c:extLst>
            </c:dLbl>
            <c:dLbl>
              <c:idx val="13"/>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B-0629-4E64-8C5B-01D8B0D9EB7F}"/>
                </c:ext>
              </c:extLst>
            </c:dLbl>
            <c:dLbl>
              <c:idx val="14"/>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C-0629-4E64-8C5B-01D8B0D9EB7F}"/>
                </c:ext>
              </c:extLst>
            </c:dLbl>
            <c:dLbl>
              <c:idx val="15"/>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D-0629-4E64-8C5B-01D8B0D9EB7F}"/>
                </c:ext>
              </c:extLst>
            </c:dLbl>
            <c:dLbl>
              <c:idx val="16"/>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E-0629-4E64-8C5B-01D8B0D9EB7F}"/>
                </c:ext>
              </c:extLst>
            </c:dLbl>
            <c:dLbl>
              <c:idx val="17"/>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F-0629-4E64-8C5B-01D8B0D9EB7F}"/>
                </c:ext>
              </c:extLst>
            </c:dLbl>
            <c:dLbl>
              <c:idx val="18"/>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0-0629-4E64-8C5B-01D8B0D9EB7F}"/>
                </c:ext>
              </c:extLst>
            </c:dLbl>
            <c:dLbl>
              <c:idx val="19"/>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1-0629-4E64-8C5B-01D8B0D9EB7F}"/>
                </c:ext>
              </c:extLst>
            </c:dLbl>
            <c:dLbl>
              <c:idx val="20"/>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2-0629-4E64-8C5B-01D8B0D9EB7F}"/>
                </c:ext>
              </c:extLst>
            </c:dLbl>
            <c:dLbl>
              <c:idx val="21"/>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3-0629-4E64-8C5B-01D8B0D9EB7F}"/>
                </c:ext>
              </c:extLst>
            </c:dLbl>
            <c:dLbl>
              <c:idx val="22"/>
              <c:tx>
                <c:rich>
                  <a:bodyPr/>
                  <a:lstStyle/>
                  <a:p>
                    <a:fld id="{F2D20640-C7F9-4C14-9188-E793DD56B2C9}" type="CELLRANGE">
                      <a:rPr lang="da-DK"/>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8CAA-458D-8B83-6F3065553D7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a-DK"/>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f>'Fremskrivning - Delresultater'!$D$15:$Z$15</c:f>
              <c:numCache>
                <c:formatCode>0</c:formatCode>
                <c:ptCount val="23"/>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numCache>
            </c:numRef>
          </c:cat>
          <c:val>
            <c:numRef>
              <c:f>'Fremskrivning - Delresultater'!$D$25:$Z$25</c:f>
              <c:numCache>
                <c:formatCode>General</c:formatCode>
                <c:ptCount val="23"/>
                <c:pt idx="22" formatCode="_(* #,##0.00_);_(* \(#,##0.00\);_(* &quot;-&quot;??_);_(@_)">
                  <c:v>0</c:v>
                </c:pt>
              </c:numCache>
            </c:numRef>
          </c:val>
          <c:extLst>
            <c:ext xmlns:c15="http://schemas.microsoft.com/office/drawing/2012/chart" uri="{02D57815-91ED-43cb-92C2-25804820EDAC}">
              <c15:datalabelsRange>
                <c15:f>'Fremskrivning - Delresultater'!$D$27:$Z$27</c15:f>
                <c15:dlblRangeCache>
                  <c:ptCount val="23"/>
                </c15:dlblRangeCache>
              </c15:datalabelsRange>
            </c:ext>
            <c:ext xmlns:c16="http://schemas.microsoft.com/office/drawing/2014/chart" uri="{C3380CC4-5D6E-409C-BE32-E72D297353CC}">
              <c16:uniqueId val="{00000009-8CAA-458D-8B83-6F3065553D70}"/>
            </c:ext>
          </c:extLst>
        </c:ser>
        <c:dLbls>
          <c:showLegendKey val="0"/>
          <c:showVal val="1"/>
          <c:showCatName val="0"/>
          <c:showSerName val="0"/>
          <c:showPercent val="0"/>
          <c:showBubbleSize val="0"/>
        </c:dLbls>
        <c:gapWidth val="150"/>
        <c:overlap val="100"/>
        <c:axId val="707081983"/>
        <c:axId val="707082399"/>
        <c:extLst>
          <c:ext xmlns:c15="http://schemas.microsoft.com/office/drawing/2012/chart" uri="{02D57815-91ED-43cb-92C2-25804820EDAC}">
            <c15:filteredBarSeries>
              <c15:ser>
                <c:idx val="3"/>
                <c:order val="3"/>
                <c:tx>
                  <c:strRef>
                    <c:extLst>
                      <c:ext uri="{02D57815-91ED-43cb-92C2-25804820EDAC}">
                        <c15:formulaRef>
                          <c15:sqref>'Fremskrivning - Delresultater'!$C$19</c15:sqref>
                        </c15:formulaRef>
                      </c:ext>
                    </c:extLst>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a-DK"/>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'Fremskrivning - Delresultater'!$D$15:$Z$15</c15:sqref>
                        </c15:formulaRef>
                      </c:ext>
                    </c:extLst>
                    <c:numCache>
                      <c:formatCode>0</c:formatCode>
                      <c:ptCount val="23"/>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numCache>
                  </c:numRef>
                </c:cat>
                <c:val>
                  <c:numRef>
                    <c:extLst>
                      <c:ext uri="{02D57815-91ED-43cb-92C2-25804820EDAC}">
                        <c15:formulaRef>
                          <c15:sqref>'Fremskrivning - Delresultater'!$D$19:$Z$19</c15:sqref>
                        </c15:formulaRef>
                      </c:ext>
                    </c:extLst>
                    <c:numCache>
                      <c:formatCode>#,##0.00</c:formatCode>
                      <c:ptCount val="23"/>
                      <c:pt idx="0">
                        <c:v>26</c:v>
                      </c:pt>
                      <c:pt idx="1">
                        <c:v>24</c:v>
                      </c:pt>
                      <c:pt idx="2">
                        <c:v>24</c:v>
                      </c:pt>
                      <c:pt idx="3">
                        <c:v>24</c:v>
                      </c:pt>
                      <c:pt idx="4">
                        <c:v>24</c:v>
                      </c:pt>
                      <c:pt idx="5">
                        <c:v>36</c:v>
                      </c:pt>
                      <c:pt idx="6">
                        <c:v>24</c:v>
                      </c:pt>
                      <c:pt idx="7">
                        <c:v>24</c:v>
                      </c:pt>
                      <c:pt idx="8">
                        <c:v>24</c:v>
                      </c:pt>
                      <c:pt idx="9">
                        <c:v>24</c:v>
                      </c:pt>
                      <c:pt idx="10">
                        <c:v>24</c:v>
                      </c:pt>
                      <c:pt idx="11">
                        <c:v>24</c:v>
                      </c:pt>
                      <c:pt idx="12">
                        <c:v>24</c:v>
                      </c:pt>
                      <c:pt idx="13">
                        <c:v>36</c:v>
                      </c:pt>
                      <c:pt idx="14">
                        <c:v>37</c:v>
                      </c:pt>
                      <c:pt idx="15">
                        <c:v>13</c:v>
                      </c:pt>
                      <c:pt idx="16">
                        <c:v>24</c:v>
                      </c:pt>
                      <c:pt idx="17">
                        <c:v>24</c:v>
                      </c:pt>
                      <c:pt idx="18">
                        <c:v>24</c:v>
                      </c:pt>
                      <c:pt idx="19">
                        <c:v>24</c:v>
                      </c:pt>
                      <c:pt idx="20">
                        <c:v>24</c:v>
                      </c:pt>
                    </c:numCache>
                  </c:numRef>
                </c:val>
                <c:extLst>
                  <c:ext xmlns:c16="http://schemas.microsoft.com/office/drawing/2014/chart" uri="{C3380CC4-5D6E-409C-BE32-E72D297353CC}">
                    <c16:uniqueId val="{00000003-8CAA-458D-8B83-6F3065553D70}"/>
                  </c:ext>
                </c:extLst>
              </c15:ser>
            </c15:filteredBarSeries>
          </c:ext>
        </c:extLst>
      </c:barChart>
      <c:catAx>
        <c:axId val="707081983"/>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707082399"/>
        <c:crosses val="autoZero"/>
        <c:auto val="1"/>
        <c:lblAlgn val="ctr"/>
        <c:lblOffset val="100"/>
        <c:noMultiLvlLbl val="0"/>
      </c:catAx>
      <c:valAx>
        <c:axId val="707082399"/>
        <c:scaling>
          <c:orientation val="minMax"/>
        </c:scaling>
        <c:delete val="0"/>
        <c:axPos val="l"/>
        <c:majorGridlines>
          <c:spPr>
            <a:ln w="9525" cap="flat" cmpd="sng" algn="ctr">
              <a:solidFill>
                <a:schemeClr val="tx1">
                  <a:lumMod val="15000"/>
                  <a:lumOff val="85000"/>
                </a:schemeClr>
              </a:solidFill>
              <a:round/>
            </a:ln>
            <a:effectLst/>
          </c:spPr>
        </c:majorGridlines>
        <c:title>
          <c:tx>
            <c:strRef>
              <c:f>Tekstnøgler!$C$582</c:f>
              <c:strCache>
                <c:ptCount val="1"/>
                <c:pt idx="0">
                  <c:v>ton CO₂e</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a-DK"/>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707081983"/>
        <c:crosses val="autoZero"/>
        <c:crossBetween val="between"/>
      </c:valAx>
      <c:spPr>
        <a:noFill/>
        <a:ln>
          <a:noFill/>
        </a:ln>
        <a:effectLst/>
      </c:spPr>
    </c:plotArea>
    <c:legend>
      <c:legendPos val="b"/>
      <c:legendEntry>
        <c:idx val="3"/>
        <c:delete val="1"/>
      </c:legendEntry>
      <c:legendEntry>
        <c:idx val="6"/>
        <c:delete val="1"/>
      </c:legendEntry>
      <c:legendEntry>
        <c:idx val="7"/>
        <c:delete val="1"/>
      </c:legendEntry>
      <c:legendEntry>
        <c:idx val="8"/>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'Fremskrivning - Hovedresultater'!$C$25</c:f>
              <c:strCache>
                <c:ptCount val="1"/>
                <c:pt idx="0">
                  <c:v>Scope 1</c:v>
                </c:pt>
              </c:strCache>
            </c:strRef>
          </c:tx>
          <c:spPr>
            <a:solidFill>
              <a:srgbClr val="00441B"/>
            </a:solidFill>
            <a:ln>
              <a:noFill/>
            </a:ln>
            <a:effectLst/>
          </c:spPr>
          <c:invertIfNegative val="0"/>
          <c:cat>
            <c:numRef>
              <c:extLst>
                <c:ext xmlns:c15="http://schemas.microsoft.com/office/drawing/2012/chart" uri="{02D57815-91ED-43cb-92C2-25804820EDAC}">
                  <c15:fullRef>
                    <c15:sqref>'Fremskrivning - Hovedresultater'!$D$24:$J$24</c15:sqref>
                  </c15:fullRef>
                </c:ext>
              </c:extLst>
              <c:f>('Fremskrivning - Hovedresultater'!$D$24:$E$24,'Fremskrivning - Hovedresultater'!$I$24:$J$24)</c:f>
              <c:numCache>
                <c:formatCode>General</c:formatCode>
                <c:ptCount val="4"/>
                <c:pt idx="0">
                  <c:v>2015</c:v>
                </c:pt>
                <c:pt idx="1">
                  <c:v>2030</c:v>
                </c:pt>
              </c:numCache>
            </c:numRef>
          </c:cat>
          <c:val>
            <c:numRef>
              <c:extLst>
                <c:ext xmlns:c15="http://schemas.microsoft.com/office/drawing/2012/chart" uri="{02D57815-91ED-43cb-92C2-25804820EDAC}">
                  <c15:fullRef>
                    <c15:sqref>'Fremskrivning - Hovedresultater'!$D$25:$J$25</c15:sqref>
                  </c15:fullRef>
                </c:ext>
              </c:extLst>
              <c:f>('Fremskrivning - Hovedresultater'!$D$25:$E$25,'Fremskrivning - Hovedresultater'!$I$25:$J$25)</c:f>
              <c:numCache>
                <c:formatCode>#,##0.00</c:formatCode>
                <c:ptCount val="4"/>
                <c:pt idx="0">
                  <c:v>11</c:v>
                </c:pt>
                <c:pt idx="1">
                  <c:v>4</c:v>
                </c:pt>
              </c:numCache>
            </c:numRef>
          </c:val>
          <c:extLst>
            <c:ext xmlns:c16="http://schemas.microsoft.com/office/drawing/2014/chart" uri="{C3380CC4-5D6E-409C-BE32-E72D297353CC}">
              <c16:uniqueId val="{00000000-77B4-4952-816C-9F1CD7823962}"/>
            </c:ext>
          </c:extLst>
        </c:ser>
        <c:ser>
          <c:idx val="5"/>
          <c:order val="5"/>
          <c:tx>
            <c:strRef>
              <c:f>'Fremskrivning - Hovedresultater'!$C$30</c:f>
              <c:strCache>
                <c:ptCount val="1"/>
                <c:pt idx="0">
                  <c:v>Målsætning for scope 1</c:v>
                </c:pt>
              </c:strCache>
            </c:strRef>
          </c:tx>
          <c:spPr>
            <a:noFill/>
            <a:ln>
              <a:noFill/>
            </a:ln>
            <a:effectLst/>
          </c:spPr>
          <c:invertIfNegative val="0"/>
          <c:cat>
            <c:numRef>
              <c:extLst>
                <c:ext xmlns:c15="http://schemas.microsoft.com/office/drawing/2012/chart" uri="{02D57815-91ED-43cb-92C2-25804820EDAC}">
                  <c15:fullRef>
                    <c15:sqref>'Fremskrivning - Hovedresultater'!$D$24:$J$24</c15:sqref>
                  </c15:fullRef>
                </c:ext>
              </c:extLst>
              <c:f>('Fremskrivning - Hovedresultater'!$D$24:$E$24,'Fremskrivning - Hovedresultater'!$I$24:$J$24)</c:f>
              <c:numCache>
                <c:formatCode>General</c:formatCode>
                <c:ptCount val="4"/>
                <c:pt idx="0">
                  <c:v>2015</c:v>
                </c:pt>
                <c:pt idx="1">
                  <c:v>2030</c:v>
                </c:pt>
              </c:numCache>
            </c:numRef>
          </c:cat>
          <c:val>
            <c:numRef>
              <c:extLst>
                <c:ext xmlns:c15="http://schemas.microsoft.com/office/drawing/2012/chart" uri="{02D57815-91ED-43cb-92C2-25804820EDAC}">
                  <c15:fullRef>
                    <c15:sqref>'Fremskrivning - Hovedresultater'!$D$30:$J$30</c15:sqref>
                  </c15:fullRef>
                </c:ext>
              </c:extLst>
              <c:f>('Fremskrivning - Hovedresultater'!$D$30:$E$30,'Fremskrivning - Hovedresultater'!$I$30:$J$30)</c:f>
              <c:numCache>
                <c:formatCode>General</c:formatCode>
                <c:ptCount val="4"/>
                <c:pt idx="2" formatCode="#,##0.00">
                  <c:v>4</c:v>
                </c:pt>
              </c:numCache>
            </c:numRef>
          </c:val>
          <c:extLst>
            <c:ext xmlns:c16="http://schemas.microsoft.com/office/drawing/2014/chart" uri="{C3380CC4-5D6E-409C-BE32-E72D297353CC}">
              <c16:uniqueId val="{00000005-77B4-4952-816C-9F1CD7823962}"/>
            </c:ext>
          </c:extLst>
        </c:ser>
        <c:ser>
          <c:idx val="6"/>
          <c:order val="6"/>
          <c:tx>
            <c:strRef>
              <c:f>'Fremskrivning - Hovedresultater'!$C$31</c:f>
              <c:strCache>
                <c:ptCount val="1"/>
                <c:pt idx="0">
                  <c:v>Reduktion opnået (scope 1)</c:v>
                </c:pt>
              </c:strCache>
            </c:strRef>
          </c:tx>
          <c:spPr>
            <a:solidFill>
              <a:srgbClr val="74C476">
                <a:alpha val="60000"/>
              </a:srgbClr>
            </a:solidFill>
            <a:ln>
              <a:noFill/>
            </a:ln>
            <a:effectLst/>
          </c:spPr>
          <c:invertIfNegative val="0"/>
          <c:cat>
            <c:numRef>
              <c:extLst>
                <c:ext xmlns:c15="http://schemas.microsoft.com/office/drawing/2012/chart" uri="{02D57815-91ED-43cb-92C2-25804820EDAC}">
                  <c15:fullRef>
                    <c15:sqref>'Fremskrivning - Hovedresultater'!$D$24:$J$24</c15:sqref>
                  </c15:fullRef>
                </c:ext>
              </c:extLst>
              <c:f>('Fremskrivning - Hovedresultater'!$D$24:$E$24,'Fremskrivning - Hovedresultater'!$I$24:$J$24)</c:f>
              <c:numCache>
                <c:formatCode>General</c:formatCode>
                <c:ptCount val="4"/>
                <c:pt idx="0">
                  <c:v>2015</c:v>
                </c:pt>
                <c:pt idx="1">
                  <c:v>2030</c:v>
                </c:pt>
              </c:numCache>
            </c:numRef>
          </c:cat>
          <c:val>
            <c:numRef>
              <c:extLst>
                <c:ext xmlns:c15="http://schemas.microsoft.com/office/drawing/2012/chart" uri="{02D57815-91ED-43cb-92C2-25804820EDAC}">
                  <c15:fullRef>
                    <c15:sqref>'Fremskrivning - Hovedresultater'!$D$31:$J$31</c15:sqref>
                  </c15:fullRef>
                </c:ext>
              </c:extLst>
              <c:f>('Fremskrivning - Hovedresultater'!$D$31:$E$31,'Fremskrivning - Hovedresultater'!$I$31:$J$31)</c:f>
              <c:numCache>
                <c:formatCode>General</c:formatCode>
                <c:ptCount val="4"/>
                <c:pt idx="2" formatCode="#,##0.00">
                  <c:v>7</c:v>
                </c:pt>
              </c:numCache>
            </c:numRef>
          </c:val>
          <c:extLst>
            <c:ext xmlns:c16="http://schemas.microsoft.com/office/drawing/2014/chart" uri="{C3380CC4-5D6E-409C-BE32-E72D297353CC}">
              <c16:uniqueId val="{00000006-77B4-4952-816C-9F1CD7823962}"/>
            </c:ext>
          </c:extLst>
        </c:ser>
        <c:ser>
          <c:idx val="7"/>
          <c:order val="7"/>
          <c:tx>
            <c:strRef>
              <c:f>'Fremskrivning - Hovedresultater'!$C$32</c:f>
              <c:strCache>
                <c:ptCount val="1"/>
                <c:pt idx="0">
                  <c:v>(ikke relevant)</c:v>
                </c:pt>
              </c:strCache>
            </c:strRef>
          </c:tx>
          <c:spPr>
            <a:solidFill>
              <a:srgbClr val="FF0000">
                <a:alpha val="40000"/>
              </a:srgbClr>
            </a:solidFill>
            <a:ln>
              <a:noFill/>
            </a:ln>
            <a:effectLst/>
          </c:spPr>
          <c:invertIfNegative val="0"/>
          <c:cat>
            <c:numRef>
              <c:extLst>
                <c:ext xmlns:c15="http://schemas.microsoft.com/office/drawing/2012/chart" uri="{02D57815-91ED-43cb-92C2-25804820EDAC}">
                  <c15:fullRef>
                    <c15:sqref>'Fremskrivning - Hovedresultater'!$D$24:$J$24</c15:sqref>
                  </c15:fullRef>
                </c:ext>
              </c:extLst>
              <c:f>('Fremskrivning - Hovedresultater'!$D$24:$E$24,'Fremskrivning - Hovedresultater'!$I$24:$J$24)</c:f>
              <c:numCache>
                <c:formatCode>General</c:formatCode>
                <c:ptCount val="4"/>
                <c:pt idx="0">
                  <c:v>2015</c:v>
                </c:pt>
                <c:pt idx="1">
                  <c:v>2030</c:v>
                </c:pt>
              </c:numCache>
            </c:numRef>
          </c:cat>
          <c:val>
            <c:numRef>
              <c:extLst>
                <c:ext xmlns:c15="http://schemas.microsoft.com/office/drawing/2012/chart" uri="{02D57815-91ED-43cb-92C2-25804820EDAC}">
                  <c15:fullRef>
                    <c15:sqref>'Fremskrivning - Hovedresultater'!$D$32:$J$32</c15:sqref>
                  </c15:fullRef>
                </c:ext>
              </c:extLst>
              <c:f>('Fremskrivning - Hovedresultater'!$D$32:$E$32,'Fremskrivning - Hovedresultater'!$I$32:$J$32)</c:f>
              <c:numCache>
                <c:formatCode>General</c:formatCode>
                <c:ptCount val="4"/>
                <c:pt idx="2" formatCode="#,##0.00">
                  <c:v>0</c:v>
                </c:pt>
              </c:numCache>
            </c:numRef>
          </c:val>
          <c:extLst>
            <c:ext xmlns:c16="http://schemas.microsoft.com/office/drawing/2014/chart" uri="{C3380CC4-5D6E-409C-BE32-E72D297353CC}">
              <c16:uniqueId val="{00000007-77B4-4952-816C-9F1CD7823962}"/>
            </c:ext>
          </c:extLst>
        </c:ser>
        <c:ser>
          <c:idx val="8"/>
          <c:order val="8"/>
          <c:tx>
            <c:strRef>
              <c:f>'Fremskrivning - Hovedresultater'!$C$33</c:f>
              <c:strCache>
                <c:ptCount val="1"/>
                <c:pt idx="0">
                  <c:v>Målsætning for scope 1 (visning)</c:v>
                </c:pt>
              </c:strCache>
            </c:strRef>
          </c:tx>
          <c:spPr>
            <a:noFill/>
            <a:ln>
              <a:noFill/>
            </a:ln>
            <a:effectLst/>
          </c:spPr>
          <c:invertIfNegative val="0"/>
          <c:cat>
            <c:numRef>
              <c:extLst>
                <c:ext xmlns:c15="http://schemas.microsoft.com/office/drawing/2012/chart" uri="{02D57815-91ED-43cb-92C2-25804820EDAC}">
                  <c15:fullRef>
                    <c15:sqref>'Fremskrivning - Hovedresultater'!$D$24:$J$24</c15:sqref>
                  </c15:fullRef>
                </c:ext>
              </c:extLst>
              <c:f>('Fremskrivning - Hovedresultater'!$D$24:$E$24,'Fremskrivning - Hovedresultater'!$I$24:$J$24)</c:f>
              <c:numCache>
                <c:formatCode>General</c:formatCode>
                <c:ptCount val="4"/>
                <c:pt idx="0">
                  <c:v>2015</c:v>
                </c:pt>
                <c:pt idx="1">
                  <c:v>2030</c:v>
                </c:pt>
              </c:numCache>
            </c:numRef>
          </c:cat>
          <c:val>
            <c:numRef>
              <c:extLst>
                <c:ext xmlns:c15="http://schemas.microsoft.com/office/drawing/2012/chart" uri="{02D57815-91ED-43cb-92C2-25804820EDAC}">
                  <c15:fullRef>
                    <c15:sqref>'Fremskrivning - Hovedresultater'!$D$33:$J$33</c15:sqref>
                  </c15:fullRef>
                </c:ext>
              </c:extLst>
              <c:f>('Fremskrivning - Hovedresultater'!$D$33:$E$33,'Fremskrivning - Hovedresultater'!$I$33:$J$33)</c:f>
              <c:numCache>
                <c:formatCode>General</c:formatCode>
                <c:ptCount val="4"/>
                <c:pt idx="3" formatCode="0.00">
                  <c:v>4</c:v>
                </c:pt>
              </c:numCache>
            </c:numRef>
          </c:val>
          <c:extLst>
            <c:ext xmlns:c16="http://schemas.microsoft.com/office/drawing/2014/chart" uri="{C3380CC4-5D6E-409C-BE32-E72D297353CC}">
              <c16:uniqueId val="{00000008-77B4-4952-816C-9F1CD7823962}"/>
            </c:ext>
          </c:extLst>
        </c:ser>
        <c:ser>
          <c:idx val="9"/>
          <c:order val="9"/>
          <c:tx>
            <c:strRef>
              <c:f>'Fremskrivning - Hovedresultater'!$C$34</c:f>
              <c:strCache>
                <c:ptCount val="1"/>
                <c:pt idx="0">
                  <c:v>Reduktion opnået for scope 1 (visning)</c:v>
                </c:pt>
              </c:strCache>
            </c:strRef>
          </c:tx>
          <c:spPr>
            <a:noFill/>
            <a:ln>
              <a:noFill/>
            </a:ln>
            <a:effectLst/>
          </c:spPr>
          <c:invertIfNegative val="0"/>
          <c:dLbls>
            <c:dLbl>
              <c:idx val="0"/>
              <c:tx>
                <c:rich>
                  <a:bodyPr/>
                  <a:lstStyle/>
                  <a:p>
                    <a:endParaRPr lang="en-GB"/>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516C-422E-9297-6099A46027D3}"/>
                </c:ext>
              </c:extLst>
            </c:dLbl>
            <c:dLbl>
              <c:idx val="1"/>
              <c:tx>
                <c:rich>
                  <a:bodyPr/>
                  <a:lstStyle/>
                  <a:p>
                    <a:endParaRPr lang="en-GB"/>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516C-422E-9297-6099A46027D3}"/>
                </c:ext>
              </c:extLst>
            </c:dLbl>
            <c:dLbl>
              <c:idx val="2"/>
              <c:tx>
                <c:rich>
                  <a:bodyPr/>
                  <a:lstStyle/>
                  <a:p>
                    <a:endParaRPr lang="en-GB"/>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516C-422E-9297-6099A46027D3}"/>
                </c:ext>
              </c:extLst>
            </c:dLbl>
            <c:dLbl>
              <c:idx val="3"/>
              <c:tx>
                <c:rich>
                  <a:bodyPr/>
                  <a:lstStyle/>
                  <a:p>
                    <a:fld id="{15B4E4E1-0426-4508-A7A6-CDDFB15ED829}" type="CELLRANGE">
                      <a:rPr lang="da-DK"/>
                      <a:pPr/>
                      <a:t>[CELLRANGE]</a:t>
                    </a:fld>
                    <a:endParaRPr lang="en-GB"/>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516C-422E-9297-6099A46027D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a-DK"/>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extLst>
                <c:ext xmlns:c15="http://schemas.microsoft.com/office/drawing/2012/chart" uri="{02D57815-91ED-43cb-92C2-25804820EDAC}">
                  <c15:fullRef>
                    <c15:sqref>'Fremskrivning - Hovedresultater'!$D$24:$J$24</c15:sqref>
                  </c15:fullRef>
                </c:ext>
              </c:extLst>
              <c:f>('Fremskrivning - Hovedresultater'!$D$24:$E$24,'Fremskrivning - Hovedresultater'!$I$24:$J$24)</c:f>
              <c:numCache>
                <c:formatCode>General</c:formatCode>
                <c:ptCount val="4"/>
                <c:pt idx="0">
                  <c:v>2015</c:v>
                </c:pt>
                <c:pt idx="1">
                  <c:v>2030</c:v>
                </c:pt>
              </c:numCache>
            </c:numRef>
          </c:cat>
          <c:val>
            <c:numRef>
              <c:extLst>
                <c:ext xmlns:c15="http://schemas.microsoft.com/office/drawing/2012/chart" uri="{02D57815-91ED-43cb-92C2-25804820EDAC}">
                  <c15:fullRef>
                    <c15:sqref>'Fremskrivning - Hovedresultater'!$D$34:$J$34</c15:sqref>
                  </c15:fullRef>
                </c:ext>
              </c:extLst>
              <c:f>('Fremskrivning - Hovedresultater'!$D$34:$E$34,'Fremskrivning - Hovedresultater'!$I$34:$J$34)</c:f>
              <c:numCache>
                <c:formatCode>General</c:formatCode>
                <c:ptCount val="4"/>
                <c:pt idx="3" formatCode="0.00">
                  <c:v>7</c:v>
                </c:pt>
              </c:numCache>
            </c:numRef>
          </c:val>
          <c:extLst>
            <c:ext xmlns:c15="http://schemas.microsoft.com/office/drawing/2012/chart" uri="{02D57815-91ED-43cb-92C2-25804820EDAC}">
              <c15:datalabelsRange>
                <c15:f>'Fremskrivning - Hovedresultater'!$D$36:$J$36</c15:f>
                <c15:dlblRangeCache>
                  <c:ptCount val="7"/>
                  <c:pt idx="6">
                    <c:v>-63,60%</c:v>
                  </c:pt>
                </c15:dlblRangeCache>
              </c15:datalabelsRange>
            </c:ext>
            <c:ext xmlns:c16="http://schemas.microsoft.com/office/drawing/2014/chart" uri="{C3380CC4-5D6E-409C-BE32-E72D297353CC}">
              <c16:uniqueId val="{00000009-77B4-4952-816C-9F1CD7823962}"/>
            </c:ext>
          </c:extLst>
        </c:ser>
        <c:ser>
          <c:idx val="10"/>
          <c:order val="10"/>
          <c:tx>
            <c:strRef>
              <c:f>'Fremskrivning - Hovedresultater'!$C$35</c:f>
              <c:strCache>
                <c:ptCount val="1"/>
              </c:strCache>
            </c:strRef>
          </c:tx>
          <c:spPr>
            <a:noFill/>
            <a:ln>
              <a:noFill/>
            </a:ln>
            <a:effectLst/>
          </c:spPr>
          <c:invertIfNegative val="0"/>
          <c:dLbls>
            <c:dLbl>
              <c:idx val="0"/>
              <c:tx>
                <c:rich>
                  <a:bodyPr/>
                  <a:lstStyle/>
                  <a:p>
                    <a:endParaRPr lang="en-GB"/>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77B4-4952-816C-9F1CD7823962}"/>
                </c:ext>
              </c:extLst>
            </c:dLbl>
            <c:dLbl>
              <c:idx val="1"/>
              <c:tx>
                <c:rich>
                  <a:bodyPr/>
                  <a:lstStyle/>
                  <a:p>
                    <a:endParaRPr lang="en-GB"/>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77B4-4952-816C-9F1CD7823962}"/>
                </c:ext>
              </c:extLst>
            </c:dLbl>
            <c:dLbl>
              <c:idx val="2"/>
              <c:tx>
                <c:rich>
                  <a:bodyPr/>
                  <a:lstStyle/>
                  <a:p>
                    <a:endParaRPr lang="en-GB"/>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77B4-4952-816C-9F1CD7823962}"/>
                </c:ext>
              </c:extLst>
            </c:dLbl>
            <c:dLbl>
              <c:idx val="3"/>
              <c:tx>
                <c:rich>
                  <a:bodyPr/>
                  <a:lstStyle/>
                  <a:p>
                    <a:fld id="{60C1C77C-5CAB-4939-88CC-16C4119ED945}" type="CELLRANGE">
                      <a:rPr lang="da-DK"/>
                      <a:pPr/>
                      <a:t>[CELLRANGE]</a:t>
                    </a:fld>
                    <a:endParaRPr lang="en-GB"/>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A-77B4-4952-816C-9F1CD782396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a-DK"/>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extLst>
                <c:ext xmlns:c15="http://schemas.microsoft.com/office/drawing/2012/chart" uri="{02D57815-91ED-43cb-92C2-25804820EDAC}">
                  <c15:fullRef>
                    <c15:sqref>'Fremskrivning - Hovedresultater'!$D$24:$J$24</c15:sqref>
                  </c15:fullRef>
                </c:ext>
              </c:extLst>
              <c:f>('Fremskrivning - Hovedresultater'!$D$24:$E$24,'Fremskrivning - Hovedresultater'!$I$24:$J$24)</c:f>
              <c:numCache>
                <c:formatCode>General</c:formatCode>
                <c:ptCount val="4"/>
                <c:pt idx="0">
                  <c:v>2015</c:v>
                </c:pt>
                <c:pt idx="1">
                  <c:v>2030</c:v>
                </c:pt>
              </c:numCache>
            </c:numRef>
          </c:cat>
          <c:val>
            <c:numRef>
              <c:extLst>
                <c:ext xmlns:c15="http://schemas.microsoft.com/office/drawing/2012/chart" uri="{02D57815-91ED-43cb-92C2-25804820EDAC}">
                  <c15:fullRef>
                    <c15:sqref>'Fremskrivning - Hovedresultater'!$D$35:$J$35</c15:sqref>
                  </c15:fullRef>
                </c:ext>
              </c:extLst>
              <c:f>('Fremskrivning - Hovedresultater'!$D$35:$E$35,'Fremskrivning - Hovedresultater'!$I$35:$J$35)</c:f>
              <c:numCache>
                <c:formatCode>General</c:formatCode>
                <c:ptCount val="4"/>
                <c:pt idx="3" formatCode="0.00">
                  <c:v>0</c:v>
                </c:pt>
              </c:numCache>
            </c:numRef>
          </c:val>
          <c:extLst>
            <c:ext xmlns:c15="http://schemas.microsoft.com/office/drawing/2012/chart" uri="{02D57815-91ED-43cb-92C2-25804820EDAC}">
              <c15:datalabelsRange>
                <c15:f>'Fremskrivning - Hovedresultater'!$D$37:$J$37</c15:f>
                <c15:dlblRangeCache>
                  <c:ptCount val="7"/>
                </c15:dlblRangeCache>
              </c15:datalabelsRange>
            </c:ext>
            <c:ext xmlns:c16="http://schemas.microsoft.com/office/drawing/2014/chart" uri="{C3380CC4-5D6E-409C-BE32-E72D297353CC}">
              <c16:uniqueId val="{0000000A-77B4-4952-816C-9F1CD7823962}"/>
            </c:ext>
          </c:extLst>
        </c:ser>
        <c:dLbls>
          <c:showLegendKey val="0"/>
          <c:showVal val="0"/>
          <c:showCatName val="0"/>
          <c:showSerName val="0"/>
          <c:showPercent val="0"/>
          <c:showBubbleSize val="0"/>
        </c:dLbls>
        <c:gapWidth val="150"/>
        <c:overlap val="100"/>
        <c:axId val="1939518544"/>
        <c:axId val="1574750592"/>
        <c:extLst>
          <c:ext xmlns:c15="http://schemas.microsoft.com/office/drawing/2012/chart" uri="{02D57815-91ED-43cb-92C2-25804820EDAC}">
            <c15:filteredBarSeries>
              <c15:ser>
                <c:idx val="1"/>
                <c:order val="1"/>
                <c:tx>
                  <c:strRef>
                    <c:extLst>
                      <c:ext uri="{02D57815-91ED-43cb-92C2-25804820EDAC}">
                        <c15:formulaRef>
                          <c15:sqref>'Fremskrivning - Hovedresultater'!$C$26</c15:sqref>
                        </c15:formulaRef>
                      </c:ext>
                    </c:extLst>
                    <c:strCache>
                      <c:ptCount val="1"/>
                      <c:pt idx="0">
                        <c:v>Scope 2</c:v>
                      </c:pt>
                    </c:strCache>
                  </c:strRef>
                </c:tx>
                <c:spPr>
                  <a:solidFill>
                    <a:schemeClr val="accent2"/>
                  </a:solidFill>
                  <a:ln>
                    <a:noFill/>
                  </a:ln>
                  <a:effectLst/>
                </c:spPr>
                <c:invertIfNegative val="0"/>
                <c:cat>
                  <c:numRef>
                    <c:extLst>
                      <c:ext uri="{02D57815-91ED-43cb-92C2-25804820EDAC}">
                        <c15:fullRef>
                          <c15:sqref>'Fremskrivning - Hovedresultater'!$D$24:$J$24</c15:sqref>
                        </c15:fullRef>
                        <c15:formulaRef>
                          <c15:sqref>('Fremskrivning - Hovedresultater'!$D$24:$E$24,'Fremskrivning - Hovedresultater'!$I$24:$J$24)</c15:sqref>
                        </c15:formulaRef>
                      </c:ext>
                    </c:extLst>
                    <c:numCache>
                      <c:formatCode>General</c:formatCode>
                      <c:ptCount val="4"/>
                      <c:pt idx="0">
                        <c:v>2015</c:v>
                      </c:pt>
                      <c:pt idx="1">
                        <c:v>2030</c:v>
                      </c:pt>
                    </c:numCache>
                  </c:numRef>
                </c:cat>
                <c:val>
                  <c:numRef>
                    <c:extLst>
                      <c:ext uri="{02D57815-91ED-43cb-92C2-25804820EDAC}">
                        <c15:fullRef>
                          <c15:sqref>'Fremskrivning - Hovedresultater'!$D$26:$J$26</c15:sqref>
                        </c15:fullRef>
                        <c15:formulaRef>
                          <c15:sqref>('Fremskrivning - Hovedresultater'!$D$26:$E$26,'Fremskrivning - Hovedresultater'!$I$26:$J$26)</c15:sqref>
                        </c15:formulaRef>
                      </c:ext>
                    </c:extLst>
                    <c:numCache>
                      <c:formatCode>#,##0.00</c:formatCode>
                      <c:ptCount val="4"/>
                      <c:pt idx="0">
                        <c:v>7</c:v>
                      </c:pt>
                      <c:pt idx="1">
                        <c:v>4</c:v>
                      </c:pt>
                    </c:numCache>
                  </c:numRef>
                </c:val>
                <c:extLst>
                  <c:ext xmlns:c16="http://schemas.microsoft.com/office/drawing/2014/chart" uri="{C3380CC4-5D6E-409C-BE32-E72D297353CC}">
                    <c16:uniqueId val="{00000001-77B4-4952-816C-9F1CD7823962}"/>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'Fremskrivning - Hovedresultater'!$C$27</c15:sqref>
                        </c15:formulaRef>
                      </c:ext>
                    </c:extLst>
                    <c:strCache>
                      <c:ptCount val="1"/>
                      <c:pt idx="0">
                        <c:v>Scope 3</c:v>
                      </c:pt>
                    </c:strCache>
                  </c:strRef>
                </c:tx>
                <c:spPr>
                  <a:solidFill>
                    <a:schemeClr val="accent3"/>
                  </a:solidFill>
                  <a:ln>
                    <a:noFill/>
                  </a:ln>
                  <a:effectLst/>
                </c:spPr>
                <c:invertIfNegative val="0"/>
                <c:cat>
                  <c:numRef>
                    <c:extLst>
                      <c:ext xmlns:c15="http://schemas.microsoft.com/office/drawing/2012/chart" uri="{02D57815-91ED-43cb-92C2-25804820EDAC}">
                        <c15:fullRef>
                          <c15:sqref>'Fremskrivning - Hovedresultater'!$D$24:$J$24</c15:sqref>
                        </c15:fullRef>
                        <c15:formulaRef>
                          <c15:sqref>('Fremskrivning - Hovedresultater'!$D$24:$E$24,'Fremskrivning - Hovedresultater'!$I$24:$J$24)</c15:sqref>
                        </c15:formulaRef>
                      </c:ext>
                    </c:extLst>
                    <c:numCache>
                      <c:formatCode>General</c:formatCode>
                      <c:ptCount val="4"/>
                      <c:pt idx="0">
                        <c:v>2015</c:v>
                      </c:pt>
                      <c:pt idx="1">
                        <c:v>2030</c:v>
                      </c:pt>
                    </c:numCache>
                  </c:numRef>
                </c:cat>
                <c:val>
                  <c:numRef>
                    <c:extLst>
                      <c:ext xmlns:c15="http://schemas.microsoft.com/office/drawing/2012/chart" uri="{02D57815-91ED-43cb-92C2-25804820EDAC}">
                        <c15:fullRef>
                          <c15:sqref>'Fremskrivning - Hovedresultater'!$D$27:$J$27</c15:sqref>
                        </c15:fullRef>
                        <c15:formulaRef>
                          <c15:sqref>('Fremskrivning - Hovedresultater'!$D$27:$E$27,'Fremskrivning - Hovedresultater'!$I$27:$J$27)</c15:sqref>
                        </c15:formulaRef>
                      </c:ext>
                    </c:extLst>
                    <c:numCache>
                      <c:formatCode>#,##0.00</c:formatCode>
                      <c:ptCount val="4"/>
                      <c:pt idx="0">
                        <c:v>8</c:v>
                      </c:pt>
                      <c:pt idx="1">
                        <c:v>5</c:v>
                      </c:pt>
                    </c:numCache>
                  </c:numRef>
                </c:val>
                <c:extLst xmlns:c15="http://schemas.microsoft.com/office/drawing/2012/chart">
                  <c:ext xmlns:c16="http://schemas.microsoft.com/office/drawing/2014/chart" uri="{C3380CC4-5D6E-409C-BE32-E72D297353CC}">
                    <c16:uniqueId val="{00000002-77B4-4952-816C-9F1CD7823962}"/>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'Fremskrivning - Hovedresultater'!$C$28</c15:sqref>
                        </c15:formulaRef>
                      </c:ext>
                    </c:extLst>
                    <c:strCache>
                      <c:ptCount val="1"/>
                      <c:pt idx="0">
                        <c:v>Total</c:v>
                      </c:pt>
                    </c:strCache>
                  </c:strRef>
                </c:tx>
                <c:spPr>
                  <a:solidFill>
                    <a:schemeClr val="accent4"/>
                  </a:solidFill>
                  <a:ln>
                    <a:noFill/>
                  </a:ln>
                  <a:effectLst/>
                </c:spPr>
                <c:invertIfNegative val="0"/>
                <c:cat>
                  <c:numRef>
                    <c:extLst>
                      <c:ext xmlns:c15="http://schemas.microsoft.com/office/drawing/2012/chart" uri="{02D57815-91ED-43cb-92C2-25804820EDAC}">
                        <c15:fullRef>
                          <c15:sqref>'Fremskrivning - Hovedresultater'!$D$24:$J$24</c15:sqref>
                        </c15:fullRef>
                        <c15:formulaRef>
                          <c15:sqref>('Fremskrivning - Hovedresultater'!$D$24:$E$24,'Fremskrivning - Hovedresultater'!$I$24:$J$24)</c15:sqref>
                        </c15:formulaRef>
                      </c:ext>
                    </c:extLst>
                    <c:numCache>
                      <c:formatCode>General</c:formatCode>
                      <c:ptCount val="4"/>
                      <c:pt idx="0">
                        <c:v>2015</c:v>
                      </c:pt>
                      <c:pt idx="1">
                        <c:v>2030</c:v>
                      </c:pt>
                    </c:numCache>
                  </c:numRef>
                </c:cat>
                <c:val>
                  <c:numRef>
                    <c:extLst>
                      <c:ext xmlns:c15="http://schemas.microsoft.com/office/drawing/2012/chart" uri="{02D57815-91ED-43cb-92C2-25804820EDAC}">
                        <c15:fullRef>
                          <c15:sqref>'Fremskrivning - Hovedresultater'!$D$28:$J$28</c15:sqref>
                        </c15:fullRef>
                        <c15:formulaRef>
                          <c15:sqref>('Fremskrivning - Hovedresultater'!$D$28:$E$28,'Fremskrivning - Hovedresultater'!$I$28:$J$28)</c15:sqref>
                        </c15:formulaRef>
                      </c:ext>
                    </c:extLst>
                    <c:numCache>
                      <c:formatCode>#,##0.00</c:formatCode>
                      <c:ptCount val="4"/>
                      <c:pt idx="0">
                        <c:v>26</c:v>
                      </c:pt>
                      <c:pt idx="1">
                        <c:v>13</c:v>
                      </c:pt>
                    </c:numCache>
                  </c:numRef>
                </c:val>
                <c:extLst xmlns:c15="http://schemas.microsoft.com/office/drawing/2012/chart">
                  <c:ext xmlns:c16="http://schemas.microsoft.com/office/drawing/2014/chart" uri="{C3380CC4-5D6E-409C-BE32-E72D297353CC}">
                    <c16:uniqueId val="{00000003-77B4-4952-816C-9F1CD7823962}"/>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'Fremskrivning - Hovedresultater'!$C$29</c15:sqref>
                        </c15:formulaRef>
                      </c:ext>
                    </c:extLst>
                    <c:strCache>
                      <c:ptCount val="1"/>
                      <c:pt idx="0">
                        <c:v>Udenfor scopes</c:v>
                      </c:pt>
                    </c:strCache>
                  </c:strRef>
                </c:tx>
                <c:spPr>
                  <a:solidFill>
                    <a:schemeClr val="accent5"/>
                  </a:solidFill>
                  <a:ln>
                    <a:noFill/>
                  </a:ln>
                  <a:effectLst/>
                </c:spPr>
                <c:invertIfNegative val="0"/>
                <c:cat>
                  <c:numRef>
                    <c:extLst>
                      <c:ext xmlns:c15="http://schemas.microsoft.com/office/drawing/2012/chart" uri="{02D57815-91ED-43cb-92C2-25804820EDAC}">
                        <c15:fullRef>
                          <c15:sqref>'Fremskrivning - Hovedresultater'!$D$24:$J$24</c15:sqref>
                        </c15:fullRef>
                        <c15:formulaRef>
                          <c15:sqref>('Fremskrivning - Hovedresultater'!$D$24:$E$24,'Fremskrivning - Hovedresultater'!$I$24:$J$24)</c15:sqref>
                        </c15:formulaRef>
                      </c:ext>
                    </c:extLst>
                    <c:numCache>
                      <c:formatCode>General</c:formatCode>
                      <c:ptCount val="4"/>
                      <c:pt idx="0">
                        <c:v>2015</c:v>
                      </c:pt>
                      <c:pt idx="1">
                        <c:v>2030</c:v>
                      </c:pt>
                    </c:numCache>
                  </c:numRef>
                </c:cat>
                <c:val>
                  <c:numRef>
                    <c:extLst>
                      <c:ext xmlns:c15="http://schemas.microsoft.com/office/drawing/2012/chart" uri="{02D57815-91ED-43cb-92C2-25804820EDAC}">
                        <c15:fullRef>
                          <c15:sqref>'Fremskrivning - Hovedresultater'!$D$29:$J$29</c15:sqref>
                        </c15:fullRef>
                        <c15:formulaRef>
                          <c15:sqref>('Fremskrivning - Hovedresultater'!$D$29:$E$29,'Fremskrivning - Hovedresultater'!$I$29:$J$29)</c15:sqref>
                        </c15:formulaRef>
                      </c:ext>
                    </c:extLst>
                    <c:numCache>
                      <c:formatCode>#,##0.00</c:formatCode>
                      <c:ptCount val="4"/>
                      <c:pt idx="0">
                        <c:v>8</c:v>
                      </c:pt>
                      <c:pt idx="1">
                        <c:v>8</c:v>
                      </c:pt>
                    </c:numCache>
                  </c:numRef>
                </c:val>
                <c:extLst xmlns:c15="http://schemas.microsoft.com/office/drawing/2012/chart">
                  <c:ext xmlns:c16="http://schemas.microsoft.com/office/drawing/2014/chart" uri="{C3380CC4-5D6E-409C-BE32-E72D297353CC}">
                    <c16:uniqueId val="{00000004-77B4-4952-816C-9F1CD7823962}"/>
                  </c:ext>
                </c:extLst>
              </c15:ser>
            </c15:filteredBarSeries>
            <c15:filteredBarSeries>
              <c15:ser>
                <c:idx val="11"/>
                <c:order val="11"/>
                <c:tx>
                  <c:strRef>
                    <c:extLst xmlns:c15="http://schemas.microsoft.com/office/drawing/2012/chart">
                      <c:ext xmlns:c15="http://schemas.microsoft.com/office/drawing/2012/chart" uri="{02D57815-91ED-43cb-92C2-25804820EDAC}">
                        <c15:formulaRef>
                          <c15:sqref>'Fremskrivning - Hovedresultater'!$C$36</c15:sqref>
                        </c15:formulaRef>
                      </c:ext>
                    </c:extLst>
                    <c:strCache>
                      <c:ptCount val="1"/>
                      <c:pt idx="0">
                        <c:v>Etikets værdi for scope 1 (reduktion)</c:v>
                      </c:pt>
                    </c:strCache>
                  </c:strRef>
                </c:tx>
                <c:spPr>
                  <a:noFill/>
                  <a:ln>
                    <a:noFill/>
                  </a:ln>
                  <a:effectLst/>
                </c:spPr>
                <c:invertIfNegative val="0"/>
                <c:cat>
                  <c:numRef>
                    <c:extLst>
                      <c:ext xmlns:c15="http://schemas.microsoft.com/office/drawing/2012/chart" uri="{02D57815-91ED-43cb-92C2-25804820EDAC}">
                        <c15:fullRef>
                          <c15:sqref>'Fremskrivning - Hovedresultater'!$D$24:$J$24</c15:sqref>
                        </c15:fullRef>
                        <c15:formulaRef>
                          <c15:sqref>('Fremskrivning - Hovedresultater'!$D$24:$E$24,'Fremskrivning - Hovedresultater'!$I$24:$J$24)</c15:sqref>
                        </c15:formulaRef>
                      </c:ext>
                    </c:extLst>
                    <c:numCache>
                      <c:formatCode>General</c:formatCode>
                      <c:ptCount val="4"/>
                      <c:pt idx="0">
                        <c:v>2015</c:v>
                      </c:pt>
                      <c:pt idx="1">
                        <c:v>2030</c:v>
                      </c:pt>
                    </c:numCache>
                  </c:numRef>
                </c:cat>
                <c:val>
                  <c:numRef>
                    <c:extLst>
                      <c:ext xmlns:c15="http://schemas.microsoft.com/office/drawing/2012/chart" uri="{02D57815-91ED-43cb-92C2-25804820EDAC}">
                        <c15:fullRef>
                          <c15:sqref>'Fremskrivning - Hovedresultater'!$D$36:$J$36</c15:sqref>
                        </c15:fullRef>
                        <c15:formulaRef>
                          <c15:sqref>('Fremskrivning - Hovedresultater'!$D$36:$E$36,'Fremskrivning - Hovedresultater'!$I$36:$J$36)</c15:sqref>
                        </c15:formulaRef>
                      </c:ext>
                    </c:extLst>
                    <c:numCache>
                      <c:formatCode>General</c:formatCode>
                      <c:ptCount val="4"/>
                      <c:pt idx="3" formatCode="0.00%">
                        <c:v>-0.63600000000000001</c:v>
                      </c:pt>
                    </c:numCache>
                  </c:numRef>
                </c:val>
                <c:extLst xmlns:c15="http://schemas.microsoft.com/office/drawing/2012/chart">
                  <c:ext xmlns:c16="http://schemas.microsoft.com/office/drawing/2014/chart" uri="{C3380CC4-5D6E-409C-BE32-E72D297353CC}">
                    <c16:uniqueId val="{0000000B-77B4-4952-816C-9F1CD7823962}"/>
                  </c:ext>
                </c:extLst>
              </c15:ser>
            </c15:filteredBarSeries>
            <c15:filteredBarSeries>
              <c15:ser>
                <c:idx val="12"/>
                <c:order val="12"/>
                <c:tx>
                  <c:strRef>
                    <c:extLst xmlns:c15="http://schemas.microsoft.com/office/drawing/2012/chart">
                      <c:ext xmlns:c15="http://schemas.microsoft.com/office/drawing/2012/chart" uri="{02D57815-91ED-43cb-92C2-25804820EDAC}">
                        <c15:formulaRef>
                          <c15:sqref>'Fremskrivning - Hovedresultater'!$C$37</c15:sqref>
                        </c15:formulaRef>
                      </c:ext>
                    </c:extLst>
                    <c:strCache>
                      <c:ptCount val="1"/>
                      <c:pt idx="0">
                        <c:v>Etikets værdi for scope 1 (stigning)</c:v>
                      </c:pt>
                    </c:strCache>
                  </c:strRef>
                </c:tx>
                <c:spPr>
                  <a:solidFill>
                    <a:schemeClr val="accent1">
                      <a:lumMod val="80000"/>
                      <a:lumOff val="20000"/>
                    </a:schemeClr>
                  </a:solidFill>
                  <a:ln>
                    <a:noFill/>
                  </a:ln>
                  <a:effectLst/>
                </c:spPr>
                <c:invertIfNegative val="0"/>
                <c:cat>
                  <c:numRef>
                    <c:extLst>
                      <c:ext xmlns:c15="http://schemas.microsoft.com/office/drawing/2012/chart" uri="{02D57815-91ED-43cb-92C2-25804820EDAC}">
                        <c15:fullRef>
                          <c15:sqref>'Fremskrivning - Hovedresultater'!$D$24:$J$24</c15:sqref>
                        </c15:fullRef>
                        <c15:formulaRef>
                          <c15:sqref>('Fremskrivning - Hovedresultater'!$D$24:$E$24,'Fremskrivning - Hovedresultater'!$I$24:$J$24)</c15:sqref>
                        </c15:formulaRef>
                      </c:ext>
                    </c:extLst>
                    <c:numCache>
                      <c:formatCode>General</c:formatCode>
                      <c:ptCount val="4"/>
                      <c:pt idx="0">
                        <c:v>2015</c:v>
                      </c:pt>
                      <c:pt idx="1">
                        <c:v>2030</c:v>
                      </c:pt>
                    </c:numCache>
                  </c:numRef>
                </c:cat>
                <c:val>
                  <c:numRef>
                    <c:extLst>
                      <c:ext xmlns:c15="http://schemas.microsoft.com/office/drawing/2012/chart" uri="{02D57815-91ED-43cb-92C2-25804820EDAC}">
                        <c15:fullRef>
                          <c15:sqref>'Fremskrivning - Hovedresultater'!$D$37:$J$37</c15:sqref>
                        </c15:fullRef>
                        <c15:formulaRef>
                          <c15:sqref>('Fremskrivning - Hovedresultater'!$D$37:$E$37,'Fremskrivning - Hovedresultater'!$I$37:$J$37)</c15:sqref>
                        </c15:formulaRef>
                      </c:ext>
                    </c:extLst>
                    <c:numCache>
                      <c:formatCode>General</c:formatCode>
                      <c:ptCount val="4"/>
                      <c:pt idx="3" formatCode="0%">
                        <c:v>0</c:v>
                      </c:pt>
                    </c:numCache>
                  </c:numRef>
                </c:val>
                <c:extLst xmlns:c15="http://schemas.microsoft.com/office/drawing/2012/chart">
                  <c:ext xmlns:c16="http://schemas.microsoft.com/office/drawing/2014/chart" uri="{C3380CC4-5D6E-409C-BE32-E72D297353CC}">
                    <c16:uniqueId val="{0000002B-CBE9-43A8-BDC5-A93C0FCD43A0}"/>
                  </c:ext>
                </c:extLst>
              </c15:ser>
            </c15:filteredBarSeries>
          </c:ext>
        </c:extLst>
      </c:barChart>
      <c:catAx>
        <c:axId val="193951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574750592"/>
        <c:crosses val="autoZero"/>
        <c:auto val="1"/>
        <c:lblAlgn val="ctr"/>
        <c:lblOffset val="100"/>
        <c:noMultiLvlLbl val="0"/>
      </c:catAx>
      <c:valAx>
        <c:axId val="1574750592"/>
        <c:scaling>
          <c:orientation val="minMax"/>
        </c:scaling>
        <c:delete val="0"/>
        <c:axPos val="l"/>
        <c:majorGridlines>
          <c:spPr>
            <a:ln w="9525" cap="flat" cmpd="sng" algn="ctr">
              <a:solidFill>
                <a:schemeClr val="tx1">
                  <a:lumMod val="15000"/>
                  <a:lumOff val="85000"/>
                </a:schemeClr>
              </a:solidFill>
              <a:round/>
            </a:ln>
            <a:effectLst/>
          </c:spPr>
        </c:majorGridlines>
        <c:title>
          <c:tx>
            <c:strRef>
              <c:f>Tekstnøgler!$C$582</c:f>
              <c:strCache>
                <c:ptCount val="1"/>
                <c:pt idx="0">
                  <c:v>ton CO₂e</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a-DK"/>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939518544"/>
        <c:crosses val="autoZero"/>
        <c:crossBetween val="between"/>
      </c:valAx>
      <c:spPr>
        <a:noFill/>
        <a:ln>
          <a:noFill/>
        </a:ln>
        <a:effectLst/>
      </c:spPr>
    </c:plotArea>
    <c:legend>
      <c:legendPos val="b"/>
      <c:legendEntry>
        <c:idx val="1"/>
        <c:delete val="1"/>
      </c:legendEntry>
      <c:legendEntry>
        <c:idx val="4"/>
        <c:delete val="1"/>
      </c:legendEntry>
      <c:legendEntry>
        <c:idx val="5"/>
        <c:delete val="1"/>
      </c:legendEntry>
      <c:legendEntry>
        <c:idx val="6"/>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'Fremskrivning - Hovedresultater'!$C$40</c:f>
              <c:strCache>
                <c:ptCount val="1"/>
                <c:pt idx="0">
                  <c:v>Scope 2</c:v>
                </c:pt>
              </c:strCache>
            </c:strRef>
          </c:tx>
          <c:spPr>
            <a:solidFill>
              <a:srgbClr val="078856"/>
            </a:solidFill>
            <a:ln>
              <a:noFill/>
            </a:ln>
            <a:effectLst/>
          </c:spPr>
          <c:invertIfNegative val="0"/>
          <c:cat>
            <c:numRef>
              <c:extLst>
                <c:ext xmlns:c15="http://schemas.microsoft.com/office/drawing/2012/chart" uri="{02D57815-91ED-43cb-92C2-25804820EDAC}">
                  <c15:fullRef>
                    <c15:sqref>'Fremskrivning - Hovedresultater'!$D$39:$J$39</c15:sqref>
                  </c15:fullRef>
                </c:ext>
              </c:extLst>
              <c:f>('Fremskrivning - Hovedresultater'!$D$39:$E$39,'Fremskrivning - Hovedresultater'!$I$39:$J$39)</c:f>
              <c:numCache>
                <c:formatCode>General</c:formatCode>
                <c:ptCount val="4"/>
                <c:pt idx="0">
                  <c:v>2015</c:v>
                </c:pt>
                <c:pt idx="1">
                  <c:v>2030</c:v>
                </c:pt>
              </c:numCache>
            </c:numRef>
          </c:cat>
          <c:val>
            <c:numRef>
              <c:extLst>
                <c:ext xmlns:c15="http://schemas.microsoft.com/office/drawing/2012/chart" uri="{02D57815-91ED-43cb-92C2-25804820EDAC}">
                  <c15:fullRef>
                    <c15:sqref>'Fremskrivning - Hovedresultater'!$D$40:$J$40</c15:sqref>
                  </c15:fullRef>
                </c:ext>
              </c:extLst>
              <c:f>('Fremskrivning - Hovedresultater'!$D$40:$E$40,'Fremskrivning - Hovedresultater'!$I$40:$J$40)</c:f>
              <c:numCache>
                <c:formatCode>#,##0.00</c:formatCode>
                <c:ptCount val="4"/>
                <c:pt idx="0">
                  <c:v>7</c:v>
                </c:pt>
                <c:pt idx="1">
                  <c:v>4</c:v>
                </c:pt>
              </c:numCache>
            </c:numRef>
          </c:val>
          <c:extLst>
            <c:ext xmlns:c16="http://schemas.microsoft.com/office/drawing/2014/chart" uri="{C3380CC4-5D6E-409C-BE32-E72D297353CC}">
              <c16:uniqueId val="{00000000-16D3-4642-94F3-8C4B3E815EE7}"/>
            </c:ext>
          </c:extLst>
        </c:ser>
        <c:ser>
          <c:idx val="1"/>
          <c:order val="1"/>
          <c:tx>
            <c:strRef>
              <c:f>'Fremskrivning - Hovedresultater'!$C$41</c:f>
              <c:strCache>
                <c:ptCount val="1"/>
                <c:pt idx="0">
                  <c:v>Målsætning for scope 2</c:v>
                </c:pt>
              </c:strCache>
            </c:strRef>
          </c:tx>
          <c:spPr>
            <a:noFill/>
            <a:ln>
              <a:noFill/>
            </a:ln>
            <a:effectLst/>
          </c:spPr>
          <c:invertIfNegative val="0"/>
          <c:cat>
            <c:numRef>
              <c:extLst>
                <c:ext xmlns:c15="http://schemas.microsoft.com/office/drawing/2012/chart" uri="{02D57815-91ED-43cb-92C2-25804820EDAC}">
                  <c15:fullRef>
                    <c15:sqref>'Fremskrivning - Hovedresultater'!$D$39:$J$39</c15:sqref>
                  </c15:fullRef>
                </c:ext>
              </c:extLst>
              <c:f>('Fremskrivning - Hovedresultater'!$D$39:$E$39,'Fremskrivning - Hovedresultater'!$I$39:$J$39)</c:f>
              <c:numCache>
                <c:formatCode>General</c:formatCode>
                <c:ptCount val="4"/>
                <c:pt idx="0">
                  <c:v>2015</c:v>
                </c:pt>
                <c:pt idx="1">
                  <c:v>2030</c:v>
                </c:pt>
              </c:numCache>
            </c:numRef>
          </c:cat>
          <c:val>
            <c:numRef>
              <c:extLst>
                <c:ext xmlns:c15="http://schemas.microsoft.com/office/drawing/2012/chart" uri="{02D57815-91ED-43cb-92C2-25804820EDAC}">
                  <c15:fullRef>
                    <c15:sqref>'Fremskrivning - Hovedresultater'!$D$41:$J$41</c15:sqref>
                  </c15:fullRef>
                </c:ext>
              </c:extLst>
              <c:f>('Fremskrivning - Hovedresultater'!$D$41:$E$41,'Fremskrivning - Hovedresultater'!$I$41:$J$41)</c:f>
              <c:numCache>
                <c:formatCode>General</c:formatCode>
                <c:ptCount val="4"/>
                <c:pt idx="2" formatCode="#,##0.00">
                  <c:v>4</c:v>
                </c:pt>
              </c:numCache>
            </c:numRef>
          </c:val>
          <c:extLst xmlns:c15="http://schemas.microsoft.com/office/drawing/2012/chart">
            <c:ext xmlns:c16="http://schemas.microsoft.com/office/drawing/2014/chart" uri="{C3380CC4-5D6E-409C-BE32-E72D297353CC}">
              <c16:uniqueId val="{0000000C-16D3-4642-94F3-8C4B3E815EE7}"/>
            </c:ext>
          </c:extLst>
        </c:ser>
        <c:ser>
          <c:idx val="2"/>
          <c:order val="2"/>
          <c:tx>
            <c:strRef>
              <c:f>'Fremskrivning - Hovedresultater'!$C$42</c:f>
              <c:strCache>
                <c:ptCount val="1"/>
                <c:pt idx="0">
                  <c:v>Reduktion opnået (scope 2)</c:v>
                </c:pt>
              </c:strCache>
            </c:strRef>
          </c:tx>
          <c:spPr>
            <a:solidFill>
              <a:srgbClr val="74C476">
                <a:alpha val="60000"/>
              </a:srgbClr>
            </a:solidFill>
            <a:ln>
              <a:noFill/>
            </a:ln>
            <a:effectLst/>
          </c:spPr>
          <c:invertIfNegative val="0"/>
          <c:cat>
            <c:numRef>
              <c:extLst>
                <c:ext xmlns:c15="http://schemas.microsoft.com/office/drawing/2012/chart" uri="{02D57815-91ED-43cb-92C2-25804820EDAC}">
                  <c15:fullRef>
                    <c15:sqref>'Fremskrivning - Hovedresultater'!$D$39:$J$39</c15:sqref>
                  </c15:fullRef>
                </c:ext>
              </c:extLst>
              <c:f>('Fremskrivning - Hovedresultater'!$D$39:$E$39,'Fremskrivning - Hovedresultater'!$I$39:$J$39)</c:f>
              <c:numCache>
                <c:formatCode>General</c:formatCode>
                <c:ptCount val="4"/>
                <c:pt idx="0">
                  <c:v>2015</c:v>
                </c:pt>
                <c:pt idx="1">
                  <c:v>2030</c:v>
                </c:pt>
              </c:numCache>
            </c:numRef>
          </c:cat>
          <c:val>
            <c:numRef>
              <c:extLst>
                <c:ext xmlns:c15="http://schemas.microsoft.com/office/drawing/2012/chart" uri="{02D57815-91ED-43cb-92C2-25804820EDAC}">
                  <c15:fullRef>
                    <c15:sqref>'Fremskrivning - Hovedresultater'!$D$42:$J$42</c15:sqref>
                  </c15:fullRef>
                </c:ext>
              </c:extLst>
              <c:f>('Fremskrivning - Hovedresultater'!$D$42:$E$42,'Fremskrivning - Hovedresultater'!$I$42:$J$42)</c:f>
              <c:numCache>
                <c:formatCode>General</c:formatCode>
                <c:ptCount val="4"/>
                <c:pt idx="2" formatCode="#,##0.00">
                  <c:v>3</c:v>
                </c:pt>
              </c:numCache>
            </c:numRef>
          </c:val>
          <c:extLst xmlns:c15="http://schemas.microsoft.com/office/drawing/2012/chart">
            <c:ext xmlns:c16="http://schemas.microsoft.com/office/drawing/2014/chart" uri="{C3380CC4-5D6E-409C-BE32-E72D297353CC}">
              <c16:uniqueId val="{0000000D-16D3-4642-94F3-8C4B3E815EE7}"/>
            </c:ext>
          </c:extLst>
        </c:ser>
        <c:ser>
          <c:idx val="3"/>
          <c:order val="3"/>
          <c:tx>
            <c:strRef>
              <c:f>'Fremskrivning - Hovedresultater'!$C$43</c:f>
              <c:strCache>
                <c:ptCount val="1"/>
                <c:pt idx="0">
                  <c:v>(ikke relevant)</c:v>
                </c:pt>
              </c:strCache>
            </c:strRef>
          </c:tx>
          <c:spPr>
            <a:solidFill>
              <a:srgbClr val="FF0000">
                <a:alpha val="40000"/>
              </a:srgbClr>
            </a:solidFill>
            <a:ln>
              <a:noFill/>
            </a:ln>
            <a:effectLst/>
          </c:spPr>
          <c:invertIfNegative val="0"/>
          <c:cat>
            <c:numRef>
              <c:extLst>
                <c:ext xmlns:c15="http://schemas.microsoft.com/office/drawing/2012/chart" uri="{02D57815-91ED-43cb-92C2-25804820EDAC}">
                  <c15:fullRef>
                    <c15:sqref>'Fremskrivning - Hovedresultater'!$D$39:$J$39</c15:sqref>
                  </c15:fullRef>
                </c:ext>
              </c:extLst>
              <c:f>('Fremskrivning - Hovedresultater'!$D$39:$E$39,'Fremskrivning - Hovedresultater'!$I$39:$J$39)</c:f>
              <c:numCache>
                <c:formatCode>General</c:formatCode>
                <c:ptCount val="4"/>
                <c:pt idx="0">
                  <c:v>2015</c:v>
                </c:pt>
                <c:pt idx="1">
                  <c:v>2030</c:v>
                </c:pt>
              </c:numCache>
            </c:numRef>
          </c:cat>
          <c:val>
            <c:numRef>
              <c:extLst>
                <c:ext xmlns:c15="http://schemas.microsoft.com/office/drawing/2012/chart" uri="{02D57815-91ED-43cb-92C2-25804820EDAC}">
                  <c15:fullRef>
                    <c15:sqref>'Fremskrivning - Hovedresultater'!$D$43:$J$43</c15:sqref>
                  </c15:fullRef>
                </c:ext>
              </c:extLst>
              <c:f>('Fremskrivning - Hovedresultater'!$D$43:$E$43,'Fremskrivning - Hovedresultater'!$I$43:$J$43)</c:f>
              <c:numCache>
                <c:formatCode>General</c:formatCode>
                <c:ptCount val="4"/>
                <c:pt idx="2" formatCode="#,##0.00">
                  <c:v>0</c:v>
                </c:pt>
              </c:numCache>
            </c:numRef>
          </c:val>
          <c:extLst xmlns:c15="http://schemas.microsoft.com/office/drawing/2012/chart">
            <c:ext xmlns:c16="http://schemas.microsoft.com/office/drawing/2014/chart" uri="{C3380CC4-5D6E-409C-BE32-E72D297353CC}">
              <c16:uniqueId val="{0000000E-16D3-4642-94F3-8C4B3E815EE7}"/>
            </c:ext>
          </c:extLst>
        </c:ser>
        <c:ser>
          <c:idx val="4"/>
          <c:order val="4"/>
          <c:tx>
            <c:strRef>
              <c:f>'Fremskrivning - Hovedresultater'!$C$44</c:f>
              <c:strCache>
                <c:ptCount val="1"/>
                <c:pt idx="0">
                  <c:v>Målsætning for scope 2 (visning)</c:v>
                </c:pt>
              </c:strCache>
            </c:strRef>
          </c:tx>
          <c:spPr>
            <a:noFill/>
            <a:ln>
              <a:noFill/>
            </a:ln>
            <a:effectLst/>
          </c:spPr>
          <c:invertIfNegative val="0"/>
          <c:cat>
            <c:numRef>
              <c:extLst>
                <c:ext xmlns:c15="http://schemas.microsoft.com/office/drawing/2012/chart" uri="{02D57815-91ED-43cb-92C2-25804820EDAC}">
                  <c15:fullRef>
                    <c15:sqref>'Fremskrivning - Hovedresultater'!$D$39:$J$39</c15:sqref>
                  </c15:fullRef>
                </c:ext>
              </c:extLst>
              <c:f>('Fremskrivning - Hovedresultater'!$D$39:$E$39,'Fremskrivning - Hovedresultater'!$I$39:$J$39)</c:f>
              <c:numCache>
                <c:formatCode>General</c:formatCode>
                <c:ptCount val="4"/>
                <c:pt idx="0">
                  <c:v>2015</c:v>
                </c:pt>
                <c:pt idx="1">
                  <c:v>2030</c:v>
                </c:pt>
              </c:numCache>
            </c:numRef>
          </c:cat>
          <c:val>
            <c:numRef>
              <c:extLst>
                <c:ext xmlns:c15="http://schemas.microsoft.com/office/drawing/2012/chart" uri="{02D57815-91ED-43cb-92C2-25804820EDAC}">
                  <c15:fullRef>
                    <c15:sqref>'Fremskrivning - Hovedresultater'!$D$44:$J$44</c15:sqref>
                  </c15:fullRef>
                </c:ext>
              </c:extLst>
              <c:f>('Fremskrivning - Hovedresultater'!$D$44:$E$44,'Fremskrivning - Hovedresultater'!$I$44:$J$44)</c:f>
              <c:numCache>
                <c:formatCode>General</c:formatCode>
                <c:ptCount val="4"/>
                <c:pt idx="3" formatCode="0.00">
                  <c:v>4</c:v>
                </c:pt>
              </c:numCache>
            </c:numRef>
          </c:val>
          <c:extLst xmlns:c15="http://schemas.microsoft.com/office/drawing/2012/chart">
            <c:ext xmlns:c16="http://schemas.microsoft.com/office/drawing/2014/chart" uri="{C3380CC4-5D6E-409C-BE32-E72D297353CC}">
              <c16:uniqueId val="{0000000F-16D3-4642-94F3-8C4B3E815EE7}"/>
            </c:ext>
          </c:extLst>
        </c:ser>
        <c:ser>
          <c:idx val="5"/>
          <c:order val="5"/>
          <c:tx>
            <c:strRef>
              <c:f>'Fremskrivning - Hovedresultater'!$C$45</c:f>
              <c:strCache>
                <c:ptCount val="1"/>
                <c:pt idx="0">
                  <c:v>Reduktion opnået for scope 2 (visning)</c:v>
                </c:pt>
              </c:strCache>
            </c:strRef>
          </c:tx>
          <c:spPr>
            <a:noFill/>
            <a:ln>
              <a:noFill/>
            </a:ln>
            <a:effectLst/>
          </c:spPr>
          <c:invertIfNegative val="0"/>
          <c:dLbls>
            <c:dLbl>
              <c:idx val="0"/>
              <c:tx>
                <c:rich>
                  <a:bodyPr/>
                  <a:lstStyle/>
                  <a:p>
                    <a:endParaRPr lang="en-GB"/>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16D3-4642-94F3-8C4B3E815EE7}"/>
                </c:ext>
              </c:extLst>
            </c:dLbl>
            <c:dLbl>
              <c:idx val="1"/>
              <c:tx>
                <c:rich>
                  <a:bodyPr/>
                  <a:lstStyle/>
                  <a:p>
                    <a:endParaRPr lang="en-GB"/>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16D3-4642-94F3-8C4B3E815EE7}"/>
                </c:ext>
              </c:extLst>
            </c:dLbl>
            <c:dLbl>
              <c:idx val="2"/>
              <c:tx>
                <c:rich>
                  <a:bodyPr/>
                  <a:lstStyle/>
                  <a:p>
                    <a:endParaRPr lang="en-GB"/>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16D3-4642-94F3-8C4B3E815EE7}"/>
                </c:ext>
              </c:extLst>
            </c:dLbl>
            <c:dLbl>
              <c:idx val="3"/>
              <c:tx>
                <c:rich>
                  <a:bodyPr/>
                  <a:lstStyle/>
                  <a:p>
                    <a:fld id="{D9A52645-FB5C-B143-B9B9-7BA0A69F1360}" type="CELLRANGE">
                      <a:rPr lang="en-GB"/>
                      <a:pPr/>
                      <a:t>[CELLRANGE]</a:t>
                    </a:fld>
                    <a:endParaRPr lang="en-GB"/>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16D3-4642-94F3-8C4B3E815EE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a-DK"/>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extLst>
                <c:ext xmlns:c15="http://schemas.microsoft.com/office/drawing/2012/chart" uri="{02D57815-91ED-43cb-92C2-25804820EDAC}">
                  <c15:fullRef>
                    <c15:sqref>'Fremskrivning - Hovedresultater'!$D$39:$J$39</c15:sqref>
                  </c15:fullRef>
                </c:ext>
              </c:extLst>
              <c:f>('Fremskrivning - Hovedresultater'!$D$39:$E$39,'Fremskrivning - Hovedresultater'!$I$39:$J$39)</c:f>
              <c:numCache>
                <c:formatCode>General</c:formatCode>
                <c:ptCount val="4"/>
                <c:pt idx="0">
                  <c:v>2015</c:v>
                </c:pt>
                <c:pt idx="1">
                  <c:v>2030</c:v>
                </c:pt>
              </c:numCache>
            </c:numRef>
          </c:cat>
          <c:val>
            <c:numRef>
              <c:extLst>
                <c:ext xmlns:c15="http://schemas.microsoft.com/office/drawing/2012/chart" uri="{02D57815-91ED-43cb-92C2-25804820EDAC}">
                  <c15:fullRef>
                    <c15:sqref>'Fremskrivning - Hovedresultater'!$D$45:$J$45</c15:sqref>
                  </c15:fullRef>
                </c:ext>
              </c:extLst>
              <c:f>('Fremskrivning - Hovedresultater'!$D$45:$E$45,'Fremskrivning - Hovedresultater'!$I$45:$J$45)</c:f>
              <c:numCache>
                <c:formatCode>General</c:formatCode>
                <c:ptCount val="4"/>
                <c:pt idx="3" formatCode="0.00">
                  <c:v>3</c:v>
                </c:pt>
              </c:numCache>
            </c:numRef>
          </c:val>
          <c:extLst>
            <c:ext xmlns:c15="http://schemas.microsoft.com/office/drawing/2012/chart" uri="{02D57815-91ED-43cb-92C2-25804820EDAC}">
              <c15:datalabelsRange>
                <c15:f>'Fremskrivning - Hovedresultater'!$D$47:$J$47</c15:f>
                <c15:dlblRangeCache>
                  <c:ptCount val="7"/>
                  <c:pt idx="6">
                    <c:v>-42,90%</c:v>
                  </c:pt>
                </c15:dlblRangeCache>
              </c15:datalabelsRange>
            </c:ext>
            <c:ext xmlns:c16="http://schemas.microsoft.com/office/drawing/2014/chart" uri="{C3380CC4-5D6E-409C-BE32-E72D297353CC}">
              <c16:uniqueId val="{00000001-16D3-4642-94F3-8C4B3E815EE7}"/>
            </c:ext>
          </c:extLst>
        </c:ser>
        <c:ser>
          <c:idx val="6"/>
          <c:order val="6"/>
          <c:tx>
            <c:strRef>
              <c:f>'Fremskrivning - Hovedresultater'!$C$46</c:f>
              <c:strCache>
                <c:ptCount val="1"/>
              </c:strCache>
            </c:strRef>
          </c:tx>
          <c:spPr>
            <a:noFill/>
            <a:ln>
              <a:noFill/>
            </a:ln>
            <a:effectLst/>
          </c:spPr>
          <c:invertIfNegative val="0"/>
          <c:dLbls>
            <c:dLbl>
              <c:idx val="0"/>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8-16D3-4642-94F3-8C4B3E815EE7}"/>
                </c:ext>
              </c:extLst>
            </c:dLbl>
            <c:dLbl>
              <c:idx val="1"/>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9-16D3-4642-94F3-8C4B3E815EE7}"/>
                </c:ext>
              </c:extLst>
            </c:dLbl>
            <c:dLbl>
              <c:idx val="2"/>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D-16D3-4642-94F3-8C4B3E815EE7}"/>
                </c:ext>
              </c:extLst>
            </c:dLbl>
            <c:dLbl>
              <c:idx val="3"/>
              <c:tx>
                <c:rich>
                  <a:bodyPr/>
                  <a:lstStyle/>
                  <a:p>
                    <a:fld id="{0345B140-32A6-424C-AAEC-FBEBE95E8CF6}"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E-16D3-4642-94F3-8C4B3E815EE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a-DK"/>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extLst>
                <c:ext xmlns:c15="http://schemas.microsoft.com/office/drawing/2012/chart" uri="{02D57815-91ED-43cb-92C2-25804820EDAC}">
                  <c15:fullRef>
                    <c15:sqref>'Fremskrivning - Hovedresultater'!$D$39:$J$39</c15:sqref>
                  </c15:fullRef>
                </c:ext>
              </c:extLst>
              <c:f>('Fremskrivning - Hovedresultater'!$D$39:$E$39,'Fremskrivning - Hovedresultater'!$I$39:$J$39)</c:f>
              <c:numCache>
                <c:formatCode>General</c:formatCode>
                <c:ptCount val="4"/>
                <c:pt idx="0">
                  <c:v>2015</c:v>
                </c:pt>
                <c:pt idx="1">
                  <c:v>2030</c:v>
                </c:pt>
              </c:numCache>
            </c:numRef>
          </c:cat>
          <c:val>
            <c:numRef>
              <c:extLst>
                <c:ext xmlns:c15="http://schemas.microsoft.com/office/drawing/2012/chart" uri="{02D57815-91ED-43cb-92C2-25804820EDAC}">
                  <c15:fullRef>
                    <c15:sqref>'Fremskrivning - Hovedresultater'!$D$46:$J$46</c15:sqref>
                  </c15:fullRef>
                </c:ext>
              </c:extLst>
              <c:f>('Fremskrivning - Hovedresultater'!$D$46:$E$46,'Fremskrivning - Hovedresultater'!$I$46:$J$46)</c:f>
              <c:numCache>
                <c:formatCode>General</c:formatCode>
                <c:ptCount val="4"/>
                <c:pt idx="3" formatCode="0.00">
                  <c:v>0</c:v>
                </c:pt>
              </c:numCache>
            </c:numRef>
          </c:val>
          <c:extLst>
            <c:ext xmlns:c15="http://schemas.microsoft.com/office/drawing/2012/chart" uri="{02D57815-91ED-43cb-92C2-25804820EDAC}">
              <c15:datalabelsRange>
                <c15:f>'Fremskrivning - Hovedresultater'!$D$48:$J$48</c15:f>
                <c15:dlblRangeCache>
                  <c:ptCount val="7"/>
                </c15:dlblRangeCache>
              </c15:datalabelsRange>
            </c:ext>
            <c:ext xmlns:c16="http://schemas.microsoft.com/office/drawing/2014/chart" uri="{C3380CC4-5D6E-409C-BE32-E72D297353CC}">
              <c16:uniqueId val="{00000002-16D3-4642-94F3-8C4B3E815EE7}"/>
            </c:ext>
          </c:extLst>
        </c:ser>
        <c:dLbls>
          <c:showLegendKey val="0"/>
          <c:showVal val="0"/>
          <c:showCatName val="0"/>
          <c:showSerName val="0"/>
          <c:showPercent val="0"/>
          <c:showBubbleSize val="0"/>
        </c:dLbls>
        <c:gapWidth val="150"/>
        <c:overlap val="100"/>
        <c:axId val="1939518544"/>
        <c:axId val="1574750592"/>
        <c:extLst>
          <c:ext xmlns:c15="http://schemas.microsoft.com/office/drawing/2012/chart" uri="{02D57815-91ED-43cb-92C2-25804820EDAC}">
            <c15:filteredBarSeries>
              <c15:ser>
                <c:idx val="7"/>
                <c:order val="7"/>
                <c:tx>
                  <c:strRef>
                    <c:extLst>
                      <c:ext uri="{02D57815-91ED-43cb-92C2-25804820EDAC}">
                        <c15:formulaRef>
                          <c15:sqref>'Fremskrivning - Hovedresultater'!$C$47</c15:sqref>
                        </c15:formulaRef>
                      </c:ext>
                    </c:extLst>
                    <c:strCache>
                      <c:ptCount val="1"/>
                      <c:pt idx="0">
                        <c:v>Etikets værdi for scope 2 (reduktion)</c:v>
                      </c:pt>
                    </c:strCache>
                  </c:strRef>
                </c:tx>
                <c:spPr>
                  <a:solidFill>
                    <a:schemeClr val="accent2">
                      <a:lumMod val="60000"/>
                    </a:schemeClr>
                  </a:solidFill>
                  <a:ln>
                    <a:noFill/>
                  </a:ln>
                  <a:effectLst/>
                </c:spPr>
                <c:invertIfNegative val="0"/>
                <c:cat>
                  <c:numRef>
                    <c:extLst>
                      <c:ext uri="{02D57815-91ED-43cb-92C2-25804820EDAC}">
                        <c15:fullRef>
                          <c15:sqref>'Fremskrivning - Hovedresultater'!$D$39:$J$39</c15:sqref>
                        </c15:fullRef>
                        <c15:formulaRef>
                          <c15:sqref>('Fremskrivning - Hovedresultater'!$D$39:$E$39,'Fremskrivning - Hovedresultater'!$I$39:$J$39)</c15:sqref>
                        </c15:formulaRef>
                      </c:ext>
                    </c:extLst>
                    <c:numCache>
                      <c:formatCode>General</c:formatCode>
                      <c:ptCount val="4"/>
                      <c:pt idx="0">
                        <c:v>2015</c:v>
                      </c:pt>
                      <c:pt idx="1">
                        <c:v>2030</c:v>
                      </c:pt>
                    </c:numCache>
                  </c:numRef>
                </c:cat>
                <c:val>
                  <c:numRef>
                    <c:extLst>
                      <c:ext uri="{02D57815-91ED-43cb-92C2-25804820EDAC}">
                        <c15:fullRef>
                          <c15:sqref>'Fremskrivning - Hovedresultater'!$D$47:$J$47</c15:sqref>
                        </c15:fullRef>
                        <c15:formulaRef>
                          <c15:sqref>('Fremskrivning - Hovedresultater'!$D$47:$E$47,'Fremskrivning - Hovedresultater'!$I$47:$J$47)</c15:sqref>
                        </c15:formulaRef>
                      </c:ext>
                    </c:extLst>
                    <c:numCache>
                      <c:formatCode>General</c:formatCode>
                      <c:ptCount val="4"/>
                      <c:pt idx="3" formatCode="0.00%">
                        <c:v>-0.42899999999999999</c:v>
                      </c:pt>
                    </c:numCache>
                  </c:numRef>
                </c:val>
                <c:extLst>
                  <c:ext xmlns:c16="http://schemas.microsoft.com/office/drawing/2014/chart" uri="{C3380CC4-5D6E-409C-BE32-E72D297353CC}">
                    <c16:uniqueId val="{00000003-16D3-4642-94F3-8C4B3E815EE7}"/>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'Fremskrivning - Hovedresultater'!$C$48</c15:sqref>
                        </c15:formulaRef>
                      </c:ext>
                    </c:extLst>
                    <c:strCache>
                      <c:ptCount val="1"/>
                      <c:pt idx="0">
                        <c:v>Etikets værdi for scope 2 (stigning)</c:v>
                      </c:pt>
                    </c:strCache>
                  </c:strRef>
                </c:tx>
                <c:spPr>
                  <a:noFill/>
                  <a:ln>
                    <a:noFill/>
                  </a:ln>
                  <a:effectLst/>
                </c:spPr>
                <c:invertIfNegative val="0"/>
                <c:cat>
                  <c:numRef>
                    <c:extLst>
                      <c:ext xmlns:c15="http://schemas.microsoft.com/office/drawing/2012/chart" uri="{02D57815-91ED-43cb-92C2-25804820EDAC}">
                        <c15:fullRef>
                          <c15:sqref>'Fremskrivning - Hovedresultater'!$D$39:$J$39</c15:sqref>
                        </c15:fullRef>
                        <c15:formulaRef>
                          <c15:sqref>('Fremskrivning - Hovedresultater'!$D$39:$E$39,'Fremskrivning - Hovedresultater'!$I$39:$J$39)</c15:sqref>
                        </c15:formulaRef>
                      </c:ext>
                    </c:extLst>
                    <c:numCache>
                      <c:formatCode>General</c:formatCode>
                      <c:ptCount val="4"/>
                      <c:pt idx="0">
                        <c:v>2015</c:v>
                      </c:pt>
                      <c:pt idx="1">
                        <c:v>2030</c:v>
                      </c:pt>
                    </c:numCache>
                  </c:numRef>
                </c:cat>
                <c:val>
                  <c:numRef>
                    <c:extLst>
                      <c:ext xmlns:c15="http://schemas.microsoft.com/office/drawing/2012/chart" uri="{02D57815-91ED-43cb-92C2-25804820EDAC}">
                        <c15:fullRef>
                          <c15:sqref>'Fremskrivning - Hovedresultater'!$D$48:$J$48</c15:sqref>
                        </c15:fullRef>
                        <c15:formulaRef>
                          <c15:sqref>('Fremskrivning - Hovedresultater'!$D$48:$E$48,'Fremskrivning - Hovedresultater'!$I$48:$J$48)</c15:sqref>
                        </c15:formulaRef>
                      </c:ext>
                    </c:extLst>
                    <c:numCache>
                      <c:formatCode>General</c:formatCode>
                      <c:ptCount val="4"/>
                      <c:pt idx="3" formatCode="0%">
                        <c:v>0</c:v>
                      </c:pt>
                    </c:numCache>
                  </c:numRef>
                </c:val>
                <c:extLst xmlns:c15="http://schemas.microsoft.com/office/drawing/2012/chart">
                  <c:ext xmlns:c16="http://schemas.microsoft.com/office/drawing/2014/chart" uri="{C3380CC4-5D6E-409C-BE32-E72D297353CC}">
                    <c16:uniqueId val="{00000004-16D3-4642-94F3-8C4B3E815EE7}"/>
                  </c:ext>
                </c:extLst>
              </c15:ser>
            </c15:filteredBarSeries>
          </c:ext>
        </c:extLst>
      </c:barChart>
      <c:catAx>
        <c:axId val="193951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574750592"/>
        <c:crosses val="autoZero"/>
        <c:auto val="1"/>
        <c:lblAlgn val="ctr"/>
        <c:lblOffset val="100"/>
        <c:noMultiLvlLbl val="0"/>
      </c:catAx>
      <c:valAx>
        <c:axId val="1574750592"/>
        <c:scaling>
          <c:orientation val="minMax"/>
        </c:scaling>
        <c:delete val="0"/>
        <c:axPos val="l"/>
        <c:majorGridlines>
          <c:spPr>
            <a:ln w="9525" cap="flat" cmpd="sng" algn="ctr">
              <a:solidFill>
                <a:schemeClr val="tx1">
                  <a:lumMod val="15000"/>
                  <a:lumOff val="85000"/>
                </a:schemeClr>
              </a:solidFill>
              <a:round/>
            </a:ln>
            <a:effectLst/>
          </c:spPr>
        </c:majorGridlines>
        <c:title>
          <c:tx>
            <c:strRef>
              <c:f>Tekstnøgler!$C$582</c:f>
              <c:strCache>
                <c:ptCount val="1"/>
                <c:pt idx="0">
                  <c:v>ton CO₂e</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a-DK"/>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939518544"/>
        <c:crosses val="autoZero"/>
        <c:crossBetween val="between"/>
      </c:valAx>
      <c:spPr>
        <a:noFill/>
        <a:ln>
          <a:noFill/>
        </a:ln>
        <a:effectLst/>
      </c:spPr>
    </c:plotArea>
    <c:legend>
      <c:legendPos val="b"/>
      <c:legendEntry>
        <c:idx val="1"/>
        <c:delete val="1"/>
      </c:legendEntry>
      <c:legendEntry>
        <c:idx val="4"/>
        <c:delete val="1"/>
      </c:legendEntry>
      <c:legendEntry>
        <c:idx val="5"/>
        <c:delete val="1"/>
      </c:legendEntry>
      <c:legendEntry>
        <c:idx val="6"/>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'Fremskrivning - Hovedresultater'!$C$51</c:f>
              <c:strCache>
                <c:ptCount val="1"/>
                <c:pt idx="0">
                  <c:v>Scope 3</c:v>
                </c:pt>
              </c:strCache>
            </c:strRef>
          </c:tx>
          <c:spPr>
            <a:solidFill>
              <a:srgbClr val="74C476"/>
            </a:solidFill>
            <a:ln>
              <a:noFill/>
            </a:ln>
            <a:effectLst/>
          </c:spPr>
          <c:invertIfNegative val="0"/>
          <c:cat>
            <c:numRef>
              <c:extLst>
                <c:ext xmlns:c15="http://schemas.microsoft.com/office/drawing/2012/chart" uri="{02D57815-91ED-43cb-92C2-25804820EDAC}">
                  <c15:fullRef>
                    <c15:sqref>'Fremskrivning - Hovedresultater'!$D$49:$J$49</c15:sqref>
                  </c15:fullRef>
                </c:ext>
              </c:extLst>
              <c:f>('Fremskrivning - Hovedresultater'!$D$49:$E$49,'Fremskrivning - Hovedresultater'!$I$49:$J$49)</c:f>
              <c:numCache>
                <c:formatCode>General</c:formatCode>
                <c:ptCount val="4"/>
              </c:numCache>
            </c:numRef>
          </c:cat>
          <c:val>
            <c:numRef>
              <c:extLst>
                <c:ext xmlns:c15="http://schemas.microsoft.com/office/drawing/2012/chart" uri="{02D57815-91ED-43cb-92C2-25804820EDAC}">
                  <c15:fullRef>
                    <c15:sqref>'Fremskrivning - Hovedresultater'!$D$51:$J$51</c15:sqref>
                  </c15:fullRef>
                </c:ext>
              </c:extLst>
              <c:f>('Fremskrivning - Hovedresultater'!$D$51:$E$51,'Fremskrivning - Hovedresultater'!$I$51:$J$51)</c:f>
              <c:numCache>
                <c:formatCode>#,##0.00</c:formatCode>
                <c:ptCount val="4"/>
                <c:pt idx="0">
                  <c:v>8</c:v>
                </c:pt>
                <c:pt idx="1">
                  <c:v>5</c:v>
                </c:pt>
              </c:numCache>
            </c:numRef>
          </c:val>
          <c:extLst>
            <c:ext xmlns:c16="http://schemas.microsoft.com/office/drawing/2014/chart" uri="{C3380CC4-5D6E-409C-BE32-E72D297353CC}">
              <c16:uniqueId val="{00000000-0E05-43BD-915B-B5EAC992138F}"/>
            </c:ext>
          </c:extLst>
        </c:ser>
        <c:ser>
          <c:idx val="1"/>
          <c:order val="1"/>
          <c:tx>
            <c:strRef>
              <c:f>'Fremskrivning - Hovedresultater'!$C$52</c:f>
              <c:strCache>
                <c:ptCount val="1"/>
                <c:pt idx="0">
                  <c:v>Målsætning for scope 3</c:v>
                </c:pt>
              </c:strCache>
            </c:strRef>
          </c:tx>
          <c:spPr>
            <a:noFill/>
            <a:ln>
              <a:noFill/>
            </a:ln>
            <a:effectLst/>
          </c:spPr>
          <c:invertIfNegative val="0"/>
          <c:cat>
            <c:numRef>
              <c:extLst>
                <c:ext xmlns:c15="http://schemas.microsoft.com/office/drawing/2012/chart" uri="{02D57815-91ED-43cb-92C2-25804820EDAC}">
                  <c15:fullRef>
                    <c15:sqref>'Fremskrivning - Hovedresultater'!$D$49:$J$49</c15:sqref>
                  </c15:fullRef>
                </c:ext>
              </c:extLst>
              <c:f>('Fremskrivning - Hovedresultater'!$D$49:$E$49,'Fremskrivning - Hovedresultater'!$I$49:$J$49)</c:f>
              <c:numCache>
                <c:formatCode>General</c:formatCode>
                <c:ptCount val="4"/>
              </c:numCache>
            </c:numRef>
          </c:cat>
          <c:val>
            <c:numRef>
              <c:extLst>
                <c:ext xmlns:c15="http://schemas.microsoft.com/office/drawing/2012/chart" uri="{02D57815-91ED-43cb-92C2-25804820EDAC}">
                  <c15:fullRef>
                    <c15:sqref>'Fremskrivning - Hovedresultater'!$D$52:$J$52</c15:sqref>
                  </c15:fullRef>
                </c:ext>
              </c:extLst>
              <c:f>('Fremskrivning - Hovedresultater'!$D$52:$E$52,'Fremskrivning - Hovedresultater'!$I$52:$J$52)</c:f>
              <c:numCache>
                <c:formatCode>General</c:formatCode>
                <c:ptCount val="4"/>
                <c:pt idx="2" formatCode="#,##0.00">
                  <c:v>5</c:v>
                </c:pt>
              </c:numCache>
            </c:numRef>
          </c:val>
          <c:extLst xmlns:c15="http://schemas.microsoft.com/office/drawing/2012/chart">
            <c:ext xmlns:c16="http://schemas.microsoft.com/office/drawing/2014/chart" uri="{C3380CC4-5D6E-409C-BE32-E72D297353CC}">
              <c16:uniqueId val="{00000001-0E05-43BD-915B-B5EAC992138F}"/>
            </c:ext>
          </c:extLst>
        </c:ser>
        <c:ser>
          <c:idx val="2"/>
          <c:order val="2"/>
          <c:tx>
            <c:strRef>
              <c:f>'Fremskrivning - Hovedresultater'!$C$53</c:f>
              <c:strCache>
                <c:ptCount val="1"/>
                <c:pt idx="0">
                  <c:v>Reduktion opnået (scope 3)</c:v>
                </c:pt>
              </c:strCache>
            </c:strRef>
          </c:tx>
          <c:spPr>
            <a:solidFill>
              <a:srgbClr val="74C476">
                <a:alpha val="60000"/>
              </a:srgbClr>
            </a:solidFill>
            <a:ln>
              <a:noFill/>
            </a:ln>
            <a:effectLst/>
          </c:spPr>
          <c:invertIfNegative val="0"/>
          <c:cat>
            <c:numRef>
              <c:extLst>
                <c:ext xmlns:c15="http://schemas.microsoft.com/office/drawing/2012/chart" uri="{02D57815-91ED-43cb-92C2-25804820EDAC}">
                  <c15:fullRef>
                    <c15:sqref>'Fremskrivning - Hovedresultater'!$D$49:$J$49</c15:sqref>
                  </c15:fullRef>
                </c:ext>
              </c:extLst>
              <c:f>('Fremskrivning - Hovedresultater'!$D$49:$E$49,'Fremskrivning - Hovedresultater'!$I$49:$J$49)</c:f>
              <c:numCache>
                <c:formatCode>General</c:formatCode>
                <c:ptCount val="4"/>
              </c:numCache>
            </c:numRef>
          </c:cat>
          <c:val>
            <c:numRef>
              <c:extLst>
                <c:ext xmlns:c15="http://schemas.microsoft.com/office/drawing/2012/chart" uri="{02D57815-91ED-43cb-92C2-25804820EDAC}">
                  <c15:fullRef>
                    <c15:sqref>'Fremskrivning - Hovedresultater'!$D$53:$J$53</c15:sqref>
                  </c15:fullRef>
                </c:ext>
              </c:extLst>
              <c:f>('Fremskrivning - Hovedresultater'!$D$53:$E$53,'Fremskrivning - Hovedresultater'!$I$53:$J$53)</c:f>
              <c:numCache>
                <c:formatCode>General</c:formatCode>
                <c:ptCount val="4"/>
                <c:pt idx="2" formatCode="#,##0.00">
                  <c:v>3</c:v>
                </c:pt>
              </c:numCache>
            </c:numRef>
          </c:val>
          <c:extLst xmlns:c15="http://schemas.microsoft.com/office/drawing/2012/chart">
            <c:ext xmlns:c16="http://schemas.microsoft.com/office/drawing/2014/chart" uri="{C3380CC4-5D6E-409C-BE32-E72D297353CC}">
              <c16:uniqueId val="{00000002-0E05-43BD-915B-B5EAC992138F}"/>
            </c:ext>
          </c:extLst>
        </c:ser>
        <c:ser>
          <c:idx val="3"/>
          <c:order val="3"/>
          <c:tx>
            <c:strRef>
              <c:f>'Fremskrivning - Hovedresultater'!$C$54</c:f>
              <c:strCache>
                <c:ptCount val="1"/>
                <c:pt idx="0">
                  <c:v>(ikke relevant)</c:v>
                </c:pt>
              </c:strCache>
            </c:strRef>
          </c:tx>
          <c:spPr>
            <a:solidFill>
              <a:srgbClr val="FF0000">
                <a:alpha val="40000"/>
              </a:srgbClr>
            </a:solidFill>
            <a:ln>
              <a:noFill/>
            </a:ln>
            <a:effectLst/>
          </c:spPr>
          <c:invertIfNegative val="0"/>
          <c:cat>
            <c:numRef>
              <c:extLst>
                <c:ext xmlns:c15="http://schemas.microsoft.com/office/drawing/2012/chart" uri="{02D57815-91ED-43cb-92C2-25804820EDAC}">
                  <c15:fullRef>
                    <c15:sqref>'Fremskrivning - Hovedresultater'!$D$49:$J$49</c15:sqref>
                  </c15:fullRef>
                </c:ext>
              </c:extLst>
              <c:f>('Fremskrivning - Hovedresultater'!$D$49:$E$49,'Fremskrivning - Hovedresultater'!$I$49:$J$49)</c:f>
              <c:numCache>
                <c:formatCode>General</c:formatCode>
                <c:ptCount val="4"/>
              </c:numCache>
            </c:numRef>
          </c:cat>
          <c:val>
            <c:numRef>
              <c:extLst>
                <c:ext xmlns:c15="http://schemas.microsoft.com/office/drawing/2012/chart" uri="{02D57815-91ED-43cb-92C2-25804820EDAC}">
                  <c15:fullRef>
                    <c15:sqref>'Fremskrivning - Hovedresultater'!$D$54:$J$54</c15:sqref>
                  </c15:fullRef>
                </c:ext>
              </c:extLst>
              <c:f>('Fremskrivning - Hovedresultater'!$D$54:$E$54,'Fremskrivning - Hovedresultater'!$I$54:$J$54)</c:f>
              <c:numCache>
                <c:formatCode>General</c:formatCode>
                <c:ptCount val="4"/>
                <c:pt idx="2" formatCode="#,##0.00">
                  <c:v>0</c:v>
                </c:pt>
              </c:numCache>
            </c:numRef>
          </c:val>
          <c:extLst xmlns:c15="http://schemas.microsoft.com/office/drawing/2012/chart">
            <c:ext xmlns:c16="http://schemas.microsoft.com/office/drawing/2014/chart" uri="{C3380CC4-5D6E-409C-BE32-E72D297353CC}">
              <c16:uniqueId val="{00000003-0E05-43BD-915B-B5EAC992138F}"/>
            </c:ext>
          </c:extLst>
        </c:ser>
        <c:ser>
          <c:idx val="4"/>
          <c:order val="4"/>
          <c:tx>
            <c:strRef>
              <c:f>'Fremskrivning - Hovedresultater'!$C$55</c:f>
              <c:strCache>
                <c:ptCount val="1"/>
                <c:pt idx="0">
                  <c:v>Målsætning for scope 3 (visning)</c:v>
                </c:pt>
              </c:strCache>
            </c:strRef>
          </c:tx>
          <c:spPr>
            <a:noFill/>
            <a:ln>
              <a:noFill/>
            </a:ln>
            <a:effectLst/>
          </c:spPr>
          <c:invertIfNegative val="0"/>
          <c:cat>
            <c:numRef>
              <c:extLst>
                <c:ext xmlns:c15="http://schemas.microsoft.com/office/drawing/2012/chart" uri="{02D57815-91ED-43cb-92C2-25804820EDAC}">
                  <c15:fullRef>
                    <c15:sqref>'Fremskrivning - Hovedresultater'!$D$49:$J$49</c15:sqref>
                  </c15:fullRef>
                </c:ext>
              </c:extLst>
              <c:f>('Fremskrivning - Hovedresultater'!$D$49:$E$49,'Fremskrivning - Hovedresultater'!$I$49:$J$49)</c:f>
              <c:numCache>
                <c:formatCode>General</c:formatCode>
                <c:ptCount val="4"/>
              </c:numCache>
            </c:numRef>
          </c:cat>
          <c:val>
            <c:numRef>
              <c:extLst>
                <c:ext xmlns:c15="http://schemas.microsoft.com/office/drawing/2012/chart" uri="{02D57815-91ED-43cb-92C2-25804820EDAC}">
                  <c15:fullRef>
                    <c15:sqref>'Fremskrivning - Hovedresultater'!$D$55:$J$55</c15:sqref>
                  </c15:fullRef>
                </c:ext>
              </c:extLst>
              <c:f>('Fremskrivning - Hovedresultater'!$D$55:$E$55,'Fremskrivning - Hovedresultater'!$I$55:$J$55)</c:f>
              <c:numCache>
                <c:formatCode>General</c:formatCode>
                <c:ptCount val="4"/>
                <c:pt idx="3" formatCode="0.00">
                  <c:v>5</c:v>
                </c:pt>
              </c:numCache>
            </c:numRef>
          </c:val>
          <c:extLst xmlns:c15="http://schemas.microsoft.com/office/drawing/2012/chart">
            <c:ext xmlns:c16="http://schemas.microsoft.com/office/drawing/2014/chart" uri="{C3380CC4-5D6E-409C-BE32-E72D297353CC}">
              <c16:uniqueId val="{00000004-0E05-43BD-915B-B5EAC992138F}"/>
            </c:ext>
          </c:extLst>
        </c:ser>
        <c:ser>
          <c:idx val="5"/>
          <c:order val="5"/>
          <c:tx>
            <c:strRef>
              <c:f>'Fremskrivning - Hovedresultater'!$C$56</c:f>
              <c:strCache>
                <c:ptCount val="1"/>
                <c:pt idx="0">
                  <c:v>Reduktion opnået for scope 3 (visning)</c:v>
                </c:pt>
              </c:strCache>
            </c:strRef>
          </c:tx>
          <c:spPr>
            <a:noFill/>
            <a:ln>
              <a:noFill/>
            </a:ln>
            <a:effectLst/>
          </c:spPr>
          <c:invertIfNegative val="0"/>
          <c:dLbls>
            <c:dLbl>
              <c:idx val="0"/>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0E05-43BD-915B-B5EAC992138F}"/>
                </c:ext>
              </c:extLst>
            </c:dLbl>
            <c:dLbl>
              <c:idx val="1"/>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0E05-43BD-915B-B5EAC992138F}"/>
                </c:ext>
              </c:extLst>
            </c:dLbl>
            <c:dLbl>
              <c:idx val="2"/>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0E05-43BD-915B-B5EAC992138F}"/>
                </c:ext>
              </c:extLst>
            </c:dLbl>
            <c:dLbl>
              <c:idx val="3"/>
              <c:tx>
                <c:rich>
                  <a:bodyPr/>
                  <a:lstStyle/>
                  <a:p>
                    <a:fld id="{4FDB0096-0A6E-6242-A64F-4ADF917BF3E6}"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E05-43BD-915B-B5EAC992138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a-DK"/>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extLst>
                <c:ext xmlns:c15="http://schemas.microsoft.com/office/drawing/2012/chart" uri="{02D57815-91ED-43cb-92C2-25804820EDAC}">
                  <c15:fullRef>
                    <c15:sqref>'Fremskrivning - Hovedresultater'!$D$49:$J$49</c15:sqref>
                  </c15:fullRef>
                </c:ext>
              </c:extLst>
              <c:f>('Fremskrivning - Hovedresultater'!$D$49:$E$49,'Fremskrivning - Hovedresultater'!$I$49:$J$49)</c:f>
              <c:numCache>
                <c:formatCode>General</c:formatCode>
                <c:ptCount val="4"/>
              </c:numCache>
            </c:numRef>
          </c:cat>
          <c:val>
            <c:numRef>
              <c:extLst>
                <c:ext xmlns:c15="http://schemas.microsoft.com/office/drawing/2012/chart" uri="{02D57815-91ED-43cb-92C2-25804820EDAC}">
                  <c15:fullRef>
                    <c15:sqref>'Fremskrivning - Hovedresultater'!$D$56:$J$56</c15:sqref>
                  </c15:fullRef>
                </c:ext>
              </c:extLst>
              <c:f>('Fremskrivning - Hovedresultater'!$D$56:$E$56,'Fremskrivning - Hovedresultater'!$I$56:$J$56)</c:f>
              <c:numCache>
                <c:formatCode>General</c:formatCode>
                <c:ptCount val="4"/>
                <c:pt idx="3" formatCode="0.00">
                  <c:v>3</c:v>
                </c:pt>
              </c:numCache>
            </c:numRef>
          </c:val>
          <c:extLst>
            <c:ext xmlns:c15="http://schemas.microsoft.com/office/drawing/2012/chart" uri="{02D57815-91ED-43cb-92C2-25804820EDAC}">
              <c15:datalabelsRange>
                <c15:f>'Fremskrivning - Hovedresultater'!$D$58:$J$58</c15:f>
                <c15:dlblRangeCache>
                  <c:ptCount val="7"/>
                  <c:pt idx="6">
                    <c:v>-37,50%</c:v>
                  </c:pt>
                </c15:dlblRangeCache>
              </c15:datalabelsRange>
            </c:ext>
            <c:ext xmlns:c16="http://schemas.microsoft.com/office/drawing/2014/chart" uri="{C3380CC4-5D6E-409C-BE32-E72D297353CC}">
              <c16:uniqueId val="{00000009-0E05-43BD-915B-B5EAC992138F}"/>
            </c:ext>
          </c:extLst>
        </c:ser>
        <c:ser>
          <c:idx val="6"/>
          <c:order val="6"/>
          <c:tx>
            <c:strRef>
              <c:f>'Fremskrivning - Hovedresultater'!$C$57</c:f>
              <c:strCache>
                <c:ptCount val="1"/>
              </c:strCache>
            </c:strRef>
          </c:tx>
          <c:spPr>
            <a:noFill/>
            <a:ln>
              <a:noFill/>
            </a:ln>
            <a:effectLst/>
          </c:spPr>
          <c:invertIfNegative val="0"/>
          <c:dLbls>
            <c:dLbl>
              <c:idx val="0"/>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0E05-43BD-915B-B5EAC992138F}"/>
                </c:ext>
              </c:extLst>
            </c:dLbl>
            <c:dLbl>
              <c:idx val="1"/>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0E05-43BD-915B-B5EAC992138F}"/>
                </c:ext>
              </c:extLst>
            </c:dLbl>
            <c:dLbl>
              <c:idx val="2"/>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0E05-43BD-915B-B5EAC992138F}"/>
                </c:ext>
              </c:extLst>
            </c:dLbl>
            <c:dLbl>
              <c:idx val="3"/>
              <c:tx>
                <c:rich>
                  <a:bodyPr/>
                  <a:lstStyle/>
                  <a:p>
                    <a:fld id="{CC2A2624-2479-8844-AED7-D92DC3D03CF5}"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0E05-43BD-915B-B5EAC992138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a-DK"/>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extLst>
                <c:ext xmlns:c15="http://schemas.microsoft.com/office/drawing/2012/chart" uri="{02D57815-91ED-43cb-92C2-25804820EDAC}">
                  <c15:fullRef>
                    <c15:sqref>'Fremskrivning - Hovedresultater'!$D$49:$J$49</c15:sqref>
                  </c15:fullRef>
                </c:ext>
              </c:extLst>
              <c:f>('Fremskrivning - Hovedresultater'!$D$49:$E$49,'Fremskrivning - Hovedresultater'!$I$49:$J$49)</c:f>
              <c:numCache>
                <c:formatCode>General</c:formatCode>
                <c:ptCount val="4"/>
              </c:numCache>
            </c:numRef>
          </c:cat>
          <c:val>
            <c:numRef>
              <c:extLst>
                <c:ext xmlns:c15="http://schemas.microsoft.com/office/drawing/2012/chart" uri="{02D57815-91ED-43cb-92C2-25804820EDAC}">
                  <c15:fullRef>
                    <c15:sqref>'Fremskrivning - Hovedresultater'!$D$57:$J$57</c15:sqref>
                  </c15:fullRef>
                </c:ext>
              </c:extLst>
              <c:f>('Fremskrivning - Hovedresultater'!$D$57:$E$57,'Fremskrivning - Hovedresultater'!$I$57:$J$57)</c:f>
              <c:numCache>
                <c:formatCode>General</c:formatCode>
                <c:ptCount val="4"/>
                <c:pt idx="3" formatCode="0.00">
                  <c:v>0</c:v>
                </c:pt>
              </c:numCache>
            </c:numRef>
          </c:val>
          <c:extLst>
            <c:ext xmlns:c15="http://schemas.microsoft.com/office/drawing/2012/chart" uri="{02D57815-91ED-43cb-92C2-25804820EDAC}">
              <c15:datalabelsRange>
                <c15:f>'Fremskrivning - Hovedresultater'!$D$59:$J$59</c15:f>
                <c15:dlblRangeCache>
                  <c:ptCount val="7"/>
                </c15:dlblRangeCache>
              </c15:datalabelsRange>
            </c:ext>
            <c:ext xmlns:c16="http://schemas.microsoft.com/office/drawing/2014/chart" uri="{C3380CC4-5D6E-409C-BE32-E72D297353CC}">
              <c16:uniqueId val="{0000000A-0E05-43BD-915B-B5EAC992138F}"/>
            </c:ext>
          </c:extLst>
        </c:ser>
        <c:dLbls>
          <c:showLegendKey val="0"/>
          <c:showVal val="0"/>
          <c:showCatName val="0"/>
          <c:showSerName val="0"/>
          <c:showPercent val="0"/>
          <c:showBubbleSize val="0"/>
        </c:dLbls>
        <c:gapWidth val="150"/>
        <c:overlap val="100"/>
        <c:axId val="1939518544"/>
        <c:axId val="1574750592"/>
        <c:extLst>
          <c:ext xmlns:c15="http://schemas.microsoft.com/office/drawing/2012/chart" uri="{02D57815-91ED-43cb-92C2-25804820EDAC}">
            <c15:filteredBarSeries>
              <c15:ser>
                <c:idx val="7"/>
                <c:order val="7"/>
                <c:tx>
                  <c:strRef>
                    <c:extLst>
                      <c:ext uri="{02D57815-91ED-43cb-92C2-25804820EDAC}">
                        <c15:formulaRef>
                          <c15:sqref>'Fremskrivning - Hovedresultater'!$C$58</c15:sqref>
                        </c15:formulaRef>
                      </c:ext>
                    </c:extLst>
                    <c:strCache>
                      <c:ptCount val="1"/>
                      <c:pt idx="0">
                        <c:v>Etikets værdi for scope 3 (reduktion)</c:v>
                      </c:pt>
                    </c:strCache>
                  </c:strRef>
                </c:tx>
                <c:spPr>
                  <a:solidFill>
                    <a:schemeClr val="accent2">
                      <a:lumMod val="60000"/>
                    </a:schemeClr>
                  </a:solidFill>
                  <a:ln>
                    <a:noFill/>
                  </a:ln>
                  <a:effectLst/>
                </c:spPr>
                <c:invertIfNegative val="0"/>
                <c:cat>
                  <c:numRef>
                    <c:extLst>
                      <c:ext uri="{02D57815-91ED-43cb-92C2-25804820EDAC}">
                        <c15:fullRef>
                          <c15:sqref>'Fremskrivning - Hovedresultater'!$D$49:$J$49</c15:sqref>
                        </c15:fullRef>
                        <c15:formulaRef>
                          <c15:sqref>('Fremskrivning - Hovedresultater'!$D$49:$E$49,'Fremskrivning - Hovedresultater'!$I$49:$J$49)</c15:sqref>
                        </c15:formulaRef>
                      </c:ext>
                    </c:extLst>
                    <c:numCache>
                      <c:formatCode>General</c:formatCode>
                      <c:ptCount val="4"/>
                    </c:numCache>
                  </c:numRef>
                </c:cat>
                <c:val>
                  <c:numRef>
                    <c:extLst>
                      <c:ext uri="{02D57815-91ED-43cb-92C2-25804820EDAC}">
                        <c15:fullRef>
                          <c15:sqref>'Fremskrivning - Hovedresultater'!$D$58:$J$58</c15:sqref>
                        </c15:fullRef>
                        <c15:formulaRef>
                          <c15:sqref>('Fremskrivning - Hovedresultater'!$D$58:$E$58,'Fremskrivning - Hovedresultater'!$I$58:$J$58)</c15:sqref>
                        </c15:formulaRef>
                      </c:ext>
                    </c:extLst>
                    <c:numCache>
                      <c:formatCode>General</c:formatCode>
                      <c:ptCount val="4"/>
                      <c:pt idx="3" formatCode="0.00%">
                        <c:v>-0.375</c:v>
                      </c:pt>
                    </c:numCache>
                  </c:numRef>
                </c:val>
                <c:extLst>
                  <c:ext xmlns:c16="http://schemas.microsoft.com/office/drawing/2014/chart" uri="{C3380CC4-5D6E-409C-BE32-E72D297353CC}">
                    <c16:uniqueId val="{0000000B-0E05-43BD-915B-B5EAC992138F}"/>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'Fremskrivning - Hovedresultater'!$C$59</c15:sqref>
                        </c15:formulaRef>
                      </c:ext>
                    </c:extLst>
                    <c:strCache>
                      <c:ptCount val="1"/>
                      <c:pt idx="0">
                        <c:v>Label scope 3 (stigning)</c:v>
                      </c:pt>
                    </c:strCache>
                  </c:strRef>
                </c:tx>
                <c:spPr>
                  <a:noFill/>
                  <a:ln>
                    <a:noFill/>
                  </a:ln>
                  <a:effectLst/>
                </c:spPr>
                <c:invertIfNegative val="0"/>
                <c:cat>
                  <c:numRef>
                    <c:extLst>
                      <c:ext xmlns:c15="http://schemas.microsoft.com/office/drawing/2012/chart" uri="{02D57815-91ED-43cb-92C2-25804820EDAC}">
                        <c15:fullRef>
                          <c15:sqref>'Fremskrivning - Hovedresultater'!$D$49:$J$49</c15:sqref>
                        </c15:fullRef>
                        <c15:formulaRef>
                          <c15:sqref>('Fremskrivning - Hovedresultater'!$D$49:$E$49,'Fremskrivning - Hovedresultater'!$I$49:$J$49)</c15:sqref>
                        </c15:formulaRef>
                      </c:ext>
                    </c:extLst>
                    <c:numCache>
                      <c:formatCode>General</c:formatCode>
                      <c:ptCount val="4"/>
                    </c:numCache>
                  </c:numRef>
                </c:cat>
                <c:val>
                  <c:numRef>
                    <c:extLst>
                      <c:ext xmlns:c15="http://schemas.microsoft.com/office/drawing/2012/chart" uri="{02D57815-91ED-43cb-92C2-25804820EDAC}">
                        <c15:fullRef>
                          <c15:sqref>'Fremskrivning - Hovedresultater'!$D$59:$J$59</c15:sqref>
                        </c15:fullRef>
                        <c15:formulaRef>
                          <c15:sqref>('Fremskrivning - Hovedresultater'!$D$59:$E$59,'Fremskrivning - Hovedresultater'!$I$59:$J$59)</c15:sqref>
                        </c15:formulaRef>
                      </c:ext>
                    </c:extLst>
                    <c:numCache>
                      <c:formatCode>General</c:formatCode>
                      <c:ptCount val="4"/>
                      <c:pt idx="3" formatCode="0%">
                        <c:v>0</c:v>
                      </c:pt>
                    </c:numCache>
                  </c:numRef>
                </c:val>
                <c:extLst xmlns:c15="http://schemas.microsoft.com/office/drawing/2012/chart">
                  <c:ext xmlns:c16="http://schemas.microsoft.com/office/drawing/2014/chart" uri="{C3380CC4-5D6E-409C-BE32-E72D297353CC}">
                    <c16:uniqueId val="{0000000C-0E05-43BD-915B-B5EAC992138F}"/>
                  </c:ext>
                </c:extLst>
              </c15:ser>
            </c15:filteredBarSeries>
          </c:ext>
        </c:extLst>
      </c:barChart>
      <c:catAx>
        <c:axId val="1939518544"/>
        <c:scaling>
          <c:orientation val="minMax"/>
        </c:scaling>
        <c:delete val="0"/>
        <c:axPos val="b"/>
        <c:numFmt formatCode="#,##0.0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574750592"/>
        <c:crosses val="autoZero"/>
        <c:auto val="1"/>
        <c:lblAlgn val="ctr"/>
        <c:lblOffset val="100"/>
        <c:noMultiLvlLbl val="0"/>
      </c:catAx>
      <c:valAx>
        <c:axId val="1574750592"/>
        <c:scaling>
          <c:orientation val="minMax"/>
        </c:scaling>
        <c:delete val="0"/>
        <c:axPos val="l"/>
        <c:majorGridlines>
          <c:spPr>
            <a:ln w="9525" cap="flat" cmpd="sng" algn="ctr">
              <a:solidFill>
                <a:schemeClr val="tx1">
                  <a:lumMod val="15000"/>
                  <a:lumOff val="85000"/>
                </a:schemeClr>
              </a:solidFill>
              <a:round/>
            </a:ln>
            <a:effectLst/>
          </c:spPr>
        </c:majorGridlines>
        <c:title>
          <c:tx>
            <c:strRef>
              <c:f>Tekstnøgler!$C$582</c:f>
              <c:strCache>
                <c:ptCount val="1"/>
                <c:pt idx="0">
                  <c:v>ton CO₂e</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a-DK"/>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939518544"/>
        <c:crosses val="autoZero"/>
        <c:crossBetween val="between"/>
      </c:valAx>
      <c:spPr>
        <a:noFill/>
        <a:ln>
          <a:noFill/>
        </a:ln>
        <a:effectLst/>
      </c:spPr>
    </c:plotArea>
    <c:legend>
      <c:legendPos val="b"/>
      <c:legendEntry>
        <c:idx val="1"/>
        <c:delete val="1"/>
      </c:legendEntry>
      <c:legendEntry>
        <c:idx val="4"/>
        <c:delete val="1"/>
      </c:legendEntry>
      <c:legendEntry>
        <c:idx val="5"/>
        <c:delete val="1"/>
      </c:legendEntry>
      <c:legendEntry>
        <c:idx val="6"/>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rgbClr val="00441B"/>
              </a:solidFill>
              <a:ln w="19050">
                <a:solidFill>
                  <a:schemeClr val="lt1"/>
                </a:solidFill>
              </a:ln>
              <a:effectLst/>
            </c:spPr>
            <c:extLst>
              <c:ext xmlns:c16="http://schemas.microsoft.com/office/drawing/2014/chart" uri="{C3380CC4-5D6E-409C-BE32-E72D297353CC}">
                <c16:uniqueId val="{00000001-3EF8-4011-804F-E2B2DDA95B69}"/>
              </c:ext>
            </c:extLst>
          </c:dPt>
          <c:dPt>
            <c:idx val="1"/>
            <c:bubble3D val="0"/>
            <c:spPr>
              <a:solidFill>
                <a:srgbClr val="238B45"/>
              </a:solidFill>
              <a:ln w="19050">
                <a:solidFill>
                  <a:schemeClr val="lt1"/>
                </a:solidFill>
              </a:ln>
              <a:effectLst/>
            </c:spPr>
            <c:extLst>
              <c:ext xmlns:c16="http://schemas.microsoft.com/office/drawing/2014/chart" uri="{C3380CC4-5D6E-409C-BE32-E72D297353CC}">
                <c16:uniqueId val="{00000003-3EF8-4011-804F-E2B2DDA95B69}"/>
              </c:ext>
            </c:extLst>
          </c:dPt>
          <c:dPt>
            <c:idx val="2"/>
            <c:bubble3D val="0"/>
            <c:spPr>
              <a:solidFill>
                <a:srgbClr val="74C476"/>
              </a:solidFill>
              <a:ln w="19050">
                <a:solidFill>
                  <a:schemeClr val="lt1"/>
                </a:solidFill>
              </a:ln>
              <a:effectLst/>
            </c:spPr>
            <c:extLst>
              <c:ext xmlns:c16="http://schemas.microsoft.com/office/drawing/2014/chart" uri="{C3380CC4-5D6E-409C-BE32-E72D297353CC}">
                <c16:uniqueId val="{00000005-3EF8-4011-804F-E2B2DDA95B6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a-DK"/>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Reduktionsmålsætning!$C$127:$C$130</c15:sqref>
                  </c15:fullRef>
                </c:ext>
              </c:extLst>
              <c:f>Reduktionsmålsætning!$C$127:$C$129</c:f>
              <c:strCache>
                <c:ptCount val="3"/>
                <c:pt idx="0">
                  <c:v>Scope 1 - Basisår</c:v>
                </c:pt>
                <c:pt idx="1">
                  <c:v>Scope 2 - Basisår</c:v>
                </c:pt>
                <c:pt idx="2">
                  <c:v>Scope 3 - Basisår</c:v>
                </c:pt>
              </c:strCache>
            </c:strRef>
          </c:cat>
          <c:val>
            <c:numRef>
              <c:extLst>
                <c:ext xmlns:c15="http://schemas.microsoft.com/office/drawing/2012/chart" uri="{02D57815-91ED-43cb-92C2-25804820EDAC}">
                  <c15:fullRef>
                    <c15:sqref>Reduktionsmålsætning!$D$127:$D$130</c15:sqref>
                  </c15:fullRef>
                </c:ext>
              </c:extLst>
              <c:f>Reduktionsmålsætning!$D$127:$D$129</c:f>
              <c:numCache>
                <c:formatCode>0.00</c:formatCode>
                <c:ptCount val="3"/>
                <c:pt idx="0" formatCode="#,##0.00">
                  <c:v>11</c:v>
                </c:pt>
                <c:pt idx="1">
                  <c:v>7</c:v>
                </c:pt>
                <c:pt idx="2">
                  <c:v>8</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0-6D87-4EA3-9D4F-CC9C66FA46DF}"/>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ofPieChart>
        <c:ofPieType val="pie"/>
        <c:varyColors val="1"/>
        <c:ser>
          <c:idx val="0"/>
          <c:order val="0"/>
          <c:dPt>
            <c:idx val="0"/>
            <c:bubble3D val="0"/>
            <c:spPr>
              <a:solidFill>
                <a:srgbClr val="00441B"/>
              </a:solidFill>
              <a:ln w="19050">
                <a:solidFill>
                  <a:schemeClr val="lt1"/>
                </a:solidFill>
              </a:ln>
              <a:effectLst/>
            </c:spPr>
            <c:extLst>
              <c:ext xmlns:c16="http://schemas.microsoft.com/office/drawing/2014/chart" uri="{C3380CC4-5D6E-409C-BE32-E72D297353CC}">
                <c16:uniqueId val="{00000001-0995-4F17-B9B5-136DD677D220}"/>
              </c:ext>
            </c:extLst>
          </c:dPt>
          <c:dPt>
            <c:idx val="1"/>
            <c:bubble3D val="0"/>
            <c:spPr>
              <a:solidFill>
                <a:srgbClr val="74C476"/>
              </a:solidFill>
              <a:ln w="19050">
                <a:solidFill>
                  <a:schemeClr val="lt1"/>
                </a:solidFill>
              </a:ln>
              <a:effectLst/>
            </c:spPr>
            <c:extLst>
              <c:ext xmlns:c16="http://schemas.microsoft.com/office/drawing/2014/chart" uri="{C3380CC4-5D6E-409C-BE32-E72D297353CC}">
                <c16:uniqueId val="{00000003-0995-4F17-B9B5-136DD677D220}"/>
              </c:ext>
            </c:extLst>
          </c:dPt>
          <c:dPt>
            <c:idx val="2"/>
            <c:bubble3D val="0"/>
            <c:spPr>
              <a:solidFill>
                <a:srgbClr val="74C476"/>
              </a:solidFill>
              <a:ln w="19050">
                <a:solidFill>
                  <a:schemeClr val="lt1"/>
                </a:solidFill>
              </a:ln>
              <a:effectLst/>
            </c:spPr>
            <c:extLst>
              <c:ext xmlns:c16="http://schemas.microsoft.com/office/drawing/2014/chart" uri="{C3380CC4-5D6E-409C-BE32-E72D297353CC}">
                <c16:uniqueId val="{00000005-0995-4F17-B9B5-136DD677D220}"/>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da-DK"/>
                </a:p>
              </c:txPr>
              <c:dLblPos val="bestFit"/>
              <c:showLegendKey val="0"/>
              <c:showVal val="1"/>
              <c:showCatName val="0"/>
              <c:showSerName val="0"/>
              <c:showPercent val="0"/>
              <c:showBubbleSize val="0"/>
              <c:extLst>
                <c:ext xmlns:c16="http://schemas.microsoft.com/office/drawing/2014/chart" uri="{C3380CC4-5D6E-409C-BE32-E72D297353CC}">
                  <c16:uniqueId val="{00000001-0995-4F17-B9B5-136DD677D22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da-DK"/>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Reduktionsmålsætning!$C$130:$C$131</c:f>
              <c:strCache>
                <c:ptCount val="2"/>
                <c:pt idx="0">
                  <c:v>Total udledning i basisår</c:v>
                </c:pt>
                <c:pt idx="1">
                  <c:v>Udledning i målsætningsår</c:v>
                </c:pt>
              </c:strCache>
            </c:strRef>
          </c:cat>
          <c:val>
            <c:numRef>
              <c:f>Reduktionsmålsætning!$D$130:$D$131</c:f>
              <c:numCache>
                <c:formatCode>0.00</c:formatCode>
                <c:ptCount val="2"/>
                <c:pt idx="0">
                  <c:v>26</c:v>
                </c:pt>
                <c:pt idx="1">
                  <c:v>2.5999999999999996</c:v>
                </c:pt>
              </c:numCache>
            </c:numRef>
          </c:val>
          <c:extLst>
            <c:ext xmlns:c16="http://schemas.microsoft.com/office/drawing/2014/chart" uri="{C3380CC4-5D6E-409C-BE32-E72D297353CC}">
              <c16:uniqueId val="{00000000-22CA-4AF6-B8AF-A6E479229AFC}"/>
            </c:ext>
          </c:extLst>
        </c:ser>
        <c:dLbls>
          <c:dLblPos val="bestFit"/>
          <c:showLegendKey val="0"/>
          <c:showVal val="1"/>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356462203376789"/>
          <c:y val="5.8096023600138505E-2"/>
          <c:w val="0.86790048158918542"/>
          <c:h val="0.73590879259077291"/>
        </c:manualLayout>
      </c:layout>
      <c:barChart>
        <c:barDir val="col"/>
        <c:grouping val="stacked"/>
        <c:varyColors val="0"/>
        <c:ser>
          <c:idx val="0"/>
          <c:order val="0"/>
          <c:tx>
            <c:strRef>
              <c:f>Reduktionsmålsætning!$C$50</c:f>
              <c:strCache>
                <c:ptCount val="1"/>
                <c:pt idx="0">
                  <c:v>Scope 1</c:v>
                </c:pt>
              </c:strCache>
            </c:strRef>
          </c:tx>
          <c:spPr>
            <a:solidFill>
              <a:srgbClr val="00441B"/>
            </a:solidFill>
            <a:ln>
              <a:noFill/>
            </a:ln>
            <a:effectLst/>
          </c:spPr>
          <c:invertIfNegative val="0"/>
          <c:dPt>
            <c:idx val="16"/>
            <c:invertIfNegative val="0"/>
            <c:bubble3D val="0"/>
            <c:spPr>
              <a:solidFill>
                <a:srgbClr val="7030A0"/>
              </a:solidFill>
              <a:ln>
                <a:noFill/>
              </a:ln>
              <a:effectLst/>
            </c:spPr>
            <c:extLst>
              <c:ext xmlns:c16="http://schemas.microsoft.com/office/drawing/2014/chart" uri="{C3380CC4-5D6E-409C-BE32-E72D297353CC}">
                <c16:uniqueId val="{00000001-2C78-4DE4-9139-6DA90DCDD665}"/>
              </c:ext>
            </c:extLst>
          </c:dPt>
          <c:cat>
            <c:strRef>
              <c:f>Reduktionsmålsætning!$D$49:$V$49</c:f>
              <c:strCache>
                <c:ptCount val="17"/>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Mål 2030</c:v>
                </c:pt>
              </c:strCache>
            </c:strRef>
          </c:cat>
          <c:val>
            <c:numRef>
              <c:f>Reduktionsmålsætning!$D$50:$V$50</c:f>
              <c:numCache>
                <c:formatCode>#,##0.00</c:formatCode>
                <c:ptCount val="19"/>
                <c:pt idx="0">
                  <c:v>11</c:v>
                </c:pt>
                <c:pt idx="1">
                  <c:v>8</c:v>
                </c:pt>
                <c:pt idx="2">
                  <c:v>8</c:v>
                </c:pt>
                <c:pt idx="3">
                  <c:v>8</c:v>
                </c:pt>
                <c:pt idx="4">
                  <c:v>8</c:v>
                </c:pt>
                <c:pt idx="5">
                  <c:v>8</c:v>
                </c:pt>
                <c:pt idx="6">
                  <c:v>8</c:v>
                </c:pt>
                <c:pt idx="7">
                  <c:v>8</c:v>
                </c:pt>
                <c:pt idx="8">
                  <c:v>8</c:v>
                </c:pt>
                <c:pt idx="9">
                  <c:v>8</c:v>
                </c:pt>
                <c:pt idx="10">
                  <c:v>8</c:v>
                </c:pt>
                <c:pt idx="11">
                  <c:v>8</c:v>
                </c:pt>
                <c:pt idx="12">
                  <c:v>8</c:v>
                </c:pt>
                <c:pt idx="13">
                  <c:v>8</c:v>
                </c:pt>
                <c:pt idx="14">
                  <c:v>8</c:v>
                </c:pt>
                <c:pt idx="15">
                  <c:v>4</c:v>
                </c:pt>
              </c:numCache>
            </c:numRef>
          </c:val>
          <c:extLst>
            <c:ext xmlns:c16="http://schemas.microsoft.com/office/drawing/2014/chart" uri="{C3380CC4-5D6E-409C-BE32-E72D297353CC}">
              <c16:uniqueId val="{00000002-2C78-4DE4-9139-6DA90DCDD665}"/>
            </c:ext>
          </c:extLst>
        </c:ser>
        <c:ser>
          <c:idx val="1"/>
          <c:order val="1"/>
          <c:tx>
            <c:strRef>
              <c:f>Reduktionsmålsætning!$C$51</c:f>
              <c:strCache>
                <c:ptCount val="1"/>
                <c:pt idx="0">
                  <c:v>Scope 2</c:v>
                </c:pt>
              </c:strCache>
            </c:strRef>
          </c:tx>
          <c:spPr>
            <a:solidFill>
              <a:srgbClr val="238B45"/>
            </a:solidFill>
            <a:ln>
              <a:noFill/>
            </a:ln>
            <a:effectLst/>
          </c:spPr>
          <c:invertIfNegative val="0"/>
          <c:dPt>
            <c:idx val="16"/>
            <c:invertIfNegative val="0"/>
            <c:bubble3D val="0"/>
            <c:spPr>
              <a:solidFill>
                <a:srgbClr val="7030A0"/>
              </a:solidFill>
              <a:ln>
                <a:noFill/>
              </a:ln>
              <a:effectLst/>
            </c:spPr>
            <c:extLst>
              <c:ext xmlns:c16="http://schemas.microsoft.com/office/drawing/2014/chart" uri="{C3380CC4-5D6E-409C-BE32-E72D297353CC}">
                <c16:uniqueId val="{00000004-2C78-4DE4-9139-6DA90DCDD665}"/>
              </c:ext>
            </c:extLst>
          </c:dPt>
          <c:cat>
            <c:strRef>
              <c:f>Reduktionsmålsætning!$D$49:$V$49</c:f>
              <c:strCache>
                <c:ptCount val="17"/>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Mål 2030</c:v>
                </c:pt>
              </c:strCache>
            </c:strRef>
          </c:cat>
          <c:val>
            <c:numRef>
              <c:f>Reduktionsmålsætning!$D$51:$V$51</c:f>
              <c:numCache>
                <c:formatCode>#,##0.00</c:formatCode>
                <c:ptCount val="19"/>
                <c:pt idx="0">
                  <c:v>7</c:v>
                </c:pt>
                <c:pt idx="1">
                  <c:v>8</c:v>
                </c:pt>
                <c:pt idx="2">
                  <c:v>8</c:v>
                </c:pt>
                <c:pt idx="3">
                  <c:v>8</c:v>
                </c:pt>
                <c:pt idx="4">
                  <c:v>8</c:v>
                </c:pt>
                <c:pt idx="5">
                  <c:v>20</c:v>
                </c:pt>
                <c:pt idx="6">
                  <c:v>8</c:v>
                </c:pt>
                <c:pt idx="7">
                  <c:v>8</c:v>
                </c:pt>
                <c:pt idx="8">
                  <c:v>8</c:v>
                </c:pt>
                <c:pt idx="9">
                  <c:v>8</c:v>
                </c:pt>
                <c:pt idx="10">
                  <c:v>8</c:v>
                </c:pt>
                <c:pt idx="11">
                  <c:v>8</c:v>
                </c:pt>
                <c:pt idx="12">
                  <c:v>8</c:v>
                </c:pt>
                <c:pt idx="13">
                  <c:v>8</c:v>
                </c:pt>
                <c:pt idx="14">
                  <c:v>21</c:v>
                </c:pt>
                <c:pt idx="15">
                  <c:v>4</c:v>
                </c:pt>
              </c:numCache>
            </c:numRef>
          </c:val>
          <c:extLst>
            <c:ext xmlns:c16="http://schemas.microsoft.com/office/drawing/2014/chart" uri="{C3380CC4-5D6E-409C-BE32-E72D297353CC}">
              <c16:uniqueId val="{00000005-2C78-4DE4-9139-6DA90DCDD665}"/>
            </c:ext>
          </c:extLst>
        </c:ser>
        <c:ser>
          <c:idx val="2"/>
          <c:order val="3"/>
          <c:tx>
            <c:strRef>
              <c:f>Reduktionsmålsætning!$C$53</c:f>
              <c:strCache>
                <c:ptCount val="1"/>
                <c:pt idx="0">
                  <c:v>Målsætning</c:v>
                </c:pt>
              </c:strCache>
            </c:strRef>
          </c:tx>
          <c:spPr>
            <a:solidFill>
              <a:srgbClr val="7030A0"/>
            </a:solidFill>
            <a:ln>
              <a:noFill/>
            </a:ln>
            <a:effectLst/>
          </c:spPr>
          <c:invertIfNegative val="0"/>
          <c:val>
            <c:numRef>
              <c:f>Reduktionsmålsætning!$D$53:$V$53</c:f>
              <c:numCache>
                <c:formatCode>General</c:formatCode>
                <c:ptCount val="19"/>
                <c:pt idx="16" formatCode="#,##0.00">
                  <c:v>6.3</c:v>
                </c:pt>
              </c:numCache>
            </c:numRef>
          </c:val>
          <c:extLst>
            <c:ext xmlns:c16="http://schemas.microsoft.com/office/drawing/2014/chart" uri="{C3380CC4-5D6E-409C-BE32-E72D297353CC}">
              <c16:uniqueId val="{00000006-7B14-48F8-A46E-DA00927022D2}"/>
            </c:ext>
          </c:extLst>
        </c:ser>
        <c:ser>
          <c:idx val="3"/>
          <c:order val="4"/>
          <c:tx>
            <c:strRef>
              <c:f>Reduktionsmålsætning!$C$54</c:f>
              <c:strCache>
                <c:ptCount val="1"/>
              </c:strCache>
            </c:strRef>
          </c:tx>
          <c:spPr>
            <a:noFill/>
            <a:ln>
              <a:noFill/>
            </a:ln>
            <a:effectLst/>
          </c:spPr>
          <c:invertIfNegative val="0"/>
          <c:val>
            <c:numRef>
              <c:f>Reduktionsmålsætning!$D$54:$V$54</c:f>
              <c:numCache>
                <c:formatCode>General</c:formatCode>
                <c:ptCount val="19"/>
                <c:pt idx="17" formatCode="#,##0.00">
                  <c:v>6.3</c:v>
                </c:pt>
              </c:numCache>
            </c:numRef>
          </c:val>
          <c:extLst>
            <c:ext xmlns:c16="http://schemas.microsoft.com/office/drawing/2014/chart" uri="{C3380CC4-5D6E-409C-BE32-E72D297353CC}">
              <c16:uniqueId val="{00000007-7B14-48F8-A46E-DA00927022D2}"/>
            </c:ext>
          </c:extLst>
        </c:ser>
        <c:ser>
          <c:idx val="9"/>
          <c:order val="5"/>
          <c:tx>
            <c:strRef>
              <c:f>Reduktionsmålsætning!$C$55</c:f>
              <c:strCache>
                <c:ptCount val="1"/>
                <c:pt idx="0">
                  <c:v>(ikke relevant)</c:v>
                </c:pt>
              </c:strCache>
            </c:strRef>
          </c:tx>
          <c:spPr>
            <a:solidFill>
              <a:srgbClr val="74C476">
                <a:alpha val="59582"/>
              </a:srgbClr>
            </a:solidFill>
            <a:ln>
              <a:noFill/>
            </a:ln>
            <a:effectLst/>
          </c:spPr>
          <c:invertIfNegative val="0"/>
          <c:val>
            <c:numRef>
              <c:f>Reduktionsmålsætning!$D$55:$V$55</c:f>
              <c:numCache>
                <c:formatCode>General</c:formatCode>
                <c:ptCount val="19"/>
                <c:pt idx="17" formatCode="#,##0.00">
                  <c:v>0</c:v>
                </c:pt>
              </c:numCache>
            </c:numRef>
          </c:val>
          <c:extLst>
            <c:ext xmlns:c16="http://schemas.microsoft.com/office/drawing/2014/chart" uri="{C3380CC4-5D6E-409C-BE32-E72D297353CC}">
              <c16:uniqueId val="{00000004-66C3-3249-B310-E8893E2646C0}"/>
            </c:ext>
          </c:extLst>
        </c:ser>
        <c:ser>
          <c:idx val="4"/>
          <c:order val="6"/>
          <c:tx>
            <c:strRef>
              <c:f>Reduktionsmålsætning!$C$56</c:f>
              <c:strCache>
                <c:ptCount val="1"/>
                <c:pt idx="0">
                  <c:v>Forskel til målet</c:v>
                </c:pt>
              </c:strCache>
            </c:strRef>
          </c:tx>
          <c:spPr>
            <a:solidFill>
              <a:srgbClr val="FF9999"/>
            </a:solidFill>
            <a:ln>
              <a:noFill/>
            </a:ln>
            <a:effectLst/>
          </c:spPr>
          <c:invertIfNegative val="0"/>
          <c:val>
            <c:numRef>
              <c:f>Reduktionsmålsætning!$D$56:$V$56</c:f>
              <c:numCache>
                <c:formatCode>General</c:formatCode>
                <c:ptCount val="19"/>
                <c:pt idx="17" formatCode="#,##0.00">
                  <c:v>1.7000000000000002</c:v>
                </c:pt>
              </c:numCache>
            </c:numRef>
          </c:val>
          <c:extLst>
            <c:ext xmlns:c16="http://schemas.microsoft.com/office/drawing/2014/chart" uri="{C3380CC4-5D6E-409C-BE32-E72D297353CC}">
              <c16:uniqueId val="{00000008-7B14-48F8-A46E-DA00927022D2}"/>
            </c:ext>
          </c:extLst>
        </c:ser>
        <c:ser>
          <c:idx val="5"/>
          <c:order val="7"/>
          <c:tx>
            <c:strRef>
              <c:f>Reduktionsmålsætning!$C$57</c:f>
              <c:strCache>
                <c:ptCount val="1"/>
                <c:pt idx="0">
                  <c:v>Målsætning (%)</c:v>
                </c:pt>
              </c:strCache>
            </c:strRef>
          </c:tx>
          <c:spPr>
            <a:noFill/>
            <a:ln>
              <a:noFill/>
            </a:ln>
            <a:effectLst/>
          </c:spPr>
          <c:invertIfNegative val="0"/>
          <c:val>
            <c:numRef>
              <c:f>Reduktionsmålsætning!$D$57:$V$57</c:f>
              <c:numCache>
                <c:formatCode>General</c:formatCode>
                <c:ptCount val="19"/>
                <c:pt idx="18" formatCode="0.00">
                  <c:v>6.3</c:v>
                </c:pt>
              </c:numCache>
            </c:numRef>
          </c:val>
          <c:extLst>
            <c:ext xmlns:c16="http://schemas.microsoft.com/office/drawing/2014/chart" uri="{C3380CC4-5D6E-409C-BE32-E72D297353CC}">
              <c16:uniqueId val="{00000018-287B-9D4B-9096-1826236ECA46}"/>
            </c:ext>
          </c:extLst>
        </c:ser>
        <c:ser>
          <c:idx val="6"/>
          <c:order val="8"/>
          <c:tx>
            <c:strRef>
              <c:f>Reduktionsmålsætning!$C$59</c:f>
              <c:strCache>
                <c:ptCount val="1"/>
                <c:pt idx="0">
                  <c:v>Manglende reduction</c:v>
                </c:pt>
              </c:strCache>
            </c:strRef>
          </c:tx>
          <c:spPr>
            <a:noFill/>
            <a:ln>
              <a:noFill/>
            </a:ln>
            <a:effectLst/>
          </c:spPr>
          <c:invertIfNegative val="0"/>
          <c:dLbls>
            <c:dLbl>
              <c:idx val="0"/>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F4AA-674A-9198-2CBBAA0EDF9E}"/>
                </c:ext>
              </c:extLst>
            </c:dLbl>
            <c:dLbl>
              <c:idx val="1"/>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F4AA-674A-9198-2CBBAA0EDF9E}"/>
                </c:ext>
              </c:extLst>
            </c:dLbl>
            <c:dLbl>
              <c:idx val="2"/>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F4AA-674A-9198-2CBBAA0EDF9E}"/>
                </c:ext>
              </c:extLst>
            </c:dLbl>
            <c:dLbl>
              <c:idx val="3"/>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F4AA-674A-9198-2CBBAA0EDF9E}"/>
                </c:ext>
              </c:extLst>
            </c:dLbl>
            <c:dLbl>
              <c:idx val="4"/>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F4AA-674A-9198-2CBBAA0EDF9E}"/>
                </c:ext>
              </c:extLst>
            </c:dLbl>
            <c:dLbl>
              <c:idx val="5"/>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F4AA-674A-9198-2CBBAA0EDF9E}"/>
                </c:ext>
              </c:extLst>
            </c:dLbl>
            <c:dLbl>
              <c:idx val="6"/>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F4AA-674A-9198-2CBBAA0EDF9E}"/>
                </c:ext>
              </c:extLst>
            </c:dLbl>
            <c:dLbl>
              <c:idx val="7"/>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F4AA-674A-9198-2CBBAA0EDF9E}"/>
                </c:ext>
              </c:extLst>
            </c:dLbl>
            <c:dLbl>
              <c:idx val="8"/>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F4AA-674A-9198-2CBBAA0EDF9E}"/>
                </c:ext>
              </c:extLst>
            </c:dLbl>
            <c:dLbl>
              <c:idx val="9"/>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F4AA-674A-9198-2CBBAA0EDF9E}"/>
                </c:ext>
              </c:extLst>
            </c:dLbl>
            <c:dLbl>
              <c:idx val="10"/>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F4AA-674A-9198-2CBBAA0EDF9E}"/>
                </c:ext>
              </c:extLst>
            </c:dLbl>
            <c:dLbl>
              <c:idx val="11"/>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F4AA-674A-9198-2CBBAA0EDF9E}"/>
                </c:ext>
              </c:extLst>
            </c:dLbl>
            <c:dLbl>
              <c:idx val="12"/>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F4AA-674A-9198-2CBBAA0EDF9E}"/>
                </c:ext>
              </c:extLst>
            </c:dLbl>
            <c:dLbl>
              <c:idx val="13"/>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F4AA-674A-9198-2CBBAA0EDF9E}"/>
                </c:ext>
              </c:extLst>
            </c:dLbl>
            <c:dLbl>
              <c:idx val="14"/>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F4AA-674A-9198-2CBBAA0EDF9E}"/>
                </c:ext>
              </c:extLst>
            </c:dLbl>
            <c:dLbl>
              <c:idx val="15"/>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F4AA-674A-9198-2CBBAA0EDF9E}"/>
                </c:ext>
              </c:extLst>
            </c:dLbl>
            <c:dLbl>
              <c:idx val="16"/>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F4AA-674A-9198-2CBBAA0EDF9E}"/>
                </c:ext>
              </c:extLst>
            </c:dLbl>
            <c:dLbl>
              <c:idx val="17"/>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F4AA-674A-9198-2CBBAA0EDF9E}"/>
                </c:ext>
              </c:extLst>
            </c:dLbl>
            <c:dLbl>
              <c:idx val="18"/>
              <c:tx>
                <c:rich>
                  <a:bodyPr/>
                  <a:lstStyle/>
                  <a:p>
                    <a:fld id="{D51F95FA-1FFA-544D-B48D-E505C47781A7}"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F4AA-674A-9198-2CBBAA0EDF9E}"/>
                </c:ext>
              </c:extLst>
            </c:dLbl>
            <c:spPr>
              <a:noFill/>
              <a:ln>
                <a:solidFill>
                  <a:sysClr val="windowText" lastClr="000000">
                    <a:lumMod val="25000"/>
                    <a:lumOff val="75000"/>
                  </a:sys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a-DK"/>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val>
            <c:numRef>
              <c:f>Reduktionsmålsætning!$D$59:$V$59</c:f>
              <c:numCache>
                <c:formatCode>General</c:formatCode>
                <c:ptCount val="19"/>
                <c:pt idx="18" formatCode="0.00">
                  <c:v>1.7000000000000002</c:v>
                </c:pt>
              </c:numCache>
            </c:numRef>
          </c:val>
          <c:extLst>
            <c:ext xmlns:c15="http://schemas.microsoft.com/office/drawing/2012/chart" uri="{02D57815-91ED-43cb-92C2-25804820EDAC}">
              <c15:datalabelsRange>
                <c15:f>Reduktionsmålsætning!$D$61:$V$61</c15:f>
                <c15:dlblRangeCache>
                  <c:ptCount val="19"/>
                  <c:pt idx="18">
                    <c:v>21,25%</c:v>
                  </c:pt>
                </c15:dlblRangeCache>
              </c15:datalabelsRange>
            </c:ext>
            <c:ext xmlns:c16="http://schemas.microsoft.com/office/drawing/2014/chart" uri="{C3380CC4-5D6E-409C-BE32-E72D297353CC}">
              <c16:uniqueId val="{00000004-F4AA-674A-9198-2CBBAA0EDF9E}"/>
            </c:ext>
          </c:extLst>
        </c:ser>
        <c:ser>
          <c:idx val="10"/>
          <c:order val="10"/>
          <c:tx>
            <c:strRef>
              <c:f>Reduktionsmålsætning!$C$58</c:f>
              <c:strCache>
                <c:ptCount val="1"/>
              </c:strCache>
            </c:strRef>
          </c:tx>
          <c:spPr>
            <a:noFill/>
            <a:ln>
              <a:noFill/>
            </a:ln>
            <a:effectLst/>
          </c:spPr>
          <c:invertIfNegative val="0"/>
          <c:dLbls>
            <c:dLbl>
              <c:idx val="0"/>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A-287B-9D4B-9096-1826236ECA46}"/>
                </c:ext>
              </c:extLst>
            </c:dLbl>
            <c:dLbl>
              <c:idx val="1"/>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287B-9D4B-9096-1826236ECA46}"/>
                </c:ext>
              </c:extLst>
            </c:dLbl>
            <c:dLbl>
              <c:idx val="2"/>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287B-9D4B-9096-1826236ECA46}"/>
                </c:ext>
              </c:extLst>
            </c:dLbl>
            <c:dLbl>
              <c:idx val="3"/>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D-287B-9D4B-9096-1826236ECA46}"/>
                </c:ext>
              </c:extLst>
            </c:dLbl>
            <c:dLbl>
              <c:idx val="4"/>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E-287B-9D4B-9096-1826236ECA46}"/>
                </c:ext>
              </c:extLst>
            </c:dLbl>
            <c:dLbl>
              <c:idx val="5"/>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F-287B-9D4B-9096-1826236ECA46}"/>
                </c:ext>
              </c:extLst>
            </c:dLbl>
            <c:dLbl>
              <c:idx val="6"/>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0-287B-9D4B-9096-1826236ECA46}"/>
                </c:ext>
              </c:extLst>
            </c:dLbl>
            <c:dLbl>
              <c:idx val="7"/>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1-287B-9D4B-9096-1826236ECA46}"/>
                </c:ext>
              </c:extLst>
            </c:dLbl>
            <c:dLbl>
              <c:idx val="8"/>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2-287B-9D4B-9096-1826236ECA46}"/>
                </c:ext>
              </c:extLst>
            </c:dLbl>
            <c:dLbl>
              <c:idx val="9"/>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3-287B-9D4B-9096-1826236ECA46}"/>
                </c:ext>
              </c:extLst>
            </c:dLbl>
            <c:dLbl>
              <c:idx val="10"/>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4-287B-9D4B-9096-1826236ECA46}"/>
                </c:ext>
              </c:extLst>
            </c:dLbl>
            <c:dLbl>
              <c:idx val="11"/>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5-287B-9D4B-9096-1826236ECA46}"/>
                </c:ext>
              </c:extLst>
            </c:dLbl>
            <c:dLbl>
              <c:idx val="12"/>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6-287B-9D4B-9096-1826236ECA46}"/>
                </c:ext>
              </c:extLst>
            </c:dLbl>
            <c:dLbl>
              <c:idx val="13"/>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7-287B-9D4B-9096-1826236ECA46}"/>
                </c:ext>
              </c:extLst>
            </c:dLbl>
            <c:dLbl>
              <c:idx val="14"/>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8-287B-9D4B-9096-1826236ECA46}"/>
                </c:ext>
              </c:extLst>
            </c:dLbl>
            <c:dLbl>
              <c:idx val="15"/>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9-287B-9D4B-9096-1826236ECA46}"/>
                </c:ext>
              </c:extLst>
            </c:dLbl>
            <c:dLbl>
              <c:idx val="16"/>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A-287B-9D4B-9096-1826236ECA46}"/>
                </c:ext>
              </c:extLst>
            </c:dLbl>
            <c:dLbl>
              <c:idx val="17"/>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B-287B-9D4B-9096-1826236ECA46}"/>
                </c:ext>
              </c:extLst>
            </c:dLbl>
            <c:dLbl>
              <c:idx val="18"/>
              <c:tx>
                <c:rich>
                  <a:bodyPr/>
                  <a:lstStyle/>
                  <a:p>
                    <a:fld id="{83A59C98-275B-4446-BE59-D2BD9CD38373}"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287B-9D4B-9096-1826236ECA46}"/>
                </c:ext>
              </c:extLst>
            </c:dLbl>
            <c:spPr>
              <a:noFill/>
              <a:ln>
                <a:solidFill>
                  <a:sysClr val="windowText" lastClr="000000">
                    <a:lumMod val="25000"/>
                    <a:lumOff val="75000"/>
                  </a:sys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a-DK"/>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val>
            <c:numRef>
              <c:f>Reduktionsmålsætning!$D$58:$V$58</c:f>
              <c:numCache>
                <c:formatCode>General</c:formatCode>
                <c:ptCount val="19"/>
                <c:pt idx="18" formatCode="0.00">
                  <c:v>0</c:v>
                </c:pt>
              </c:numCache>
            </c:numRef>
          </c:val>
          <c:extLst>
            <c:ext xmlns:c15="http://schemas.microsoft.com/office/drawing/2012/chart" uri="{02D57815-91ED-43cb-92C2-25804820EDAC}">
              <c15:datalabelsRange>
                <c15:f>Reduktionsmålsætning!$D$60:$V$60</c15:f>
                <c15:dlblRangeCache>
                  <c:ptCount val="19"/>
                </c15:dlblRangeCache>
              </c15:datalabelsRange>
            </c:ext>
            <c:ext xmlns:c16="http://schemas.microsoft.com/office/drawing/2014/chart" uri="{C3380CC4-5D6E-409C-BE32-E72D297353CC}">
              <c16:uniqueId val="{00000017-287B-9D4B-9096-1826236ECA46}"/>
            </c:ext>
          </c:extLst>
        </c:ser>
        <c:dLbls>
          <c:showLegendKey val="0"/>
          <c:showVal val="0"/>
          <c:showCatName val="0"/>
          <c:showSerName val="0"/>
          <c:showPercent val="0"/>
          <c:showBubbleSize val="0"/>
        </c:dLbls>
        <c:gapWidth val="150"/>
        <c:overlap val="100"/>
        <c:axId val="80421120"/>
        <c:axId val="1763787488"/>
        <c:extLst>
          <c:ext xmlns:c15="http://schemas.microsoft.com/office/drawing/2012/chart" uri="{02D57815-91ED-43cb-92C2-25804820EDAC}">
            <c15:filteredBarSeries>
              <c15:ser>
                <c:idx val="7"/>
                <c:order val="2"/>
                <c:tx>
                  <c:strRef>
                    <c:extLst>
                      <c:ext uri="{02D57815-91ED-43cb-92C2-25804820EDAC}">
                        <c15:formulaRef>
                          <c15:sqref>Reduktionsmålsætning!$C$52</c15:sqref>
                        </c15:formulaRef>
                      </c:ext>
                    </c:extLst>
                    <c:strCache>
                      <c:ptCount val="1"/>
                      <c:pt idx="0">
                        <c:v>Scope 1 og 2 (total)</c:v>
                      </c:pt>
                    </c:strCache>
                  </c:strRef>
                </c:tx>
                <c:spPr>
                  <a:solidFill>
                    <a:schemeClr val="accent2">
                      <a:lumMod val="60000"/>
                    </a:schemeClr>
                  </a:solidFill>
                  <a:ln>
                    <a:noFill/>
                  </a:ln>
                  <a:effectLst/>
                </c:spPr>
                <c:invertIfNegative val="0"/>
                <c:val>
                  <c:numRef>
                    <c:extLst>
                      <c:ext uri="{02D57815-91ED-43cb-92C2-25804820EDAC}">
                        <c15:formulaRef>
                          <c15:sqref>Reduktionsmålsætning!$D$52:$T$52</c15:sqref>
                        </c15:formulaRef>
                      </c:ext>
                    </c:extLst>
                    <c:numCache>
                      <c:formatCode>#,##0.00</c:formatCode>
                      <c:ptCount val="17"/>
                      <c:pt idx="0">
                        <c:v>18</c:v>
                      </c:pt>
                      <c:pt idx="1">
                        <c:v>16</c:v>
                      </c:pt>
                      <c:pt idx="2">
                        <c:v>16</c:v>
                      </c:pt>
                      <c:pt idx="3">
                        <c:v>16</c:v>
                      </c:pt>
                      <c:pt idx="4">
                        <c:v>16</c:v>
                      </c:pt>
                      <c:pt idx="5">
                        <c:v>28</c:v>
                      </c:pt>
                      <c:pt idx="6">
                        <c:v>16</c:v>
                      </c:pt>
                      <c:pt idx="7">
                        <c:v>16</c:v>
                      </c:pt>
                      <c:pt idx="8">
                        <c:v>16</c:v>
                      </c:pt>
                      <c:pt idx="9">
                        <c:v>16</c:v>
                      </c:pt>
                      <c:pt idx="10">
                        <c:v>16</c:v>
                      </c:pt>
                      <c:pt idx="11">
                        <c:v>16</c:v>
                      </c:pt>
                      <c:pt idx="12">
                        <c:v>16</c:v>
                      </c:pt>
                      <c:pt idx="13">
                        <c:v>16</c:v>
                      </c:pt>
                      <c:pt idx="14">
                        <c:v>29</c:v>
                      </c:pt>
                      <c:pt idx="15">
                        <c:v>8</c:v>
                      </c:pt>
                      <c:pt idx="16">
                        <c:v>6.3</c:v>
                      </c:pt>
                    </c:numCache>
                  </c:numRef>
                </c:val>
                <c:extLst>
                  <c:ext xmlns:c16="http://schemas.microsoft.com/office/drawing/2014/chart" uri="{C3380CC4-5D6E-409C-BE32-E72D297353CC}">
                    <c16:uniqueId val="{0000000D-7B14-48F8-A46E-DA00927022D2}"/>
                  </c:ext>
                </c:extLst>
              </c15:ser>
            </c15:filteredBarSeries>
            <c15:filteredBarSeries>
              <c15:ser>
                <c:idx val="8"/>
                <c:order val="9"/>
                <c:tx>
                  <c:strRef>
                    <c:extLst xmlns:c15="http://schemas.microsoft.com/office/drawing/2012/chart">
                      <c:ext xmlns:c15="http://schemas.microsoft.com/office/drawing/2012/chart" uri="{02D57815-91ED-43cb-92C2-25804820EDAC}">
                        <c15:formulaRef>
                          <c15:sqref>Reduktionsmålsætning!$C$61</c15:sqref>
                        </c15:formulaRef>
                      </c:ext>
                    </c:extLst>
                    <c:strCache>
                      <c:ptCount val="1"/>
                      <c:pt idx="0">
                        <c:v>Etikets værdi for Scope 1+2 (stigning)</c:v>
                      </c:pt>
                    </c:strCache>
                  </c:strRef>
                </c:tx>
                <c:spPr>
                  <a:solidFill>
                    <a:schemeClr val="accent3">
                      <a:lumMod val="60000"/>
                    </a:schemeClr>
                  </a:solidFill>
                  <a:ln>
                    <a:noFill/>
                  </a:ln>
                  <a:effectLst/>
                </c:spPr>
                <c:invertIfNegative val="0"/>
                <c:val>
                  <c:numRef>
                    <c:extLst xmlns:c15="http://schemas.microsoft.com/office/drawing/2012/chart">
                      <c:ext xmlns:c15="http://schemas.microsoft.com/office/drawing/2012/chart" uri="{02D57815-91ED-43cb-92C2-25804820EDAC}">
                        <c15:formulaRef>
                          <c15:sqref>Reduktionsmålsætning!$D$61:$V$61</c15:sqref>
                        </c15:formulaRef>
                      </c:ext>
                    </c:extLst>
                    <c:numCache>
                      <c:formatCode>General</c:formatCode>
                      <c:ptCount val="19"/>
                      <c:pt idx="18" formatCode="0.00%">
                        <c:v>0.21250000000000002</c:v>
                      </c:pt>
                    </c:numCache>
                  </c:numRef>
                </c:val>
                <c:extLst xmlns:c15="http://schemas.microsoft.com/office/drawing/2012/chart">
                  <c:ext xmlns:c16="http://schemas.microsoft.com/office/drawing/2014/chart" uri="{C3380CC4-5D6E-409C-BE32-E72D297353CC}">
                    <c16:uniqueId val="{0000000C-7B14-48F8-A46E-DA00927022D2}"/>
                  </c:ext>
                </c:extLst>
              </c15:ser>
            </c15:filteredBarSeries>
          </c:ext>
        </c:extLst>
      </c:barChart>
      <c:catAx>
        <c:axId val="80421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763787488"/>
        <c:crosses val="autoZero"/>
        <c:auto val="1"/>
        <c:lblAlgn val="ctr"/>
        <c:lblOffset val="100"/>
        <c:noMultiLvlLbl val="0"/>
      </c:catAx>
      <c:valAx>
        <c:axId val="1763787488"/>
        <c:scaling>
          <c:orientation val="minMax"/>
        </c:scaling>
        <c:delete val="0"/>
        <c:axPos val="l"/>
        <c:majorGridlines>
          <c:spPr>
            <a:ln w="9525" cap="flat" cmpd="sng" algn="ctr">
              <a:solidFill>
                <a:schemeClr val="tx1">
                  <a:lumMod val="15000"/>
                  <a:lumOff val="85000"/>
                </a:schemeClr>
              </a:solidFill>
              <a:round/>
            </a:ln>
            <a:effectLst/>
          </c:spPr>
        </c:majorGridlines>
        <c:title>
          <c:tx>
            <c:strRef>
              <c:f>Tekstnøgler!$C$582</c:f>
              <c:strCache>
                <c:ptCount val="1"/>
                <c:pt idx="0">
                  <c:v>ton CO₂e</c:v>
                </c:pt>
              </c:strCache>
            </c:strRef>
          </c:tx>
          <c:layout>
            <c:manualLayout>
              <c:xMode val="edge"/>
              <c:yMode val="edge"/>
              <c:x val="1.2895568541323007E-2"/>
              <c:y val="0.3335798520067282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a-DK"/>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80421120"/>
        <c:crosses val="autoZero"/>
        <c:crossBetween val="between"/>
      </c:valAx>
      <c:spPr>
        <a:noFill/>
        <a:ln>
          <a:noFill/>
        </a:ln>
        <a:effectLst/>
      </c:spPr>
    </c:plotArea>
    <c:legend>
      <c:legendPos val="b"/>
      <c:legendEntry>
        <c:idx val="6"/>
        <c:txPr>
          <a:bodyPr rot="0" spcFirstLastPara="1" vertOverflow="ellipsis" vert="horz" wrap="square" anchor="ctr" anchorCtr="1"/>
          <a:lstStyle/>
          <a:p>
            <a:pPr rtl="0">
              <a:defRPr sz="900" b="0" i="0" u="none" strike="noStrike" kern="1200" baseline="0">
                <a:noFill/>
                <a:latin typeface="+mn-lt"/>
                <a:ea typeface="+mn-ea"/>
                <a:cs typeface="+mn-cs"/>
              </a:defRPr>
            </a:pPr>
            <a:endParaRPr lang="da-DK"/>
          </a:p>
        </c:txPr>
      </c:legendEntry>
      <c:legendEntry>
        <c:idx val="7"/>
        <c:txPr>
          <a:bodyPr rot="0" spcFirstLastPara="1" vertOverflow="ellipsis" vert="horz" wrap="square" anchor="ctr" anchorCtr="1"/>
          <a:lstStyle/>
          <a:p>
            <a:pPr rtl="0">
              <a:defRPr sz="900" b="0" i="0" u="none" strike="noStrike" kern="1200" baseline="0">
                <a:noFill/>
                <a:latin typeface="+mn-lt"/>
                <a:ea typeface="+mn-ea"/>
                <a:cs typeface="+mn-cs"/>
              </a:defRPr>
            </a:pPr>
            <a:endParaRPr lang="da-DK"/>
          </a:p>
        </c:txPr>
      </c:legendEntry>
      <c:legendEntry>
        <c:idx val="8"/>
        <c:txPr>
          <a:bodyPr rot="0" spcFirstLastPara="1" vertOverflow="ellipsis" vert="horz" wrap="square" anchor="ctr" anchorCtr="1"/>
          <a:lstStyle/>
          <a:p>
            <a:pPr rtl="0">
              <a:defRPr sz="900" b="0" i="0" u="none" strike="noStrike" kern="1200" baseline="0">
                <a:noFill/>
                <a:latin typeface="+mn-lt"/>
                <a:ea typeface="+mn-ea"/>
                <a:cs typeface="+mn-cs"/>
              </a:defRPr>
            </a:pPr>
            <a:endParaRPr lang="da-DK"/>
          </a:p>
        </c:txPr>
      </c:legendEntry>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da-DK"/>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Reduktionsmålsætning!$C$103</c:f>
              <c:strCache>
                <c:ptCount val="1"/>
                <c:pt idx="0">
                  <c:v>Scope 3</c:v>
                </c:pt>
              </c:strCache>
            </c:strRef>
          </c:tx>
          <c:spPr>
            <a:solidFill>
              <a:srgbClr val="74C476"/>
            </a:solidFill>
            <a:ln>
              <a:noFill/>
            </a:ln>
            <a:effectLst/>
          </c:spPr>
          <c:invertIfNegative val="0"/>
          <c:cat>
            <c:strRef>
              <c:f>Reduktionsmålsætning!$D$102:$V$102</c:f>
              <c:strCache>
                <c:ptCount val="17"/>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Mål 2030</c:v>
                </c:pt>
              </c:strCache>
            </c:strRef>
          </c:cat>
          <c:val>
            <c:numRef>
              <c:f>Reduktionsmålsætning!$D$103:$V$103</c:f>
              <c:numCache>
                <c:formatCode>#,##0.00</c:formatCode>
                <c:ptCount val="19"/>
                <c:pt idx="0">
                  <c:v>5.36</c:v>
                </c:pt>
                <c:pt idx="1">
                  <c:v>5.36</c:v>
                </c:pt>
                <c:pt idx="2">
                  <c:v>5.36</c:v>
                </c:pt>
                <c:pt idx="3">
                  <c:v>5.36</c:v>
                </c:pt>
                <c:pt idx="4">
                  <c:v>5.36</c:v>
                </c:pt>
                <c:pt idx="5">
                  <c:v>5.36</c:v>
                </c:pt>
                <c:pt idx="6">
                  <c:v>5.36</c:v>
                </c:pt>
                <c:pt idx="7">
                  <c:v>5.36</c:v>
                </c:pt>
                <c:pt idx="8">
                  <c:v>5.36</c:v>
                </c:pt>
                <c:pt idx="9">
                  <c:v>5.36</c:v>
                </c:pt>
                <c:pt idx="10">
                  <c:v>5.36</c:v>
                </c:pt>
                <c:pt idx="11">
                  <c:v>5.36</c:v>
                </c:pt>
                <c:pt idx="12">
                  <c:v>5.36</c:v>
                </c:pt>
                <c:pt idx="13">
                  <c:v>13.4</c:v>
                </c:pt>
                <c:pt idx="14">
                  <c:v>5.36</c:v>
                </c:pt>
                <c:pt idx="15">
                  <c:v>3.35</c:v>
                </c:pt>
              </c:numCache>
            </c:numRef>
          </c:val>
          <c:extLst>
            <c:ext xmlns:c16="http://schemas.microsoft.com/office/drawing/2014/chart" uri="{C3380CC4-5D6E-409C-BE32-E72D297353CC}">
              <c16:uniqueId val="{00000002-BFF5-46FA-88B5-FAB9BD81E47D}"/>
            </c:ext>
          </c:extLst>
        </c:ser>
        <c:ser>
          <c:idx val="9"/>
          <c:order val="1"/>
          <c:tx>
            <c:strRef>
              <c:f>Reduktionsmålsætning!$C$104</c:f>
              <c:strCache>
                <c:ptCount val="1"/>
                <c:pt idx="0">
                  <c:v>Scope 3 andel, udenfor målsætning</c:v>
                </c:pt>
              </c:strCache>
            </c:strRef>
          </c:tx>
          <c:spPr>
            <a:solidFill>
              <a:schemeClr val="accent4">
                <a:lumMod val="60000"/>
              </a:schemeClr>
            </a:solidFill>
            <a:ln>
              <a:noFill/>
            </a:ln>
            <a:effectLst/>
          </c:spPr>
          <c:invertIfNegative val="0"/>
          <c:cat>
            <c:strRef>
              <c:f>Reduktionsmålsætning!$D$102:$V$102</c:f>
              <c:strCache>
                <c:ptCount val="17"/>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Mål 2030</c:v>
                </c:pt>
              </c:strCache>
            </c:strRef>
          </c:cat>
          <c:val>
            <c:numRef>
              <c:f>Reduktionsmålsætning!$D$104:$V$104</c:f>
              <c:numCache>
                <c:formatCode>#,##0.00</c:formatCode>
                <c:ptCount val="19"/>
                <c:pt idx="0">
                  <c:v>2.64</c:v>
                </c:pt>
                <c:pt idx="1">
                  <c:v>2.64</c:v>
                </c:pt>
                <c:pt idx="2">
                  <c:v>2.64</c:v>
                </c:pt>
                <c:pt idx="3">
                  <c:v>2.64</c:v>
                </c:pt>
                <c:pt idx="4">
                  <c:v>2.64</c:v>
                </c:pt>
                <c:pt idx="5">
                  <c:v>2.64</c:v>
                </c:pt>
                <c:pt idx="6">
                  <c:v>2.64</c:v>
                </c:pt>
                <c:pt idx="7">
                  <c:v>2.64</c:v>
                </c:pt>
                <c:pt idx="8">
                  <c:v>2.64</c:v>
                </c:pt>
                <c:pt idx="9">
                  <c:v>2.64</c:v>
                </c:pt>
                <c:pt idx="10">
                  <c:v>2.64</c:v>
                </c:pt>
                <c:pt idx="11">
                  <c:v>2.64</c:v>
                </c:pt>
                <c:pt idx="12">
                  <c:v>2.64</c:v>
                </c:pt>
                <c:pt idx="13">
                  <c:v>6.6000000000000005</c:v>
                </c:pt>
                <c:pt idx="14">
                  <c:v>2.64</c:v>
                </c:pt>
                <c:pt idx="15">
                  <c:v>1.6500000000000001</c:v>
                </c:pt>
              </c:numCache>
            </c:numRef>
          </c:val>
          <c:extLst>
            <c:ext xmlns:c16="http://schemas.microsoft.com/office/drawing/2014/chart" uri="{C3380CC4-5D6E-409C-BE32-E72D297353CC}">
              <c16:uniqueId val="{00000008-8E75-9B42-8806-FFC1D30158C4}"/>
            </c:ext>
          </c:extLst>
        </c:ser>
        <c:ser>
          <c:idx val="1"/>
          <c:order val="2"/>
          <c:tx>
            <c:strRef>
              <c:f>Reduktionsmålsætning!$C$105</c:f>
              <c:strCache>
                <c:ptCount val="1"/>
                <c:pt idx="0">
                  <c:v>Målsætning for scope 3</c:v>
                </c:pt>
              </c:strCache>
            </c:strRef>
          </c:tx>
          <c:spPr>
            <a:solidFill>
              <a:srgbClr val="7030A0"/>
            </a:solidFill>
            <a:ln>
              <a:noFill/>
            </a:ln>
            <a:effectLst/>
          </c:spPr>
          <c:invertIfNegative val="0"/>
          <c:cat>
            <c:strRef>
              <c:f>Reduktionsmålsætning!$D$102:$V$102</c:f>
              <c:strCache>
                <c:ptCount val="17"/>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Mål 2030</c:v>
                </c:pt>
              </c:strCache>
            </c:strRef>
          </c:cat>
          <c:val>
            <c:numRef>
              <c:f>Reduktionsmålsætning!$D$105:$V$105</c:f>
              <c:numCache>
                <c:formatCode>#,##0.00</c:formatCode>
                <c:ptCount val="19"/>
                <c:pt idx="16">
                  <c:v>1.8759999999999999</c:v>
                </c:pt>
              </c:numCache>
            </c:numRef>
          </c:val>
          <c:extLst>
            <c:ext xmlns:c16="http://schemas.microsoft.com/office/drawing/2014/chart" uri="{C3380CC4-5D6E-409C-BE32-E72D297353CC}">
              <c16:uniqueId val="{00000005-BFF5-46FA-88B5-FAB9BD81E47D}"/>
            </c:ext>
          </c:extLst>
        </c:ser>
        <c:ser>
          <c:idx val="2"/>
          <c:order val="3"/>
          <c:tx>
            <c:strRef>
              <c:f>Reduktionsmålsætning!$C$106</c:f>
              <c:strCache>
                <c:ptCount val="1"/>
                <c:pt idx="0">
                  <c:v>Målsætning for scope 3</c:v>
                </c:pt>
              </c:strCache>
            </c:strRef>
          </c:tx>
          <c:spPr>
            <a:noFill/>
            <a:ln>
              <a:noFill/>
            </a:ln>
            <a:effectLst/>
          </c:spPr>
          <c:invertIfNegative val="0"/>
          <c:cat>
            <c:strRef>
              <c:f>Reduktionsmålsætning!$D$102:$V$102</c:f>
              <c:strCache>
                <c:ptCount val="17"/>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Mål 2030</c:v>
                </c:pt>
              </c:strCache>
            </c:strRef>
          </c:cat>
          <c:val>
            <c:numRef>
              <c:f>Reduktionsmålsætning!$D$106:$V$106</c:f>
              <c:numCache>
                <c:formatCode>General</c:formatCode>
                <c:ptCount val="19"/>
                <c:pt idx="17" formatCode="#,##0.00">
                  <c:v>1.8759999999999999</c:v>
                </c:pt>
              </c:numCache>
            </c:numRef>
          </c:val>
          <c:extLst>
            <c:ext xmlns:c16="http://schemas.microsoft.com/office/drawing/2014/chart" uri="{C3380CC4-5D6E-409C-BE32-E72D297353CC}">
              <c16:uniqueId val="{0000003D-BFF5-46FA-88B5-FAB9BD81E47D}"/>
            </c:ext>
          </c:extLst>
        </c:ser>
        <c:ser>
          <c:idx val="3"/>
          <c:order val="4"/>
          <c:tx>
            <c:strRef>
              <c:f>Reduktionsmålsætning!$C$107</c:f>
              <c:strCache>
                <c:ptCount val="1"/>
                <c:pt idx="0">
                  <c:v>(ikke relevant)</c:v>
                </c:pt>
              </c:strCache>
            </c:strRef>
          </c:tx>
          <c:spPr>
            <a:solidFill>
              <a:srgbClr val="74C476">
                <a:alpha val="60000"/>
              </a:srgbClr>
            </a:solidFill>
            <a:ln>
              <a:noFill/>
            </a:ln>
            <a:effectLst/>
          </c:spPr>
          <c:invertIfNegative val="0"/>
          <c:cat>
            <c:strRef>
              <c:f>Reduktionsmålsætning!$D$102:$V$102</c:f>
              <c:strCache>
                <c:ptCount val="17"/>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Mål 2030</c:v>
                </c:pt>
              </c:strCache>
            </c:strRef>
          </c:cat>
          <c:val>
            <c:numRef>
              <c:f>Reduktionsmålsætning!$D$107:$V$107</c:f>
              <c:numCache>
                <c:formatCode>#,##0.00</c:formatCode>
                <c:ptCount val="19"/>
                <c:pt idx="17">
                  <c:v>0</c:v>
                </c:pt>
              </c:numCache>
            </c:numRef>
          </c:val>
          <c:extLst>
            <c:ext xmlns:c16="http://schemas.microsoft.com/office/drawing/2014/chart" uri="{C3380CC4-5D6E-409C-BE32-E72D297353CC}">
              <c16:uniqueId val="{00000006-BFF5-46FA-88B5-FAB9BD81E47D}"/>
            </c:ext>
          </c:extLst>
        </c:ser>
        <c:ser>
          <c:idx val="4"/>
          <c:order val="5"/>
          <c:tx>
            <c:strRef>
              <c:f>Reduktionsmålsætning!$C$108</c:f>
              <c:strCache>
                <c:ptCount val="1"/>
                <c:pt idx="0">
                  <c:v>Forskel til målet</c:v>
                </c:pt>
              </c:strCache>
            </c:strRef>
          </c:tx>
          <c:spPr>
            <a:solidFill>
              <a:srgbClr val="FF0000">
                <a:alpha val="40000"/>
              </a:srgbClr>
            </a:solidFill>
            <a:ln>
              <a:noFill/>
            </a:ln>
            <a:effectLst/>
          </c:spPr>
          <c:invertIfNegative val="0"/>
          <c:cat>
            <c:strRef>
              <c:f>Reduktionsmålsætning!$D$102:$V$102</c:f>
              <c:strCache>
                <c:ptCount val="17"/>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Mål 2030</c:v>
                </c:pt>
              </c:strCache>
            </c:strRef>
          </c:cat>
          <c:val>
            <c:numRef>
              <c:f>Reduktionsmålsætning!$D$108:$V$108</c:f>
              <c:numCache>
                <c:formatCode>#,##0.00</c:formatCode>
                <c:ptCount val="19"/>
                <c:pt idx="17">
                  <c:v>1.4740000000000002</c:v>
                </c:pt>
              </c:numCache>
            </c:numRef>
          </c:val>
          <c:extLst>
            <c:ext xmlns:c16="http://schemas.microsoft.com/office/drawing/2014/chart" uri="{C3380CC4-5D6E-409C-BE32-E72D297353CC}">
              <c16:uniqueId val="{0000003E-BFF5-46FA-88B5-FAB9BD81E47D}"/>
            </c:ext>
          </c:extLst>
        </c:ser>
        <c:ser>
          <c:idx val="5"/>
          <c:order val="6"/>
          <c:tx>
            <c:strRef>
              <c:f>Reduktionsmålsætning!$C$109</c:f>
              <c:strCache>
                <c:ptCount val="1"/>
                <c:pt idx="0">
                  <c:v>Målsætning (%)</c:v>
                </c:pt>
              </c:strCache>
            </c:strRef>
          </c:tx>
          <c:spPr>
            <a:noFill/>
            <a:ln>
              <a:noFill/>
            </a:ln>
            <a:effectLst/>
          </c:spPr>
          <c:invertIfNegative val="0"/>
          <c:dPt>
            <c:idx val="18"/>
            <c:invertIfNegative val="0"/>
            <c:bubble3D val="0"/>
            <c:spPr>
              <a:noFill/>
              <a:ln>
                <a:noFill/>
              </a:ln>
              <a:effectLst/>
            </c:spPr>
            <c:extLst>
              <c:ext xmlns:c16="http://schemas.microsoft.com/office/drawing/2014/chart" uri="{C3380CC4-5D6E-409C-BE32-E72D297353CC}">
                <c16:uniqueId val="{00000044-BFF5-46FA-88B5-FAB9BD81E47D}"/>
              </c:ext>
            </c:extLst>
          </c:dPt>
          <c:cat>
            <c:strRef>
              <c:f>Reduktionsmålsætning!$D$102:$V$102</c:f>
              <c:strCache>
                <c:ptCount val="17"/>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Mål 2030</c:v>
                </c:pt>
              </c:strCache>
            </c:strRef>
          </c:cat>
          <c:val>
            <c:numRef>
              <c:f>Reduktionsmålsætning!$D$109:$V$109</c:f>
              <c:numCache>
                <c:formatCode>General</c:formatCode>
                <c:ptCount val="19"/>
                <c:pt idx="18" formatCode="0.00">
                  <c:v>1.8759999999999999</c:v>
                </c:pt>
              </c:numCache>
            </c:numRef>
          </c:val>
          <c:extLst>
            <c:ext xmlns:c16="http://schemas.microsoft.com/office/drawing/2014/chart" uri="{C3380CC4-5D6E-409C-BE32-E72D297353CC}">
              <c16:uniqueId val="{0000003F-BFF5-46FA-88B5-FAB9BD81E47D}"/>
            </c:ext>
          </c:extLst>
        </c:ser>
        <c:ser>
          <c:idx val="6"/>
          <c:order val="7"/>
          <c:tx>
            <c:strRef>
              <c:f>Reduktionsmålsætning!$C$110</c:f>
              <c:strCache>
                <c:ptCount val="1"/>
              </c:strCache>
            </c:strRef>
          </c:tx>
          <c:spPr>
            <a:noFill/>
            <a:ln>
              <a:noFill/>
            </a:ln>
            <a:effectLst/>
          </c:spPr>
          <c:invertIfNegative val="0"/>
          <c:dPt>
            <c:idx val="18"/>
            <c:invertIfNegative val="0"/>
            <c:bubble3D val="0"/>
            <c:spPr>
              <a:noFill/>
              <a:ln>
                <a:noFill/>
              </a:ln>
              <a:effectLst/>
            </c:spPr>
            <c:extLst>
              <c:ext xmlns:c16="http://schemas.microsoft.com/office/drawing/2014/chart" uri="{C3380CC4-5D6E-409C-BE32-E72D297353CC}">
                <c16:uniqueId val="{00000058-BFF5-46FA-88B5-FAB9BD81E47D}"/>
              </c:ext>
            </c:extLst>
          </c:dPt>
          <c:dLbls>
            <c:dLbl>
              <c:idx val="0"/>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8AC3-4BC6-BFC8-5D3FC4DEA3AB}"/>
                </c:ext>
              </c:extLst>
            </c:dLbl>
            <c:dLbl>
              <c:idx val="1"/>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8AC3-4BC6-BFC8-5D3FC4DEA3AB}"/>
                </c:ext>
              </c:extLst>
            </c:dLbl>
            <c:dLbl>
              <c:idx val="2"/>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8AC3-4BC6-BFC8-5D3FC4DEA3AB}"/>
                </c:ext>
              </c:extLst>
            </c:dLbl>
            <c:dLbl>
              <c:idx val="3"/>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8AC3-4BC6-BFC8-5D3FC4DEA3AB}"/>
                </c:ext>
              </c:extLst>
            </c:dLbl>
            <c:dLbl>
              <c:idx val="4"/>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8AC3-4BC6-BFC8-5D3FC4DEA3AB}"/>
                </c:ext>
              </c:extLst>
            </c:dLbl>
            <c:dLbl>
              <c:idx val="5"/>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8AC3-4BC6-BFC8-5D3FC4DEA3AB}"/>
                </c:ext>
              </c:extLst>
            </c:dLbl>
            <c:dLbl>
              <c:idx val="6"/>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8AC3-4BC6-BFC8-5D3FC4DEA3AB}"/>
                </c:ext>
              </c:extLst>
            </c:dLbl>
            <c:dLbl>
              <c:idx val="7"/>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8AC3-4BC6-BFC8-5D3FC4DEA3AB}"/>
                </c:ext>
              </c:extLst>
            </c:dLbl>
            <c:dLbl>
              <c:idx val="8"/>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8AC3-4BC6-BFC8-5D3FC4DEA3AB}"/>
                </c:ext>
              </c:extLst>
            </c:dLbl>
            <c:dLbl>
              <c:idx val="9"/>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8AC3-4BC6-BFC8-5D3FC4DEA3AB}"/>
                </c:ext>
              </c:extLst>
            </c:dLbl>
            <c:dLbl>
              <c:idx val="10"/>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8AC3-4BC6-BFC8-5D3FC4DEA3AB}"/>
                </c:ext>
              </c:extLst>
            </c:dLbl>
            <c:dLbl>
              <c:idx val="11"/>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8AC3-4BC6-BFC8-5D3FC4DEA3AB}"/>
                </c:ext>
              </c:extLst>
            </c:dLbl>
            <c:dLbl>
              <c:idx val="12"/>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8AC3-4BC6-BFC8-5D3FC4DEA3AB}"/>
                </c:ext>
              </c:extLst>
            </c:dLbl>
            <c:dLbl>
              <c:idx val="13"/>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8AC3-4BC6-BFC8-5D3FC4DEA3AB}"/>
                </c:ext>
              </c:extLst>
            </c:dLbl>
            <c:dLbl>
              <c:idx val="14"/>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8AC3-4BC6-BFC8-5D3FC4DEA3AB}"/>
                </c:ext>
              </c:extLst>
            </c:dLbl>
            <c:dLbl>
              <c:idx val="15"/>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8AC3-4BC6-BFC8-5D3FC4DEA3AB}"/>
                </c:ext>
              </c:extLst>
            </c:dLbl>
            <c:dLbl>
              <c:idx val="16"/>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8AC3-4BC6-BFC8-5D3FC4DEA3AB}"/>
                </c:ext>
              </c:extLst>
            </c:dLbl>
            <c:dLbl>
              <c:idx val="17"/>
              <c:tx>
                <c:rich>
                  <a:bodyPr/>
                  <a:lstStyle/>
                  <a:p>
                    <a:endParaRPr lang="en-GB"/>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8AC3-4BC6-BFC8-5D3FC4DEA3AB}"/>
                </c:ext>
              </c:extLst>
            </c:dLbl>
            <c:dLbl>
              <c:idx val="18"/>
              <c:tx>
                <c:rich>
                  <a:bodyPr/>
                  <a:lstStyle/>
                  <a:p>
                    <a:fld id="{23D8C831-55BC-1541-BB72-208B6742F23B}"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8-BFF5-46FA-88B5-FAB9BD81E47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a-DK"/>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Reduktionsmålsætning!$D$102:$V$102</c:f>
              <c:strCache>
                <c:ptCount val="17"/>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Mål 2030</c:v>
                </c:pt>
              </c:strCache>
            </c:strRef>
          </c:cat>
          <c:val>
            <c:numRef>
              <c:f>Reduktionsmålsætning!$D$110:$V$110</c:f>
              <c:numCache>
                <c:formatCode>General</c:formatCode>
                <c:ptCount val="19"/>
                <c:pt idx="18" formatCode="0.00">
                  <c:v>0</c:v>
                </c:pt>
              </c:numCache>
            </c:numRef>
          </c:val>
          <c:extLst>
            <c:ext xmlns:c15="http://schemas.microsoft.com/office/drawing/2012/chart" uri="{02D57815-91ED-43cb-92C2-25804820EDAC}">
              <c15:datalabelsRange>
                <c15:f>Reduktionsmålsætning!$D$112:$V$112</c15:f>
                <c15:dlblRangeCache>
                  <c:ptCount val="19"/>
                </c15:dlblRangeCache>
              </c15:datalabelsRange>
            </c:ext>
            <c:ext xmlns:c16="http://schemas.microsoft.com/office/drawing/2014/chart" uri="{C3380CC4-5D6E-409C-BE32-E72D297353CC}">
              <c16:uniqueId val="{00000040-BFF5-46FA-88B5-FAB9BD81E47D}"/>
            </c:ext>
          </c:extLst>
        </c:ser>
        <c:ser>
          <c:idx val="7"/>
          <c:order val="8"/>
          <c:tx>
            <c:strRef>
              <c:f>Reduktionsmålsætning!$C$111</c:f>
              <c:strCache>
                <c:ptCount val="1"/>
                <c:pt idx="0">
                  <c:v>Manglende reduction</c:v>
                </c:pt>
              </c:strCache>
            </c:strRef>
          </c:tx>
          <c:spPr>
            <a:noFill/>
            <a:ln>
              <a:noFill/>
            </a:ln>
            <a:effectLst/>
          </c:spPr>
          <c:invertIfNegative val="0"/>
          <c:dPt>
            <c:idx val="18"/>
            <c:invertIfNegative val="0"/>
            <c:bubble3D val="0"/>
            <c:spPr>
              <a:noFill/>
              <a:ln>
                <a:noFill/>
              </a:ln>
              <a:effectLst/>
            </c:spPr>
            <c:extLst>
              <c:ext xmlns:c16="http://schemas.microsoft.com/office/drawing/2014/chart" uri="{C3380CC4-5D6E-409C-BE32-E72D297353CC}">
                <c16:uniqueId val="{00000043-BFF5-46FA-88B5-FAB9BD81E47D}"/>
              </c:ext>
            </c:extLst>
          </c:dPt>
          <c:dLbls>
            <c:dLbl>
              <c:idx val="0"/>
              <c:tx>
                <c:rich>
                  <a:bodyPr/>
                  <a:lstStyle/>
                  <a:p>
                    <a:endParaRPr lang="en-GB"/>
                  </a:p>
                </c:rich>
              </c:tx>
              <c:dLblPos val="ctr"/>
              <c:showLegendKey val="0"/>
              <c:showVal val="0"/>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46-BFF5-46FA-88B5-FAB9BD81E47D}"/>
                </c:ext>
              </c:extLst>
            </c:dLbl>
            <c:dLbl>
              <c:idx val="1"/>
              <c:tx>
                <c:rich>
                  <a:bodyPr/>
                  <a:lstStyle/>
                  <a:p>
                    <a:endParaRPr lang="en-GB"/>
                  </a:p>
                </c:rich>
              </c:tx>
              <c:dLblPos val="ctr"/>
              <c:showLegendKey val="0"/>
              <c:showVal val="0"/>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47-BFF5-46FA-88B5-FAB9BD81E47D}"/>
                </c:ext>
              </c:extLst>
            </c:dLbl>
            <c:dLbl>
              <c:idx val="2"/>
              <c:tx>
                <c:rich>
                  <a:bodyPr/>
                  <a:lstStyle/>
                  <a:p>
                    <a:endParaRPr lang="en-GB"/>
                  </a:p>
                </c:rich>
              </c:tx>
              <c:dLblPos val="ctr"/>
              <c:showLegendKey val="0"/>
              <c:showVal val="0"/>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48-BFF5-46FA-88B5-FAB9BD81E47D}"/>
                </c:ext>
              </c:extLst>
            </c:dLbl>
            <c:dLbl>
              <c:idx val="3"/>
              <c:tx>
                <c:rich>
                  <a:bodyPr/>
                  <a:lstStyle/>
                  <a:p>
                    <a:endParaRPr lang="en-GB"/>
                  </a:p>
                </c:rich>
              </c:tx>
              <c:dLblPos val="ctr"/>
              <c:showLegendKey val="0"/>
              <c:showVal val="0"/>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49-BFF5-46FA-88B5-FAB9BD81E47D}"/>
                </c:ext>
              </c:extLst>
            </c:dLbl>
            <c:dLbl>
              <c:idx val="4"/>
              <c:tx>
                <c:rich>
                  <a:bodyPr/>
                  <a:lstStyle/>
                  <a:p>
                    <a:endParaRPr lang="en-GB"/>
                  </a:p>
                </c:rich>
              </c:tx>
              <c:dLblPos val="ctr"/>
              <c:showLegendKey val="0"/>
              <c:showVal val="0"/>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4A-BFF5-46FA-88B5-FAB9BD81E47D}"/>
                </c:ext>
              </c:extLst>
            </c:dLbl>
            <c:dLbl>
              <c:idx val="5"/>
              <c:tx>
                <c:rich>
                  <a:bodyPr/>
                  <a:lstStyle/>
                  <a:p>
                    <a:endParaRPr lang="en-GB"/>
                  </a:p>
                </c:rich>
              </c:tx>
              <c:dLblPos val="ctr"/>
              <c:showLegendKey val="0"/>
              <c:showVal val="0"/>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4B-BFF5-46FA-88B5-FAB9BD81E47D}"/>
                </c:ext>
              </c:extLst>
            </c:dLbl>
            <c:dLbl>
              <c:idx val="6"/>
              <c:tx>
                <c:rich>
                  <a:bodyPr/>
                  <a:lstStyle/>
                  <a:p>
                    <a:endParaRPr lang="en-GB"/>
                  </a:p>
                </c:rich>
              </c:tx>
              <c:dLblPos val="ctr"/>
              <c:showLegendKey val="0"/>
              <c:showVal val="0"/>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4C-BFF5-46FA-88B5-FAB9BD81E47D}"/>
                </c:ext>
              </c:extLst>
            </c:dLbl>
            <c:dLbl>
              <c:idx val="7"/>
              <c:tx>
                <c:rich>
                  <a:bodyPr/>
                  <a:lstStyle/>
                  <a:p>
                    <a:endParaRPr lang="en-GB"/>
                  </a:p>
                </c:rich>
              </c:tx>
              <c:dLblPos val="ctr"/>
              <c:showLegendKey val="0"/>
              <c:showVal val="0"/>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4D-BFF5-46FA-88B5-FAB9BD81E47D}"/>
                </c:ext>
              </c:extLst>
            </c:dLbl>
            <c:dLbl>
              <c:idx val="8"/>
              <c:tx>
                <c:rich>
                  <a:bodyPr/>
                  <a:lstStyle/>
                  <a:p>
                    <a:endParaRPr lang="en-GB"/>
                  </a:p>
                </c:rich>
              </c:tx>
              <c:dLblPos val="ctr"/>
              <c:showLegendKey val="0"/>
              <c:showVal val="0"/>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4E-BFF5-46FA-88B5-FAB9BD81E47D}"/>
                </c:ext>
              </c:extLst>
            </c:dLbl>
            <c:dLbl>
              <c:idx val="9"/>
              <c:tx>
                <c:rich>
                  <a:bodyPr/>
                  <a:lstStyle/>
                  <a:p>
                    <a:endParaRPr lang="en-GB"/>
                  </a:p>
                </c:rich>
              </c:tx>
              <c:dLblPos val="ctr"/>
              <c:showLegendKey val="0"/>
              <c:showVal val="0"/>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4F-BFF5-46FA-88B5-FAB9BD81E47D}"/>
                </c:ext>
              </c:extLst>
            </c:dLbl>
            <c:dLbl>
              <c:idx val="10"/>
              <c:tx>
                <c:rich>
                  <a:bodyPr/>
                  <a:lstStyle/>
                  <a:p>
                    <a:endParaRPr lang="en-GB"/>
                  </a:p>
                </c:rich>
              </c:tx>
              <c:dLblPos val="ctr"/>
              <c:showLegendKey val="0"/>
              <c:showVal val="0"/>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50-BFF5-46FA-88B5-FAB9BD81E47D}"/>
                </c:ext>
              </c:extLst>
            </c:dLbl>
            <c:dLbl>
              <c:idx val="11"/>
              <c:tx>
                <c:rich>
                  <a:bodyPr/>
                  <a:lstStyle/>
                  <a:p>
                    <a:endParaRPr lang="en-GB"/>
                  </a:p>
                </c:rich>
              </c:tx>
              <c:dLblPos val="ctr"/>
              <c:showLegendKey val="0"/>
              <c:showVal val="0"/>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51-BFF5-46FA-88B5-FAB9BD81E47D}"/>
                </c:ext>
              </c:extLst>
            </c:dLbl>
            <c:dLbl>
              <c:idx val="12"/>
              <c:tx>
                <c:rich>
                  <a:bodyPr/>
                  <a:lstStyle/>
                  <a:p>
                    <a:endParaRPr lang="en-GB"/>
                  </a:p>
                </c:rich>
              </c:tx>
              <c:dLblPos val="ctr"/>
              <c:showLegendKey val="0"/>
              <c:showVal val="0"/>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52-BFF5-46FA-88B5-FAB9BD81E47D}"/>
                </c:ext>
              </c:extLst>
            </c:dLbl>
            <c:dLbl>
              <c:idx val="13"/>
              <c:tx>
                <c:rich>
                  <a:bodyPr/>
                  <a:lstStyle/>
                  <a:p>
                    <a:endParaRPr lang="en-GB"/>
                  </a:p>
                </c:rich>
              </c:tx>
              <c:dLblPos val="ctr"/>
              <c:showLegendKey val="0"/>
              <c:showVal val="0"/>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53-BFF5-46FA-88B5-FAB9BD81E47D}"/>
                </c:ext>
              </c:extLst>
            </c:dLbl>
            <c:dLbl>
              <c:idx val="14"/>
              <c:tx>
                <c:rich>
                  <a:bodyPr/>
                  <a:lstStyle/>
                  <a:p>
                    <a:endParaRPr lang="en-GB"/>
                  </a:p>
                </c:rich>
              </c:tx>
              <c:dLblPos val="ctr"/>
              <c:showLegendKey val="0"/>
              <c:showVal val="0"/>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54-BFF5-46FA-88B5-FAB9BD81E47D}"/>
                </c:ext>
              </c:extLst>
            </c:dLbl>
            <c:dLbl>
              <c:idx val="15"/>
              <c:tx>
                <c:rich>
                  <a:bodyPr/>
                  <a:lstStyle/>
                  <a:p>
                    <a:endParaRPr lang="en-GB"/>
                  </a:p>
                </c:rich>
              </c:tx>
              <c:dLblPos val="ctr"/>
              <c:showLegendKey val="0"/>
              <c:showVal val="0"/>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55-BFF5-46FA-88B5-FAB9BD81E47D}"/>
                </c:ext>
              </c:extLst>
            </c:dLbl>
            <c:dLbl>
              <c:idx val="16"/>
              <c:tx>
                <c:rich>
                  <a:bodyPr/>
                  <a:lstStyle/>
                  <a:p>
                    <a:endParaRPr lang="en-GB"/>
                  </a:p>
                </c:rich>
              </c:tx>
              <c:dLblPos val="ctr"/>
              <c:showLegendKey val="0"/>
              <c:showVal val="0"/>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56-BFF5-46FA-88B5-FAB9BD81E47D}"/>
                </c:ext>
              </c:extLst>
            </c:dLbl>
            <c:dLbl>
              <c:idx val="17"/>
              <c:tx>
                <c:rich>
                  <a:bodyPr/>
                  <a:lstStyle/>
                  <a:p>
                    <a:endParaRPr lang="en-GB"/>
                  </a:p>
                </c:rich>
              </c:tx>
              <c:dLblPos val="ctr"/>
              <c:showLegendKey val="0"/>
              <c:showVal val="0"/>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57-BFF5-46FA-88B5-FAB9BD81E47D}"/>
                </c:ext>
              </c:extLst>
            </c:dLbl>
            <c:dLbl>
              <c:idx val="18"/>
              <c:tx>
                <c:rich>
                  <a:bodyPr/>
                  <a:lstStyle/>
                  <a:p>
                    <a:fld id="{F50A1AE3-FE3E-A14F-B7A4-1DDE9890A496}" type="CELLRANGE">
                      <a:rPr lang="en-GB"/>
                      <a:pPr/>
                      <a:t>[CELLRANGE]</a:t>
                    </a:fld>
                    <a:endParaRPr lang="en-GB"/>
                  </a:p>
                </c:rich>
              </c:tx>
              <c:dLblPos val="ctr"/>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3-BFF5-46FA-88B5-FAB9BD81E47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da-DK"/>
              </a:p>
            </c:txPr>
            <c:dLblPos val="ctr"/>
            <c:showLegendKey val="0"/>
            <c:showVal val="0"/>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15:showDataLabelsRange val="1"/>
                <c15:showLeaderLines val="0"/>
              </c:ext>
            </c:extLst>
          </c:dLbls>
          <c:cat>
            <c:strRef>
              <c:f>Reduktionsmålsætning!$D$102:$V$102</c:f>
              <c:strCache>
                <c:ptCount val="17"/>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Mål 2030</c:v>
                </c:pt>
              </c:strCache>
            </c:strRef>
          </c:cat>
          <c:val>
            <c:numRef>
              <c:f>Reduktionsmålsætning!$D$111:$V$111</c:f>
              <c:numCache>
                <c:formatCode>General</c:formatCode>
                <c:ptCount val="19"/>
                <c:pt idx="18" formatCode="0.00">
                  <c:v>1.4740000000000002</c:v>
                </c:pt>
              </c:numCache>
            </c:numRef>
          </c:val>
          <c:extLst>
            <c:ext xmlns:c15="http://schemas.microsoft.com/office/drawing/2012/chart" uri="{02D57815-91ED-43cb-92C2-25804820EDAC}">
              <c15:datalabelsRange>
                <c15:f>Reduktionsmålsætning!$D$113:$V$113</c15:f>
                <c15:dlblRangeCache>
                  <c:ptCount val="19"/>
                  <c:pt idx="18">
                    <c:v>44,00%</c:v>
                  </c:pt>
                </c15:dlblRangeCache>
              </c15:datalabelsRange>
            </c:ext>
            <c:ext xmlns:c16="http://schemas.microsoft.com/office/drawing/2014/chart" uri="{C3380CC4-5D6E-409C-BE32-E72D297353CC}">
              <c16:uniqueId val="{00000041-BFF5-46FA-88B5-FAB9BD81E47D}"/>
            </c:ext>
          </c:extLst>
        </c:ser>
        <c:ser>
          <c:idx val="8"/>
          <c:order val="9"/>
          <c:tx>
            <c:strRef>
              <c:f>Reduktionsmålsætning!$C$113</c:f>
              <c:strCache>
                <c:ptCount val="1"/>
                <c:pt idx="0">
                  <c:v>Etikets værdi for scope 3 (stigning)</c:v>
                </c:pt>
              </c:strCache>
            </c:strRef>
          </c:tx>
          <c:spPr>
            <a:noFill/>
            <a:ln>
              <a:noFill/>
            </a:ln>
            <a:effectLst/>
          </c:spPr>
          <c:invertIfNegative val="0"/>
          <c:dPt>
            <c:idx val="18"/>
            <c:invertIfNegative val="0"/>
            <c:bubble3D val="0"/>
            <c:spPr>
              <a:noFill/>
              <a:ln>
                <a:noFill/>
              </a:ln>
              <a:effectLst/>
            </c:spPr>
            <c:extLst>
              <c:ext xmlns:c16="http://schemas.microsoft.com/office/drawing/2014/chart" uri="{C3380CC4-5D6E-409C-BE32-E72D297353CC}">
                <c16:uniqueId val="{00000045-BFF5-46FA-88B5-FAB9BD81E47D}"/>
              </c:ext>
            </c:extLst>
          </c:dPt>
          <c:cat>
            <c:strRef>
              <c:f>Reduktionsmålsætning!$D$102:$V$102</c:f>
              <c:strCache>
                <c:ptCount val="17"/>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Mål 2030</c:v>
                </c:pt>
              </c:strCache>
            </c:strRef>
          </c:cat>
          <c:val>
            <c:numRef>
              <c:f>Reduktionsmålsætning!$D$113:$V$113</c:f>
              <c:numCache>
                <c:formatCode>General</c:formatCode>
                <c:ptCount val="19"/>
                <c:pt idx="18" formatCode="0.00%">
                  <c:v>0.44000000000000006</c:v>
                </c:pt>
              </c:numCache>
            </c:numRef>
          </c:val>
          <c:extLst>
            <c:ext xmlns:c16="http://schemas.microsoft.com/office/drawing/2014/chart" uri="{C3380CC4-5D6E-409C-BE32-E72D297353CC}">
              <c16:uniqueId val="{00000042-BFF5-46FA-88B5-FAB9BD81E47D}"/>
            </c:ext>
          </c:extLst>
        </c:ser>
        <c:dLbls>
          <c:showLegendKey val="0"/>
          <c:showVal val="0"/>
          <c:showCatName val="0"/>
          <c:showSerName val="0"/>
          <c:showPercent val="0"/>
          <c:showBubbleSize val="0"/>
        </c:dLbls>
        <c:gapWidth val="150"/>
        <c:overlap val="100"/>
        <c:axId val="80421120"/>
        <c:axId val="1763787488"/>
        <c:extLst/>
      </c:barChart>
      <c:catAx>
        <c:axId val="80421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763787488"/>
        <c:crosses val="autoZero"/>
        <c:auto val="1"/>
        <c:lblAlgn val="ctr"/>
        <c:lblOffset val="100"/>
        <c:noMultiLvlLbl val="0"/>
      </c:catAx>
      <c:valAx>
        <c:axId val="1763787488"/>
        <c:scaling>
          <c:orientation val="minMax"/>
        </c:scaling>
        <c:delete val="0"/>
        <c:axPos val="l"/>
        <c:majorGridlines>
          <c:spPr>
            <a:ln w="9525" cap="flat" cmpd="sng" algn="ctr">
              <a:solidFill>
                <a:schemeClr val="tx1">
                  <a:lumMod val="15000"/>
                  <a:lumOff val="85000"/>
                </a:schemeClr>
              </a:solidFill>
              <a:round/>
            </a:ln>
            <a:effectLst/>
          </c:spPr>
        </c:majorGridlines>
        <c:title>
          <c:tx>
            <c:strRef>
              <c:f>Tekstnøgler!$C$582</c:f>
              <c:strCache>
                <c:ptCount val="1"/>
                <c:pt idx="0">
                  <c:v>ton CO₂e</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a-DK"/>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80421120"/>
        <c:crosses val="autoZero"/>
        <c:crossBetween val="between"/>
      </c:valAx>
      <c:spPr>
        <a:noFill/>
        <a:ln>
          <a:noFill/>
        </a:ln>
        <a:effectLst/>
      </c:spPr>
    </c:plotArea>
    <c:legend>
      <c:legendPos val="b"/>
      <c:legendEntry>
        <c:idx val="3"/>
        <c:delete val="1"/>
      </c:legendEntry>
      <c:legendEntry>
        <c:idx val="6"/>
        <c:delete val="1"/>
      </c:legendEntry>
      <c:legendEntry>
        <c:idx val="7"/>
        <c:delete val="1"/>
      </c:legendEntry>
      <c:legendEntry>
        <c:idx val="8"/>
        <c:delete val="1"/>
      </c:legendEntry>
      <c:legendEntry>
        <c:idx val="9"/>
        <c:delete val="1"/>
      </c:legendEntry>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da-DK"/>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1</xdr:col>
      <xdr:colOff>93345</xdr:colOff>
      <xdr:row>36</xdr:row>
      <xdr:rowOff>24765</xdr:rowOff>
    </xdr:from>
    <xdr:to>
      <xdr:col>5</xdr:col>
      <xdr:colOff>1289685</xdr:colOff>
      <xdr:row>55</xdr:row>
      <xdr:rowOff>121920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28575</xdr:colOff>
      <xdr:row>36</xdr:row>
      <xdr:rowOff>34290</xdr:rowOff>
    </xdr:from>
    <xdr:to>
      <xdr:col>10</xdr:col>
      <xdr:colOff>0</xdr:colOff>
      <xdr:row>55</xdr:row>
      <xdr:rowOff>131445</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120015</xdr:colOff>
      <xdr:row>57</xdr:row>
      <xdr:rowOff>26670</xdr:rowOff>
    </xdr:from>
    <xdr:to>
      <xdr:col>5</xdr:col>
      <xdr:colOff>1316355</xdr:colOff>
      <xdr:row>76</xdr:row>
      <xdr:rowOff>133350</xdr:rowOff>
    </xdr:to>
    <xdr:graphicFrame macro="">
      <xdr:nvGraphicFramePr>
        <xdr:cNvPr id="10" name="Chart 9">
          <a:extLst>
            <a:ext uri="{FF2B5EF4-FFF2-40B4-BE49-F238E27FC236}">
              <a16:creationId xmlns:a16="http://schemas.microsoft.com/office/drawing/2014/main" id="{00000000-0008-0000-02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8466</xdr:colOff>
      <xdr:row>31</xdr:row>
      <xdr:rowOff>50800</xdr:rowOff>
    </xdr:from>
    <xdr:to>
      <xdr:col>6</xdr:col>
      <xdr:colOff>227753</xdr:colOff>
      <xdr:row>48</xdr:row>
      <xdr:rowOff>127000</xdr:rowOff>
    </xdr:to>
    <xdr:graphicFrame macro="">
      <xdr:nvGraphicFramePr>
        <xdr:cNvPr id="4" name="Chart 3">
          <a:extLst>
            <a:ext uri="{FF2B5EF4-FFF2-40B4-BE49-F238E27FC236}">
              <a16:creationId xmlns:a16="http://schemas.microsoft.com/office/drawing/2014/main" id="{00000000-0008-0000-04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35983</xdr:colOff>
      <xdr:row>31</xdr:row>
      <xdr:rowOff>29634</xdr:rowOff>
    </xdr:from>
    <xdr:to>
      <xdr:col>12</xdr:col>
      <xdr:colOff>603250</xdr:colOff>
      <xdr:row>48</xdr:row>
      <xdr:rowOff>127000</xdr:rowOff>
    </xdr:to>
    <xdr:graphicFrame macro="">
      <xdr:nvGraphicFramePr>
        <xdr:cNvPr id="5" name="Chart 4">
          <a:extLst>
            <a:ext uri="{FF2B5EF4-FFF2-40B4-BE49-F238E27FC236}">
              <a16:creationId xmlns:a16="http://schemas.microsoft.com/office/drawing/2014/main" id="{00000000-0008-0000-04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161924</xdr:colOff>
      <xdr:row>42</xdr:row>
      <xdr:rowOff>71437</xdr:rowOff>
    </xdr:from>
    <xdr:to>
      <xdr:col>5</xdr:col>
      <xdr:colOff>0</xdr:colOff>
      <xdr:row>67</xdr:row>
      <xdr:rowOff>171450</xdr:rowOff>
    </xdr:to>
    <xdr:graphicFrame macro="">
      <xdr:nvGraphicFramePr>
        <xdr:cNvPr id="3" name="Diagram 2">
          <a:extLst>
            <a:ext uri="{FF2B5EF4-FFF2-40B4-BE49-F238E27FC236}">
              <a16:creationId xmlns:a16="http://schemas.microsoft.com/office/drawing/2014/main" id="{16CE8EB0-227E-9872-5453-89CFCF8255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16818</xdr:colOff>
      <xdr:row>21</xdr:row>
      <xdr:rowOff>52732</xdr:rowOff>
    </xdr:from>
    <xdr:to>
      <xdr:col>8</xdr:col>
      <xdr:colOff>1041400</xdr:colOff>
      <xdr:row>36</xdr:row>
      <xdr:rowOff>80440</xdr:rowOff>
    </xdr:to>
    <xdr:graphicFrame macro="">
      <xdr:nvGraphicFramePr>
        <xdr:cNvPr id="6" name="Diagram 5">
          <a:extLst>
            <a:ext uri="{FF2B5EF4-FFF2-40B4-BE49-F238E27FC236}">
              <a16:creationId xmlns:a16="http://schemas.microsoft.com/office/drawing/2014/main" id="{4604BD88-6DC4-9501-CAAD-10AF9935DD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29158</xdr:colOff>
      <xdr:row>98</xdr:row>
      <xdr:rowOff>106913</xdr:rowOff>
    </xdr:from>
    <xdr:to>
      <xdr:col>4</xdr:col>
      <xdr:colOff>1403067</xdr:colOff>
      <xdr:row>115</xdr:row>
      <xdr:rowOff>98702</xdr:rowOff>
    </xdr:to>
    <xdr:graphicFrame macro="">
      <xdr:nvGraphicFramePr>
        <xdr:cNvPr id="3" name="Diagram 2">
          <a:extLst>
            <a:ext uri="{FF2B5EF4-FFF2-40B4-BE49-F238E27FC236}">
              <a16:creationId xmlns:a16="http://schemas.microsoft.com/office/drawing/2014/main" id="{1BD4E518-D0EC-4567-9FC2-C45A2DB60E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19050</xdr:colOff>
      <xdr:row>77</xdr:row>
      <xdr:rowOff>76200</xdr:rowOff>
    </xdr:from>
    <xdr:to>
      <xdr:col>6</xdr:col>
      <xdr:colOff>1590675</xdr:colOff>
      <xdr:row>96</xdr:row>
      <xdr:rowOff>46264</xdr:rowOff>
    </xdr:to>
    <xdr:graphicFrame macro="">
      <xdr:nvGraphicFramePr>
        <xdr:cNvPr id="6" name="Diagram 5">
          <a:extLst>
            <a:ext uri="{FF2B5EF4-FFF2-40B4-BE49-F238E27FC236}">
              <a16:creationId xmlns:a16="http://schemas.microsoft.com/office/drawing/2014/main" id="{D18B391F-C42C-455E-A72A-37395C051C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1701800</xdr:colOff>
      <xdr:row>98</xdr:row>
      <xdr:rowOff>123825</xdr:rowOff>
    </xdr:from>
    <xdr:to>
      <xdr:col>6</xdr:col>
      <xdr:colOff>1828800</xdr:colOff>
      <xdr:row>115</xdr:row>
      <xdr:rowOff>112979</xdr:rowOff>
    </xdr:to>
    <xdr:graphicFrame macro="">
      <xdr:nvGraphicFramePr>
        <xdr:cNvPr id="7" name="Diagram 6">
          <a:extLst>
            <a:ext uri="{FF2B5EF4-FFF2-40B4-BE49-F238E27FC236}">
              <a16:creationId xmlns:a16="http://schemas.microsoft.com/office/drawing/2014/main" id="{81169210-983F-42FE-8B5F-88CFC4D4CC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19049</xdr:colOff>
      <xdr:row>118</xdr:row>
      <xdr:rowOff>95250</xdr:rowOff>
    </xdr:from>
    <xdr:to>
      <xdr:col>4</xdr:col>
      <xdr:colOff>523875</xdr:colOff>
      <xdr:row>135</xdr:row>
      <xdr:rowOff>112979</xdr:rowOff>
    </xdr:to>
    <xdr:graphicFrame macro="">
      <xdr:nvGraphicFramePr>
        <xdr:cNvPr id="2" name="Diagram 1">
          <a:extLst>
            <a:ext uri="{FF2B5EF4-FFF2-40B4-BE49-F238E27FC236}">
              <a16:creationId xmlns:a16="http://schemas.microsoft.com/office/drawing/2014/main" id="{21356BE1-FF7D-4082-B8C3-789311D993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19050</xdr:colOff>
      <xdr:row>118</xdr:row>
      <xdr:rowOff>63500</xdr:rowOff>
    </xdr:from>
    <xdr:to>
      <xdr:col>7</xdr:col>
      <xdr:colOff>266700</xdr:colOff>
      <xdr:row>135</xdr:row>
      <xdr:rowOff>87579</xdr:rowOff>
    </xdr:to>
    <xdr:graphicFrame macro="">
      <xdr:nvGraphicFramePr>
        <xdr:cNvPr id="4" name="Diagram 3">
          <a:extLst>
            <a:ext uri="{FF2B5EF4-FFF2-40B4-BE49-F238E27FC236}">
              <a16:creationId xmlns:a16="http://schemas.microsoft.com/office/drawing/2014/main" id="{681F933A-7BC9-4A7F-868A-6B85E32332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24319</xdr:colOff>
      <xdr:row>135</xdr:row>
      <xdr:rowOff>53772</xdr:rowOff>
    </xdr:from>
    <xdr:to>
      <xdr:col>5</xdr:col>
      <xdr:colOff>664723</xdr:colOff>
      <xdr:row>152</xdr:row>
      <xdr:rowOff>40802</xdr:rowOff>
    </xdr:to>
    <xdr:graphicFrame macro="">
      <xdr:nvGraphicFramePr>
        <xdr:cNvPr id="21" name="Diagram 20">
          <a:extLst>
            <a:ext uri="{FF2B5EF4-FFF2-40B4-BE49-F238E27FC236}">
              <a16:creationId xmlns:a16="http://schemas.microsoft.com/office/drawing/2014/main" id="{26AED28B-CA69-128D-C427-F4DAC1E50A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10809</xdr:colOff>
      <xdr:row>135</xdr:row>
      <xdr:rowOff>53772</xdr:rowOff>
    </xdr:from>
    <xdr:to>
      <xdr:col>12</xdr:col>
      <xdr:colOff>70256</xdr:colOff>
      <xdr:row>152</xdr:row>
      <xdr:rowOff>40802</xdr:rowOff>
    </xdr:to>
    <xdr:graphicFrame macro="">
      <xdr:nvGraphicFramePr>
        <xdr:cNvPr id="22" name="Diagram 21">
          <a:extLst>
            <a:ext uri="{FF2B5EF4-FFF2-40B4-BE49-F238E27FC236}">
              <a16:creationId xmlns:a16="http://schemas.microsoft.com/office/drawing/2014/main" id="{26EA0755-16A1-1672-C5C7-1CF47F0306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xdr:colOff>
      <xdr:row>24</xdr:row>
      <xdr:rowOff>3708</xdr:rowOff>
    </xdr:from>
    <xdr:to>
      <xdr:col>11</xdr:col>
      <xdr:colOff>330200</xdr:colOff>
      <xdr:row>44</xdr:row>
      <xdr:rowOff>161925</xdr:rowOff>
    </xdr:to>
    <xdr:graphicFrame macro="">
      <xdr:nvGraphicFramePr>
        <xdr:cNvPr id="3" name="Diagram 16">
          <a:extLst>
            <a:ext uri="{FF2B5EF4-FFF2-40B4-BE49-F238E27FC236}">
              <a16:creationId xmlns:a16="http://schemas.microsoft.com/office/drawing/2014/main" id="{ADEDE321-2EEC-4DBD-BB47-8BA4A7A1D4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0</xdr:colOff>
      <xdr:row>77</xdr:row>
      <xdr:rowOff>76200</xdr:rowOff>
    </xdr:from>
    <xdr:to>
      <xdr:col>10</xdr:col>
      <xdr:colOff>400049</xdr:colOff>
      <xdr:row>96</xdr:row>
      <xdr:rowOff>205842</xdr:rowOff>
    </xdr:to>
    <xdr:graphicFrame macro="">
      <xdr:nvGraphicFramePr>
        <xdr:cNvPr id="19" name="Diagram 18">
          <a:extLst>
            <a:ext uri="{FF2B5EF4-FFF2-40B4-BE49-F238E27FC236}">
              <a16:creationId xmlns:a16="http://schemas.microsoft.com/office/drawing/2014/main" id="{F54AF3AC-11D4-4D71-8646-B4F5720FF4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tema">
  <a:themeElements>
    <a:clrScheme name="klimakompasset">
      <a:dk1>
        <a:sysClr val="windowText" lastClr="000000"/>
      </a:dk1>
      <a:lt1>
        <a:sysClr val="window" lastClr="FFFFFF"/>
      </a:lt1>
      <a:dk2>
        <a:srgbClr val="44546A"/>
      </a:dk2>
      <a:lt2>
        <a:srgbClr val="E7E6E6"/>
      </a:lt2>
      <a:accent1>
        <a:srgbClr val="CCE9DE"/>
      </a:accent1>
      <a:accent2>
        <a:srgbClr val="2CC389"/>
      </a:accent2>
      <a:accent3>
        <a:srgbClr val="078856"/>
      </a:accent3>
      <a:accent4>
        <a:srgbClr val="768881"/>
      </a:accent4>
      <a:accent5>
        <a:srgbClr val="043421"/>
      </a:accent5>
      <a:accent6>
        <a:srgbClr val="FFC000"/>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2.bin"/><Relationship Id="rId1" Type="http://schemas.openxmlformats.org/officeDocument/2006/relationships/hyperlink" Target="https://sciencebasedtargets.org/net-zero"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FE707-801B-4C39-9376-F0AEEDD5AACB}">
  <dimension ref="A1:L45"/>
  <sheetViews>
    <sheetView workbookViewId="0"/>
  </sheetViews>
  <sheetFormatPr baseColWidth="10" defaultColWidth="9.1640625" defaultRowHeight="15" x14ac:dyDescent="0.2"/>
  <cols>
    <col min="1" max="1" width="4.83203125" style="222" customWidth="1"/>
    <col min="2" max="2" width="4.33203125" style="221" customWidth="1"/>
    <col min="3" max="3" width="23" style="221" customWidth="1"/>
    <col min="4" max="4" width="16" style="221" customWidth="1"/>
    <col min="5" max="5" width="20.1640625" style="221" customWidth="1"/>
    <col min="6" max="6" width="26.33203125" style="221" customWidth="1"/>
    <col min="7" max="8" width="9.1640625" style="221"/>
    <col min="9" max="9" width="9.1640625" style="221" customWidth="1"/>
    <col min="10" max="16384" width="9.1640625" style="221"/>
  </cols>
  <sheetData>
    <row r="1" spans="2:9" ht="15" customHeight="1" x14ac:dyDescent="0.2"/>
    <row r="2" spans="2:9" ht="20" x14ac:dyDescent="0.2">
      <c r="B2" s="26" t="str">
        <f>Tekstnøgler!C33</f>
        <v>Resultat</v>
      </c>
      <c r="C2" s="27"/>
      <c r="D2" s="27"/>
      <c r="E2" s="27"/>
      <c r="F2" s="27"/>
      <c r="G2" s="27"/>
      <c r="H2" s="27"/>
      <c r="I2" s="27"/>
    </row>
    <row r="3" spans="2:9" ht="15" customHeight="1" x14ac:dyDescent="0.2">
      <c r="B3" s="2"/>
      <c r="C3" s="3"/>
      <c r="D3" s="3"/>
      <c r="E3" s="3"/>
      <c r="F3" s="3"/>
      <c r="G3" s="3"/>
      <c r="H3" s="3"/>
      <c r="I3" s="3"/>
    </row>
    <row r="4" spans="2:9" ht="15" customHeight="1" x14ac:dyDescent="0.2">
      <c r="B4" s="2"/>
      <c r="C4" s="3"/>
      <c r="D4" s="3"/>
      <c r="E4" s="3"/>
      <c r="F4" s="3"/>
      <c r="G4" s="3"/>
      <c r="H4" s="3"/>
      <c r="I4" s="3"/>
    </row>
    <row r="5" spans="2:9" ht="21" customHeight="1" x14ac:dyDescent="0.2">
      <c r="B5" s="29" t="str">
        <f>Hovedresultater!C5</f>
        <v>Resultat for 0 (År) - Tiltagscase</v>
      </c>
      <c r="C5" s="2"/>
      <c r="D5" s="3"/>
      <c r="E5" s="3"/>
      <c r="F5" s="3"/>
      <c r="G5" s="3"/>
      <c r="H5" s="3"/>
      <c r="I5" s="3"/>
    </row>
    <row r="6" spans="2:9" ht="21" customHeight="1" x14ac:dyDescent="0.2">
      <c r="B6" s="30" t="str">
        <f>Hovedresultater!C6</f>
        <v>10.230,61 ton CO₂e</v>
      </c>
      <c r="C6" s="30"/>
      <c r="D6" s="2"/>
      <c r="E6" s="3"/>
      <c r="F6" s="3"/>
      <c r="G6" s="3"/>
      <c r="H6" s="3"/>
      <c r="I6" s="3"/>
    </row>
    <row r="7" spans="2:9" ht="20" x14ac:dyDescent="0.2">
      <c r="B7" s="30"/>
      <c r="C7" s="30"/>
      <c r="D7" s="2"/>
      <c r="E7" s="3"/>
      <c r="F7" s="3"/>
      <c r="G7" s="3"/>
      <c r="H7" s="3"/>
      <c r="I7" s="3"/>
    </row>
    <row r="8" spans="2:9" ht="20" x14ac:dyDescent="0.2">
      <c r="B8" s="2" t="str">
        <f>Tekstnøgler!C3</f>
        <v>Download af resultater</v>
      </c>
      <c r="C8" s="3"/>
      <c r="D8" s="3"/>
      <c r="E8" s="3"/>
      <c r="F8" s="3"/>
      <c r="G8" s="3"/>
      <c r="H8" s="3"/>
      <c r="I8" s="3"/>
    </row>
    <row r="9" spans="2:9" x14ac:dyDescent="0.2">
      <c r="B9" s="3"/>
      <c r="C9" s="3"/>
      <c r="D9" s="3"/>
      <c r="E9" s="3"/>
      <c r="F9" s="3"/>
      <c r="G9" s="3"/>
      <c r="H9" s="3"/>
      <c r="I9" s="3"/>
    </row>
    <row r="10" spans="2:9" ht="45.75" customHeight="1" x14ac:dyDescent="0.2">
      <c r="B10" s="413" t="str">
        <f>Tekstnøgler!C4</f>
        <v>I dette Excel regneark, kan du finde alle resultater som du kunne se på Klimakompasset for den beregning du har valgt (se navn på beregning ovenfor). Herunder kan du se en liste af de resultater og data, du har adgang til. Da navne på individuelle ark i bunden af Excel-arket ikke ændres, når du vælger mellem dansk og engelsk sprog, er det skrevet ind, hvilke ark de danske titler referer til.</v>
      </c>
      <c r="C10" s="413"/>
      <c r="D10" s="413"/>
      <c r="E10" s="413"/>
      <c r="F10" s="413"/>
      <c r="G10" s="413"/>
      <c r="H10" s="413"/>
      <c r="I10" s="413"/>
    </row>
    <row r="11" spans="2:9" ht="14.25" customHeight="1" x14ac:dyDescent="0.2">
      <c r="B11" s="289"/>
      <c r="C11" s="289"/>
      <c r="D11" s="289"/>
      <c r="E11" s="289"/>
      <c r="F11" s="289"/>
      <c r="G11" s="289"/>
      <c r="H11" s="289"/>
      <c r="I11" s="289"/>
    </row>
    <row r="12" spans="2:9" ht="14.25" customHeight="1" x14ac:dyDescent="0.2">
      <c r="B12" s="225" t="str">
        <f>Tekstnøgler!C5</f>
        <v>Vælg af sprog</v>
      </c>
      <c r="C12" s="289"/>
      <c r="D12" s="291" t="s">
        <v>0</v>
      </c>
      <c r="E12" s="293" t="str">
        <f>Tekstnøgler!C6</f>
        <v>&lt;-- klik på cellen</v>
      </c>
      <c r="F12" s="289"/>
      <c r="G12" s="289"/>
      <c r="H12" s="289"/>
      <c r="I12" s="289"/>
    </row>
    <row r="13" spans="2:9" ht="14.25" customHeight="1" x14ac:dyDescent="0.2">
      <c r="B13" s="3"/>
      <c r="C13" s="3"/>
      <c r="D13" s="3"/>
      <c r="E13" s="3"/>
      <c r="F13" s="3"/>
      <c r="G13" s="3"/>
      <c r="H13" s="3"/>
      <c r="I13" s="3"/>
    </row>
    <row r="14" spans="2:9" x14ac:dyDescent="0.2">
      <c r="B14" s="3"/>
      <c r="C14" s="3"/>
      <c r="D14" s="3"/>
      <c r="E14" s="3"/>
      <c r="F14" s="3"/>
      <c r="G14" s="3"/>
      <c r="H14" s="3"/>
      <c r="I14" s="3"/>
    </row>
    <row r="15" spans="2:9" ht="20" x14ac:dyDescent="0.2">
      <c r="B15" s="26" t="str">
        <f>Tekstnøgler!C7</f>
        <v>Indholdsfortegnelse</v>
      </c>
      <c r="C15" s="3"/>
      <c r="D15" s="27"/>
      <c r="E15" s="3"/>
      <c r="F15" s="3"/>
      <c r="G15" s="3"/>
      <c r="H15" s="3"/>
      <c r="I15" s="27"/>
    </row>
    <row r="16" spans="2:9" x14ac:dyDescent="0.2">
      <c r="B16" s="3"/>
      <c r="C16" s="31"/>
      <c r="D16" s="3"/>
      <c r="E16" s="31"/>
      <c r="F16" s="31"/>
      <c r="G16" s="31"/>
      <c r="H16" s="31"/>
      <c r="I16" s="3"/>
    </row>
    <row r="17" spans="1:12" s="3" customFormat="1" ht="28.5" customHeight="1" x14ac:dyDescent="0.15">
      <c r="B17" s="225" t="str">
        <f>Tekstnøgler!C8</f>
        <v>Generelle oplysninger om beregningen</v>
      </c>
      <c r="D17" s="6"/>
      <c r="E17" s="9"/>
      <c r="F17" s="225" t="str">
        <f>Tekstnøgler!C587</f>
        <v>Henviser til ark:</v>
      </c>
      <c r="G17" s="10"/>
      <c r="H17" s="11"/>
      <c r="I17" s="7"/>
      <c r="J17" s="7"/>
      <c r="K17" s="7"/>
      <c r="L17" s="7"/>
    </row>
    <row r="18" spans="1:12" ht="16" x14ac:dyDescent="0.2">
      <c r="A18" s="221"/>
      <c r="B18" s="224" t="s">
        <v>1</v>
      </c>
      <c r="C18" s="226" t="str">
        <f>Tekstnøgler!C9</f>
        <v>Forside</v>
      </c>
      <c r="D18" s="6"/>
      <c r="E18" s="6"/>
      <c r="F18" s="6" t="str">
        <f>Tekstnøgler!E9</f>
        <v>Forside</v>
      </c>
    </row>
    <row r="19" spans="1:12" x14ac:dyDescent="0.2">
      <c r="A19" s="221"/>
      <c r="B19" s="224" t="s">
        <v>2</v>
      </c>
      <c r="C19" s="166" t="str">
        <f>Tekstnøgler!C10</f>
        <v>Stamdata</v>
      </c>
      <c r="F19" s="6" t="str">
        <f>Tekstnøgler!E10</f>
        <v>Stamdata</v>
      </c>
    </row>
    <row r="20" spans="1:12" x14ac:dyDescent="0.2">
      <c r="A20" s="221"/>
      <c r="B20" s="224" t="s">
        <v>3</v>
      </c>
      <c r="C20" s="166" t="str">
        <f>Tekstnøgler!C11</f>
        <v>Kontaktoplysninger</v>
      </c>
      <c r="F20" s="6" t="str">
        <f>Tekstnøgler!E11</f>
        <v>Kontaktoplysninger</v>
      </c>
    </row>
    <row r="21" spans="1:12" x14ac:dyDescent="0.2">
      <c r="A21" s="221"/>
      <c r="B21" s="224"/>
    </row>
    <row r="22" spans="1:12" s="3" customFormat="1" ht="28.5" customHeight="1" x14ac:dyDescent="0.2">
      <c r="B22" s="225" t="str">
        <f>Tekstnøgler!C12</f>
        <v>Resultater</v>
      </c>
      <c r="D22" s="6"/>
      <c r="E22" s="9"/>
      <c r="F22" s="223"/>
      <c r="G22" s="10"/>
      <c r="H22" s="11"/>
      <c r="I22" s="7"/>
      <c r="J22" s="7"/>
      <c r="K22" s="7"/>
      <c r="L22" s="7"/>
    </row>
    <row r="23" spans="1:12" x14ac:dyDescent="0.2">
      <c r="A23" s="221"/>
      <c r="B23" s="224" t="s">
        <v>4</v>
      </c>
      <c r="C23" s="166" t="str">
        <f>Tekstnøgler!C13</f>
        <v>Hovedresultater</v>
      </c>
      <c r="F23" s="6" t="str">
        <f>Tekstnøgler!E13</f>
        <v>Hovedresultater</v>
      </c>
    </row>
    <row r="24" spans="1:12" x14ac:dyDescent="0.2">
      <c r="A24" s="221"/>
      <c r="B24" s="224" t="s">
        <v>5</v>
      </c>
      <c r="C24" s="166" t="str">
        <f>Tekstnøgler!C14</f>
        <v>Delresultater</v>
      </c>
      <c r="F24" s="6" t="str">
        <f>Tekstnøgler!E14</f>
        <v>Delresultater</v>
      </c>
    </row>
    <row r="25" spans="1:12" x14ac:dyDescent="0.2">
      <c r="A25" s="221"/>
      <c r="B25" s="224" t="s">
        <v>6</v>
      </c>
      <c r="C25" s="166" t="str">
        <f>Tekstnøgler!C15</f>
        <v>Hovedresultater (GHG)</v>
      </c>
      <c r="F25" s="6" t="str">
        <f>Tekstnøgler!E15</f>
        <v>Hovedresultater (GHG)</v>
      </c>
    </row>
    <row r="26" spans="1:12" x14ac:dyDescent="0.2">
      <c r="B26" s="224" t="s">
        <v>7</v>
      </c>
      <c r="C26" s="166" t="str">
        <f>Tekstnøgler!C16</f>
        <v>Delresultater (GHG)</v>
      </c>
      <c r="F26" s="6" t="str">
        <f>Tekstnøgler!E16</f>
        <v>Delresultater (GHG)</v>
      </c>
    </row>
    <row r="27" spans="1:12" x14ac:dyDescent="0.2">
      <c r="B27" s="221" t="s">
        <v>8</v>
      </c>
      <c r="C27" s="166" t="str">
        <f>Tekstnøgler!C17</f>
        <v>E-nøgletal (ESG)</v>
      </c>
      <c r="F27" s="6" t="str">
        <f>Tekstnøgler!E17</f>
        <v>E-nøgletal (ESG)</v>
      </c>
    </row>
    <row r="28" spans="1:12" x14ac:dyDescent="0.2">
      <c r="B28" s="221" t="s">
        <v>9</v>
      </c>
      <c r="C28" s="166" t="str">
        <f>Tekstnøgler!C18</f>
        <v>Scope 3 kategorier</v>
      </c>
      <c r="F28" s="6" t="str">
        <f>Tekstnøgler!E18</f>
        <v>Scope 3 kategorier</v>
      </c>
    </row>
    <row r="29" spans="1:12" x14ac:dyDescent="0.2">
      <c r="B29" s="221" t="s">
        <v>10</v>
      </c>
      <c r="C29" s="166" t="str">
        <f>Tekstnøgler!C19</f>
        <v>Største udledningsposter</v>
      </c>
      <c r="F29" s="6" t="str">
        <f>Tekstnøgler!E19</f>
        <v>Største udledningsposter</v>
      </c>
    </row>
    <row r="31" spans="1:12" s="3" customFormat="1" ht="28.5" hidden="1" customHeight="1" x14ac:dyDescent="0.2">
      <c r="B31" s="225" t="str">
        <f>Tekstnøgler!C20</f>
        <v>Fremskrivning &amp; Reduktionsmålsætninger</v>
      </c>
      <c r="D31" s="6"/>
      <c r="E31" s="9"/>
      <c r="F31" s="223"/>
      <c r="G31" s="10"/>
      <c r="H31" s="11"/>
      <c r="I31" s="7"/>
      <c r="J31" s="7"/>
      <c r="K31" s="7"/>
      <c r="L31" s="7"/>
    </row>
    <row r="32" spans="1:12" ht="14.5" hidden="1" customHeight="1" x14ac:dyDescent="0.2">
      <c r="B32" s="221" t="s">
        <v>11</v>
      </c>
      <c r="C32" s="166" t="str">
        <f>Tekstnøgler!C21</f>
        <v>Fremskrivning - Hovedresultater</v>
      </c>
      <c r="F32" s="6" t="str">
        <f>Tekstnøgler!E21</f>
        <v>Fremskrivning - Hovedresultater</v>
      </c>
    </row>
    <row r="33" spans="2:12" hidden="1" x14ac:dyDescent="0.2">
      <c r="B33" s="221" t="s">
        <v>12</v>
      </c>
      <c r="C33" s="166" t="str">
        <f>Tekstnøgler!C22</f>
        <v>Fremskrivning - Delresultater</v>
      </c>
      <c r="F33" s="6" t="str">
        <f>Tekstnøgler!E22</f>
        <v>Fremskrivning - Delresultater</v>
      </c>
    </row>
    <row r="34" spans="2:12" hidden="1" x14ac:dyDescent="0.2">
      <c r="B34" s="221" t="s">
        <v>13</v>
      </c>
      <c r="C34" s="166" t="str">
        <f>Tekstnøgler!C23</f>
        <v>Reduktionsmålsætninger</v>
      </c>
      <c r="F34" s="6" t="str">
        <f>Tekstnøgler!E23</f>
        <v>Reduktionsmålsætninger</v>
      </c>
    </row>
    <row r="35" spans="2:12" hidden="1" x14ac:dyDescent="0.2">
      <c r="C35" s="166"/>
    </row>
    <row r="36" spans="2:12" s="3" customFormat="1" ht="28.5" customHeight="1" x14ac:dyDescent="0.2">
      <c r="B36" s="225" t="str">
        <f>Tekstnøgler!C24</f>
        <v>Data</v>
      </c>
      <c r="D36" s="6"/>
      <c r="E36" s="9"/>
      <c r="F36" s="223"/>
      <c r="G36" s="10"/>
      <c r="H36" s="11"/>
      <c r="I36" s="7"/>
      <c r="J36" s="7"/>
      <c r="K36" s="7"/>
      <c r="L36" s="7"/>
    </row>
    <row r="37" spans="2:12" x14ac:dyDescent="0.2">
      <c r="B37" s="221" t="s">
        <v>1151</v>
      </c>
      <c r="C37" s="166" t="str">
        <f>Tekstnøgler!C25</f>
        <v>Emissionsfaktorer</v>
      </c>
      <c r="F37" s="6" t="str">
        <f>Tekstnøgler!E25</f>
        <v>Emissionsfaktorer</v>
      </c>
    </row>
    <row r="38" spans="2:12" x14ac:dyDescent="0.2">
      <c r="B38" s="221" t="s">
        <v>1152</v>
      </c>
      <c r="C38" s="166" t="str">
        <f>Tekstnøgler!C26</f>
        <v>Egne emissionsfaktorer</v>
      </c>
      <c r="F38" s="6" t="str">
        <f>Tekstnøgler!E26</f>
        <v>Egne emissionsfaktorer</v>
      </c>
    </row>
    <row r="39" spans="2:12" x14ac:dyDescent="0.2">
      <c r="B39" s="221" t="s">
        <v>1153</v>
      </c>
      <c r="C39" s="166" t="str">
        <f>Tekstnøgler!C27</f>
        <v>Fremskrevne emissionsfaktorer</v>
      </c>
      <c r="F39" s="6" t="str">
        <f>Tekstnøgler!E27</f>
        <v>Fremskrevne emissionsfaktorer</v>
      </c>
    </row>
    <row r="40" spans="2:12" x14ac:dyDescent="0.2">
      <c r="B40" s="221" t="s">
        <v>1154</v>
      </c>
      <c r="C40" s="166" t="str">
        <f>Tekstnøgler!C28</f>
        <v>Data (alle poster)</v>
      </c>
      <c r="F40" s="6" t="str">
        <f>Tekstnøgler!E28</f>
        <v>Data (alle poster)</v>
      </c>
    </row>
    <row r="41" spans="2:12" x14ac:dyDescent="0.2">
      <c r="B41" s="221" t="s">
        <v>1155</v>
      </c>
      <c r="C41" s="166" t="str">
        <f>Tekstnøgler!C29</f>
        <v>Data (E-nøgletal)</v>
      </c>
      <c r="F41" s="6" t="str">
        <f>Tekstnøgler!E29</f>
        <v>Data (E-nøgletal)</v>
      </c>
    </row>
    <row r="42" spans="2:12" hidden="1" x14ac:dyDescent="0.2">
      <c r="F42" s="6"/>
    </row>
    <row r="43" spans="2:12" ht="27" hidden="1" customHeight="1" x14ac:dyDescent="0.2">
      <c r="B43" s="225" t="str">
        <f>Tekstnøgler!C30</f>
        <v>Til udviklerne</v>
      </c>
      <c r="C43" s="3"/>
      <c r="E43" s="198" t="s">
        <v>14</v>
      </c>
    </row>
    <row r="44" spans="2:12" hidden="1" x14ac:dyDescent="0.2">
      <c r="B44" s="221" t="s">
        <v>15</v>
      </c>
      <c r="C44" s="258" t="str">
        <f>Tekstnøgler!C31</f>
        <v>Til udviklerne</v>
      </c>
      <c r="E44" s="198" t="s">
        <v>14</v>
      </c>
    </row>
    <row r="45" spans="2:12" hidden="1" x14ac:dyDescent="0.2">
      <c r="B45" s="221" t="s">
        <v>16</v>
      </c>
      <c r="C45" s="166" t="str">
        <f>Tekstnøgler!C32</f>
        <v>Tekstnøgler</v>
      </c>
      <c r="E45" s="198" t="s">
        <v>14</v>
      </c>
    </row>
  </sheetData>
  <mergeCells count="1">
    <mergeCell ref="B10:I10"/>
  </mergeCells>
  <dataValidations count="1">
    <dataValidation type="list" allowBlank="1" showInputMessage="1" showErrorMessage="1" sqref="D12" xr:uid="{4A54D110-D6D0-4F71-A5F3-5B1078CA94A0}">
      <formula1>"Dansk, English"</formula1>
    </dataValidation>
  </dataValidations>
  <hyperlinks>
    <hyperlink ref="C18" location="Forside!A1" display="Forside" xr:uid="{1F653FD8-282D-463F-841B-DFDE0D9B10E5}"/>
    <hyperlink ref="C19" location="Stamdata!A1" display="Stamdata" xr:uid="{BD888C32-BCC7-4873-AA2A-55A5A30BD69C}"/>
    <hyperlink ref="C20" location="Kontaktoplysninger!A1" display="Kontaktoplysninger" xr:uid="{9A648627-B5B8-4ACB-AB9B-80DCA6739790}"/>
    <hyperlink ref="C23" location="Hovedresultater!A1" display="Hovedresultater" xr:uid="{07DCA269-3960-4012-9DDB-B89AA4AD6642}"/>
    <hyperlink ref="C24" location="Delresultater!A1" display="Delresultater" xr:uid="{54D7791C-FD56-4371-B8B5-242E10FE3FCE}"/>
    <hyperlink ref="C25" location="'Hovedresultater (GHG)'!A1" display="Hovedresultater (GHG)" xr:uid="{8118FCEA-E91B-48EF-9461-FDA269582EA9}"/>
    <hyperlink ref="C26" location="'Delresultater (GHG)'!A1" display="Delresultater (GHG)" xr:uid="{F3743F2C-C9A3-47D2-B6DD-CDF447F38928}"/>
    <hyperlink ref="C32" location="'Fremskrivning - Hovedresultater'!A1" display="Fremskrivning - Hovedresultater" xr:uid="{70E21120-91A4-426A-A776-DD89A2BB400E}"/>
    <hyperlink ref="C37" location="Emissionsfaktorer!A1" display="Emissionsfaktorer!A1" xr:uid="{DBD168EE-8AAC-498F-A10C-BD6FCEABF449}"/>
    <hyperlink ref="C45" location="Tekstnøgler!A1" display="Tekstnøgler!A1" xr:uid="{16B97DEF-FCA6-4D8F-8BCC-40A783C1D6A8}"/>
    <hyperlink ref="C27:C29" location="'Delresultater (GHG)'!A1" display="Delresultater (GHG)" xr:uid="{35F25437-6B52-4C33-AE59-CDBDE4E703A2}"/>
    <hyperlink ref="C38:C41" location="Emissionsfaktorer!A1" display="Emissionsfaktorer" xr:uid="{392520DA-B8AA-4CDE-B72E-485589B64883}"/>
    <hyperlink ref="C44" location="'Til udviklerne'!A1" display="Til udviklerne" xr:uid="{C8685A2E-45C5-4665-A1B8-FDEFFE832457}"/>
    <hyperlink ref="C27" location="'E-nøgletal (ESG)'!A1" display="'E-nøgletal (ESG)'!A1" xr:uid="{F2AAC7F3-202C-894D-A07D-2742402F4B9F}"/>
    <hyperlink ref="C28" location="'Scope 3 kategorier'!A1" display="'Scope 3 kategorier'!A1" xr:uid="{28EF74D6-49F4-5E43-85C6-780CA4440DE2}"/>
    <hyperlink ref="C29" location="'Største udledningsposter'!A1" display="'Største udledningsposter'!A1" xr:uid="{98160A18-3E0E-0E43-BE31-245C3C16379E}"/>
    <hyperlink ref="C33" location="'Fremskrivning - Delresultater'!A1" display="'Fremskrivning - Delresultater'!A1" xr:uid="{D27392FD-B903-8C4C-906B-4C382604C780}"/>
    <hyperlink ref="C34" location="Reduktionsmålsætning!A1" display="Reduktionsmålsætning!A1" xr:uid="{38EC790F-5EC9-B64F-B5AC-1A4DEB6C9268}"/>
    <hyperlink ref="C38" location="'Egne emissionsfaktorer'!A1" display="'Egne emissionsfaktorer'!A1" xr:uid="{26F06FD1-AAC3-1E45-8773-6720AEBA3984}"/>
    <hyperlink ref="C39" location="'Fremskrevne emissionsfaktorer'!A1" display="'Fremskrevne emissionsfaktorer'!A1" xr:uid="{3988381C-FC78-ED4F-987D-281372464D6D}"/>
    <hyperlink ref="C40" location="'Data (alle poster)'!A1" display="'Data (alle poster)'!A1" xr:uid="{02F8DDEF-D203-3F48-A2DA-C75EB7CFD7E1}"/>
    <hyperlink ref="C41" location="'Data (E-nøgletal)'!A1" display="'Data (E-nøgletal)'!A1" xr:uid="{C834566B-BC71-CF4D-B2A1-D3E5E12D3251}"/>
  </hyperlinks>
  <pageMargins left="0.7" right="0.7" top="0.75" bottom="0.75" header="0.3" footer="0.3"/>
  <pageSetup paperSize="9" orientation="portrait" r:id="rId1"/>
  <headerFooter>
    <oddHeader>&amp;R&amp;"Calibri"&amp;10&amp;K000000 INTERNAL&amp;1#_x000D_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J131"/>
  <sheetViews>
    <sheetView tabSelected="1" workbookViewId="0">
      <selection activeCell="B27" sqref="B27"/>
    </sheetView>
  </sheetViews>
  <sheetFormatPr baseColWidth="10" defaultColWidth="10.5" defaultRowHeight="15" customHeight="1" x14ac:dyDescent="0.2"/>
  <cols>
    <col min="1" max="1" width="4.83203125" style="32" customWidth="1"/>
    <col min="2" max="2" width="45.33203125" style="32" bestFit="1" customWidth="1"/>
    <col min="3" max="3" width="25.6640625" style="32" customWidth="1"/>
    <col min="4" max="6" width="4.33203125" style="32" customWidth="1"/>
    <col min="7" max="7" width="32" style="32" customWidth="1"/>
    <col min="8" max="16384" width="10.5" style="32"/>
  </cols>
  <sheetData>
    <row r="2" spans="1:10" ht="20" x14ac:dyDescent="0.2">
      <c r="B2" s="26" t="str">
        <f>Tekstnøgler!C37</f>
        <v>Stamdata</v>
      </c>
      <c r="C2" s="27"/>
      <c r="D2" s="27"/>
      <c r="E2" s="27"/>
      <c r="F2" s="27"/>
      <c r="G2" s="27"/>
      <c r="H2" s="27"/>
      <c r="I2" s="290" t="str">
        <f>Tekstnøgler!C2</f>
        <v>&lt;-- Gå til forsiden</v>
      </c>
      <c r="J2" s="27"/>
    </row>
    <row r="5" spans="1:10" ht="21" customHeight="1" x14ac:dyDescent="0.2">
      <c r="B5" s="2" t="str">
        <f>Tekstnøgler!C38</f>
        <v>Om beregningen</v>
      </c>
    </row>
    <row r="6" spans="1:10" ht="21" customHeight="1" x14ac:dyDescent="0.2"/>
    <row r="7" spans="1:10" ht="15" customHeight="1" x14ac:dyDescent="0.2">
      <c r="B7" s="334" t="str">
        <f>Tekstnøgler!C39</f>
        <v>Navn på beregning</v>
      </c>
    </row>
    <row r="8" spans="1:10" ht="15" customHeight="1" x14ac:dyDescent="0.2">
      <c r="A8" s="33"/>
      <c r="B8" s="399" t="s">
        <v>2446</v>
      </c>
    </row>
    <row r="10" spans="1:10" ht="15" customHeight="1" x14ac:dyDescent="0.2">
      <c r="B10" s="334" t="str">
        <f>Tekstnøgler!C40</f>
        <v>Formål med beregningen</v>
      </c>
    </row>
    <row r="11" spans="1:10" ht="26" x14ac:dyDescent="0.2">
      <c r="A11" s="33"/>
      <c r="B11" s="399" t="str">
        <f>Tekstnøgler!C44</f>
        <v>4. Beregn klimaaftrykket for din virksomhed (ingen krav om CVR nr.).</v>
      </c>
    </row>
    <row r="12" spans="1:10" ht="15" customHeight="1" x14ac:dyDescent="0.2">
      <c r="B12" s="35"/>
    </row>
    <row r="13" spans="1:10" ht="15" customHeight="1" x14ac:dyDescent="0.2">
      <c r="B13" s="334" t="str">
        <f>Tekstnøgler!C45</f>
        <v>Start dato - Klimaopgørelser laves typisk for et kalenderår</v>
      </c>
    </row>
    <row r="14" spans="1:10" ht="15" customHeight="1" x14ac:dyDescent="0.15">
      <c r="A14" s="33"/>
      <c r="B14" s="400">
        <f>DATE(2021,1,1)</f>
        <v>44197</v>
      </c>
      <c r="C14" s="128" t="str">
        <f>IF(OR(ISBLANK(B14),ISTEXT(B14)),Tekstnøgler!C533,"")</f>
        <v/>
      </c>
      <c r="E14" s="270"/>
      <c r="G14" s="270"/>
      <c r="H14" s="270"/>
    </row>
    <row r="16" spans="1:10" ht="15" customHeight="1" x14ac:dyDescent="0.2">
      <c r="B16" s="334" t="str">
        <f>Tekstnøgler!C46</f>
        <v xml:space="preserve">Slut dato </v>
      </c>
    </row>
    <row r="17" spans="1:6" ht="15" customHeight="1" x14ac:dyDescent="0.2">
      <c r="A17" s="33"/>
      <c r="B17" s="400">
        <f>DATE(2021,12,31)</f>
        <v>44561</v>
      </c>
      <c r="C17" s="414" t="str">
        <f>IF(YEAR(B17)-YEAR(B14)&gt;2,Tekstnøgler!C592,"")</f>
        <v/>
      </c>
      <c r="D17" s="415"/>
      <c r="E17" s="415"/>
      <c r="F17" s="415"/>
    </row>
    <row r="19" spans="1:6" ht="15" customHeight="1" x14ac:dyDescent="0.2">
      <c r="B19" s="334" t="str">
        <f>Tekstnøgler!C47</f>
        <v>Kommentarer til beregningen</v>
      </c>
    </row>
    <row r="20" spans="1:6" ht="95" customHeight="1" x14ac:dyDescent="0.2">
      <c r="A20" s="33"/>
      <c r="B20" s="401" t="s">
        <v>46</v>
      </c>
    </row>
    <row r="24" spans="1:6" ht="20" x14ac:dyDescent="0.2">
      <c r="B24" s="2" t="str">
        <f>Tekstnøgler!C48</f>
        <v>Din virksomhed</v>
      </c>
    </row>
    <row r="26" spans="1:6" ht="15" customHeight="1" x14ac:dyDescent="0.2">
      <c r="B26" s="334" t="str">
        <f>Tekstnøgler!C49</f>
        <v>CVR</v>
      </c>
    </row>
    <row r="27" spans="1:6" ht="15" customHeight="1" x14ac:dyDescent="0.2">
      <c r="A27" s="33"/>
      <c r="B27" s="330"/>
    </row>
    <row r="28" spans="1:6" ht="15" customHeight="1" x14ac:dyDescent="0.2">
      <c r="B28" s="35"/>
    </row>
    <row r="29" spans="1:6" ht="15" customHeight="1" x14ac:dyDescent="0.2">
      <c r="B29" s="334" t="str">
        <f>Tekstnøgler!C50</f>
        <v>Virksomhedens navn</v>
      </c>
    </row>
    <row r="30" spans="1:6" ht="15" customHeight="1" x14ac:dyDescent="0.2">
      <c r="A30" s="33"/>
      <c r="B30" s="330" t="s">
        <v>2471</v>
      </c>
    </row>
    <row r="34" spans="1:7" s="40" customFormat="1" ht="16" x14ac:dyDescent="0.2">
      <c r="B34" s="41" t="str">
        <f>Tekstnøgler!C51</f>
        <v>Virksomhed som beregningen vedrører</v>
      </c>
    </row>
    <row r="36" spans="1:7" ht="15" customHeight="1" x14ac:dyDescent="0.2">
      <c r="B36" s="334" t="str">
        <f>Tekstnøgler!C52</f>
        <v>Land</v>
      </c>
    </row>
    <row r="37" spans="1:7" ht="15" customHeight="1" x14ac:dyDescent="0.2">
      <c r="A37" s="33"/>
      <c r="B37" s="34" t="s">
        <v>2447</v>
      </c>
    </row>
    <row r="39" spans="1:7" ht="15" customHeight="1" x14ac:dyDescent="0.2">
      <c r="B39" s="334" t="str">
        <f>Tekstnøgler!C49</f>
        <v>CVR</v>
      </c>
    </row>
    <row r="40" spans="1:7" ht="15" customHeight="1" x14ac:dyDescent="0.2">
      <c r="A40" s="33"/>
      <c r="B40" s="34"/>
    </row>
    <row r="41" spans="1:7" ht="15" customHeight="1" x14ac:dyDescent="0.2">
      <c r="B41" s="35"/>
      <c r="G41" s="35"/>
    </row>
    <row r="42" spans="1:7" ht="15" customHeight="1" x14ac:dyDescent="0.2">
      <c r="B42" s="334" t="str">
        <f>Tekstnøgler!C48</f>
        <v>Din virksomhed</v>
      </c>
    </row>
    <row r="43" spans="1:7" ht="15" customHeight="1" x14ac:dyDescent="0.2">
      <c r="A43" s="33"/>
      <c r="B43" s="34" t="s">
        <v>2448</v>
      </c>
    </row>
    <row r="44" spans="1:7" ht="15" customHeight="1" x14ac:dyDescent="0.2">
      <c r="B44" s="35"/>
      <c r="G44" s="35"/>
    </row>
    <row r="45" spans="1:7" ht="15" customHeight="1" x14ac:dyDescent="0.2">
      <c r="B45" s="334" t="str">
        <f>Tekstnøgler!C53</f>
        <v>P-nummer</v>
      </c>
    </row>
    <row r="46" spans="1:7" ht="13" x14ac:dyDescent="0.2">
      <c r="A46" s="33"/>
      <c r="B46" s="34" t="s">
        <v>46</v>
      </c>
    </row>
    <row r="47" spans="1:7" ht="15" customHeight="1" x14ac:dyDescent="0.2">
      <c r="B47" s="35"/>
      <c r="G47" s="35"/>
    </row>
    <row r="48" spans="1:7" ht="15" customHeight="1" x14ac:dyDescent="0.2">
      <c r="B48" s="61" t="s">
        <v>17</v>
      </c>
      <c r="C48" s="62"/>
      <c r="D48" s="62"/>
      <c r="E48" s="62"/>
      <c r="F48" s="62"/>
    </row>
    <row r="49" spans="1:2" ht="13" x14ac:dyDescent="0.2">
      <c r="B49" s="60" t="s">
        <v>46</v>
      </c>
    </row>
    <row r="50" spans="1:2" ht="15" customHeight="1" x14ac:dyDescent="0.2">
      <c r="B50" s="35"/>
    </row>
    <row r="51" spans="1:2" ht="15" customHeight="1" x14ac:dyDescent="0.2">
      <c r="B51" s="35"/>
    </row>
    <row r="52" spans="1:2" ht="15" customHeight="1" x14ac:dyDescent="0.2">
      <c r="B52" s="35"/>
    </row>
    <row r="53" spans="1:2" ht="20" x14ac:dyDescent="0.2">
      <c r="B53" s="2" t="str">
        <f>Tekstnøgler!C60</f>
        <v>Nøgletal</v>
      </c>
    </row>
    <row r="54" spans="1:2" ht="15" customHeight="1" x14ac:dyDescent="0.2">
      <c r="B54" s="35"/>
    </row>
    <row r="55" spans="1:2" ht="15" customHeight="1" x14ac:dyDescent="0.2">
      <c r="B55" s="334" t="str">
        <f>Tekstnøgler!C61</f>
        <v>Antal fuldtidsansatte</v>
      </c>
    </row>
    <row r="56" spans="1:2" ht="15" customHeight="1" x14ac:dyDescent="0.2">
      <c r="A56" s="33"/>
      <c r="B56" s="402">
        <v>50</v>
      </c>
    </row>
    <row r="57" spans="1:2" ht="15" customHeight="1" x14ac:dyDescent="0.2">
      <c r="B57" s="35"/>
    </row>
    <row r="58" spans="1:2" ht="15" customHeight="1" x14ac:dyDescent="0.2">
      <c r="B58" s="334" t="str">
        <f>Tekstnøgler!C62</f>
        <v>Nettoomsætning, mio. kr.</v>
      </c>
    </row>
    <row r="59" spans="1:2" ht="15" customHeight="1" x14ac:dyDescent="0.2">
      <c r="A59" s="33"/>
      <c r="B59" s="402">
        <v>23</v>
      </c>
    </row>
    <row r="60" spans="1:2" ht="15" customHeight="1" x14ac:dyDescent="0.2">
      <c r="B60" s="250"/>
    </row>
    <row r="61" spans="1:2" ht="15" customHeight="1" x14ac:dyDescent="0.2">
      <c r="B61" s="334" t="str">
        <f>Tekstnøgler!C63</f>
        <v>Antal m2 bygningsareal</v>
      </c>
    </row>
    <row r="62" spans="1:2" ht="15" customHeight="1" x14ac:dyDescent="0.2">
      <c r="A62" s="33"/>
      <c r="B62" s="402">
        <v>5000</v>
      </c>
    </row>
    <row r="65" spans="2:4" ht="15" customHeight="1" x14ac:dyDescent="0.2">
      <c r="B65" s="36"/>
      <c r="D65" s="37"/>
    </row>
    <row r="66" spans="2:4" ht="15" customHeight="1" x14ac:dyDescent="0.2">
      <c r="B66" s="36"/>
      <c r="D66" s="37"/>
    </row>
    <row r="67" spans="2:4" ht="15" customHeight="1" x14ac:dyDescent="0.2">
      <c r="B67" s="36"/>
      <c r="D67" s="37"/>
    </row>
    <row r="68" spans="2:4" ht="15" customHeight="1" x14ac:dyDescent="0.2">
      <c r="B68" s="36"/>
      <c r="D68" s="37"/>
    </row>
    <row r="69" spans="2:4" ht="15" customHeight="1" x14ac:dyDescent="0.2">
      <c r="B69" s="36"/>
      <c r="D69" s="37"/>
    </row>
    <row r="70" spans="2:4" ht="15" customHeight="1" x14ac:dyDescent="0.2">
      <c r="B70" s="36"/>
      <c r="D70" s="37"/>
    </row>
    <row r="71" spans="2:4" ht="15" customHeight="1" x14ac:dyDescent="0.2">
      <c r="B71" s="36"/>
      <c r="D71" s="37"/>
    </row>
    <row r="72" spans="2:4" ht="15" customHeight="1" x14ac:dyDescent="0.2">
      <c r="B72" s="36"/>
      <c r="D72" s="37"/>
    </row>
    <row r="73" spans="2:4" ht="15" customHeight="1" x14ac:dyDescent="0.2">
      <c r="B73" s="36"/>
      <c r="D73" s="37"/>
    </row>
    <row r="74" spans="2:4" ht="15" customHeight="1" x14ac:dyDescent="0.2">
      <c r="B74" s="36"/>
      <c r="D74" s="37"/>
    </row>
    <row r="75" spans="2:4" ht="15" customHeight="1" x14ac:dyDescent="0.2">
      <c r="B75" s="36"/>
      <c r="D75" s="37"/>
    </row>
    <row r="76" spans="2:4" ht="15" customHeight="1" x14ac:dyDescent="0.2">
      <c r="B76" s="36"/>
      <c r="D76" s="37"/>
    </row>
    <row r="77" spans="2:4" ht="15" customHeight="1" x14ac:dyDescent="0.2">
      <c r="B77" s="36"/>
      <c r="D77" s="37"/>
    </row>
    <row r="78" spans="2:4" ht="15" customHeight="1" x14ac:dyDescent="0.2">
      <c r="B78" s="36"/>
      <c r="D78" s="37"/>
    </row>
    <row r="79" spans="2:4" ht="15" customHeight="1" x14ac:dyDescent="0.2">
      <c r="B79" s="36"/>
      <c r="D79" s="37"/>
    </row>
    <row r="80" spans="2:4" ht="15" customHeight="1" x14ac:dyDescent="0.2">
      <c r="B80" s="36"/>
      <c r="D80" s="37"/>
    </row>
    <row r="81" spans="2:4" ht="15" customHeight="1" x14ac:dyDescent="0.2">
      <c r="B81" s="36"/>
      <c r="D81" s="37"/>
    </row>
    <row r="82" spans="2:4" ht="15" customHeight="1" x14ac:dyDescent="0.2">
      <c r="B82" s="36"/>
      <c r="D82" s="37"/>
    </row>
    <row r="83" spans="2:4" ht="15" customHeight="1" x14ac:dyDescent="0.2">
      <c r="B83" s="36"/>
      <c r="D83" s="37"/>
    </row>
    <row r="84" spans="2:4" ht="15" customHeight="1" x14ac:dyDescent="0.2">
      <c r="B84" s="36"/>
      <c r="D84" s="37"/>
    </row>
    <row r="85" spans="2:4" ht="15" customHeight="1" x14ac:dyDescent="0.2">
      <c r="B85" s="36"/>
      <c r="D85" s="37"/>
    </row>
    <row r="86" spans="2:4" ht="15" customHeight="1" x14ac:dyDescent="0.2">
      <c r="B86" s="36"/>
      <c r="D86" s="37"/>
    </row>
    <row r="87" spans="2:4" ht="15" customHeight="1" x14ac:dyDescent="0.2">
      <c r="B87" s="36"/>
      <c r="D87" s="37"/>
    </row>
    <row r="88" spans="2:4" ht="15" customHeight="1" x14ac:dyDescent="0.2">
      <c r="B88" s="36"/>
      <c r="D88" s="37"/>
    </row>
    <row r="89" spans="2:4" ht="15" customHeight="1" x14ac:dyDescent="0.2">
      <c r="B89" s="36"/>
      <c r="D89" s="37"/>
    </row>
    <row r="90" spans="2:4" ht="15" customHeight="1" x14ac:dyDescent="0.2">
      <c r="B90" s="36"/>
      <c r="D90" s="37"/>
    </row>
    <row r="91" spans="2:4" ht="15" customHeight="1" x14ac:dyDescent="0.2">
      <c r="B91" s="36"/>
      <c r="D91" s="37"/>
    </row>
    <row r="92" spans="2:4" ht="15" customHeight="1" x14ac:dyDescent="0.2">
      <c r="B92" s="36"/>
      <c r="D92" s="37"/>
    </row>
    <row r="93" spans="2:4" ht="15" customHeight="1" x14ac:dyDescent="0.2">
      <c r="B93" s="36"/>
      <c r="D93" s="37"/>
    </row>
    <row r="94" spans="2:4" ht="15" customHeight="1" x14ac:dyDescent="0.2">
      <c r="B94" s="36"/>
      <c r="D94" s="37"/>
    </row>
    <row r="95" spans="2:4" ht="15" customHeight="1" x14ac:dyDescent="0.2">
      <c r="B95" s="36"/>
      <c r="D95" s="37"/>
    </row>
    <row r="96" spans="2:4" ht="15" customHeight="1" x14ac:dyDescent="0.2">
      <c r="B96" s="36"/>
      <c r="D96" s="37"/>
    </row>
    <row r="97" spans="2:4" ht="15" customHeight="1" x14ac:dyDescent="0.2">
      <c r="B97" s="36"/>
      <c r="D97" s="37"/>
    </row>
    <row r="98" spans="2:4" ht="15" customHeight="1" x14ac:dyDescent="0.2">
      <c r="B98" s="36"/>
      <c r="D98" s="37"/>
    </row>
    <row r="99" spans="2:4" ht="15" customHeight="1" x14ac:dyDescent="0.2">
      <c r="B99" s="36"/>
      <c r="D99" s="37"/>
    </row>
    <row r="100" spans="2:4" ht="15" customHeight="1" x14ac:dyDescent="0.2">
      <c r="B100" s="36"/>
      <c r="D100" s="37"/>
    </row>
    <row r="101" spans="2:4" ht="15" customHeight="1" x14ac:dyDescent="0.2">
      <c r="B101" s="36"/>
      <c r="D101" s="37"/>
    </row>
    <row r="102" spans="2:4" ht="15" customHeight="1" x14ac:dyDescent="0.2">
      <c r="B102" s="36"/>
      <c r="D102" s="37"/>
    </row>
    <row r="103" spans="2:4" ht="15" customHeight="1" x14ac:dyDescent="0.2">
      <c r="B103" s="36"/>
      <c r="D103" s="37"/>
    </row>
    <row r="104" spans="2:4" ht="15" customHeight="1" x14ac:dyDescent="0.2">
      <c r="B104" s="36"/>
      <c r="D104" s="37"/>
    </row>
    <row r="105" spans="2:4" ht="15" customHeight="1" x14ac:dyDescent="0.2">
      <c r="B105" s="36"/>
      <c r="D105" s="37"/>
    </row>
    <row r="106" spans="2:4" ht="15" customHeight="1" x14ac:dyDescent="0.2">
      <c r="B106" s="36"/>
      <c r="D106" s="37"/>
    </row>
    <row r="107" spans="2:4" ht="15" customHeight="1" x14ac:dyDescent="0.2">
      <c r="B107" s="36"/>
      <c r="D107" s="37"/>
    </row>
    <row r="108" spans="2:4" ht="15" customHeight="1" x14ac:dyDescent="0.2">
      <c r="B108" s="36"/>
      <c r="D108" s="37"/>
    </row>
    <row r="109" spans="2:4" ht="15" customHeight="1" x14ac:dyDescent="0.2">
      <c r="B109" s="36"/>
      <c r="D109" s="37"/>
    </row>
    <row r="110" spans="2:4" ht="15" customHeight="1" x14ac:dyDescent="0.2">
      <c r="B110" s="36"/>
      <c r="D110" s="37"/>
    </row>
    <row r="111" spans="2:4" ht="15" customHeight="1" x14ac:dyDescent="0.2">
      <c r="B111" s="36"/>
      <c r="D111" s="37"/>
    </row>
    <row r="112" spans="2:4" ht="15" customHeight="1" x14ac:dyDescent="0.2">
      <c r="B112" s="36"/>
      <c r="D112" s="37"/>
    </row>
    <row r="113" spans="2:4" ht="15" customHeight="1" x14ac:dyDescent="0.2">
      <c r="B113" s="36"/>
      <c r="D113" s="37"/>
    </row>
    <row r="114" spans="2:4" ht="15" customHeight="1" x14ac:dyDescent="0.2">
      <c r="B114" s="36"/>
      <c r="D114" s="37"/>
    </row>
    <row r="115" spans="2:4" ht="15" customHeight="1" x14ac:dyDescent="0.2">
      <c r="B115" s="36"/>
      <c r="D115" s="37"/>
    </row>
    <row r="116" spans="2:4" ht="15" customHeight="1" x14ac:dyDescent="0.2">
      <c r="B116" s="36"/>
      <c r="D116" s="37"/>
    </row>
    <row r="117" spans="2:4" ht="15" customHeight="1" x14ac:dyDescent="0.2">
      <c r="B117" s="36"/>
      <c r="D117" s="37"/>
    </row>
    <row r="118" spans="2:4" ht="15" customHeight="1" x14ac:dyDescent="0.2">
      <c r="B118" s="36"/>
      <c r="D118" s="37"/>
    </row>
    <row r="119" spans="2:4" ht="15" customHeight="1" x14ac:dyDescent="0.2">
      <c r="B119" s="36"/>
      <c r="D119" s="37"/>
    </row>
    <row r="120" spans="2:4" ht="15" customHeight="1" x14ac:dyDescent="0.2">
      <c r="B120" s="36"/>
      <c r="D120" s="37"/>
    </row>
    <row r="121" spans="2:4" ht="15" customHeight="1" x14ac:dyDescent="0.2">
      <c r="B121" s="36"/>
      <c r="D121" s="37"/>
    </row>
    <row r="122" spans="2:4" ht="15" customHeight="1" x14ac:dyDescent="0.2">
      <c r="B122" s="36"/>
      <c r="D122" s="37"/>
    </row>
    <row r="123" spans="2:4" ht="15" customHeight="1" x14ac:dyDescent="0.2">
      <c r="B123" s="36"/>
      <c r="D123" s="37"/>
    </row>
    <row r="124" spans="2:4" ht="15" customHeight="1" x14ac:dyDescent="0.2">
      <c r="B124" s="36"/>
      <c r="D124" s="37"/>
    </row>
    <row r="125" spans="2:4" ht="15" customHeight="1" x14ac:dyDescent="0.2">
      <c r="B125" s="36"/>
      <c r="D125" s="37"/>
    </row>
    <row r="126" spans="2:4" ht="15" customHeight="1" x14ac:dyDescent="0.2">
      <c r="B126" s="36"/>
      <c r="D126" s="37"/>
    </row>
    <row r="127" spans="2:4" ht="15" customHeight="1" x14ac:dyDescent="0.2">
      <c r="B127" s="36"/>
      <c r="D127" s="37"/>
    </row>
    <row r="128" spans="2:4" ht="15" customHeight="1" x14ac:dyDescent="0.2">
      <c r="B128" s="36"/>
      <c r="D128" s="37"/>
    </row>
    <row r="129" spans="2:4" ht="15" customHeight="1" x14ac:dyDescent="0.2">
      <c r="B129" s="36"/>
      <c r="D129" s="37"/>
    </row>
    <row r="130" spans="2:4" ht="15" customHeight="1" x14ac:dyDescent="0.2">
      <c r="B130" s="36"/>
      <c r="D130" s="37"/>
    </row>
    <row r="131" spans="2:4" ht="15" customHeight="1" x14ac:dyDescent="0.2">
      <c r="B131" s="36"/>
      <c r="D131" s="37"/>
    </row>
  </sheetData>
  <mergeCells count="1">
    <mergeCell ref="C17:F17"/>
  </mergeCells>
  <conditionalFormatting sqref="C17">
    <cfRule type="expression" dxfId="58" priority="1">
      <formula>IF(YEAR(B17)-YEAR(B14)&gt;2,TRUE(),FALSE())</formula>
    </cfRule>
  </conditionalFormatting>
  <hyperlinks>
    <hyperlink ref="I2" location="Forside!A1" display="Gå til forside" xr:uid="{D7ECFB5F-9A0E-4C17-8D70-C430763083D3}"/>
  </hyperlinks>
  <pageMargins left="0.7" right="0.7" top="0.75" bottom="0.75" header="0.3" footer="0.3"/>
  <pageSetup paperSize="9" orientation="portrait" r:id="rId1"/>
  <headerFooter>
    <oddHeader>&amp;R&amp;"Calibri"&amp;10&amp;K000000 INTERNAL&amp;1#_x000D_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J101"/>
  <sheetViews>
    <sheetView workbookViewId="0"/>
  </sheetViews>
  <sheetFormatPr baseColWidth="10" defaultColWidth="10.5" defaultRowHeight="15" customHeight="1" x14ac:dyDescent="0.2"/>
  <cols>
    <col min="1" max="1" width="4.83203125" style="32" customWidth="1"/>
    <col min="2" max="2" width="29.83203125" style="32" customWidth="1"/>
    <col min="3" max="3" width="2.5" style="32" customWidth="1"/>
    <col min="4" max="4" width="26" style="32" customWidth="1"/>
    <col min="5" max="5" width="2.33203125" style="32" customWidth="1"/>
    <col min="6" max="16384" width="10.5" style="32"/>
  </cols>
  <sheetData>
    <row r="2" spans="1:10" ht="20" x14ac:dyDescent="0.2">
      <c r="B2" s="26" t="str">
        <f>Tekstnøgler!C64</f>
        <v>Kontaktoplysninger</v>
      </c>
      <c r="C2" s="27"/>
      <c r="D2" s="27"/>
      <c r="E2" s="27"/>
      <c r="F2" s="27"/>
      <c r="G2" s="27"/>
      <c r="H2" s="27"/>
      <c r="I2" s="290" t="str">
        <f>Tekstnøgler!C2</f>
        <v>&lt;-- Gå til forsiden</v>
      </c>
      <c r="J2" s="27"/>
    </row>
    <row r="5" spans="1:10" ht="21" customHeight="1" x14ac:dyDescent="0.2">
      <c r="B5" s="2" t="str">
        <f>Tekstnøgler!C65</f>
        <v>Virksomhedsoplysninger</v>
      </c>
    </row>
    <row r="6" spans="1:10" ht="21" customHeight="1" x14ac:dyDescent="0.2"/>
    <row r="7" spans="1:10" ht="15" customHeight="1" x14ac:dyDescent="0.2">
      <c r="B7" s="334" t="str">
        <f>Tekstnøgler!C66</f>
        <v>Virksomhedens e-mailadresse</v>
      </c>
    </row>
    <row r="8" spans="1:10" ht="15" customHeight="1" x14ac:dyDescent="0.2">
      <c r="A8" s="33"/>
      <c r="B8" s="399"/>
    </row>
    <row r="11" spans="1:10" ht="20" x14ac:dyDescent="0.2">
      <c r="B11" s="39" t="str">
        <f>Tekstnøgler!C67</f>
        <v>Kontaktperson</v>
      </c>
    </row>
    <row r="13" spans="1:10" ht="15" customHeight="1" x14ac:dyDescent="0.2">
      <c r="B13" s="334" t="str">
        <f>Tekstnøgler!C68</f>
        <v>Fornavn</v>
      </c>
    </row>
    <row r="14" spans="1:10" ht="15" customHeight="1" x14ac:dyDescent="0.2">
      <c r="A14" s="33"/>
      <c r="B14" s="399" t="s">
        <v>2449</v>
      </c>
    </row>
    <row r="16" spans="1:10" ht="15" customHeight="1" x14ac:dyDescent="0.2">
      <c r="B16" s="334" t="str">
        <f>Tekstnøgler!C69</f>
        <v>Efternavn</v>
      </c>
    </row>
    <row r="17" spans="1:4" ht="15" customHeight="1" x14ac:dyDescent="0.2">
      <c r="A17" s="33"/>
      <c r="B17" s="399" t="s">
        <v>2450</v>
      </c>
    </row>
    <row r="18" spans="1:4" ht="15" customHeight="1" x14ac:dyDescent="0.2">
      <c r="B18" s="35"/>
    </row>
    <row r="19" spans="1:4" ht="15" customHeight="1" x14ac:dyDescent="0.2">
      <c r="B19" s="334" t="str">
        <f>Tekstnøgler!C70</f>
        <v>E-mail</v>
      </c>
    </row>
    <row r="20" spans="1:4" ht="15" customHeight="1" x14ac:dyDescent="0.2">
      <c r="A20" s="33"/>
      <c r="B20" s="399" t="s">
        <v>2451</v>
      </c>
    </row>
    <row r="21" spans="1:4" ht="15" customHeight="1" x14ac:dyDescent="0.2">
      <c r="B21" s="35"/>
    </row>
    <row r="22" spans="1:4" ht="15" customHeight="1" x14ac:dyDescent="0.2">
      <c r="B22" s="36"/>
      <c r="D22" s="37"/>
    </row>
    <row r="23" spans="1:4" ht="15" customHeight="1" x14ac:dyDescent="0.2">
      <c r="B23" s="36"/>
      <c r="D23" s="37"/>
    </row>
    <row r="24" spans="1:4" ht="15" customHeight="1" x14ac:dyDescent="0.2">
      <c r="B24" s="36"/>
      <c r="D24" s="37"/>
    </row>
    <row r="25" spans="1:4" ht="15" customHeight="1" x14ac:dyDescent="0.2">
      <c r="B25" s="36"/>
      <c r="D25" s="37"/>
    </row>
    <row r="26" spans="1:4" ht="15" customHeight="1" x14ac:dyDescent="0.2">
      <c r="B26" s="36"/>
      <c r="D26" s="37"/>
    </row>
    <row r="27" spans="1:4" ht="15" customHeight="1" x14ac:dyDescent="0.2">
      <c r="B27" s="36"/>
      <c r="D27" s="37"/>
    </row>
    <row r="28" spans="1:4" ht="15" customHeight="1" x14ac:dyDescent="0.2">
      <c r="B28" s="36"/>
      <c r="D28" s="37"/>
    </row>
    <row r="29" spans="1:4" ht="15" customHeight="1" x14ac:dyDescent="0.2">
      <c r="B29" s="36"/>
      <c r="D29" s="37"/>
    </row>
    <row r="30" spans="1:4" ht="15" customHeight="1" x14ac:dyDescent="0.2">
      <c r="B30" s="36"/>
      <c r="D30" s="37"/>
    </row>
    <row r="31" spans="1:4" ht="15" customHeight="1" x14ac:dyDescent="0.2">
      <c r="B31" s="36"/>
      <c r="D31" s="37"/>
    </row>
    <row r="32" spans="1:4" ht="15" customHeight="1" x14ac:dyDescent="0.2">
      <c r="B32" s="36"/>
      <c r="D32" s="37"/>
    </row>
    <row r="33" spans="2:4" ht="15" customHeight="1" x14ac:dyDescent="0.2">
      <c r="B33" s="36"/>
      <c r="D33" s="37"/>
    </row>
    <row r="34" spans="2:4" ht="15" customHeight="1" x14ac:dyDescent="0.2">
      <c r="B34" s="36"/>
      <c r="D34" s="37"/>
    </row>
    <row r="35" spans="2:4" ht="15" customHeight="1" x14ac:dyDescent="0.2">
      <c r="B35" s="36"/>
      <c r="D35" s="37"/>
    </row>
    <row r="36" spans="2:4" ht="15" customHeight="1" x14ac:dyDescent="0.2">
      <c r="B36" s="36"/>
      <c r="D36" s="37"/>
    </row>
    <row r="37" spans="2:4" ht="15" customHeight="1" x14ac:dyDescent="0.2">
      <c r="B37" s="36"/>
      <c r="D37" s="37"/>
    </row>
    <row r="38" spans="2:4" ht="15" customHeight="1" x14ac:dyDescent="0.2">
      <c r="B38" s="36"/>
      <c r="D38" s="37"/>
    </row>
    <row r="39" spans="2:4" ht="15" customHeight="1" x14ac:dyDescent="0.2">
      <c r="B39" s="36"/>
      <c r="D39" s="37"/>
    </row>
    <row r="40" spans="2:4" ht="15" customHeight="1" x14ac:dyDescent="0.2">
      <c r="B40" s="36"/>
      <c r="D40" s="37"/>
    </row>
    <row r="41" spans="2:4" ht="15" customHeight="1" x14ac:dyDescent="0.2">
      <c r="B41" s="36"/>
      <c r="D41" s="37"/>
    </row>
    <row r="42" spans="2:4" ht="15" customHeight="1" x14ac:dyDescent="0.2">
      <c r="B42" s="36"/>
      <c r="D42" s="37"/>
    </row>
    <row r="43" spans="2:4" ht="15" customHeight="1" x14ac:dyDescent="0.2">
      <c r="B43" s="36"/>
      <c r="D43" s="37"/>
    </row>
    <row r="44" spans="2:4" ht="15" customHeight="1" x14ac:dyDescent="0.2">
      <c r="B44" s="36"/>
      <c r="D44" s="37"/>
    </row>
    <row r="45" spans="2:4" ht="15" customHeight="1" x14ac:dyDescent="0.2">
      <c r="B45" s="36"/>
      <c r="D45" s="37"/>
    </row>
    <row r="46" spans="2:4" ht="15" customHeight="1" x14ac:dyDescent="0.2">
      <c r="B46" s="36"/>
      <c r="D46" s="37"/>
    </row>
    <row r="47" spans="2:4" ht="15" customHeight="1" x14ac:dyDescent="0.2">
      <c r="B47" s="36"/>
      <c r="D47" s="37"/>
    </row>
    <row r="48" spans="2:4" ht="15" customHeight="1" x14ac:dyDescent="0.2">
      <c r="B48" s="36"/>
      <c r="D48" s="37"/>
    </row>
    <row r="49" spans="2:4" ht="15" customHeight="1" x14ac:dyDescent="0.2">
      <c r="B49" s="36"/>
      <c r="D49" s="37"/>
    </row>
    <row r="50" spans="2:4" ht="15" customHeight="1" x14ac:dyDescent="0.2">
      <c r="B50" s="36"/>
      <c r="D50" s="37"/>
    </row>
    <row r="51" spans="2:4" ht="15" customHeight="1" x14ac:dyDescent="0.2">
      <c r="B51" s="36"/>
      <c r="D51" s="37"/>
    </row>
    <row r="52" spans="2:4" ht="15" customHeight="1" x14ac:dyDescent="0.2">
      <c r="B52" s="36"/>
      <c r="D52" s="37"/>
    </row>
    <row r="53" spans="2:4" ht="15" customHeight="1" x14ac:dyDescent="0.2">
      <c r="B53" s="36"/>
      <c r="D53" s="37"/>
    </row>
    <row r="54" spans="2:4" ht="15" customHeight="1" x14ac:dyDescent="0.2">
      <c r="B54" s="36"/>
      <c r="D54" s="37"/>
    </row>
    <row r="55" spans="2:4" ht="15" customHeight="1" x14ac:dyDescent="0.2">
      <c r="B55" s="36"/>
      <c r="D55" s="37"/>
    </row>
    <row r="56" spans="2:4" ht="15" customHeight="1" x14ac:dyDescent="0.2">
      <c r="B56" s="36"/>
      <c r="D56" s="37"/>
    </row>
    <row r="57" spans="2:4" ht="15" customHeight="1" x14ac:dyDescent="0.2">
      <c r="B57" s="36"/>
      <c r="D57" s="37"/>
    </row>
    <row r="58" spans="2:4" ht="15" customHeight="1" x14ac:dyDescent="0.2">
      <c r="B58" s="36"/>
      <c r="D58" s="37"/>
    </row>
    <row r="59" spans="2:4" ht="15" customHeight="1" x14ac:dyDescent="0.2">
      <c r="B59" s="36"/>
      <c r="D59" s="37"/>
    </row>
    <row r="60" spans="2:4" ht="15" customHeight="1" x14ac:dyDescent="0.2">
      <c r="B60" s="36"/>
      <c r="D60" s="37"/>
    </row>
    <row r="61" spans="2:4" ht="15" customHeight="1" x14ac:dyDescent="0.2">
      <c r="B61" s="36"/>
      <c r="D61" s="37"/>
    </row>
    <row r="62" spans="2:4" ht="15" customHeight="1" x14ac:dyDescent="0.2">
      <c r="B62" s="36"/>
      <c r="D62" s="37"/>
    </row>
    <row r="63" spans="2:4" ht="15" customHeight="1" x14ac:dyDescent="0.2">
      <c r="B63" s="36"/>
      <c r="D63" s="37"/>
    </row>
    <row r="64" spans="2:4" ht="15" customHeight="1" x14ac:dyDescent="0.2">
      <c r="B64" s="36"/>
      <c r="D64" s="37"/>
    </row>
    <row r="65" spans="2:4" ht="15" customHeight="1" x14ac:dyDescent="0.2">
      <c r="B65" s="36"/>
      <c r="D65" s="37"/>
    </row>
    <row r="66" spans="2:4" ht="15" customHeight="1" x14ac:dyDescent="0.2">
      <c r="B66" s="36"/>
      <c r="D66" s="37"/>
    </row>
    <row r="67" spans="2:4" ht="15" customHeight="1" x14ac:dyDescent="0.2">
      <c r="B67" s="36"/>
      <c r="D67" s="37"/>
    </row>
    <row r="68" spans="2:4" ht="15" customHeight="1" x14ac:dyDescent="0.2">
      <c r="B68" s="36"/>
      <c r="D68" s="37"/>
    </row>
    <row r="69" spans="2:4" ht="15" customHeight="1" x14ac:dyDescent="0.2">
      <c r="B69" s="36"/>
      <c r="D69" s="37"/>
    </row>
    <row r="70" spans="2:4" ht="15" customHeight="1" x14ac:dyDescent="0.2">
      <c r="B70" s="36"/>
      <c r="D70" s="37"/>
    </row>
    <row r="71" spans="2:4" ht="15" customHeight="1" x14ac:dyDescent="0.2">
      <c r="B71" s="36"/>
      <c r="D71" s="37"/>
    </row>
    <row r="72" spans="2:4" ht="15" customHeight="1" x14ac:dyDescent="0.2">
      <c r="B72" s="36"/>
      <c r="D72" s="37"/>
    </row>
    <row r="73" spans="2:4" ht="15" customHeight="1" x14ac:dyDescent="0.2">
      <c r="B73" s="36"/>
      <c r="D73" s="37"/>
    </row>
    <row r="74" spans="2:4" ht="15" customHeight="1" x14ac:dyDescent="0.2">
      <c r="B74" s="36"/>
      <c r="D74" s="37"/>
    </row>
    <row r="75" spans="2:4" ht="15" customHeight="1" x14ac:dyDescent="0.2">
      <c r="B75" s="36"/>
      <c r="D75" s="37"/>
    </row>
    <row r="76" spans="2:4" ht="15" customHeight="1" x14ac:dyDescent="0.2">
      <c r="B76" s="36"/>
      <c r="D76" s="37"/>
    </row>
    <row r="77" spans="2:4" ht="15" customHeight="1" x14ac:dyDescent="0.2">
      <c r="B77" s="36"/>
      <c r="D77" s="37"/>
    </row>
    <row r="78" spans="2:4" ht="15" customHeight="1" x14ac:dyDescent="0.2">
      <c r="B78" s="36"/>
      <c r="D78" s="37"/>
    </row>
    <row r="79" spans="2:4" ht="15" customHeight="1" x14ac:dyDescent="0.2">
      <c r="B79" s="36"/>
      <c r="D79" s="37"/>
    </row>
    <row r="80" spans="2:4" ht="15" customHeight="1" x14ac:dyDescent="0.2">
      <c r="B80" s="36"/>
      <c r="D80" s="37"/>
    </row>
    <row r="81" spans="2:4" ht="15" customHeight="1" x14ac:dyDescent="0.2">
      <c r="B81" s="36"/>
      <c r="D81" s="37"/>
    </row>
    <row r="82" spans="2:4" ht="15" customHeight="1" x14ac:dyDescent="0.2">
      <c r="B82" s="36"/>
      <c r="D82" s="37"/>
    </row>
    <row r="83" spans="2:4" ht="15" customHeight="1" x14ac:dyDescent="0.2">
      <c r="B83" s="36"/>
      <c r="D83" s="37"/>
    </row>
    <row r="84" spans="2:4" ht="15" customHeight="1" x14ac:dyDescent="0.2">
      <c r="B84" s="36"/>
      <c r="D84" s="37"/>
    </row>
    <row r="85" spans="2:4" ht="15" customHeight="1" x14ac:dyDescent="0.2">
      <c r="B85" s="36"/>
      <c r="D85" s="37"/>
    </row>
    <row r="86" spans="2:4" ht="15" customHeight="1" x14ac:dyDescent="0.2">
      <c r="B86" s="36"/>
      <c r="D86" s="37"/>
    </row>
    <row r="87" spans="2:4" ht="15" customHeight="1" x14ac:dyDescent="0.2">
      <c r="B87" s="36"/>
      <c r="D87" s="37"/>
    </row>
    <row r="88" spans="2:4" ht="15" customHeight="1" x14ac:dyDescent="0.2">
      <c r="B88" s="36"/>
      <c r="D88" s="37"/>
    </row>
    <row r="89" spans="2:4" ht="15" customHeight="1" x14ac:dyDescent="0.2">
      <c r="B89" s="36"/>
      <c r="D89" s="37"/>
    </row>
    <row r="90" spans="2:4" ht="15" customHeight="1" x14ac:dyDescent="0.2">
      <c r="B90" s="36"/>
      <c r="D90" s="37"/>
    </row>
    <row r="91" spans="2:4" ht="15" customHeight="1" x14ac:dyDescent="0.2">
      <c r="B91" s="36"/>
      <c r="D91" s="37"/>
    </row>
    <row r="92" spans="2:4" ht="15" customHeight="1" x14ac:dyDescent="0.2">
      <c r="B92" s="36"/>
      <c r="D92" s="37"/>
    </row>
    <row r="93" spans="2:4" ht="15" customHeight="1" x14ac:dyDescent="0.2">
      <c r="B93" s="36"/>
      <c r="D93" s="37"/>
    </row>
    <row r="94" spans="2:4" ht="15" customHeight="1" x14ac:dyDescent="0.2">
      <c r="B94" s="36"/>
      <c r="D94" s="37"/>
    </row>
    <row r="95" spans="2:4" ht="15" customHeight="1" x14ac:dyDescent="0.2">
      <c r="B95" s="36"/>
      <c r="D95" s="37"/>
    </row>
    <row r="96" spans="2:4" ht="15" customHeight="1" x14ac:dyDescent="0.2">
      <c r="B96" s="36"/>
      <c r="D96" s="37"/>
    </row>
    <row r="97" spans="2:4" ht="15" customHeight="1" x14ac:dyDescent="0.2">
      <c r="B97" s="36"/>
      <c r="D97" s="37"/>
    </row>
    <row r="98" spans="2:4" ht="15" customHeight="1" x14ac:dyDescent="0.2">
      <c r="B98" s="36"/>
      <c r="D98" s="37"/>
    </row>
    <row r="99" spans="2:4" ht="15" customHeight="1" x14ac:dyDescent="0.2">
      <c r="B99" s="36"/>
      <c r="D99" s="37"/>
    </row>
    <row r="100" spans="2:4" ht="15" customHeight="1" x14ac:dyDescent="0.2">
      <c r="B100" s="36"/>
      <c r="D100" s="37"/>
    </row>
    <row r="101" spans="2:4" ht="15" customHeight="1" x14ac:dyDescent="0.2">
      <c r="B101" s="36"/>
      <c r="D101" s="37"/>
    </row>
  </sheetData>
  <hyperlinks>
    <hyperlink ref="I2" location="Forside!A1" display="Gå til forside" xr:uid="{98367556-FCD6-422C-93AE-0C1989CEA12D}"/>
  </hyperlinks>
  <pageMargins left="0.7" right="0.7" top="0.75" bottom="0.75" header="0.3" footer="0.3"/>
  <headerFooter>
    <oddHeader>&amp;R&amp;"Calibri"&amp;10&amp;K000000 INTERNAL&amp;1#_x000D_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Ark1"/>
  <dimension ref="C1:L92"/>
  <sheetViews>
    <sheetView topLeftCell="A5" zoomScaleNormal="100" workbookViewId="0"/>
  </sheetViews>
  <sheetFormatPr baseColWidth="10" defaultColWidth="9.5" defaultRowHeight="13" x14ac:dyDescent="0.15"/>
  <cols>
    <col min="1" max="2" width="2.83203125" style="3" customWidth="1"/>
    <col min="3" max="3" width="24.5" style="3" customWidth="1"/>
    <col min="4" max="6" width="21.5" style="3" customWidth="1"/>
    <col min="7" max="10" width="21.83203125" style="3" customWidth="1"/>
    <col min="11" max="11" width="2.5" style="3" customWidth="1"/>
    <col min="12" max="16384" width="9.5" style="3"/>
  </cols>
  <sheetData>
    <row r="1" spans="3:10" ht="15" customHeight="1" x14ac:dyDescent="0.15"/>
    <row r="2" spans="3:10" ht="21" customHeight="1" x14ac:dyDescent="0.2">
      <c r="C2" s="26" t="str">
        <f>Tekstnøgler!C33</f>
        <v>Resultat</v>
      </c>
      <c r="D2" s="27"/>
      <c r="E2" s="27"/>
      <c r="F2" s="27"/>
      <c r="G2" s="27"/>
      <c r="H2" s="363" t="str">
        <f>Tekstnøgler!C2</f>
        <v>&lt;-- Gå til forsiden</v>
      </c>
      <c r="I2" s="27"/>
      <c r="J2" s="27"/>
    </row>
    <row r="3" spans="3:10" ht="15" customHeight="1" x14ac:dyDescent="0.2">
      <c r="C3" s="2"/>
    </row>
    <row r="4" spans="3:10" ht="15" customHeight="1" x14ac:dyDescent="0.2">
      <c r="C4" s="2"/>
    </row>
    <row r="5" spans="3:10" ht="21" customHeight="1" x14ac:dyDescent="0.2">
      <c r="C5" s="29" t="str">
        <f>Tekstnøgler!C34&amp;" "&amp;Stamdata!B8</f>
        <v>Resultat for 0 (År) - Tiltagscase</v>
      </c>
      <c r="D5" s="2"/>
    </row>
    <row r="6" spans="3:10" ht="21" customHeight="1" x14ac:dyDescent="0.2">
      <c r="C6" s="424" t="str">
        <f>TEXT(D29, "#.##0,00") &amp; " " &amp; Tekstnøgler!C582</f>
        <v>10.230,61 ton CO₂e</v>
      </c>
      <c r="D6" s="424"/>
      <c r="E6" s="2"/>
    </row>
    <row r="7" spans="3:10" ht="16.5" customHeight="1" x14ac:dyDescent="0.2">
      <c r="C7" s="30"/>
      <c r="D7" s="30"/>
      <c r="E7" s="2"/>
    </row>
    <row r="8" spans="3:10" ht="16.5" customHeight="1" x14ac:dyDescent="0.2">
      <c r="C8" s="2" t="str">
        <f>Tekstnøgler!C71</f>
        <v>Metodevalg</v>
      </c>
      <c r="D8" s="3" t="s">
        <v>1248</v>
      </c>
    </row>
    <row r="10" spans="3:10" ht="60.5" customHeight="1" x14ac:dyDescent="0.15">
      <c r="C10" s="425" t="str">
        <f>Tekstnøgler!C72</f>
        <v>Resultaterne baserer sig på en række metodiske valg, der er foretaget i forbindelse med beregningerne. I nedenstående tabel kan du se, hvorvidt Radiative Forcing Index (RFI) er medregnet i forbindelse med udledninger fra flytransport. At medregne (eller korrigere for) RFI betyder, at der er taget højde for, at CO₂e udledt højere oppe i atmosfæren har en større drivhuseffekt end CO₂e udledt ved landjorden. Tabellen viser også, om emissionsfaktoren for el baserer sig på det årlige gennemsnit for sammensætningen af produktionen af el (miljødeklaration), eller om der i emissionsfaktoren korrigeres for virksomheders køb af grønne certifikater, såkaldte oprindelsesgarantier (eldeklaration).</v>
      </c>
      <c r="D10" s="425"/>
      <c r="E10" s="425"/>
      <c r="F10" s="425"/>
      <c r="G10" s="425"/>
      <c r="H10" s="425"/>
      <c r="I10" s="425"/>
      <c r="J10" s="425"/>
    </row>
    <row r="11" spans="3:10" ht="14" thickBot="1" x14ac:dyDescent="0.2"/>
    <row r="12" spans="3:10" ht="15" x14ac:dyDescent="0.15">
      <c r="C12" s="24" t="str">
        <f>Tekstnøgler!C73</f>
        <v>Emissionsfaktor</v>
      </c>
      <c r="D12" s="24"/>
      <c r="E12" s="51" t="str">
        <f>Tekstnøgler!C74</f>
        <v>Metodevalg</v>
      </c>
    </row>
    <row r="13" spans="3:10" ht="15" customHeight="1" thickBot="1" x14ac:dyDescent="0.2">
      <c r="C13" s="435" t="str">
        <f>Tekstnøgler!C75</f>
        <v>Valg af emissionsfaktor for elektricitet</v>
      </c>
      <c r="D13" s="436"/>
      <c r="E13" s="403" t="str">
        <f>Tekstnøgler!C79</f>
        <v>Eldeklaration</v>
      </c>
    </row>
    <row r="14" spans="3:10" ht="15" customHeight="1" thickBot="1" x14ac:dyDescent="0.2">
      <c r="C14" s="435" t="str">
        <f>Tekstnøgler!C76</f>
        <v>Emissionsfaktor for flytransport</v>
      </c>
      <c r="D14" s="436"/>
      <c r="E14" s="403" t="str">
        <f>Tekstnøgler!C78</f>
        <v>Inkluder RFI</v>
      </c>
    </row>
    <row r="17" spans="3:10" ht="20" x14ac:dyDescent="0.2">
      <c r="C17" s="26" t="str">
        <f>Tekstnøgler!C81</f>
        <v>Hovedresultater</v>
      </c>
      <c r="E17" s="27"/>
      <c r="J17" s="27"/>
    </row>
    <row r="18" spans="3:10" x14ac:dyDescent="0.15">
      <c r="D18" s="31"/>
      <c r="F18" s="31"/>
      <c r="G18" s="31"/>
      <c r="H18" s="31"/>
      <c r="I18" s="31"/>
    </row>
    <row r="19" spans="3:10" ht="43.25" customHeight="1" x14ac:dyDescent="0.15">
      <c r="C19" s="422" t="str">
        <f>Tekstnøgler!C82</f>
        <v>Virksomhedens samlede CO₂e-udledning er angivet i tabel 1. CO₂e-udledningen er angivet i ton CO₂-ækvivalenter, og tabellen viser udledningen fordelt på de forskellige hovedkategorier. Bemærk, at udenfor scopes ikke medregnes i klimaaftrykket ifølge GHG-protokollen, men kan oplyses særskilt.</v>
      </c>
      <c r="D19" s="422"/>
      <c r="E19" s="422"/>
      <c r="F19" s="422"/>
      <c r="G19" s="422"/>
      <c r="H19" s="18"/>
      <c r="I19" s="18"/>
      <c r="J19" s="18"/>
    </row>
    <row r="20" spans="3:10" ht="12" customHeight="1" thickBot="1" x14ac:dyDescent="0.2">
      <c r="C20" s="6"/>
      <c r="D20" s="6"/>
      <c r="E20" s="6"/>
      <c r="F20" s="6"/>
      <c r="G20" s="6"/>
      <c r="H20" s="6"/>
      <c r="I20" s="6"/>
      <c r="J20" s="6"/>
    </row>
    <row r="21" spans="3:10" ht="19.25" customHeight="1" thickBot="1" x14ac:dyDescent="0.2">
      <c r="C21" s="418" t="str">
        <f>Tekstnøgler!C83</f>
        <v>Tabel 1: Oversigt over virksomhedens CO₂e-udledninger</v>
      </c>
      <c r="D21" s="419"/>
      <c r="E21" s="419"/>
      <c r="F21" s="419"/>
      <c r="G21" s="6"/>
      <c r="H21" s="6"/>
      <c r="J21" s="306"/>
    </row>
    <row r="22" spans="3:10" ht="14.5" customHeight="1" x14ac:dyDescent="0.15">
      <c r="C22" s="186" t="str">
        <f>Tekstnøgler!C84</f>
        <v>Hovedkategori</v>
      </c>
      <c r="D22" s="416" t="str">
        <f>Tekstnøgler!C85</f>
        <v>Udledning i ton CO₂e
(scope 1+2+3)</v>
      </c>
      <c r="E22" s="416" t="str">
        <f>Tekstnøgler!C86</f>
        <v>Andel af udledning
(scope 1+2+3)</v>
      </c>
      <c r="F22" s="416" t="str">
        <f>Tekstnøgler!C110</f>
        <v>Udledning i ton CO₂e
(udenfor scopes)</v>
      </c>
      <c r="G22" s="6"/>
      <c r="H22" s="6"/>
      <c r="J22" s="306"/>
    </row>
    <row r="23" spans="3:10" ht="14" thickBot="1" x14ac:dyDescent="0.2">
      <c r="C23" s="187"/>
      <c r="D23" s="417"/>
      <c r="E23" s="417"/>
      <c r="F23" s="417"/>
      <c r="G23" s="6"/>
    </row>
    <row r="24" spans="3:10" ht="14.5" customHeight="1" x14ac:dyDescent="0.15">
      <c r="C24" s="17" t="str">
        <f>Tekstnøgler!C90</f>
        <v>Energi og processer</v>
      </c>
      <c r="D24" s="343">
        <f>Delresultater!D24</f>
        <v>2699.8361128161005</v>
      </c>
      <c r="E24" s="349">
        <f>IF($D$29 = 0,"",$D24/$D$29)</f>
        <v>0.26389789986029277</v>
      </c>
      <c r="F24" s="343">
        <f>Delresultater!F24</f>
        <v>137.48753816509998</v>
      </c>
      <c r="G24" s="6"/>
    </row>
    <row r="25" spans="3:10" ht="14.5" customHeight="1" x14ac:dyDescent="0.15">
      <c r="C25" s="17" t="str">
        <f>Tekstnøgler!C91</f>
        <v>Indkøb</v>
      </c>
      <c r="D25" s="343">
        <f>Delresultater!D36</f>
        <v>6765.5856396935997</v>
      </c>
      <c r="E25" s="349">
        <f t="shared" ref="E25:E28" si="0">IF($D$29 = 0,"",$D25/$D$29)</f>
        <v>0.66130823021616159</v>
      </c>
      <c r="F25" s="343">
        <f>Delresultater!F36</f>
        <v>0</v>
      </c>
      <c r="G25" s="6"/>
    </row>
    <row r="26" spans="3:10" ht="14.5" customHeight="1" x14ac:dyDescent="0.15">
      <c r="C26" s="17" t="str">
        <f>Tekstnøgler!C92</f>
        <v>Transport</v>
      </c>
      <c r="D26" s="343">
        <f>Delresultater!D65</f>
        <v>765.18680574479993</v>
      </c>
      <c r="E26" s="349">
        <f t="shared" si="0"/>
        <v>7.4793869923545642E-2</v>
      </c>
      <c r="F26" s="343">
        <f>Delresultater!F65</f>
        <v>41.952344429199997</v>
      </c>
      <c r="G26" s="6"/>
    </row>
    <row r="27" spans="3:10" ht="14.5" customHeight="1" x14ac:dyDescent="0.15">
      <c r="C27" s="17" t="str">
        <f>Tekstnøgler!C93</f>
        <v>Affald og genbrug</v>
      </c>
      <c r="D27" s="343">
        <f>Delresultater!D84</f>
        <v>0</v>
      </c>
      <c r="E27" s="349">
        <f t="shared" si="0"/>
        <v>0</v>
      </c>
      <c r="F27" s="343">
        <f>Delresultater!F84</f>
        <v>-128.217817</v>
      </c>
      <c r="G27" s="6"/>
    </row>
    <row r="28" spans="3:10" ht="14.5" customHeight="1" x14ac:dyDescent="0.15">
      <c r="C28" s="17" t="str">
        <f>Tekstnøgler!C94</f>
        <v>Solgte produkter</v>
      </c>
      <c r="D28" s="343">
        <f>Delresultater!D89</f>
        <v>0</v>
      </c>
      <c r="E28" s="349">
        <f t="shared" si="0"/>
        <v>0</v>
      </c>
      <c r="F28" s="343">
        <f>Delresultater!F89</f>
        <v>-111.89732480000001</v>
      </c>
      <c r="G28" s="6"/>
    </row>
    <row r="29" spans="3:10" ht="14.25" customHeight="1" thickBot="1" x14ac:dyDescent="0.2">
      <c r="C29" s="45" t="str">
        <f>Tekstnøgler!C95</f>
        <v>Total</v>
      </c>
      <c r="D29" s="46">
        <f>SUM(D24:D28)</f>
        <v>10230.6085582545</v>
      </c>
      <c r="E29" s="353">
        <f>SUM(E24:E28)</f>
        <v>1</v>
      </c>
      <c r="F29" s="46">
        <f>SUM(F24:F28)</f>
        <v>-60.67525920570003</v>
      </c>
      <c r="G29" s="6"/>
    </row>
    <row r="30" spans="3:10" ht="14.5" customHeight="1" x14ac:dyDescent="0.15">
      <c r="C30" s="22"/>
      <c r="D30" s="6"/>
      <c r="E30" s="6"/>
      <c r="F30" s="6"/>
      <c r="G30" s="23"/>
      <c r="H30" s="6"/>
      <c r="I30" s="6"/>
      <c r="J30" s="6"/>
    </row>
    <row r="31" spans="3:10" ht="12" customHeight="1" x14ac:dyDescent="0.15">
      <c r="C31" s="6"/>
      <c r="G31" s="6"/>
      <c r="H31" s="6"/>
      <c r="I31" s="6"/>
      <c r="J31" s="6"/>
    </row>
    <row r="32" spans="3:10" ht="24.5" customHeight="1" x14ac:dyDescent="0.2">
      <c r="C32" s="2" t="str">
        <f>Tekstnøgler!C96</f>
        <v xml:space="preserve">Opsummering af virksomhedens beregnede CO₂e-udledning </v>
      </c>
      <c r="D32" s="2"/>
      <c r="E32" s="6"/>
      <c r="F32" s="6"/>
      <c r="G32" s="6"/>
      <c r="H32" s="6"/>
      <c r="I32" s="6"/>
      <c r="J32" s="6"/>
    </row>
    <row r="33" spans="3:12" ht="14.25" customHeight="1" x14ac:dyDescent="0.15">
      <c r="E33" s="9"/>
      <c r="F33" s="9"/>
      <c r="G33" s="10"/>
      <c r="H33" s="11"/>
      <c r="I33" s="7"/>
      <c r="J33" s="7"/>
      <c r="K33" s="7"/>
      <c r="L33" s="7"/>
    </row>
    <row r="34" spans="3:12" ht="45" customHeight="1" x14ac:dyDescent="0.15">
      <c r="C34" s="422" t="str">
        <f>Tekstnøgler!C97</f>
        <v>Nedenstående figurer opsummerer virksomhedens beregnede CO₂e-udledning. Figur 1 angiver virksomhedens absolutte CO₂e-udledning i ton CO₂e-ækvivalenter fordelt på hovedkategorier. Figur 2 viser den procentuelle fordeling af CO₂e-udledningen fordelt på hovedkategorier.</v>
      </c>
      <c r="D34" s="422"/>
      <c r="E34" s="422"/>
      <c r="F34" s="422"/>
      <c r="G34" s="422"/>
      <c r="H34" s="18"/>
      <c r="I34" s="18"/>
      <c r="J34" s="18"/>
      <c r="K34" s="7"/>
      <c r="L34" s="7"/>
    </row>
    <row r="35" spans="3:12" ht="12.5" customHeight="1" x14ac:dyDescent="0.15">
      <c r="C35" s="6"/>
      <c r="D35" s="6"/>
      <c r="E35" s="6"/>
      <c r="F35" s="6"/>
      <c r="G35" s="6"/>
      <c r="H35" s="18"/>
      <c r="I35" s="18"/>
      <c r="J35" s="18"/>
      <c r="K35" s="7"/>
      <c r="L35" s="7"/>
    </row>
    <row r="36" spans="3:12" ht="15" x14ac:dyDescent="0.15">
      <c r="C36" s="420" t="str">
        <f>Tekstnøgler!C98</f>
        <v>Figur 1: CO₂e-udledning i ton (scope 1+2+3) fordelt på hovedkategorier</v>
      </c>
      <c r="D36" s="420"/>
      <c r="E36" s="420"/>
      <c r="F36" s="420"/>
      <c r="G36" s="420" t="str">
        <f>Tekstnøgler!C99</f>
        <v>Figur 2: Procentfordeling af CO₂e-udledning (scope 1+2+3) fordelt på hovedkategorier</v>
      </c>
      <c r="H36" s="421"/>
      <c r="I36" s="421"/>
      <c r="J36" s="421"/>
      <c r="K36" s="7"/>
      <c r="L36" s="7"/>
    </row>
    <row r="37" spans="3:12" ht="11.5" customHeight="1" x14ac:dyDescent="0.15">
      <c r="D37" s="6"/>
      <c r="E37" s="6"/>
      <c r="F37" s="6"/>
      <c r="G37" s="6"/>
      <c r="H37" s="6"/>
      <c r="I37" s="6"/>
      <c r="J37" s="6"/>
      <c r="K37" s="7"/>
      <c r="L37" s="7"/>
    </row>
    <row r="38" spans="3:12" ht="11.5" customHeight="1" x14ac:dyDescent="0.15">
      <c r="C38" s="6"/>
      <c r="D38" s="6"/>
      <c r="E38" s="6"/>
      <c r="F38" s="6"/>
      <c r="H38" s="6"/>
      <c r="I38" s="6"/>
      <c r="J38" s="6"/>
      <c r="K38" s="7"/>
      <c r="L38" s="7"/>
    </row>
    <row r="39" spans="3:12" ht="11.5" customHeight="1" x14ac:dyDescent="0.15">
      <c r="C39" s="6"/>
      <c r="D39" s="6"/>
      <c r="E39" s="6"/>
      <c r="F39" s="6"/>
      <c r="G39" s="6"/>
      <c r="H39" s="6"/>
      <c r="I39" s="6"/>
      <c r="J39" s="6"/>
      <c r="K39" s="7"/>
      <c r="L39" s="7"/>
    </row>
    <row r="40" spans="3:12" ht="11.5" customHeight="1" x14ac:dyDescent="0.15">
      <c r="C40" s="6"/>
      <c r="D40" s="6"/>
      <c r="E40" s="6"/>
      <c r="F40" s="6"/>
      <c r="G40" s="6"/>
      <c r="H40" s="6"/>
      <c r="I40" s="6"/>
      <c r="J40" s="6"/>
      <c r="K40" s="7"/>
      <c r="L40" s="7"/>
    </row>
    <row r="41" spans="3:12" ht="11.5" customHeight="1" x14ac:dyDescent="0.15">
      <c r="C41" s="6"/>
      <c r="D41" s="6"/>
      <c r="E41" s="6"/>
      <c r="F41" s="6"/>
      <c r="G41" s="6"/>
      <c r="H41" s="6"/>
      <c r="I41" s="6"/>
      <c r="J41" s="6"/>
      <c r="K41" s="7"/>
      <c r="L41" s="7"/>
    </row>
    <row r="42" spans="3:12" ht="11.5" customHeight="1" x14ac:dyDescent="0.15">
      <c r="C42" s="6"/>
      <c r="D42" s="6"/>
      <c r="E42" s="6"/>
      <c r="F42" s="6"/>
      <c r="G42" s="6"/>
      <c r="H42" s="6"/>
      <c r="I42" s="6"/>
      <c r="J42" s="6"/>
      <c r="K42" s="7"/>
      <c r="L42" s="7"/>
    </row>
    <row r="43" spans="3:12" ht="11.5" customHeight="1" x14ac:dyDescent="0.15">
      <c r="C43" s="6"/>
      <c r="D43" s="6"/>
      <c r="E43" s="6"/>
      <c r="F43" s="6"/>
      <c r="G43" s="6"/>
      <c r="H43" s="6"/>
      <c r="I43" s="6"/>
      <c r="J43" s="6"/>
      <c r="K43" s="7"/>
      <c r="L43" s="7"/>
    </row>
    <row r="44" spans="3:12" ht="11.5" customHeight="1" x14ac:dyDescent="0.15">
      <c r="C44" s="6"/>
      <c r="D44" s="6"/>
      <c r="E44" s="6"/>
      <c r="F44" s="6"/>
      <c r="G44" s="6"/>
      <c r="H44" s="6"/>
      <c r="I44" s="6"/>
      <c r="J44" s="6"/>
      <c r="K44" s="7"/>
      <c r="L44" s="7"/>
    </row>
    <row r="45" spans="3:12" ht="11.5" customHeight="1" x14ac:dyDescent="0.15">
      <c r="C45" s="6"/>
      <c r="D45" s="6"/>
      <c r="E45" s="6"/>
      <c r="F45" s="6"/>
      <c r="G45" s="6"/>
      <c r="H45" s="6"/>
      <c r="I45" s="6"/>
      <c r="J45" s="6"/>
      <c r="K45" s="7"/>
      <c r="L45" s="7"/>
    </row>
    <row r="46" spans="3:12" ht="11.5" customHeight="1" x14ac:dyDescent="0.15">
      <c r="C46" s="6"/>
      <c r="D46" s="6"/>
      <c r="E46" s="6"/>
      <c r="F46" s="6"/>
      <c r="G46" s="6"/>
      <c r="H46" s="6"/>
      <c r="I46" s="6"/>
      <c r="J46" s="6"/>
      <c r="K46" s="7"/>
      <c r="L46" s="7"/>
    </row>
    <row r="47" spans="3:12" ht="11.5" customHeight="1" x14ac:dyDescent="0.15">
      <c r="C47" s="6"/>
      <c r="D47" s="6"/>
      <c r="E47" s="6"/>
      <c r="F47" s="6"/>
      <c r="G47" s="6"/>
      <c r="H47" s="6"/>
      <c r="I47" s="6"/>
      <c r="J47" s="6"/>
      <c r="K47" s="7"/>
      <c r="L47" s="7"/>
    </row>
    <row r="48" spans="3:12" ht="11.5" customHeight="1" x14ac:dyDescent="0.15">
      <c r="C48" s="6"/>
      <c r="D48" s="6"/>
      <c r="E48" s="6"/>
      <c r="F48" s="6"/>
      <c r="G48" s="6"/>
      <c r="H48" s="6"/>
      <c r="I48" s="6"/>
      <c r="J48" s="6"/>
      <c r="K48" s="7"/>
      <c r="L48" s="7"/>
    </row>
    <row r="49" spans="3:12" ht="11.5" customHeight="1" x14ac:dyDescent="0.15">
      <c r="C49" s="6"/>
      <c r="D49" s="6"/>
      <c r="E49" s="6"/>
      <c r="F49" s="6"/>
      <c r="G49" s="6"/>
      <c r="H49" s="6"/>
      <c r="I49" s="6"/>
      <c r="J49" s="6"/>
      <c r="K49" s="7"/>
      <c r="L49" s="7"/>
    </row>
    <row r="50" spans="3:12" ht="11.5" customHeight="1" x14ac:dyDescent="0.15">
      <c r="C50" s="6"/>
      <c r="D50" s="6"/>
      <c r="E50" s="6"/>
      <c r="F50" s="6"/>
      <c r="G50" s="6"/>
      <c r="H50" s="6"/>
      <c r="I50" s="6"/>
      <c r="J50" s="6"/>
      <c r="K50" s="7"/>
      <c r="L50" s="7"/>
    </row>
    <row r="51" spans="3:12" ht="11.5" customHeight="1" x14ac:dyDescent="0.15">
      <c r="C51" s="6"/>
      <c r="D51" s="6"/>
      <c r="E51" s="6"/>
      <c r="F51" s="6"/>
      <c r="G51" s="6"/>
      <c r="H51" s="6"/>
      <c r="I51" s="6"/>
      <c r="J51" s="6"/>
      <c r="K51" s="7"/>
      <c r="L51" s="7"/>
    </row>
    <row r="52" spans="3:12" ht="11.5" customHeight="1" x14ac:dyDescent="0.15">
      <c r="C52" s="6"/>
      <c r="D52" s="6"/>
      <c r="E52" s="6"/>
      <c r="F52" s="6"/>
      <c r="G52" s="6"/>
      <c r="H52" s="6"/>
      <c r="I52" s="6"/>
      <c r="J52" s="6"/>
      <c r="K52" s="7"/>
      <c r="L52" s="7"/>
    </row>
    <row r="53" spans="3:12" ht="11.5" customHeight="1" x14ac:dyDescent="0.15">
      <c r="C53" s="6"/>
      <c r="D53" s="6"/>
      <c r="E53" s="6"/>
      <c r="F53" s="6"/>
      <c r="G53" s="6"/>
      <c r="H53" s="6"/>
      <c r="I53" s="6"/>
      <c r="J53" s="6"/>
      <c r="K53" s="7"/>
      <c r="L53" s="7"/>
    </row>
    <row r="54" spans="3:12" ht="11.5" customHeight="1" x14ac:dyDescent="0.15">
      <c r="C54" s="6"/>
      <c r="D54" s="6"/>
      <c r="E54" s="6"/>
      <c r="F54" s="6"/>
      <c r="G54" s="6"/>
      <c r="H54" s="6"/>
      <c r="I54" s="6"/>
      <c r="J54" s="6"/>
      <c r="K54" s="7"/>
      <c r="L54" s="7"/>
    </row>
    <row r="55" spans="3:12" ht="11.5" customHeight="1" x14ac:dyDescent="0.15">
      <c r="C55" s="6"/>
      <c r="D55" s="6"/>
      <c r="E55" s="6"/>
      <c r="F55" s="6"/>
      <c r="G55" s="6"/>
      <c r="H55" s="6"/>
      <c r="I55" s="6"/>
      <c r="J55" s="6"/>
      <c r="K55" s="7"/>
      <c r="L55" s="7"/>
    </row>
    <row r="56" spans="3:12" ht="11.5" customHeight="1" x14ac:dyDescent="0.15">
      <c r="C56" s="6"/>
      <c r="D56" s="6"/>
      <c r="E56" s="6"/>
      <c r="F56" s="6"/>
      <c r="G56" s="6"/>
      <c r="H56" s="6"/>
      <c r="I56" s="6"/>
      <c r="J56" s="6"/>
      <c r="K56" s="7"/>
      <c r="L56" s="7"/>
    </row>
    <row r="57" spans="3:12" ht="29.5" customHeight="1" x14ac:dyDescent="0.2">
      <c r="C57" s="439" t="str">
        <f>Tekstnøgler!C100</f>
        <v>Figur 3: CO₂e-udledning i ton (udenfor scopes) fordelt på hovedkategorier</v>
      </c>
      <c r="D57" s="439"/>
      <c r="E57" s="439"/>
      <c r="F57" s="439"/>
      <c r="G57" s="439"/>
      <c r="H57" s="440"/>
      <c r="I57" s="440"/>
      <c r="J57" s="440"/>
      <c r="K57" s="7"/>
      <c r="L57" s="7"/>
    </row>
    <row r="58" spans="3:12" ht="11.5" customHeight="1" x14ac:dyDescent="0.15">
      <c r="C58" s="6"/>
      <c r="D58" s="6"/>
      <c r="E58" s="6"/>
      <c r="F58" s="6"/>
      <c r="G58" s="6"/>
      <c r="H58" s="6"/>
      <c r="I58" s="6"/>
      <c r="J58" s="6"/>
      <c r="K58" s="7"/>
      <c r="L58" s="7"/>
    </row>
    <row r="59" spans="3:12" ht="11.5" customHeight="1" x14ac:dyDescent="0.15">
      <c r="D59" s="6"/>
      <c r="E59" s="6"/>
      <c r="F59" s="6"/>
      <c r="G59" s="6"/>
      <c r="H59" s="6"/>
      <c r="I59" s="6"/>
      <c r="J59" s="6"/>
      <c r="K59" s="7"/>
      <c r="L59" s="7"/>
    </row>
    <row r="60" spans="3:12" ht="11.5" customHeight="1" x14ac:dyDescent="0.15">
      <c r="C60" s="6"/>
      <c r="D60" s="6"/>
      <c r="E60" s="6"/>
      <c r="F60" s="6"/>
      <c r="G60" s="6"/>
      <c r="H60" s="6"/>
      <c r="I60" s="6"/>
      <c r="J60" s="6"/>
      <c r="K60" s="7"/>
      <c r="L60" s="7"/>
    </row>
    <row r="61" spans="3:12" ht="11.5" customHeight="1" x14ac:dyDescent="0.15">
      <c r="C61" s="6"/>
      <c r="D61" s="6"/>
      <c r="E61" s="6"/>
      <c r="F61" s="6"/>
      <c r="G61" s="6"/>
      <c r="H61" s="6"/>
      <c r="I61" s="6"/>
      <c r="J61" s="6"/>
      <c r="K61" s="7"/>
      <c r="L61" s="7"/>
    </row>
    <row r="62" spans="3:12" ht="11.5" customHeight="1" x14ac:dyDescent="0.15">
      <c r="C62" s="6"/>
      <c r="D62" s="6"/>
      <c r="E62" s="6"/>
      <c r="F62" s="6"/>
      <c r="G62" s="6"/>
      <c r="H62" s="6"/>
      <c r="I62" s="6"/>
      <c r="J62" s="6"/>
      <c r="K62" s="7"/>
      <c r="L62" s="7"/>
    </row>
    <row r="63" spans="3:12" ht="11.5" customHeight="1" x14ac:dyDescent="0.15">
      <c r="C63" s="6"/>
      <c r="D63" s="6"/>
      <c r="E63" s="6"/>
      <c r="F63" s="6"/>
      <c r="G63" s="6"/>
      <c r="H63" s="6"/>
      <c r="I63" s="6"/>
      <c r="J63" s="6"/>
      <c r="K63" s="7"/>
      <c r="L63" s="7"/>
    </row>
    <row r="64" spans="3:12" ht="11.5" customHeight="1" x14ac:dyDescent="0.15">
      <c r="C64" s="6"/>
      <c r="D64" s="6"/>
      <c r="E64" s="6"/>
      <c r="F64" s="6"/>
      <c r="G64" s="6"/>
      <c r="H64" s="6"/>
      <c r="I64" s="6"/>
      <c r="J64" s="6"/>
      <c r="K64" s="7"/>
      <c r="L64" s="7"/>
    </row>
    <row r="65" spans="3:12" ht="11.5" customHeight="1" x14ac:dyDescent="0.15">
      <c r="C65" s="6"/>
      <c r="D65" s="6"/>
      <c r="E65" s="6"/>
      <c r="F65" s="6"/>
      <c r="G65" s="6"/>
      <c r="H65" s="6"/>
      <c r="I65" s="6"/>
      <c r="J65" s="6"/>
      <c r="K65" s="7"/>
      <c r="L65" s="7"/>
    </row>
    <row r="66" spans="3:12" ht="11.5" customHeight="1" x14ac:dyDescent="0.15">
      <c r="C66" s="6"/>
      <c r="D66" s="6"/>
      <c r="E66" s="6"/>
      <c r="F66" s="6"/>
      <c r="G66" s="6"/>
      <c r="H66" s="6"/>
      <c r="I66" s="6"/>
      <c r="J66" s="6"/>
      <c r="K66" s="7"/>
      <c r="L66" s="7"/>
    </row>
    <row r="67" spans="3:12" ht="11.5" customHeight="1" x14ac:dyDescent="0.15">
      <c r="C67" s="6"/>
      <c r="D67" s="6"/>
      <c r="E67" s="6"/>
      <c r="F67" s="6"/>
      <c r="G67" s="6"/>
      <c r="H67" s="6"/>
      <c r="I67" s="6"/>
      <c r="J67" s="6"/>
      <c r="K67" s="7"/>
      <c r="L67" s="7"/>
    </row>
    <row r="68" spans="3:12" ht="11.5" customHeight="1" x14ac:dyDescent="0.15">
      <c r="C68" s="6"/>
      <c r="D68" s="6"/>
      <c r="E68" s="6"/>
      <c r="F68" s="6"/>
      <c r="G68" s="6"/>
      <c r="H68" s="6"/>
      <c r="I68" s="6"/>
      <c r="J68" s="6"/>
      <c r="K68" s="7"/>
      <c r="L68" s="7"/>
    </row>
    <row r="69" spans="3:12" ht="11.5" customHeight="1" x14ac:dyDescent="0.15">
      <c r="C69" s="6"/>
      <c r="D69" s="6"/>
      <c r="E69" s="6"/>
      <c r="F69" s="6"/>
      <c r="G69" s="6"/>
      <c r="H69" s="6"/>
      <c r="I69" s="6"/>
      <c r="J69" s="6"/>
      <c r="K69" s="7"/>
      <c r="L69" s="7"/>
    </row>
    <row r="70" spans="3:12" ht="11.5" customHeight="1" x14ac:dyDescent="0.15">
      <c r="C70" s="6"/>
      <c r="D70" s="6"/>
      <c r="E70" s="6"/>
      <c r="F70" s="6"/>
      <c r="G70" s="6"/>
      <c r="H70" s="6"/>
      <c r="I70" s="6"/>
      <c r="J70" s="6"/>
      <c r="K70" s="7"/>
      <c r="L70" s="7"/>
    </row>
    <row r="71" spans="3:12" ht="11.5" customHeight="1" x14ac:dyDescent="0.15">
      <c r="C71" s="6"/>
      <c r="D71" s="6"/>
      <c r="E71" s="6"/>
      <c r="F71" s="6"/>
      <c r="H71" s="6"/>
      <c r="I71" s="6"/>
      <c r="J71" s="6"/>
      <c r="K71" s="7"/>
      <c r="L71" s="7"/>
    </row>
    <row r="72" spans="3:12" ht="11.5" customHeight="1" x14ac:dyDescent="0.15">
      <c r="C72" s="6"/>
      <c r="D72" s="6"/>
      <c r="E72" s="6"/>
      <c r="F72" s="6"/>
      <c r="G72" s="6"/>
      <c r="H72" s="6"/>
      <c r="I72" s="6"/>
      <c r="J72" s="6"/>
      <c r="K72" s="7"/>
      <c r="L72" s="7"/>
    </row>
    <row r="73" spans="3:12" ht="11.5" customHeight="1" x14ac:dyDescent="0.15">
      <c r="C73" s="6"/>
      <c r="D73" s="6"/>
      <c r="E73" s="6"/>
      <c r="F73" s="6"/>
      <c r="G73" s="6"/>
      <c r="H73" s="6"/>
      <c r="I73" s="6"/>
      <c r="J73" s="6"/>
      <c r="K73" s="7"/>
      <c r="L73" s="7"/>
    </row>
    <row r="74" spans="3:12" ht="11.5" customHeight="1" x14ac:dyDescent="0.15">
      <c r="C74" s="6"/>
      <c r="D74" s="6"/>
      <c r="E74" s="6"/>
      <c r="F74" s="6"/>
      <c r="G74" s="6"/>
      <c r="H74" s="6"/>
      <c r="I74" s="6"/>
      <c r="J74" s="6"/>
      <c r="K74" s="7"/>
      <c r="L74" s="7"/>
    </row>
    <row r="75" spans="3:12" ht="11.5" customHeight="1" x14ac:dyDescent="0.15">
      <c r="C75" s="6"/>
      <c r="D75" s="6"/>
      <c r="E75" s="6"/>
      <c r="F75" s="6"/>
      <c r="G75" s="6"/>
      <c r="H75" s="6"/>
      <c r="I75" s="6"/>
      <c r="J75" s="6"/>
      <c r="K75" s="7"/>
      <c r="L75" s="7"/>
    </row>
    <row r="76" spans="3:12" ht="11.5" customHeight="1" x14ac:dyDescent="0.15">
      <c r="C76" s="6"/>
      <c r="D76" s="6"/>
      <c r="E76" s="6"/>
      <c r="F76" s="6"/>
      <c r="G76" s="6"/>
      <c r="H76" s="6"/>
      <c r="I76" s="6"/>
      <c r="J76" s="6"/>
      <c r="K76" s="7"/>
      <c r="L76" s="7"/>
    </row>
    <row r="77" spans="3:12" ht="11.5" customHeight="1" x14ac:dyDescent="0.15">
      <c r="C77" s="6"/>
      <c r="D77" s="6"/>
      <c r="E77" s="6"/>
      <c r="F77" s="6"/>
      <c r="G77" s="6"/>
      <c r="H77" s="6"/>
      <c r="I77" s="6"/>
      <c r="J77" s="6"/>
      <c r="K77" s="7"/>
      <c r="L77" s="7"/>
    </row>
    <row r="78" spans="3:12" ht="33" customHeight="1" x14ac:dyDescent="0.2">
      <c r="C78" s="2" t="str">
        <f>Tekstnøgler!C102</f>
        <v>Nøgletal</v>
      </c>
      <c r="D78" s="6"/>
      <c r="E78" s="9"/>
      <c r="F78" s="9"/>
      <c r="G78" s="10"/>
      <c r="H78" s="11"/>
      <c r="I78" s="7"/>
      <c r="J78" s="7"/>
      <c r="K78" s="7"/>
      <c r="L78" s="7"/>
    </row>
    <row r="79" spans="3:12" ht="11.5" customHeight="1" x14ac:dyDescent="0.15">
      <c r="C79" s="6"/>
      <c r="D79" s="6"/>
      <c r="E79" s="19"/>
      <c r="F79" s="19"/>
      <c r="H79" s="20"/>
      <c r="I79" s="20"/>
      <c r="J79" s="20"/>
      <c r="K79" s="12"/>
      <c r="L79" s="7"/>
    </row>
    <row r="80" spans="3:12" ht="43" customHeight="1" thickBot="1" x14ac:dyDescent="0.25">
      <c r="C80" s="422" t="str">
        <f>Tekstnøgler!C103</f>
        <v>Denne tabel viser beregninger af nøgletal i tilfælde af, at der under Stamdata er indtastet data for hhv. antal fuldtidsansatte i virksomheden, nettoomsætning og areal.</v>
      </c>
      <c r="D80" s="423"/>
      <c r="E80" s="423"/>
      <c r="F80" s="423"/>
      <c r="G80" s="7"/>
      <c r="H80" s="7"/>
      <c r="I80" s="7"/>
      <c r="J80" s="7"/>
      <c r="K80" s="7"/>
      <c r="L80" s="7"/>
    </row>
    <row r="81" spans="3:12" ht="14.5" customHeight="1" thickBot="1" x14ac:dyDescent="0.2">
      <c r="C81" s="24" t="str">
        <f>Tekstnøgler!C104</f>
        <v>Nøgletalsberegninger</v>
      </c>
      <c r="D81" s="21"/>
      <c r="E81" s="21" t="str">
        <f>Tekstnøgler!C105</f>
        <v>Ton CO₂e</v>
      </c>
      <c r="F81" s="7"/>
      <c r="G81" s="7"/>
      <c r="H81" s="7"/>
      <c r="I81" s="7"/>
      <c r="J81" s="7"/>
      <c r="K81" s="7"/>
      <c r="L81" s="7"/>
    </row>
    <row r="82" spans="3:12" ht="14.5" customHeight="1" thickBot="1" x14ac:dyDescent="0.2">
      <c r="C82" s="437" t="str">
        <f>Tekstnøgler!C106</f>
        <v>CO₂e pr. ansat</v>
      </c>
      <c r="D82" s="438"/>
      <c r="E82" s="253">
        <f>IF(ISBLANK(Stamdata!B56),"",D29/Stamdata!B56)</f>
        <v>204.61217116508999</v>
      </c>
    </row>
    <row r="83" spans="3:12" ht="14.5" customHeight="1" thickBot="1" x14ac:dyDescent="0.2">
      <c r="C83" s="437" t="str">
        <f>Tekstnøgler!C107</f>
        <v>CO₂e pr. mio. kr. nettoomsætning</v>
      </c>
      <c r="D83" s="438"/>
      <c r="E83" s="253">
        <f>IF(ISBLANK(Stamdata!B59),"",D29/Stamdata!B59)</f>
        <v>444.80906775019565</v>
      </c>
    </row>
    <row r="84" spans="3:12" ht="14.5" customHeight="1" thickBot="1" x14ac:dyDescent="0.2">
      <c r="C84" s="437" t="str">
        <f>Tekstnøgler!C108</f>
        <v>CO₂e pr. m2</v>
      </c>
      <c r="D84" s="438"/>
      <c r="E84" s="253">
        <f>IF(ISBLANK(Stamdata!B62),"",D29/Stamdata!B62)</f>
        <v>2.0461217116508998</v>
      </c>
      <c r="F84" s="7"/>
      <c r="G84" s="7"/>
      <c r="H84" s="7"/>
      <c r="I84" s="7"/>
      <c r="J84" s="7"/>
      <c r="K84" s="7"/>
      <c r="L84" s="7"/>
    </row>
    <row r="85" spans="3:12" ht="11.5" customHeight="1" x14ac:dyDescent="0.15">
      <c r="C85" s="7"/>
      <c r="D85" s="7"/>
      <c r="E85" s="7"/>
      <c r="F85" s="7"/>
      <c r="G85" s="7"/>
      <c r="H85" s="7"/>
      <c r="I85" s="7"/>
      <c r="J85" s="7"/>
      <c r="K85" s="7"/>
      <c r="L85" s="7"/>
    </row>
    <row r="87" spans="3:12" ht="20" x14ac:dyDescent="0.2">
      <c r="C87" s="2" t="str">
        <f>Tekstnøgler!C109</f>
        <v>Egne bemærkninger</v>
      </c>
    </row>
    <row r="89" spans="3:12" x14ac:dyDescent="0.15">
      <c r="C89" s="426" t="s">
        <v>46</v>
      </c>
      <c r="D89" s="427"/>
      <c r="E89" s="428"/>
    </row>
    <row r="90" spans="3:12" x14ac:dyDescent="0.15">
      <c r="C90" s="429"/>
      <c r="D90" s="430"/>
      <c r="E90" s="431"/>
    </row>
    <row r="91" spans="3:12" x14ac:dyDescent="0.15">
      <c r="C91" s="429"/>
      <c r="D91" s="430"/>
      <c r="E91" s="431"/>
    </row>
    <row r="92" spans="3:12" x14ac:dyDescent="0.15">
      <c r="C92" s="432"/>
      <c r="D92" s="433"/>
      <c r="E92" s="434"/>
    </row>
  </sheetData>
  <mergeCells count="19">
    <mergeCell ref="C89:E92"/>
    <mergeCell ref="C13:D13"/>
    <mergeCell ref="C14:D14"/>
    <mergeCell ref="C34:G34"/>
    <mergeCell ref="C82:D82"/>
    <mergeCell ref="C83:D83"/>
    <mergeCell ref="C84:D84"/>
    <mergeCell ref="C57:F57"/>
    <mergeCell ref="G57:J57"/>
    <mergeCell ref="C36:F36"/>
    <mergeCell ref="C19:G19"/>
    <mergeCell ref="D22:D23"/>
    <mergeCell ref="E22:E23"/>
    <mergeCell ref="F22:F23"/>
    <mergeCell ref="C21:F21"/>
    <mergeCell ref="G36:J36"/>
    <mergeCell ref="C80:F80"/>
    <mergeCell ref="C6:D6"/>
    <mergeCell ref="C10:J10"/>
  </mergeCells>
  <hyperlinks>
    <hyperlink ref="H2" location="Forside!A1" display="Forside!A1" xr:uid="{E0E24DF4-E76A-1040-AEBB-22303136AC64}"/>
  </hyperlinks>
  <pageMargins left="0.7" right="0.7" top="0.75" bottom="0.75" header="0.3" footer="0.3"/>
  <pageSetup paperSize="9" orientation="portrait" r:id="rId1"/>
  <headerFooter>
    <oddHeader>&amp;R&amp;"Calibri"&amp;10&amp;K000000 INTERNAL&amp;1#_x000D_</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1:K98"/>
  <sheetViews>
    <sheetView topLeftCell="A17" zoomScaleNormal="100" workbookViewId="0">
      <selection activeCell="C29" sqref="C29"/>
    </sheetView>
  </sheetViews>
  <sheetFormatPr baseColWidth="10" defaultColWidth="9.5" defaultRowHeight="13" x14ac:dyDescent="0.15"/>
  <cols>
    <col min="1" max="2" width="2.83203125" style="3" customWidth="1"/>
    <col min="3" max="3" width="63.33203125" style="3" customWidth="1"/>
    <col min="4" max="6" width="21.5" style="3" customWidth="1"/>
    <col min="7" max="7" width="21.83203125" style="3" customWidth="1"/>
    <col min="8" max="8" width="2.5" style="3" customWidth="1"/>
    <col min="9" max="16384" width="9.5" style="3"/>
  </cols>
  <sheetData>
    <row r="1" spans="3:7" ht="15" customHeight="1" x14ac:dyDescent="0.15"/>
    <row r="2" spans="3:7" ht="21" customHeight="1" x14ac:dyDescent="0.2">
      <c r="C2" s="26" t="str">
        <f>Tekstnøgler!C33</f>
        <v>Resultat</v>
      </c>
      <c r="D2" s="27"/>
      <c r="E2" s="27"/>
      <c r="F2" s="363" t="str">
        <f>Tekstnøgler!C2</f>
        <v>&lt;-- Gå til forsiden</v>
      </c>
      <c r="G2" s="27"/>
    </row>
    <row r="3" spans="3:7" ht="15" customHeight="1" x14ac:dyDescent="0.2">
      <c r="C3" s="2"/>
    </row>
    <row r="4" spans="3:7" ht="15" customHeight="1" x14ac:dyDescent="0.2">
      <c r="C4" s="2"/>
    </row>
    <row r="5" spans="3:7" ht="21" customHeight="1" x14ac:dyDescent="0.2">
      <c r="C5" s="29" t="str">
        <f>Hovedresultater!C5</f>
        <v>Resultat for 0 (År) - Tiltagscase</v>
      </c>
      <c r="D5" s="2"/>
    </row>
    <row r="6" spans="3:7" ht="21" customHeight="1" x14ac:dyDescent="0.2">
      <c r="C6" s="424" t="str">
        <f>Hovedresultater!C6</f>
        <v>10.230,61 ton CO₂e</v>
      </c>
      <c r="D6" s="424"/>
      <c r="E6" s="2"/>
    </row>
    <row r="7" spans="3:7" ht="16.5" customHeight="1" x14ac:dyDescent="0.2">
      <c r="C7" s="30"/>
      <c r="D7" s="30"/>
      <c r="E7" s="2"/>
    </row>
    <row r="8" spans="3:7" ht="16.5" customHeight="1" x14ac:dyDescent="0.2">
      <c r="C8" s="2" t="str">
        <f>Tekstnøgler!C71</f>
        <v>Metodevalg</v>
      </c>
    </row>
    <row r="10" spans="3:7" ht="73.5" customHeight="1" x14ac:dyDescent="0.15">
      <c r="C10" s="413" t="str">
        <f>Tekstnøgler!C72</f>
        <v>Resultaterne baserer sig på en række metodiske valg, der er foretaget i forbindelse med beregningerne. I nedenstående tabel kan du se, hvorvidt Radiative Forcing Index (RFI) er medregnet i forbindelse med udledninger fra flytransport. At medregne (eller korrigere for) RFI betyder, at der er taget højde for, at CO₂e udledt højere oppe i atmosfæren har en større drivhuseffekt end CO₂e udledt ved landjorden. Tabellen viser også, om emissionsfaktoren for el baserer sig på det årlige gennemsnit for sammensætningen af produktionen af el (miljødeklaration), eller om der i emissionsfaktoren korrigeres for virksomheders køb af grønne certifikater, såkaldte oprindelsesgarantier (eldeklaration).</v>
      </c>
      <c r="D10" s="413"/>
      <c r="E10" s="413"/>
      <c r="F10" s="413"/>
      <c r="G10" s="413"/>
    </row>
    <row r="11" spans="3:7" ht="15" customHeight="1" thickBot="1" x14ac:dyDescent="0.2">
      <c r="C11" s="49"/>
      <c r="D11" s="49"/>
      <c r="E11" s="49"/>
    </row>
    <row r="12" spans="3:7" ht="15" customHeight="1" x14ac:dyDescent="0.15">
      <c r="C12" s="50" t="str">
        <f>Tekstnøgler!C73</f>
        <v>Emissionsfaktor</v>
      </c>
      <c r="D12" s="51" t="str">
        <f>Tekstnøgler!C74</f>
        <v>Metodevalg</v>
      </c>
      <c r="E12" s="49"/>
    </row>
    <row r="13" spans="3:7" ht="15" thickBot="1" x14ac:dyDescent="0.2">
      <c r="C13" s="52" t="str">
        <f>Tekstnøgler!C75</f>
        <v>Valg af emissionsfaktor for elektricitet</v>
      </c>
      <c r="D13" s="230" t="str">
        <f>IF(ISBLANK(Hovedresultater!$E13),"",Hovedresultater!$E13)</f>
        <v>Eldeklaration</v>
      </c>
      <c r="E13" s="49"/>
    </row>
    <row r="14" spans="3:7" ht="15" thickBot="1" x14ac:dyDescent="0.2">
      <c r="C14" s="52" t="str">
        <f>Tekstnøgler!C76</f>
        <v>Emissionsfaktor for flytransport</v>
      </c>
      <c r="D14" s="230" t="str">
        <f>IF(ISBLANK(Hovedresultater!$E14),"",Hovedresultater!$E14)</f>
        <v>Inkluder RFI</v>
      </c>
    </row>
    <row r="15" spans="3:7" x14ac:dyDescent="0.15">
      <c r="C15" s="54"/>
      <c r="D15" s="54"/>
    </row>
    <row r="17" spans="3:11" ht="20" x14ac:dyDescent="0.2">
      <c r="C17" s="26" t="str">
        <f>Tekstnøgler!C112</f>
        <v>Delresultater</v>
      </c>
      <c r="E17" s="27"/>
    </row>
    <row r="18" spans="3:11" x14ac:dyDescent="0.15">
      <c r="D18" s="31"/>
      <c r="F18" s="31"/>
      <c r="G18" s="31"/>
    </row>
    <row r="19" spans="3:11" ht="28.5" customHeight="1" x14ac:dyDescent="0.15">
      <c r="C19" s="422" t="str">
        <f>Tekstnøgler!C113</f>
        <v>Her ses en mere detaljeret resultatvisning. Tabellen viser alle underkategorierne, der kan angives data for, den tilhørende udledning i ton CO₂e og underkategoriens samlede andel af de totale udledninger.</v>
      </c>
      <c r="D19" s="422"/>
      <c r="E19" s="422"/>
      <c r="F19" s="422"/>
      <c r="G19" s="422"/>
    </row>
    <row r="20" spans="3:11" ht="14.25" customHeight="1" thickBot="1" x14ac:dyDescent="0.2">
      <c r="C20" s="6"/>
      <c r="D20" s="6"/>
      <c r="E20" s="6"/>
      <c r="F20" s="6"/>
      <c r="G20" s="6"/>
    </row>
    <row r="21" spans="3:11" s="48" customFormat="1" ht="19.25" customHeight="1" thickBot="1" x14ac:dyDescent="0.2">
      <c r="C21" s="443" t="str">
        <f>Tekstnøgler!C114</f>
        <v>Oversigt over CO₂e-udledningen fordelt på hoved- og underkategorier</v>
      </c>
      <c r="D21" s="444"/>
      <c r="E21" s="444"/>
      <c r="F21" s="444"/>
    </row>
    <row r="22" spans="3:11" s="48" customFormat="1" ht="14.5" customHeight="1" x14ac:dyDescent="0.15">
      <c r="C22" s="186" t="str">
        <f>Tekstnøgler!C115</f>
        <v>Hovedkategori</v>
      </c>
      <c r="D22" s="441" t="str">
        <f>Tekstnøgler!C85</f>
        <v>Udledning i ton CO₂e
(scope 1+2+3)</v>
      </c>
      <c r="E22" s="441" t="str">
        <f>Tekstnøgler!C86</f>
        <v>Andel af udledning
(scope 1+2+3)</v>
      </c>
      <c r="F22" s="441" t="str">
        <f>Tekstnøgler!C87</f>
        <v>Udledning i ton CO₂e (udenfor scopes)</v>
      </c>
    </row>
    <row r="23" spans="3:11" s="48" customFormat="1" ht="27" customHeight="1" thickBot="1" x14ac:dyDescent="0.2">
      <c r="C23" s="187"/>
      <c r="D23" s="442"/>
      <c r="E23" s="442"/>
      <c r="F23" s="442"/>
    </row>
    <row r="24" spans="3:11" s="48" customFormat="1" ht="14.5" customHeight="1" x14ac:dyDescent="0.15">
      <c r="C24" s="45" t="str">
        <f>Tekstnøgler!C90</f>
        <v>Energi og processer</v>
      </c>
      <c r="D24" s="46">
        <f>D25+D28+D32+D35</f>
        <v>2699.8361128161005</v>
      </c>
      <c r="E24" s="350">
        <f>E25+E28+E32+E35</f>
        <v>0.26389789986029277</v>
      </c>
      <c r="F24" s="46">
        <f>F25+F28+F32+F35</f>
        <v>137.48753816509998</v>
      </c>
    </row>
    <row r="25" spans="3:11" s="48" customFormat="1" ht="14.5" customHeight="1" x14ac:dyDescent="0.15">
      <c r="C25" s="47" t="str">
        <f>Tekstnøgler!C121</f>
        <v>Elektricitet</v>
      </c>
      <c r="D25" s="344">
        <f>SUM(D26:D27)</f>
        <v>2182.8961455214003</v>
      </c>
      <c r="E25" s="351">
        <f>SUM(E26:E27)</f>
        <v>0.21336913958653464</v>
      </c>
      <c r="F25" s="344">
        <f>SUM(F26:F27)</f>
        <v>129.88681422709999</v>
      </c>
      <c r="K25" s="190"/>
    </row>
    <row r="26" spans="3:11" s="48" customFormat="1" ht="14.5" customHeight="1" x14ac:dyDescent="0.15">
      <c r="C26" s="17" t="str">
        <f>Tekstnøgler!C122</f>
        <v>Forbrug af elektricitet</v>
      </c>
      <c r="D26" s="253">
        <f>SUM('Delresultater (GHG)'!D26:F26)</f>
        <v>2182.8961455214003</v>
      </c>
      <c r="E26" s="352">
        <f>IF($D$98 = 0,0,$D26/$D$98)</f>
        <v>0.21336913958653464</v>
      </c>
      <c r="F26" s="253">
        <f>'Delresultater (GHG)'!D110</f>
        <v>129.88681422709999</v>
      </c>
    </row>
    <row r="27" spans="3:11" s="48" customFormat="1" ht="14" x14ac:dyDescent="0.15">
      <c r="C27" s="17" t="str">
        <f>Tekstnøgler!C123</f>
        <v>Forbrug af elektricitet med egne emissionsfaktorer</v>
      </c>
      <c r="D27" s="253">
        <f>SUM('Delresultater (GHG)'!D27:F27)</f>
        <v>0</v>
      </c>
      <c r="E27" s="352">
        <f>IF($D$98 = 0,0,$D27/$D$98)</f>
        <v>0</v>
      </c>
      <c r="F27" s="253">
        <f>'Delresultater (GHG)'!D111</f>
        <v>0</v>
      </c>
    </row>
    <row r="28" spans="3:11" s="48" customFormat="1" ht="14.5" customHeight="1" x14ac:dyDescent="0.15">
      <c r="C28" s="47" t="str">
        <f>Tekstnøgler!C124</f>
        <v>Varme og procesenergi</v>
      </c>
      <c r="D28" s="344">
        <f>SUM(D29:D31)</f>
        <v>516.93996729469995</v>
      </c>
      <c r="E28" s="351">
        <f>SUM(E29:E31)</f>
        <v>5.0528760273758133E-2</v>
      </c>
      <c r="F28" s="344">
        <f>SUM(F29:F31)</f>
        <v>7.6007239379999998</v>
      </c>
    </row>
    <row r="29" spans="3:11" s="48" customFormat="1" ht="14.5" customHeight="1" x14ac:dyDescent="0.15">
      <c r="C29" s="17" t="str">
        <f>Tekstnøgler!C125</f>
        <v>Fjernvarme</v>
      </c>
      <c r="D29" s="253">
        <f>SUM('Delresultater (GHG)'!D29:F29)</f>
        <v>0</v>
      </c>
      <c r="E29" s="352">
        <f>IF($D$98 = 0,0,$D29/$D$98)</f>
        <v>0</v>
      </c>
      <c r="F29" s="253">
        <f>'Delresultater (GHG)'!D113</f>
        <v>0</v>
      </c>
    </row>
    <row r="30" spans="3:11" s="48" customFormat="1" ht="14.5" customHeight="1" x14ac:dyDescent="0.15">
      <c r="C30" s="17" t="str">
        <f>Tekstnøgler!C126</f>
        <v>Brændsler</v>
      </c>
      <c r="D30" s="253">
        <f>SUM('Delresultater (GHG)'!D30:F30)</f>
        <v>516.93996729469995</v>
      </c>
      <c r="E30" s="352">
        <f>IF($D$98 = 0,0,$D30/$D$98)</f>
        <v>5.0528760273758133E-2</v>
      </c>
      <c r="F30" s="253">
        <f>'Delresultater (GHG)'!D114</f>
        <v>7.6007239379999998</v>
      </c>
    </row>
    <row r="31" spans="3:11" s="48" customFormat="1" ht="14.5" customHeight="1" x14ac:dyDescent="0.15">
      <c r="C31" s="17" t="str">
        <f>Tekstnøgler!C127</f>
        <v>Varme og procesenergi med egne emissionsfaktorer</v>
      </c>
      <c r="D31" s="253">
        <f>SUM('Delresultater (GHG)'!D31:F31)</f>
        <v>0</v>
      </c>
      <c r="E31" s="352">
        <f>IF($D$98 = 0,0,$D31/$D$98)</f>
        <v>0</v>
      </c>
      <c r="F31" s="253">
        <f>'Delresultater (GHG)'!D115</f>
        <v>0</v>
      </c>
    </row>
    <row r="32" spans="3:11" s="48" customFormat="1" ht="14.5" customHeight="1" x14ac:dyDescent="0.15">
      <c r="C32" s="47" t="str">
        <f>Tekstnøgler!C128</f>
        <v>Procesudledning</v>
      </c>
      <c r="D32" s="344">
        <f>SUM(D33:D34)</f>
        <v>0</v>
      </c>
      <c r="E32" s="351">
        <f>SUM(E33:E34)</f>
        <v>0</v>
      </c>
      <c r="F32" s="344">
        <f>SUM(F33:F34)</f>
        <v>0</v>
      </c>
    </row>
    <row r="33" spans="3:6" s="48" customFormat="1" ht="14.5" customHeight="1" x14ac:dyDescent="0.15">
      <c r="C33" s="17" t="str">
        <f>Tekstnøgler!C129</f>
        <v>Procesudledning</v>
      </c>
      <c r="D33" s="253">
        <f>SUM('Delresultater (GHG)'!D33:F33)</f>
        <v>0</v>
      </c>
      <c r="E33" s="352">
        <f>IF($D$98 = 0,0,$D33/$D$98)</f>
        <v>0</v>
      </c>
      <c r="F33" s="253">
        <f>'Delresultater (GHG)'!D117</f>
        <v>0</v>
      </c>
    </row>
    <row r="34" spans="3:6" s="48" customFormat="1" ht="14.5" customHeight="1" x14ac:dyDescent="0.15">
      <c r="C34" s="17" t="str">
        <f>Tekstnøgler!C130</f>
        <v>Procesudledning med egne emissionsfaktorer</v>
      </c>
      <c r="D34" s="253">
        <f>SUM('Delresultater (GHG)'!D34:F34)</f>
        <v>0</v>
      </c>
      <c r="E34" s="352">
        <f>IF($D$98 = 0,0,$D34/$D$98)</f>
        <v>0</v>
      </c>
      <c r="F34" s="253">
        <f>'Delresultater (GHG)'!D118</f>
        <v>0</v>
      </c>
    </row>
    <row r="35" spans="3:6" s="48" customFormat="1" ht="14" x14ac:dyDescent="0.15">
      <c r="C35" s="47" t="str">
        <f>Tekstnøgler!C131</f>
        <v>Andet udledning ved energi og processer</v>
      </c>
      <c r="D35" s="344">
        <f>SUM('Delresultater (GHG)'!D35:F35)</f>
        <v>0</v>
      </c>
      <c r="E35" s="351">
        <f xml:space="preserve"> IF($D$98 = 0,0,$D35/$D$98)</f>
        <v>0</v>
      </c>
      <c r="F35" s="344">
        <f>'Delresultater (GHG)'!D119</f>
        <v>0</v>
      </c>
    </row>
    <row r="36" spans="3:6" s="48" customFormat="1" ht="14.5" customHeight="1" x14ac:dyDescent="0.15">
      <c r="C36" s="45" t="str">
        <f>Tekstnøgler!C91</f>
        <v>Indkøb</v>
      </c>
      <c r="D36" s="46">
        <f>D37+D51</f>
        <v>6765.5856396935997</v>
      </c>
      <c r="E36" s="353">
        <f>E37+E51</f>
        <v>0.66130823021616159</v>
      </c>
      <c r="F36" s="46">
        <f>F37+F51</f>
        <v>0</v>
      </c>
    </row>
    <row r="37" spans="3:6" s="48" customFormat="1" ht="14.5" customHeight="1" x14ac:dyDescent="0.15">
      <c r="C37" s="47" t="str">
        <f>Tekstnøgler!C133</f>
        <v>Primære indkøb af råvarer til produktion</v>
      </c>
      <c r="D37" s="344">
        <f>D38+D43+D48</f>
        <v>6765.5856396935997</v>
      </c>
      <c r="E37" s="351">
        <f>E38+E43+E48</f>
        <v>0.66130823021616159</v>
      </c>
      <c r="F37" s="344">
        <f>F38+F43+F48</f>
        <v>0</v>
      </c>
    </row>
    <row r="38" spans="3:6" s="48" customFormat="1" ht="14.5" customHeight="1" x14ac:dyDescent="0.15">
      <c r="C38" s="47" t="str">
        <f>Tekstnøgler!C134</f>
        <v>Materialer (primære indkøb)</v>
      </c>
      <c r="D38" s="344">
        <f>SUM(D39:D42)</f>
        <v>6760.9302031130001</v>
      </c>
      <c r="E38" s="351">
        <f>SUM(E39:E42)</f>
        <v>0.66085318039638874</v>
      </c>
      <c r="F38" s="344">
        <f>SUM(F39:F42)</f>
        <v>0</v>
      </c>
    </row>
    <row r="39" spans="3:6" s="48" customFormat="1" ht="14.5" customHeight="1" x14ac:dyDescent="0.15">
      <c r="C39" s="17" t="str">
        <f>Tekstnøgler!C135</f>
        <v>Indkøb af materialer i fysiske enheder</v>
      </c>
      <c r="D39" s="253">
        <f>SUM('Delresultater (GHG)'!D39:F39)</f>
        <v>6760.9302031130001</v>
      </c>
      <c r="E39" s="352">
        <f>IF($D$98 = 0,0,$D39/$D$98)</f>
        <v>0.66085318039638874</v>
      </c>
      <c r="F39" s="253">
        <f>'Delresultater (GHG)'!D123</f>
        <v>0</v>
      </c>
    </row>
    <row r="40" spans="3:6" s="48" customFormat="1" ht="14.5" customHeight="1" x14ac:dyDescent="0.15">
      <c r="C40" s="17" t="str">
        <f>Tekstnøgler!C136</f>
        <v>Indkøb af materialer i monetære enheder (beløb i DKK)</v>
      </c>
      <c r="D40" s="253">
        <f>SUM('Delresultater (GHG)'!D40:F40)</f>
        <v>0</v>
      </c>
      <c r="E40" s="352">
        <f t="shared" ref="E40:E42" si="0">IF($D$98 = 0,0,$D40/$D$98)</f>
        <v>0</v>
      </c>
      <c r="F40" s="253">
        <f>'Delresultater (GHG)'!D124</f>
        <v>0</v>
      </c>
    </row>
    <row r="41" spans="3:6" s="48" customFormat="1" ht="14.5" customHeight="1" x14ac:dyDescent="0.15">
      <c r="C41" s="17" t="str">
        <f>Tekstnøgler!C137</f>
        <v>Fysiske enheder med egne emissionsfaktorer</v>
      </c>
      <c r="D41" s="253">
        <f>SUM('Delresultater (GHG)'!D41:F41)</f>
        <v>0</v>
      </c>
      <c r="E41" s="352">
        <f t="shared" si="0"/>
        <v>0</v>
      </c>
      <c r="F41" s="253">
        <f>'Delresultater (GHG)'!D125</f>
        <v>0</v>
      </c>
    </row>
    <row r="42" spans="3:6" s="48" customFormat="1" ht="14.5" customHeight="1" x14ac:dyDescent="0.15">
      <c r="C42" s="17" t="str">
        <f>Tekstnøgler!C138</f>
        <v>Monetære enheder (beløb i DKK) med egne emissionsfaktorer</v>
      </c>
      <c r="D42" s="253">
        <f>SUM('Delresultater (GHG)'!D42:F42)</f>
        <v>0</v>
      </c>
      <c r="E42" s="352">
        <f t="shared" si="0"/>
        <v>0</v>
      </c>
      <c r="F42" s="253">
        <f>'Delresultater (GHG)'!D126</f>
        <v>0</v>
      </c>
    </row>
    <row r="43" spans="3:6" s="48" customFormat="1" ht="14.5" customHeight="1" x14ac:dyDescent="0.15">
      <c r="C43" s="47" t="str">
        <f>Tekstnøgler!C139</f>
        <v>Produkter og services (primære indkøb)</v>
      </c>
      <c r="D43" s="344">
        <f>SUM(D44:D47)</f>
        <v>4.6554365806</v>
      </c>
      <c r="E43" s="351">
        <f>SUM(E44:E47)</f>
        <v>4.5504981977282196E-4</v>
      </c>
      <c r="F43" s="344">
        <f>SUM(F44:F47)</f>
        <v>0</v>
      </c>
    </row>
    <row r="44" spans="3:6" s="48" customFormat="1" ht="14.5" customHeight="1" x14ac:dyDescent="0.15">
      <c r="C44" s="17" t="str">
        <f>Tekstnøgler!C140</f>
        <v>Indkøb af produkter i fysiske enheder</v>
      </c>
      <c r="D44" s="253">
        <f>SUM('Delresultater (GHG)'!D44:F44)</f>
        <v>4.6554365806</v>
      </c>
      <c r="E44" s="352">
        <f>IF($D$98 = 0,0,$D44/$D$98)</f>
        <v>4.5504981977282196E-4</v>
      </c>
      <c r="F44" s="253">
        <f>'Delresultater (GHG)'!D128</f>
        <v>0</v>
      </c>
    </row>
    <row r="45" spans="3:6" s="48" customFormat="1" ht="14.5" customHeight="1" x14ac:dyDescent="0.15">
      <c r="C45" s="17" t="str">
        <f>Tekstnøgler!C141</f>
        <v>Indkøb af produkter i monetære enheder (beløb i DKK)</v>
      </c>
      <c r="D45" s="253">
        <f>SUM('Delresultater (GHG)'!D45:F45)</f>
        <v>0</v>
      </c>
      <c r="E45" s="352">
        <f t="shared" ref="E45:E47" si="1">IF($D$98 = 0,0,$D45/$D$98)</f>
        <v>0</v>
      </c>
      <c r="F45" s="253">
        <f>'Delresultater (GHG)'!D129</f>
        <v>0</v>
      </c>
    </row>
    <row r="46" spans="3:6" s="48" customFormat="1" ht="14.5" customHeight="1" x14ac:dyDescent="0.15">
      <c r="C46" s="17" t="str">
        <f>Tekstnøgler!C142</f>
        <v>Fysiske enheder med egne emissionsfaktorer</v>
      </c>
      <c r="D46" s="253">
        <f>SUM('Delresultater (GHG)'!D46:F46)</f>
        <v>0</v>
      </c>
      <c r="E46" s="352">
        <f t="shared" si="1"/>
        <v>0</v>
      </c>
      <c r="F46" s="253">
        <f>'Delresultater (GHG)'!D130</f>
        <v>0</v>
      </c>
    </row>
    <row r="47" spans="3:6" s="48" customFormat="1" ht="14.5" customHeight="1" x14ac:dyDescent="0.15">
      <c r="C47" s="17" t="str">
        <f>Tekstnøgler!C143</f>
        <v>Monetære enheder (beløb i DKK) med egne emissionsfaktorer</v>
      </c>
      <c r="D47" s="253">
        <f>SUM('Delresultater (GHG)'!D47:F47)</f>
        <v>0</v>
      </c>
      <c r="E47" s="352">
        <f t="shared" si="1"/>
        <v>0</v>
      </c>
      <c r="F47" s="253">
        <f>'Delresultater (GHG)'!D131</f>
        <v>0</v>
      </c>
    </row>
    <row r="48" spans="3:6" s="48" customFormat="1" ht="14.5" customHeight="1" x14ac:dyDescent="0.15">
      <c r="C48" s="47" t="str">
        <f>Tekstnøgler!C144</f>
        <v>Andet udledning ved primære indkøb</v>
      </c>
      <c r="D48" s="344">
        <f>SUM(D49:D50)</f>
        <v>0</v>
      </c>
      <c r="E48" s="351">
        <f>SUM(E49:E50)</f>
        <v>0</v>
      </c>
      <c r="F48" s="344">
        <f>SUM(F49:F50)</f>
        <v>0</v>
      </c>
    </row>
    <row r="49" spans="3:6" s="48" customFormat="1" ht="14.5" customHeight="1" x14ac:dyDescent="0.15">
      <c r="C49" s="17" t="str">
        <f>Tekstnøgler!C145</f>
        <v>Fysiske enheder med egne emissionsfaktorer</v>
      </c>
      <c r="D49" s="253">
        <f>SUM('Delresultater (GHG)'!D49:F49)</f>
        <v>0</v>
      </c>
      <c r="E49" s="352">
        <f>IF($D$98 = 0,0,$D49/$D$98)</f>
        <v>0</v>
      </c>
      <c r="F49" s="253">
        <f>'Delresultater (GHG)'!D133</f>
        <v>0</v>
      </c>
    </row>
    <row r="50" spans="3:6" s="48" customFormat="1" ht="14.5" customHeight="1" x14ac:dyDescent="0.15">
      <c r="C50" s="17" t="str">
        <f>Tekstnøgler!C146</f>
        <v>Monetære enheder (beløb i DKK) med egne emissionsfaktorer</v>
      </c>
      <c r="D50" s="253">
        <f>SUM('Delresultater (GHG)'!D50:F50)</f>
        <v>0</v>
      </c>
      <c r="E50" s="352">
        <f>IF($D$98 = 0,0,$D50/$D$98)</f>
        <v>0</v>
      </c>
      <c r="F50" s="253">
        <f>'Delresultater (GHG)'!D134</f>
        <v>0</v>
      </c>
    </row>
    <row r="51" spans="3:6" s="48" customFormat="1" ht="14.5" customHeight="1" x14ac:dyDescent="0.15">
      <c r="C51" s="53" t="str">
        <f>Tekstnøgler!C147</f>
        <v>Sekundære indkøb af hjælpematerialer og serviceydelser</v>
      </c>
      <c r="D51" s="345">
        <f>D52+D57+D62</f>
        <v>0</v>
      </c>
      <c r="E51" s="354">
        <f>E52+E57+E62</f>
        <v>0</v>
      </c>
      <c r="F51" s="345">
        <f>F52+F57+F62</f>
        <v>0</v>
      </c>
    </row>
    <row r="52" spans="3:6" s="48" customFormat="1" ht="14.5" customHeight="1" x14ac:dyDescent="0.15">
      <c r="C52" s="53" t="str">
        <f>Tekstnøgler!C148</f>
        <v>Materialer (sekundære indkøb)</v>
      </c>
      <c r="D52" s="345">
        <f>SUM(D53:D56)</f>
        <v>0</v>
      </c>
      <c r="E52" s="354">
        <f>SUM(E53:E56)</f>
        <v>0</v>
      </c>
      <c r="F52" s="345">
        <f>SUM(F53:F56)</f>
        <v>0</v>
      </c>
    </row>
    <row r="53" spans="3:6" s="48" customFormat="1" ht="14.5" customHeight="1" x14ac:dyDescent="0.15">
      <c r="C53" s="17" t="str">
        <f>Tekstnøgler!C149</f>
        <v>Indkøb af materialer i fysiske enheder</v>
      </c>
      <c r="D53" s="253">
        <f>SUM('Delresultater (GHG)'!D53:F53)</f>
        <v>0</v>
      </c>
      <c r="E53" s="352">
        <f>IF($D$98 = 0,0,$D53/$D$98)</f>
        <v>0</v>
      </c>
      <c r="F53" s="253">
        <f>'Delresultater (GHG)'!D137</f>
        <v>0</v>
      </c>
    </row>
    <row r="54" spans="3:6" s="48" customFormat="1" ht="14.5" customHeight="1" x14ac:dyDescent="0.15">
      <c r="C54" s="17" t="str">
        <f>Tekstnøgler!C150</f>
        <v>Indkøb af materialer i monetære enheder (beløb i DKK)</v>
      </c>
      <c r="D54" s="253">
        <f>SUM('Delresultater (GHG)'!D54:F54)</f>
        <v>0</v>
      </c>
      <c r="E54" s="352">
        <f t="shared" ref="E54:E56" si="2">IF($D$98 = 0,0,$D54/$D$98)</f>
        <v>0</v>
      </c>
      <c r="F54" s="253">
        <f>'Delresultater (GHG)'!D138</f>
        <v>0</v>
      </c>
    </row>
    <row r="55" spans="3:6" s="48" customFormat="1" ht="14.5" customHeight="1" x14ac:dyDescent="0.15">
      <c r="C55" s="17" t="str">
        <f>Tekstnøgler!C151</f>
        <v>Fysiske enheder med egne emissionsfaktorer</v>
      </c>
      <c r="D55" s="253">
        <f>SUM('Delresultater (GHG)'!D55:F55)</f>
        <v>0</v>
      </c>
      <c r="E55" s="352">
        <f t="shared" si="2"/>
        <v>0</v>
      </c>
      <c r="F55" s="253">
        <f>'Delresultater (GHG)'!D139</f>
        <v>0</v>
      </c>
    </row>
    <row r="56" spans="3:6" s="48" customFormat="1" ht="14.5" customHeight="1" x14ac:dyDescent="0.15">
      <c r="C56" s="17" t="str">
        <f>Tekstnøgler!C152</f>
        <v>Monetære enheder (beløb i DKK) med egne emissionsfaktorer</v>
      </c>
      <c r="D56" s="253">
        <f>SUM('Delresultater (GHG)'!D56:F56)</f>
        <v>0</v>
      </c>
      <c r="E56" s="352">
        <f t="shared" si="2"/>
        <v>0</v>
      </c>
      <c r="F56" s="253">
        <f>'Delresultater (GHG)'!D140</f>
        <v>0</v>
      </c>
    </row>
    <row r="57" spans="3:6" s="48" customFormat="1" ht="14.5" customHeight="1" x14ac:dyDescent="0.15">
      <c r="C57" s="53" t="str">
        <f>Tekstnøgler!C153</f>
        <v>Produkter og services (sekundære indkøb)</v>
      </c>
      <c r="D57" s="345">
        <f>SUM(D58:D61)</f>
        <v>0</v>
      </c>
      <c r="E57" s="355">
        <f>SUM(E58:E61)</f>
        <v>0</v>
      </c>
      <c r="F57" s="345">
        <f>SUM(F58:F61)</f>
        <v>0</v>
      </c>
    </row>
    <row r="58" spans="3:6" s="48" customFormat="1" ht="14.5" customHeight="1" x14ac:dyDescent="0.15">
      <c r="C58" s="17" t="str">
        <f>Tekstnøgler!C154</f>
        <v>Indkøb af produkter i fysiske enheder</v>
      </c>
      <c r="D58" s="253">
        <f>SUM('Delresultater (GHG)'!D58:F58)</f>
        <v>0</v>
      </c>
      <c r="E58" s="352">
        <f>IF($D$98 = 0,0,$D58/$D$98)</f>
        <v>0</v>
      </c>
      <c r="F58" s="253">
        <f>'Delresultater (GHG)'!D142</f>
        <v>0</v>
      </c>
    </row>
    <row r="59" spans="3:6" s="48" customFormat="1" ht="14.5" customHeight="1" x14ac:dyDescent="0.15">
      <c r="C59" s="17" t="str">
        <f>Tekstnøgler!C155</f>
        <v>Indkøb af produkter i monetære enheder (beløb i DKK)</v>
      </c>
      <c r="D59" s="253">
        <f>SUM('Delresultater (GHG)'!D59:F59)</f>
        <v>0</v>
      </c>
      <c r="E59" s="352">
        <f t="shared" ref="E59:E61" si="3">IF($D$98 = 0,0,$D59/$D$98)</f>
        <v>0</v>
      </c>
      <c r="F59" s="253">
        <f>'Delresultater (GHG)'!D143</f>
        <v>0</v>
      </c>
    </row>
    <row r="60" spans="3:6" s="48" customFormat="1" ht="14.5" customHeight="1" x14ac:dyDescent="0.15">
      <c r="C60" s="17" t="str">
        <f>Tekstnøgler!C156</f>
        <v>Fysiske enheder med egne emissionsfaktorer</v>
      </c>
      <c r="D60" s="253">
        <f>SUM('Delresultater (GHG)'!D60:F60)</f>
        <v>0</v>
      </c>
      <c r="E60" s="352">
        <f t="shared" si="3"/>
        <v>0</v>
      </c>
      <c r="F60" s="253">
        <f>'Delresultater (GHG)'!D144</f>
        <v>0</v>
      </c>
    </row>
    <row r="61" spans="3:6" s="48" customFormat="1" ht="14.5" customHeight="1" x14ac:dyDescent="0.15">
      <c r="C61" s="17" t="str">
        <f>Tekstnøgler!C157</f>
        <v>Monetære enheder (beløb i DKK) med egne emissionsfaktorer</v>
      </c>
      <c r="D61" s="253">
        <f>SUM('Delresultater (GHG)'!D61:F61)</f>
        <v>0</v>
      </c>
      <c r="E61" s="352">
        <f t="shared" si="3"/>
        <v>0</v>
      </c>
      <c r="F61" s="253">
        <f>'Delresultater (GHG)'!D145</f>
        <v>0</v>
      </c>
    </row>
    <row r="62" spans="3:6" s="48" customFormat="1" ht="14.5" customHeight="1" x14ac:dyDescent="0.15">
      <c r="C62" s="53" t="str">
        <f>Tekstnøgler!C158</f>
        <v>Andet udledning ved sekundære indkøb</v>
      </c>
      <c r="D62" s="345">
        <f>SUM(D63:D64)</f>
        <v>0</v>
      </c>
      <c r="E62" s="355">
        <f>SUM(E63:E64)</f>
        <v>0</v>
      </c>
      <c r="F62" s="345">
        <f>SUM(F63:F64)</f>
        <v>0</v>
      </c>
    </row>
    <row r="63" spans="3:6" s="48" customFormat="1" ht="14.5" customHeight="1" x14ac:dyDescent="0.15">
      <c r="C63" s="17" t="str">
        <f>Tekstnøgler!C159</f>
        <v>Fysiske enheder med egne emissionsfaktorer</v>
      </c>
      <c r="D63" s="253">
        <f>SUM('Delresultater (GHG)'!D63:F63)</f>
        <v>0</v>
      </c>
      <c r="E63" s="352">
        <f>IF($D$98 = 0,0,$D63/$D$98)</f>
        <v>0</v>
      </c>
      <c r="F63" s="253">
        <f>'Delresultater (GHG)'!D147</f>
        <v>0</v>
      </c>
    </row>
    <row r="64" spans="3:6" s="48" customFormat="1" ht="14.5" customHeight="1" x14ac:dyDescent="0.15">
      <c r="C64" s="17" t="str">
        <f>Tekstnøgler!C160</f>
        <v>Monetære enheder (beløb i DKK) med egne emissionsfaktorer</v>
      </c>
      <c r="D64" s="253">
        <f>SUM('Delresultater (GHG)'!D64:F64)</f>
        <v>0</v>
      </c>
      <c r="E64" s="352">
        <f>IF($D$98 = 0,0,$D64/$D$98)</f>
        <v>0</v>
      </c>
      <c r="F64" s="253">
        <f>'Delresultater (GHG)'!D148</f>
        <v>0</v>
      </c>
    </row>
    <row r="65" spans="3:6" s="48" customFormat="1" ht="14.5" customHeight="1" x14ac:dyDescent="0.15">
      <c r="C65" s="45" t="str">
        <f>Tekstnøgler!C92</f>
        <v>Transport</v>
      </c>
      <c r="D65" s="46">
        <f>D66+D70+D75+D79+D83</f>
        <v>765.18680574479993</v>
      </c>
      <c r="E65" s="353">
        <f>E66+E70+E75+E79+E83</f>
        <v>7.4793869923545642E-2</v>
      </c>
      <c r="F65" s="46">
        <f>F66+F70+F75+F79+F83</f>
        <v>41.952344429199997</v>
      </c>
    </row>
    <row r="66" spans="3:6" s="48" customFormat="1" ht="14.5" customHeight="1" x14ac:dyDescent="0.15">
      <c r="C66" s="47" t="str">
        <f>Tekstnøgler!C162</f>
        <v>Egne og leasede transportmidler</v>
      </c>
      <c r="D66" s="344">
        <f>SUM(D67:D69)</f>
        <v>10.049121871200001</v>
      </c>
      <c r="E66" s="351">
        <f>SUM(E67:E69)</f>
        <v>9.8226042116448023E-4</v>
      </c>
      <c r="F66" s="344">
        <f>SUM(F67:F69)</f>
        <v>0.55431020060000002</v>
      </c>
    </row>
    <row r="67" spans="3:6" s="48" customFormat="1" ht="14.5" customHeight="1" x14ac:dyDescent="0.15">
      <c r="C67" s="17" t="str">
        <f>Tekstnøgler!C163</f>
        <v>Egne og leasede transportmidler</v>
      </c>
      <c r="D67" s="253">
        <f>SUM('Delresultater (GHG)'!D67:F67)</f>
        <v>10.049121871200001</v>
      </c>
      <c r="E67" s="352">
        <f>IF($D$98 = 0,0,$D67/$D$98)</f>
        <v>9.8226042116448023E-4</v>
      </c>
      <c r="F67" s="253">
        <f>'Delresultater (GHG)'!D151</f>
        <v>0.55431020060000002</v>
      </c>
    </row>
    <row r="68" spans="3:6" s="48" customFormat="1" ht="14.5" customHeight="1" x14ac:dyDescent="0.15">
      <c r="C68" s="17" t="str">
        <f>Tekstnøgler!C164</f>
        <v>Fly og Skibe</v>
      </c>
      <c r="D68" s="253">
        <f>SUM('Delresultater (GHG)'!D68:F68)</f>
        <v>0</v>
      </c>
      <c r="E68" s="352">
        <f t="shared" ref="E68:E69" si="4">IF($D$98 = 0,0,$D68/$D$98)</f>
        <v>0</v>
      </c>
      <c r="F68" s="253">
        <f>'Delresultater (GHG)'!D152</f>
        <v>0</v>
      </c>
    </row>
    <row r="69" spans="3:6" s="48" customFormat="1" ht="14.5" customHeight="1" x14ac:dyDescent="0.15">
      <c r="C69" s="17" t="str">
        <f>Tekstnøgler!C165</f>
        <v>Egne og leasede transportmidler med egne emissionsfaktorer</v>
      </c>
      <c r="D69" s="253">
        <f>SUM('Delresultater (GHG)'!D69:F69)</f>
        <v>0</v>
      </c>
      <c r="E69" s="352">
        <f t="shared" si="4"/>
        <v>0</v>
      </c>
      <c r="F69" s="253">
        <f>'Delresultater (GHG)'!D153</f>
        <v>0</v>
      </c>
    </row>
    <row r="70" spans="3:6" s="48" customFormat="1" ht="14.5" customHeight="1" x14ac:dyDescent="0.15">
      <c r="C70" s="47" t="str">
        <f>Tekstnøgler!C166</f>
        <v>Medarbejdertransport</v>
      </c>
      <c r="D70" s="344">
        <f>SUM(D71:D74)</f>
        <v>3.6176838735999999</v>
      </c>
      <c r="E70" s="351">
        <f>SUM(E71:E74)</f>
        <v>3.5361375161608498E-4</v>
      </c>
      <c r="F70" s="344">
        <f>SUM(F71:F74)</f>
        <v>0.1995516722</v>
      </c>
    </row>
    <row r="71" spans="3:6" s="48" customFormat="1" ht="14.5" customHeight="1" x14ac:dyDescent="0.15">
      <c r="C71" s="17" t="str">
        <f>Tekstnøgler!C167</f>
        <v>Pendling</v>
      </c>
      <c r="D71" s="253">
        <f>SUM('Delresultater (GHG)'!D71:F71)</f>
        <v>3.6176838735999999</v>
      </c>
      <c r="E71" s="352">
        <f>IF($D$98 = 0,0,$D71/$D$98)</f>
        <v>3.5361375161608498E-4</v>
      </c>
      <c r="F71" s="253">
        <f>'Delresultater (GHG)'!D155</f>
        <v>0.1995516722</v>
      </c>
    </row>
    <row r="72" spans="3:6" s="48" customFormat="1" ht="14.5" customHeight="1" x14ac:dyDescent="0.15">
      <c r="C72" s="17" t="str">
        <f>Tekstnøgler!C168</f>
        <v>Rejser i forbindelse med arbejder - Fysiske enheder</v>
      </c>
      <c r="D72" s="253">
        <f>SUM('Delresultater (GHG)'!D72:F72)</f>
        <v>0</v>
      </c>
      <c r="E72" s="352">
        <f t="shared" ref="E72:E74" si="5">IF($D$98 = 0,0,$D72/$D$98)</f>
        <v>0</v>
      </c>
      <c r="F72" s="253">
        <f>'Delresultater (GHG)'!D156</f>
        <v>0</v>
      </c>
    </row>
    <row r="73" spans="3:6" s="48" customFormat="1" ht="14.5" customHeight="1" x14ac:dyDescent="0.15">
      <c r="C73" s="17" t="str">
        <f>Tekstnøgler!C169</f>
        <v>Rejser i forbindelse med arbejder - Monetære enheder (beløb i DKK)</v>
      </c>
      <c r="D73" s="253">
        <f>SUM('Delresultater (GHG)'!D73:F73)</f>
        <v>0</v>
      </c>
      <c r="E73" s="352">
        <f t="shared" si="5"/>
        <v>0</v>
      </c>
      <c r="F73" s="253">
        <f>'Delresultater (GHG)'!D157</f>
        <v>0</v>
      </c>
    </row>
    <row r="74" spans="3:6" s="48" customFormat="1" ht="14.5" customHeight="1" x14ac:dyDescent="0.15">
      <c r="C74" s="17" t="str">
        <f>Tekstnøgler!C170</f>
        <v>Medarbejdertransport med egne emissionsfaktorer</v>
      </c>
      <c r="D74" s="253">
        <f>SUM('Delresultater (GHG)'!D74:F74)</f>
        <v>0</v>
      </c>
      <c r="E74" s="352">
        <f t="shared" si="5"/>
        <v>0</v>
      </c>
      <c r="F74" s="253">
        <f>'Delresultater (GHG)'!D158</f>
        <v>0</v>
      </c>
    </row>
    <row r="75" spans="3:6" s="48" customFormat="1" ht="14.5" customHeight="1" x14ac:dyDescent="0.15">
      <c r="C75" s="47" t="str">
        <f>Tekstnøgler!C171</f>
        <v>Varetransport til virksomhed</v>
      </c>
      <c r="D75" s="344">
        <f>SUM(D76:D78)</f>
        <v>204.96</v>
      </c>
      <c r="E75" s="351">
        <f>SUM(E76:E78)</f>
        <v>2.0033998841117753E-2</v>
      </c>
      <c r="F75" s="344">
        <f>SUM(F76:F78)</f>
        <v>11.235949788099999</v>
      </c>
    </row>
    <row r="76" spans="3:6" s="48" customFormat="1" ht="14.5" customHeight="1" x14ac:dyDescent="0.15">
      <c r="C76" s="17" t="str">
        <f>Tekstnøgler!C172</f>
        <v>Varetransport i fysiske enheder</v>
      </c>
      <c r="D76" s="253">
        <f>SUM('Delresultater (GHG)'!D76:F76)</f>
        <v>204.96</v>
      </c>
      <c r="E76" s="352">
        <f>IF($D$98 = 0,0,$D76/$D$98)</f>
        <v>2.0033998841117753E-2</v>
      </c>
      <c r="F76" s="253">
        <f>'Delresultater (GHG)'!D160</f>
        <v>11.235949788099999</v>
      </c>
    </row>
    <row r="77" spans="3:6" s="48" customFormat="1" ht="14.5" customHeight="1" x14ac:dyDescent="0.15">
      <c r="C77" s="17" t="str">
        <f>Tekstnøgler!C173</f>
        <v>Varetransport i monetære enheder (beløb i DKK)</v>
      </c>
      <c r="D77" s="253">
        <f>SUM('Delresultater (GHG)'!D77:F77)</f>
        <v>0</v>
      </c>
      <c r="E77" s="352">
        <f t="shared" ref="E77:E78" si="6">IF($D$98 = 0,0,$D77/$D$98)</f>
        <v>0</v>
      </c>
      <c r="F77" s="253">
        <f>'Delresultater (GHG)'!D161</f>
        <v>0</v>
      </c>
    </row>
    <row r="78" spans="3:6" s="48" customFormat="1" ht="14.5" customHeight="1" x14ac:dyDescent="0.15">
      <c r="C78" s="17" t="str">
        <f>Tekstnøgler!C174</f>
        <v>Varetransport til virksomhed med egne emissionsfaktorer</v>
      </c>
      <c r="D78" s="253">
        <f>SUM('Delresultater (GHG)'!D78:F78)</f>
        <v>0</v>
      </c>
      <c r="E78" s="352">
        <f t="shared" si="6"/>
        <v>0</v>
      </c>
      <c r="F78" s="253">
        <f>'Delresultater (GHG)'!D162</f>
        <v>0</v>
      </c>
    </row>
    <row r="79" spans="3:6" s="48" customFormat="1" ht="14.5" customHeight="1" x14ac:dyDescent="0.15">
      <c r="C79" s="47" t="str">
        <f>Tekstnøgler!C175</f>
        <v>Varetransport fra virksomhed til kunde</v>
      </c>
      <c r="D79" s="344">
        <f>SUM(D80:D82)</f>
        <v>546.55999999999995</v>
      </c>
      <c r="E79" s="351">
        <f>SUM(E80:E82)</f>
        <v>5.3423996909647331E-2</v>
      </c>
      <c r="F79" s="344">
        <f>SUM(F80:F82)</f>
        <v>29.962532768300001</v>
      </c>
    </row>
    <row r="80" spans="3:6" s="48" customFormat="1" ht="14.5" customHeight="1" x14ac:dyDescent="0.15">
      <c r="C80" s="17" t="str">
        <f>Tekstnøgler!C176</f>
        <v>Varetransport i fysiske enheder</v>
      </c>
      <c r="D80" s="253">
        <f>SUM('Delresultater (GHG)'!D80:F80)</f>
        <v>546.55999999999995</v>
      </c>
      <c r="E80" s="352">
        <f>IF($D$98 = 0,0,$D80/$D$98)</f>
        <v>5.3423996909647331E-2</v>
      </c>
      <c r="F80" s="253">
        <f>'Delresultater (GHG)'!D164</f>
        <v>29.962532768300001</v>
      </c>
    </row>
    <row r="81" spans="3:6" s="48" customFormat="1" ht="14.5" customHeight="1" x14ac:dyDescent="0.15">
      <c r="C81" s="17" t="str">
        <f>Tekstnøgler!C177</f>
        <v>Varetransport i monetære enheder (beløb i DKK)</v>
      </c>
      <c r="D81" s="253">
        <f>SUM('Delresultater (GHG)'!D81:F81)</f>
        <v>0</v>
      </c>
      <c r="E81" s="352">
        <f t="shared" ref="E81:E83" si="7">IF($D$98 = 0,0,$D81/$D$98)</f>
        <v>0</v>
      </c>
      <c r="F81" s="253">
        <f>'Delresultater (GHG)'!D165</f>
        <v>0</v>
      </c>
    </row>
    <row r="82" spans="3:6" s="48" customFormat="1" ht="14.5" customHeight="1" x14ac:dyDescent="0.15">
      <c r="C82" s="17" t="str">
        <f>Tekstnøgler!C178</f>
        <v>Varetransport fra virksomhed til kunde med egne emissionsfaktorer</v>
      </c>
      <c r="D82" s="253">
        <f>SUM('Delresultater (GHG)'!D82:F82)</f>
        <v>0</v>
      </c>
      <c r="E82" s="352">
        <f t="shared" si="7"/>
        <v>0</v>
      </c>
      <c r="F82" s="253">
        <f>'Delresultater (GHG)'!D166</f>
        <v>0</v>
      </c>
    </row>
    <row r="83" spans="3:6" s="48" customFormat="1" ht="14.5" customHeight="1" x14ac:dyDescent="0.15">
      <c r="C83" s="47" t="str">
        <f>Tekstnøgler!C179</f>
        <v>Andet udledning ved transport</v>
      </c>
      <c r="D83" s="344">
        <f>SUM('Delresultater (GHG)'!D83:F83)</f>
        <v>0</v>
      </c>
      <c r="E83" s="352">
        <f t="shared" si="7"/>
        <v>0</v>
      </c>
      <c r="F83" s="344">
        <f>'Delresultater (GHG)'!D167</f>
        <v>0</v>
      </c>
    </row>
    <row r="84" spans="3:6" s="48" customFormat="1" ht="14.5" customHeight="1" x14ac:dyDescent="0.15">
      <c r="C84" s="45" t="str">
        <f>Tekstnøgler!C93</f>
        <v>Affald og genbrug</v>
      </c>
      <c r="D84" s="46">
        <f>D85+D88</f>
        <v>0</v>
      </c>
      <c r="E84" s="353">
        <f>E85+E88</f>
        <v>0</v>
      </c>
      <c r="F84" s="46">
        <f>F85+F88</f>
        <v>-128.217817</v>
      </c>
    </row>
    <row r="85" spans="3:6" s="48" customFormat="1" ht="14.5" customHeight="1" x14ac:dyDescent="0.15">
      <c r="C85" s="47" t="str">
        <f>Tekstnøgler!C181</f>
        <v>Affald</v>
      </c>
      <c r="D85" s="344">
        <f>SUM(D86:D87)</f>
        <v>0</v>
      </c>
      <c r="E85" s="351">
        <f>SUM(E86:E87)</f>
        <v>0</v>
      </c>
      <c r="F85" s="344">
        <f>SUM(F86:F87)</f>
        <v>-128.217817</v>
      </c>
    </row>
    <row r="86" spans="3:6" s="48" customFormat="1" ht="14.5" customHeight="1" x14ac:dyDescent="0.15">
      <c r="C86" s="56" t="str">
        <f>Tekstnøgler!C182</f>
        <v>Affald</v>
      </c>
      <c r="D86" s="253">
        <f>SUM('Delresultater (GHG)'!D86:F86)</f>
        <v>0</v>
      </c>
      <c r="E86" s="352">
        <f>IF($D$98 = 0,0,$D86/$D$98)</f>
        <v>0</v>
      </c>
      <c r="F86" s="253">
        <f>'Delresultater (GHG)'!D170</f>
        <v>-128.217817</v>
      </c>
    </row>
    <row r="87" spans="3:6" s="48" customFormat="1" ht="14.5" customHeight="1" x14ac:dyDescent="0.15">
      <c r="C87" s="17" t="str">
        <f>Tekstnøgler!C183</f>
        <v>Affald med egne emissionsfaktorer</v>
      </c>
      <c r="D87" s="253">
        <f>SUM('Delresultater (GHG)'!D87:F87)</f>
        <v>0</v>
      </c>
      <c r="E87" s="352">
        <f>IF($D$98 = 0,0,$D87/$D$98)</f>
        <v>0</v>
      </c>
      <c r="F87" s="253">
        <f>'Delresultater (GHG)'!D171</f>
        <v>0</v>
      </c>
    </row>
    <row r="88" spans="3:6" s="48" customFormat="1" ht="14.5" customHeight="1" x14ac:dyDescent="0.15">
      <c r="C88" s="47" t="str">
        <f>Tekstnøgler!C184</f>
        <v>Andet udledning ved affald</v>
      </c>
      <c r="D88" s="344">
        <f>SUM('Delresultater (GHG)'!D88:F88)</f>
        <v>0</v>
      </c>
      <c r="E88" s="351">
        <f xml:space="preserve"> IF($D$98 = 0,0,$D88/$D$98)</f>
        <v>0</v>
      </c>
      <c r="F88" s="344">
        <f>'Delresultater (GHG)'!D172</f>
        <v>0</v>
      </c>
    </row>
    <row r="89" spans="3:6" s="48" customFormat="1" ht="14.5" customHeight="1" x14ac:dyDescent="0.15">
      <c r="C89" s="45" t="str">
        <f>Tekstnøgler!C94</f>
        <v>Solgte produkter</v>
      </c>
      <c r="D89" s="46">
        <f>D90+D91+D94+D97</f>
        <v>0</v>
      </c>
      <c r="E89" s="353">
        <f>E90+E91+E94+E97</f>
        <v>0</v>
      </c>
      <c r="F89" s="46">
        <f>F90+F91+F94+F97</f>
        <v>-111.89732480000001</v>
      </c>
    </row>
    <row r="90" spans="3:6" s="48" customFormat="1" ht="14.5" customHeight="1" x14ac:dyDescent="0.15">
      <c r="C90" s="47" t="str">
        <f>Tekstnøgler!C186</f>
        <v>Forarbejdning og processering af solgte produkter</v>
      </c>
      <c r="D90" s="344">
        <f>SUM('Delresultater (GHG)'!D90:F90)</f>
        <v>0</v>
      </c>
      <c r="E90" s="351">
        <f xml:space="preserve"> IF($D$98 = 0,0,$D90/$D$98)</f>
        <v>0</v>
      </c>
      <c r="F90" s="344">
        <f>'Delresultater (GHG)'!D174</f>
        <v>0</v>
      </c>
    </row>
    <row r="91" spans="3:6" s="48" customFormat="1" ht="14.5" customHeight="1" x14ac:dyDescent="0.15">
      <c r="C91" s="47" t="str">
        <f>Tekstnøgler!C187</f>
        <v>Brug af solgte og udlejede produkter</v>
      </c>
      <c r="D91" s="344">
        <f>SUM(D92:D93)</f>
        <v>0</v>
      </c>
      <c r="E91" s="351">
        <f>SUM(E92:E93)</f>
        <v>0</v>
      </c>
      <c r="F91" s="344">
        <f>SUM(F92:F93)</f>
        <v>0</v>
      </c>
    </row>
    <row r="92" spans="3:6" s="48" customFormat="1" ht="14.5" customHeight="1" x14ac:dyDescent="0.15">
      <c r="C92" s="17" t="str">
        <f>Tekstnøgler!C188</f>
        <v>Brug af solgte og udlejede produkter</v>
      </c>
      <c r="D92" s="253">
        <f>SUM('Delresultater (GHG)'!D92:F92)</f>
        <v>0</v>
      </c>
      <c r="E92" s="352">
        <f>IF($D$98 = 0,0,$D92/$D$98)</f>
        <v>0</v>
      </c>
      <c r="F92" s="253">
        <f>'Delresultater (GHG)'!D176</f>
        <v>0</v>
      </c>
    </row>
    <row r="93" spans="3:6" s="48" customFormat="1" ht="14.5" customHeight="1" x14ac:dyDescent="0.15">
      <c r="C93" s="17" t="str">
        <f>Tekstnøgler!C189</f>
        <v>Brug af solgte og udlejede produkter med egne emissionsfaktorer</v>
      </c>
      <c r="D93" s="253">
        <f>SUM('Delresultater (GHG)'!D93:F93)</f>
        <v>0</v>
      </c>
      <c r="E93" s="352">
        <f>IF($D$98 = 0,0,$D93/$D$98)</f>
        <v>0</v>
      </c>
      <c r="F93" s="253">
        <f>'Delresultater (GHG)'!D177</f>
        <v>0</v>
      </c>
    </row>
    <row r="94" spans="3:6" s="48" customFormat="1" ht="14.5" customHeight="1" x14ac:dyDescent="0.15">
      <c r="C94" s="47" t="str">
        <f>Tekstnøgler!C190</f>
        <v>End-of-life behandling</v>
      </c>
      <c r="D94" s="344">
        <f>SUM(D95:D96)</f>
        <v>0</v>
      </c>
      <c r="E94" s="351">
        <f>SUM(E95:E96)</f>
        <v>0</v>
      </c>
      <c r="F94" s="344">
        <f>SUM(F95:F96)</f>
        <v>-111.89732480000001</v>
      </c>
    </row>
    <row r="95" spans="3:6" s="48" customFormat="1" ht="14.5" customHeight="1" x14ac:dyDescent="0.15">
      <c r="C95" s="17" t="str">
        <f>Tekstnøgler!C191</f>
        <v>Håndtering af affaldsprodukt</v>
      </c>
      <c r="D95" s="253">
        <f>SUM('Delresultater (GHG)'!D95:F95)</f>
        <v>0</v>
      </c>
      <c r="E95" s="352">
        <f>IF($D$98 = 0,0,$D95/$D$98)</f>
        <v>0</v>
      </c>
      <c r="F95" s="253">
        <f>'Delresultater (GHG)'!D179</f>
        <v>-111.89732480000001</v>
      </c>
    </row>
    <row r="96" spans="3:6" s="48" customFormat="1" ht="14.5" customHeight="1" x14ac:dyDescent="0.15">
      <c r="C96" s="17" t="str">
        <f>Tekstnøgler!C192</f>
        <v>Håndtering af affaldsprodukt med egne emissionsfaktorer</v>
      </c>
      <c r="D96" s="253">
        <f>SUM('Delresultater (GHG)'!D96:F96)</f>
        <v>0</v>
      </c>
      <c r="E96" s="352">
        <f>IF($D$98 = 0,0,$D96/$D$98)</f>
        <v>0</v>
      </c>
      <c r="F96" s="253">
        <f>'Delresultater (GHG)'!D180</f>
        <v>0</v>
      </c>
    </row>
    <row r="97" spans="3:6" s="48" customFormat="1" ht="14.5" customHeight="1" x14ac:dyDescent="0.15">
      <c r="C97" s="47" t="str">
        <f>Tekstnøgler!C193</f>
        <v>Andet udledning ved solgte og udlejede produkter</v>
      </c>
      <c r="D97" s="344">
        <f>SUM('Delresultater (GHG)'!D97:F97)</f>
        <v>0</v>
      </c>
      <c r="E97" s="351">
        <f xml:space="preserve"> IF($D$98 = 0,0,$D97/$D$98)</f>
        <v>0</v>
      </c>
      <c r="F97" s="344">
        <f>'Delresultater (GHG)'!D181</f>
        <v>0</v>
      </c>
    </row>
    <row r="98" spans="3:6" ht="15" thickBot="1" x14ac:dyDescent="0.2">
      <c r="C98" s="45" t="str">
        <f>Tekstnøgler!C95</f>
        <v>Total</v>
      </c>
      <c r="D98" s="46">
        <f>D24+D36+D65+D84+D89</f>
        <v>10230.6085582545</v>
      </c>
      <c r="E98" s="353">
        <f>E24+E36+E65+E84+E89</f>
        <v>1</v>
      </c>
      <c r="F98" s="46">
        <f>F24+F36+F65+F84+F89</f>
        <v>-60.67525920570003</v>
      </c>
    </row>
  </sheetData>
  <mergeCells count="7">
    <mergeCell ref="C6:D6"/>
    <mergeCell ref="C10:G10"/>
    <mergeCell ref="C19:G19"/>
    <mergeCell ref="D22:D23"/>
    <mergeCell ref="E22:E23"/>
    <mergeCell ref="F22:F23"/>
    <mergeCell ref="C21:F21"/>
  </mergeCells>
  <hyperlinks>
    <hyperlink ref="F2" location="Forside!A1" display="Forside!A1" xr:uid="{1F9609C6-07CC-4141-A367-EEA7B31BE5EF}"/>
  </hyperlinks>
  <pageMargins left="0.7" right="0.7" top="0.75" bottom="0.75" header="0.3" footer="0.3"/>
  <pageSetup paperSize="9" orientation="portrait" r:id="rId1"/>
  <headerFooter>
    <oddHeader>&amp;R&amp;"Calibri"&amp;10&amp;K000000 INTERNAL&amp;1#_x000D_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C1:M74"/>
  <sheetViews>
    <sheetView topLeftCell="A6" zoomScaleNormal="100" workbookViewId="0"/>
  </sheetViews>
  <sheetFormatPr baseColWidth="10" defaultColWidth="9.5" defaultRowHeight="13" x14ac:dyDescent="0.15"/>
  <cols>
    <col min="1" max="2" width="2.83203125" style="3" customWidth="1"/>
    <col min="3" max="5" width="22.1640625" style="3" customWidth="1"/>
    <col min="6" max="6" width="15" style="3" customWidth="1"/>
    <col min="7" max="13" width="13.83203125" style="3" customWidth="1"/>
    <col min="14" max="16384" width="9.5" style="3"/>
  </cols>
  <sheetData>
    <row r="1" spans="3:11" ht="15" customHeight="1" x14ac:dyDescent="0.15"/>
    <row r="2" spans="3:11" ht="21" customHeight="1" x14ac:dyDescent="0.2">
      <c r="C2" s="26" t="str">
        <f>Tekstnøgler!C196</f>
        <v>Resultat (GHG)</v>
      </c>
      <c r="D2" s="27"/>
      <c r="E2" s="27"/>
      <c r="F2" s="27"/>
      <c r="G2" s="27"/>
      <c r="H2" s="27"/>
      <c r="I2" s="363" t="str">
        <f>Tekstnøgler!C2</f>
        <v>&lt;-- Gå til forsiden</v>
      </c>
      <c r="J2" s="27"/>
      <c r="K2" s="27"/>
    </row>
    <row r="3" spans="3:11" ht="15" customHeight="1" x14ac:dyDescent="0.2">
      <c r="C3" s="2"/>
    </row>
    <row r="4" spans="3:11" ht="15" customHeight="1" x14ac:dyDescent="0.15"/>
    <row r="5" spans="3:11" ht="21" customHeight="1" x14ac:dyDescent="0.2">
      <c r="C5" s="29" t="str">
        <f>Hovedresultater!C5</f>
        <v>Resultat for 0 (År) - Tiltagscase</v>
      </c>
      <c r="D5" s="2"/>
    </row>
    <row r="6" spans="3:11" ht="21" customHeight="1" x14ac:dyDescent="0.2">
      <c r="C6" s="424" t="str">
        <f>Hovedresultater!C6</f>
        <v>10.230,61 ton CO₂e</v>
      </c>
      <c r="D6" s="424"/>
      <c r="E6" s="2"/>
    </row>
    <row r="7" spans="3:11" ht="17.5" customHeight="1" x14ac:dyDescent="0.2">
      <c r="C7" s="30"/>
      <c r="D7" s="30"/>
      <c r="E7" s="2"/>
    </row>
    <row r="8" spans="3:11" ht="17.5" customHeight="1" x14ac:dyDescent="0.2">
      <c r="C8" s="2" t="str">
        <f>Tekstnøgler!C71</f>
        <v>Metodevalg</v>
      </c>
    </row>
    <row r="9" spans="3:11" ht="17.5" customHeight="1" x14ac:dyDescent="0.15"/>
    <row r="10" spans="3:11" ht="75.75" customHeight="1" x14ac:dyDescent="0.15">
      <c r="C10" s="413" t="str">
        <f>Tekstnøgler!C72</f>
        <v>Resultaterne baserer sig på en række metodiske valg, der er foretaget i forbindelse med beregningerne. I nedenstående tabel kan du se, hvorvidt Radiative Forcing Index (RFI) er medregnet i forbindelse med udledninger fra flytransport. At medregne (eller korrigere for) RFI betyder, at der er taget højde for, at CO₂e udledt højere oppe i atmosfæren har en større drivhuseffekt end CO₂e udledt ved landjorden. Tabellen viser også, om emissionsfaktoren for el baserer sig på det årlige gennemsnit for sammensætningen af produktionen af el (miljødeklaration), eller om der i emissionsfaktoren korrigeres for virksomheders køb af grønne certifikater, såkaldte oprindelsesgarantier (eldeklaration).</v>
      </c>
      <c r="D10" s="413"/>
      <c r="E10" s="413"/>
      <c r="F10" s="413"/>
      <c r="G10" s="413"/>
      <c r="H10" s="413"/>
      <c r="I10" s="413"/>
      <c r="J10" s="413"/>
      <c r="K10" s="413"/>
    </row>
    <row r="11" spans="3:11" ht="14" thickBot="1" x14ac:dyDescent="0.2"/>
    <row r="12" spans="3:11" ht="16" x14ac:dyDescent="0.15">
      <c r="C12" s="28" t="str">
        <f>Tekstnøgler!C73</f>
        <v>Emissionsfaktor</v>
      </c>
      <c r="D12" s="28"/>
      <c r="E12" s="25" t="str">
        <f>Tekstnøgler!C74</f>
        <v>Metodevalg</v>
      </c>
    </row>
    <row r="13" spans="3:11" ht="15" customHeight="1" thickBot="1" x14ac:dyDescent="0.2">
      <c r="C13" s="454" t="str">
        <f>Tekstnøgler!C75</f>
        <v>Valg af emissionsfaktor for elektricitet</v>
      </c>
      <c r="D13" s="455"/>
      <c r="E13" s="230" t="str">
        <f>IF(ISBLANK(Hovedresultater!$E13),"",Hovedresultater!$E13)</f>
        <v>Eldeklaration</v>
      </c>
    </row>
    <row r="14" spans="3:11" ht="15" customHeight="1" thickBot="1" x14ac:dyDescent="0.2">
      <c r="C14" s="454" t="str">
        <f>Tekstnøgler!C76</f>
        <v>Emissionsfaktor for flytransport</v>
      </c>
      <c r="D14" s="455"/>
      <c r="E14" s="230" t="str">
        <f>IF(ISBLANK(Hovedresultater!$E14),"",Hovedresultater!$E14)</f>
        <v>Inkluder RFI</v>
      </c>
    </row>
    <row r="17" spans="3:13" ht="21" thickBot="1" x14ac:dyDescent="0.25">
      <c r="C17" s="2" t="str">
        <f>Tekstnøgler!C197</f>
        <v>Hovedresultater (GHG)</v>
      </c>
      <c r="E17" s="4"/>
      <c r="F17" s="4"/>
      <c r="G17" s="4"/>
      <c r="H17" s="4"/>
      <c r="I17" s="4"/>
      <c r="J17" s="4"/>
    </row>
    <row r="18" spans="3:13" x14ac:dyDescent="0.15">
      <c r="C18" s="5"/>
      <c r="D18" s="5"/>
      <c r="K18" s="5"/>
    </row>
    <row r="19" spans="3:13" ht="40.25" customHeight="1" thickBot="1" x14ac:dyDescent="0.2">
      <c r="C19" s="422" t="str">
        <f>Tekstnøgler!C198</f>
        <v>Virksomhedens samlede CO₂e-udledning er angivet i tabel 1. CO₂e-udledningen er angivet i ton CO₂-ækvivalenter, og tabellen viser udledningen fordelt på scope 1, 2 og 3 jf. GHG-protokollen. Udledningen udenfor scopes medregnes ikke jf. GHG-protokollen og indgår derfor ikke i totalen.</v>
      </c>
      <c r="D19" s="422"/>
      <c r="E19" s="422"/>
      <c r="F19" s="422"/>
      <c r="G19" s="422"/>
      <c r="H19" s="422"/>
      <c r="I19" s="422"/>
      <c r="J19" s="422"/>
      <c r="K19" s="422"/>
    </row>
    <row r="20" spans="3:13" ht="22.75" customHeight="1" thickBot="1" x14ac:dyDescent="0.2">
      <c r="C20" s="443" t="str">
        <f>Tekstnøgler!C199</f>
        <v>Tabel 1: Oversigt over virksomhedens samlede CO₂e-udledninger</v>
      </c>
      <c r="D20" s="444"/>
      <c r="E20" s="453"/>
      <c r="F20" s="6"/>
      <c r="G20" s="6"/>
      <c r="H20" s="6"/>
      <c r="I20" s="6"/>
      <c r="J20" s="6"/>
      <c r="K20" s="6"/>
    </row>
    <row r="21" spans="3:13" ht="16.75" customHeight="1" thickBot="1" x14ac:dyDescent="0.2">
      <c r="C21" s="188" t="str">
        <f>Tekstnøgler!C200</f>
        <v>Scope</v>
      </c>
      <c r="D21" s="189" t="str">
        <f>Tekstnøgler!C201</f>
        <v>Ton CO₂e</v>
      </c>
      <c r="E21" s="189" t="str">
        <f>Tekstnøgler!C202</f>
        <v>Andel af udledning</v>
      </c>
      <c r="F21" s="6"/>
      <c r="G21" s="6"/>
      <c r="I21" s="6"/>
      <c r="J21" s="6"/>
      <c r="K21" s="6"/>
    </row>
    <row r="22" spans="3:13" ht="16.75" customHeight="1" x14ac:dyDescent="0.15">
      <c r="C22" s="17" t="str">
        <f>Tekstnøgler!C203</f>
        <v>Scope 1</v>
      </c>
      <c r="D22" s="346">
        <f>'Delresultater (GHG)'!D98</f>
        <v>443.36484074510003</v>
      </c>
      <c r="E22" s="356">
        <f>IF(ISBLANK($D22),,$D22/$D$25)</f>
        <v>4.3337093606946195E-2</v>
      </c>
      <c r="F22" s="6"/>
      <c r="G22" s="6"/>
      <c r="I22" s="6"/>
      <c r="J22" s="6"/>
      <c r="K22" s="6"/>
      <c r="L22" s="7"/>
    </row>
    <row r="23" spans="3:13" ht="16.75" customHeight="1" x14ac:dyDescent="0.15">
      <c r="C23" s="17" t="str">
        <f>Tekstnøgler!C204</f>
        <v>Scope 2</v>
      </c>
      <c r="D23" s="346">
        <f>'Delresultater (GHG)'!E98</f>
        <v>1851.7950000000001</v>
      </c>
      <c r="E23" s="356">
        <f t="shared" ref="E23:E24" si="0">IF(ISBLANK($D23),,$D23/$D$25)</f>
        <v>0.1810053614558336</v>
      </c>
      <c r="F23" s="6"/>
      <c r="G23" s="6"/>
      <c r="I23" s="6"/>
      <c r="J23" s="6"/>
      <c r="K23" s="6"/>
    </row>
    <row r="24" spans="3:13" ht="16.75" customHeight="1" x14ac:dyDescent="0.15">
      <c r="C24" s="17" t="str">
        <f>Tekstnøgler!C205</f>
        <v>Scope 3</v>
      </c>
      <c r="D24" s="346">
        <f>'Delresultater (GHG)'!F98</f>
        <v>7935.4487175093991</v>
      </c>
      <c r="E24" s="356">
        <f t="shared" si="0"/>
        <v>0.77565754493722028</v>
      </c>
      <c r="F24" s="6"/>
      <c r="G24" s="6"/>
      <c r="I24" s="6"/>
      <c r="J24" s="6"/>
      <c r="K24" s="6"/>
    </row>
    <row r="25" spans="3:13" ht="16.75" customHeight="1" thickBot="1" x14ac:dyDescent="0.2">
      <c r="C25" s="45" t="str">
        <f>Tekstnøgler!C95</f>
        <v>Total</v>
      </c>
      <c r="D25" s="46">
        <f>SUM(D22:D24)</f>
        <v>10230.608558254498</v>
      </c>
      <c r="E25" s="353">
        <f>SUM(E22:E24)</f>
        <v>1</v>
      </c>
      <c r="F25" s="6"/>
      <c r="G25" s="6"/>
      <c r="I25" s="6"/>
      <c r="J25" s="6"/>
      <c r="K25" s="6"/>
    </row>
    <row r="26" spans="3:13" ht="15" customHeight="1" x14ac:dyDescent="0.15">
      <c r="C26" s="6"/>
      <c r="D26" s="8"/>
      <c r="E26" s="9"/>
      <c r="F26" s="6"/>
      <c r="G26" s="6"/>
      <c r="H26" s="6"/>
      <c r="I26" s="6"/>
      <c r="J26" s="6"/>
      <c r="K26" s="6"/>
    </row>
    <row r="27" spans="3:13" ht="14.25" customHeight="1" x14ac:dyDescent="0.15">
      <c r="C27" s="8"/>
      <c r="F27" s="9"/>
      <c r="G27" s="9"/>
      <c r="H27" s="10"/>
      <c r="I27" s="11"/>
      <c r="J27" s="7"/>
      <c r="K27" s="7"/>
      <c r="L27" s="7"/>
      <c r="M27" s="7"/>
    </row>
    <row r="28" spans="3:13" ht="20" x14ac:dyDescent="0.2">
      <c r="C28" s="2" t="str">
        <f>Tekstnøgler!C207</f>
        <v>Opsummering af virksomhedens beregnede CO2e-udledning</v>
      </c>
      <c r="D28" s="2"/>
      <c r="E28" s="6"/>
      <c r="F28" s="6"/>
      <c r="G28" s="6"/>
      <c r="H28" s="6"/>
      <c r="I28" s="6"/>
      <c r="J28" s="6"/>
      <c r="K28" s="6"/>
      <c r="L28" s="7"/>
      <c r="M28" s="7"/>
    </row>
    <row r="29" spans="3:13" ht="13.25" customHeight="1" x14ac:dyDescent="0.15">
      <c r="E29" s="9"/>
      <c r="F29" s="9"/>
      <c r="G29" s="10"/>
      <c r="H29" s="11"/>
      <c r="I29" s="7"/>
      <c r="J29" s="7"/>
      <c r="K29" s="6"/>
      <c r="L29" s="7"/>
      <c r="M29" s="7"/>
    </row>
    <row r="30" spans="3:13" ht="36.5" customHeight="1" x14ac:dyDescent="0.15">
      <c r="C30" s="422" t="str">
        <f>Tekstnøgler!C208</f>
        <v xml:space="preserve">Nedenstående figurer viser grafiske fremstillinger af virksomhedens beregnede CO₂e-udledning. Figur 1 angiver virksomhedens absolutte udledning i ton CO₂-ækvivalenter fordelt på scope 1, 2, og 3. Figur 2 viser den procentuelle fordeling af CO₂e-udledningen fordelt på scope 1, 2 og 3. 			</v>
      </c>
      <c r="D30" s="422"/>
      <c r="E30" s="422"/>
      <c r="F30" s="422"/>
      <c r="G30" s="422"/>
      <c r="H30" s="422"/>
      <c r="I30" s="422"/>
      <c r="J30" s="422"/>
      <c r="K30" s="6"/>
      <c r="L30" s="7"/>
      <c r="M30" s="7"/>
    </row>
    <row r="31" spans="3:13" ht="27.75" customHeight="1" x14ac:dyDescent="0.2">
      <c r="C31" s="439" t="str">
        <f>Tekstnøgler!C209</f>
        <v>Figur 1: Virksomhedens samlede CO₂e-udledning i ton fordelt på scopes</v>
      </c>
      <c r="D31" s="439"/>
      <c r="E31" s="439"/>
      <c r="F31" s="439"/>
      <c r="G31" s="6"/>
      <c r="H31" s="439" t="str">
        <f>Tekstnøgler!C210</f>
        <v>Figur 2: Procentfordeling af CO₂e-udledning fordelt på scopes</v>
      </c>
      <c r="I31" s="423"/>
      <c r="J31" s="423"/>
      <c r="K31" s="423"/>
      <c r="L31" s="423"/>
      <c r="M31" s="423"/>
    </row>
    <row r="32" spans="3:13" ht="13.25" customHeight="1" x14ac:dyDescent="0.15">
      <c r="C32" s="420"/>
      <c r="D32" s="420"/>
      <c r="E32" s="420"/>
      <c r="F32" s="420"/>
      <c r="G32" s="420"/>
      <c r="H32" s="420"/>
      <c r="I32" s="420"/>
      <c r="J32" s="420"/>
      <c r="K32" s="6"/>
      <c r="L32" s="7"/>
      <c r="M32" s="7"/>
    </row>
    <row r="33" spans="3:13" ht="13.25" customHeight="1" x14ac:dyDescent="0.15">
      <c r="D33" s="6"/>
      <c r="E33" s="6"/>
      <c r="F33" s="6"/>
      <c r="G33" s="6"/>
      <c r="H33" s="6"/>
      <c r="I33" s="6"/>
      <c r="J33" s="6"/>
      <c r="K33" s="6"/>
      <c r="L33" s="7"/>
      <c r="M33" s="7"/>
    </row>
    <row r="34" spans="3:13" ht="13.25" customHeight="1" x14ac:dyDescent="0.15">
      <c r="C34" s="6"/>
      <c r="D34" s="6"/>
      <c r="E34" s="6"/>
      <c r="F34" s="6"/>
      <c r="H34" s="6"/>
      <c r="I34" s="6"/>
      <c r="J34" s="6"/>
      <c r="K34" s="6"/>
      <c r="L34" s="7"/>
      <c r="M34" s="7"/>
    </row>
    <row r="35" spans="3:13" ht="13.25" customHeight="1" x14ac:dyDescent="0.15">
      <c r="C35" s="6"/>
      <c r="D35" s="6"/>
      <c r="E35" s="6"/>
      <c r="F35" s="6"/>
      <c r="G35" s="6"/>
      <c r="H35" s="6"/>
      <c r="I35" s="6"/>
      <c r="J35" s="6"/>
      <c r="K35" s="6"/>
      <c r="L35" s="7"/>
      <c r="M35" s="7"/>
    </row>
    <row r="36" spans="3:13" ht="13.25" customHeight="1" x14ac:dyDescent="0.15">
      <c r="C36" s="6"/>
      <c r="D36" s="6"/>
      <c r="E36" s="6"/>
      <c r="F36" s="6"/>
      <c r="G36" s="6"/>
      <c r="H36" s="6"/>
      <c r="I36" s="6"/>
      <c r="J36" s="6"/>
      <c r="K36" s="6"/>
      <c r="L36" s="7"/>
      <c r="M36" s="7"/>
    </row>
    <row r="37" spans="3:13" ht="13.25" customHeight="1" x14ac:dyDescent="0.15">
      <c r="C37" s="6"/>
      <c r="D37" s="6"/>
      <c r="E37" s="6"/>
      <c r="F37" s="6"/>
      <c r="G37" s="6"/>
      <c r="H37" s="6"/>
      <c r="I37" s="6"/>
      <c r="J37" s="6"/>
      <c r="K37" s="6"/>
      <c r="L37" s="7"/>
      <c r="M37" s="7"/>
    </row>
    <row r="38" spans="3:13" ht="13.25" customHeight="1" x14ac:dyDescent="0.15">
      <c r="C38" s="6"/>
      <c r="D38" s="6"/>
      <c r="E38" s="6"/>
      <c r="F38" s="6"/>
      <c r="G38" s="6"/>
      <c r="H38" s="6"/>
      <c r="I38" s="6"/>
      <c r="J38" s="6"/>
      <c r="K38" s="6"/>
      <c r="L38" s="7"/>
      <c r="M38" s="7"/>
    </row>
    <row r="39" spans="3:13" ht="13.25" customHeight="1" x14ac:dyDescent="0.15">
      <c r="C39" s="6"/>
      <c r="D39" s="6"/>
      <c r="E39" s="6"/>
      <c r="F39" s="6"/>
      <c r="G39" s="6"/>
      <c r="H39" s="6"/>
      <c r="I39" s="6"/>
      <c r="J39" s="6"/>
      <c r="K39" s="6"/>
      <c r="L39" s="7"/>
      <c r="M39" s="7"/>
    </row>
    <row r="40" spans="3:13" ht="13.25" customHeight="1" x14ac:dyDescent="0.15">
      <c r="C40" s="6"/>
      <c r="D40" s="6"/>
      <c r="E40" s="6"/>
      <c r="F40" s="6"/>
      <c r="G40" s="6"/>
      <c r="H40" s="6"/>
      <c r="I40" s="6"/>
      <c r="J40" s="6"/>
      <c r="K40" s="6"/>
      <c r="L40" s="7"/>
      <c r="M40" s="7"/>
    </row>
    <row r="41" spans="3:13" ht="13.25" customHeight="1" x14ac:dyDescent="0.15">
      <c r="C41" s="6"/>
      <c r="D41" s="6"/>
      <c r="E41" s="6"/>
      <c r="F41" s="6"/>
      <c r="G41" s="6"/>
      <c r="H41" s="6"/>
      <c r="I41" s="6"/>
      <c r="J41" s="6"/>
      <c r="K41" s="6"/>
      <c r="L41" s="7"/>
      <c r="M41" s="7"/>
    </row>
    <row r="42" spans="3:13" ht="13.25" customHeight="1" x14ac:dyDescent="0.15">
      <c r="C42" s="6"/>
      <c r="D42" s="6"/>
      <c r="E42" s="6"/>
      <c r="F42" s="6"/>
      <c r="G42" s="6"/>
      <c r="H42" s="6"/>
      <c r="I42" s="6"/>
      <c r="J42" s="6"/>
      <c r="K42" s="6"/>
      <c r="L42" s="7"/>
      <c r="M42" s="7"/>
    </row>
    <row r="43" spans="3:13" ht="13.25" customHeight="1" x14ac:dyDescent="0.15">
      <c r="C43" s="6"/>
      <c r="D43" s="6"/>
      <c r="E43" s="6"/>
      <c r="F43" s="6"/>
      <c r="G43" s="6"/>
      <c r="H43" s="6"/>
      <c r="I43" s="6"/>
      <c r="J43" s="6"/>
      <c r="K43" s="6"/>
      <c r="L43" s="7"/>
      <c r="M43" s="7"/>
    </row>
    <row r="44" spans="3:13" ht="13.25" customHeight="1" x14ac:dyDescent="0.15">
      <c r="C44" s="6"/>
      <c r="D44" s="6"/>
      <c r="E44" s="6"/>
      <c r="F44" s="6"/>
      <c r="G44" s="6"/>
      <c r="H44" s="6"/>
      <c r="I44" s="6"/>
      <c r="J44" s="6"/>
      <c r="K44" s="6"/>
      <c r="L44" s="7"/>
      <c r="M44" s="7"/>
    </row>
    <row r="45" spans="3:13" ht="13.25" customHeight="1" x14ac:dyDescent="0.15">
      <c r="C45" s="6"/>
      <c r="D45" s="6"/>
      <c r="E45" s="6"/>
      <c r="F45" s="6"/>
      <c r="G45" s="6"/>
      <c r="H45" s="6"/>
      <c r="I45" s="6"/>
      <c r="J45" s="6"/>
      <c r="K45" s="6"/>
      <c r="L45" s="7"/>
      <c r="M45" s="7"/>
    </row>
    <row r="46" spans="3:13" ht="13.25" customHeight="1" x14ac:dyDescent="0.15">
      <c r="C46" s="6"/>
      <c r="D46" s="6"/>
      <c r="E46" s="6"/>
      <c r="F46" s="6"/>
      <c r="G46" s="6"/>
      <c r="H46" s="6"/>
      <c r="I46" s="6"/>
      <c r="J46" s="6"/>
      <c r="K46" s="6"/>
      <c r="L46" s="7"/>
      <c r="M46" s="7"/>
    </row>
    <row r="47" spans="3:13" ht="13.25" customHeight="1" x14ac:dyDescent="0.15">
      <c r="C47" s="6"/>
      <c r="D47" s="6"/>
      <c r="E47" s="6"/>
      <c r="F47" s="6"/>
      <c r="G47" s="6"/>
      <c r="H47" s="6"/>
      <c r="I47" s="6"/>
      <c r="J47" s="6"/>
      <c r="K47" s="6"/>
      <c r="L47" s="7"/>
      <c r="M47" s="7"/>
    </row>
    <row r="48" spans="3:13" ht="13.25" customHeight="1" x14ac:dyDescent="0.15">
      <c r="C48" s="6"/>
      <c r="D48" s="6"/>
      <c r="E48" s="6"/>
      <c r="F48" s="6"/>
      <c r="G48" s="6"/>
      <c r="I48" s="6"/>
      <c r="J48" s="6"/>
      <c r="K48" s="6"/>
      <c r="L48" s="7"/>
      <c r="M48" s="7"/>
    </row>
    <row r="49" spans="3:13" ht="13.25" customHeight="1" x14ac:dyDescent="0.15">
      <c r="C49" s="6"/>
      <c r="D49" s="6"/>
      <c r="E49" s="6"/>
      <c r="F49" s="6"/>
      <c r="G49" s="6"/>
      <c r="H49" s="6"/>
      <c r="I49" s="6"/>
      <c r="J49" s="6"/>
      <c r="K49" s="6"/>
      <c r="L49" s="7"/>
      <c r="M49" s="7"/>
    </row>
    <row r="50" spans="3:13" ht="46" customHeight="1" x14ac:dyDescent="0.2">
      <c r="C50" s="2" t="str">
        <f>Tekstnøgler!C211</f>
        <v>Nøgletal</v>
      </c>
      <c r="D50" s="6"/>
      <c r="E50" s="9"/>
      <c r="F50" s="9"/>
      <c r="G50" s="10"/>
      <c r="H50" s="11"/>
      <c r="I50" s="7"/>
      <c r="J50" s="7"/>
      <c r="K50" s="7"/>
      <c r="L50" s="7"/>
      <c r="M50" s="7"/>
    </row>
    <row r="51" spans="3:13" ht="11.5" customHeight="1" x14ac:dyDescent="0.15">
      <c r="C51" s="6"/>
      <c r="D51" s="6"/>
      <c r="E51" s="19"/>
      <c r="F51" s="19"/>
      <c r="H51" s="20"/>
      <c r="I51" s="20"/>
      <c r="J51" s="20"/>
      <c r="K51" s="20"/>
      <c r="L51" s="12"/>
      <c r="M51" s="7"/>
    </row>
    <row r="52" spans="3:13" ht="38" customHeight="1" x14ac:dyDescent="0.15">
      <c r="C52" s="422" t="str">
        <f>Tekstnøgler!C212</f>
        <v>Denne tabel viser beregninger af nøgletal i tilfælde af, at der under Stamdata er indtastet data for hhv. antal fuldtidsansatte i virksomheden, nettoomsætning og areal.</v>
      </c>
      <c r="D52" s="422"/>
      <c r="E52" s="422"/>
      <c r="F52" s="7"/>
      <c r="G52" s="7"/>
      <c r="H52" s="7"/>
      <c r="I52" s="7"/>
      <c r="J52" s="7"/>
      <c r="K52" s="7"/>
      <c r="L52" s="7"/>
      <c r="M52" s="7"/>
    </row>
    <row r="53" spans="3:13" ht="11.5" customHeight="1" thickBot="1" x14ac:dyDescent="0.2">
      <c r="C53" s="6"/>
      <c r="D53" s="6"/>
      <c r="E53" s="7"/>
      <c r="F53" s="7"/>
      <c r="G53" s="7"/>
      <c r="H53" s="7"/>
      <c r="I53" s="7"/>
      <c r="J53" s="7"/>
      <c r="K53" s="7"/>
      <c r="L53" s="7"/>
      <c r="M53" s="7"/>
    </row>
    <row r="54" spans="3:13" ht="14.5" customHeight="1" thickBot="1" x14ac:dyDescent="0.2">
      <c r="C54" s="24" t="str">
        <f>Tekstnøgler!C213</f>
        <v>Nøgletalsberegninger</v>
      </c>
      <c r="D54" s="21"/>
      <c r="E54" s="21" t="str">
        <f>Tekstnøgler!C214</f>
        <v>Ton CO₂e</v>
      </c>
      <c r="F54" s="7"/>
      <c r="G54" s="7"/>
      <c r="H54" s="7"/>
      <c r="I54" s="7"/>
      <c r="J54" s="7"/>
      <c r="K54" s="7"/>
      <c r="L54" s="7"/>
      <c r="M54" s="7"/>
    </row>
    <row r="55" spans="3:13" ht="14.5" customHeight="1" thickBot="1" x14ac:dyDescent="0.2">
      <c r="C55" s="437" t="str">
        <f>Tekstnøgler!C215</f>
        <v>CO₂e pr. ansat</v>
      </c>
      <c r="D55" s="438"/>
      <c r="E55" s="346">
        <f>IF(ISBLANK(Hovedresultater!E82),"",Hovedresultater!E82)</f>
        <v>204.61217116508999</v>
      </c>
      <c r="F55" s="259"/>
    </row>
    <row r="56" spans="3:13" ht="14.5" customHeight="1" thickBot="1" x14ac:dyDescent="0.2">
      <c r="C56" s="437" t="str">
        <f>Tekstnøgler!C216</f>
        <v>CO₂e pr. mio. kr. nettoomsætning</v>
      </c>
      <c r="D56" s="438"/>
      <c r="E56" s="346">
        <f>IF(ISBLANK(Hovedresultater!E83),"",Hovedresultater!E83)</f>
        <v>444.80906775019565</v>
      </c>
    </row>
    <row r="57" spans="3:13" ht="14.5" customHeight="1" thickBot="1" x14ac:dyDescent="0.2">
      <c r="C57" s="437" t="str">
        <f>Tekstnøgler!C217</f>
        <v>CO₂e pr. m2</v>
      </c>
      <c r="D57" s="438"/>
      <c r="E57" s="346">
        <f>IF(ISBLANK(Hovedresultater!E84),"",Hovedresultater!E84)</f>
        <v>2.0461217116508998</v>
      </c>
      <c r="F57" s="7"/>
      <c r="G57" s="7"/>
      <c r="H57" s="7"/>
      <c r="I57" s="7"/>
      <c r="J57" s="7"/>
      <c r="K57" s="7"/>
      <c r="L57" s="7"/>
      <c r="M57" s="7"/>
    </row>
    <row r="58" spans="3:13" ht="13.25" customHeight="1" x14ac:dyDescent="0.15">
      <c r="C58" s="6"/>
      <c r="D58" s="6"/>
      <c r="E58" s="6"/>
      <c r="F58" s="6"/>
      <c r="G58" s="6"/>
      <c r="H58" s="6"/>
      <c r="I58" s="6"/>
      <c r="J58" s="6"/>
      <c r="K58" s="6"/>
      <c r="L58" s="7"/>
      <c r="M58" s="7"/>
    </row>
    <row r="60" spans="3:13" ht="20" x14ac:dyDescent="0.2">
      <c r="C60" s="2" t="str">
        <f>Tekstnøgler!C218</f>
        <v>Udenfor scopes resultater</v>
      </c>
    </row>
    <row r="62" spans="3:13" ht="52.5" customHeight="1" x14ac:dyDescent="0.15">
      <c r="C62" s="422" t="str">
        <f>Tekstnøgler!C219</f>
        <v xml:space="preserve">I en række tilfælde vil Klimakompasset vise nogle resultater i 'udenfor scope'. Dette gælder fx biogen CO₂e-udledning fra forbrænding af biobrændsel. Dette gælder også evt. undgåede udledninger som fx undgået produktion af nye materialer ved at sende affald til genanvendelse. Jf. GHG-protokollen medregnes disse udledninger ikke under scope 1, 2 og 3 og indgår derfor ikke i totalen. </v>
      </c>
      <c r="D62" s="421"/>
      <c r="E62" s="421"/>
      <c r="F62" s="421"/>
      <c r="G62" s="421"/>
      <c r="H62" s="6"/>
      <c r="I62" s="6"/>
    </row>
    <row r="63" spans="3:13" ht="13.25" customHeight="1" thickBot="1" x14ac:dyDescent="0.2">
      <c r="C63" s="422"/>
      <c r="D63" s="422"/>
      <c r="E63" s="422"/>
      <c r="F63" s="422"/>
      <c r="G63" s="422"/>
      <c r="H63" s="422"/>
      <c r="I63" s="6"/>
    </row>
    <row r="64" spans="3:13" ht="13.75" customHeight="1" thickBot="1" x14ac:dyDescent="0.2">
      <c r="C64" s="443" t="str">
        <f>Tekstnøgler!C220</f>
        <v>Udenfor scopes resultater</v>
      </c>
      <c r="D64" s="444"/>
      <c r="E64" s="453"/>
      <c r="F64" s="18"/>
      <c r="G64" s="18"/>
      <c r="H64" s="18"/>
      <c r="I64" s="6"/>
    </row>
    <row r="65" spans="3:9" ht="13.25" customHeight="1" thickBot="1" x14ac:dyDescent="0.2">
      <c r="C65" s="188" t="str">
        <f>Tekstnøgler!C221</f>
        <v>Scope</v>
      </c>
      <c r="D65" s="189" t="str">
        <f>Tekstnøgler!C222</f>
        <v>Ton CO₂e</v>
      </c>
      <c r="E65" s="189" t="str">
        <f>Tekstnøgler!C223</f>
        <v>Andel af udledning</v>
      </c>
      <c r="F65" s="18"/>
      <c r="G65" s="18"/>
      <c r="I65" s="6"/>
    </row>
    <row r="66" spans="3:9" ht="14" x14ac:dyDescent="0.15">
      <c r="C66" s="17" t="str">
        <f>Tekstnøgler!C224</f>
        <v>Udenfor scope</v>
      </c>
      <c r="D66" s="346">
        <f>'Delresultater (GHG)'!D182</f>
        <v>-60.67525920570003</v>
      </c>
      <c r="E66" s="364">
        <f>D66/D25</f>
        <v>-5.9307575751927875E-3</v>
      </c>
    </row>
    <row r="69" spans="3:9" ht="20" x14ac:dyDescent="0.2">
      <c r="C69" s="2" t="str">
        <f>Tekstnøgler!C109</f>
        <v>Egne bemærkninger</v>
      </c>
    </row>
    <row r="71" spans="3:9" x14ac:dyDescent="0.15">
      <c r="C71" s="445" t="str">
        <f>IF(ISTEXT(Hovedresultater!C89),Hovedresultater!C89,"")</f>
        <v/>
      </c>
      <c r="D71" s="446"/>
      <c r="E71" s="447"/>
    </row>
    <row r="72" spans="3:9" x14ac:dyDescent="0.15">
      <c r="C72" s="448"/>
      <c r="D72" s="422"/>
      <c r="E72" s="449"/>
    </row>
    <row r="73" spans="3:9" x14ac:dyDescent="0.15">
      <c r="C73" s="448"/>
      <c r="D73" s="422"/>
      <c r="E73" s="449"/>
    </row>
    <row r="74" spans="3:9" x14ac:dyDescent="0.15">
      <c r="C74" s="450"/>
      <c r="D74" s="451"/>
      <c r="E74" s="452"/>
    </row>
  </sheetData>
  <mergeCells count="20">
    <mergeCell ref="C6:D6"/>
    <mergeCell ref="C10:K10"/>
    <mergeCell ref="C13:D13"/>
    <mergeCell ref="C14:D14"/>
    <mergeCell ref="C56:D56"/>
    <mergeCell ref="G32:J32"/>
    <mergeCell ref="C52:E52"/>
    <mergeCell ref="C55:D55"/>
    <mergeCell ref="C30:J30"/>
    <mergeCell ref="C32:F32"/>
    <mergeCell ref="C19:K19"/>
    <mergeCell ref="C20:E20"/>
    <mergeCell ref="C31:F31"/>
    <mergeCell ref="H31:M31"/>
    <mergeCell ref="C71:E74"/>
    <mergeCell ref="C57:D57"/>
    <mergeCell ref="C63:E63"/>
    <mergeCell ref="F63:H63"/>
    <mergeCell ref="C64:E64"/>
    <mergeCell ref="C62:G62"/>
  </mergeCells>
  <hyperlinks>
    <hyperlink ref="I2" location="Forside!A1" display="Forside!A1" xr:uid="{5A6B35DF-619E-7D48-BD04-0372A76BFE1E}"/>
  </hyperlinks>
  <pageMargins left="0.7" right="0.7" top="0.75" bottom="0.75" header="0.3" footer="0.3"/>
  <pageSetup paperSize="9" orientation="portrait" r:id="rId1"/>
  <headerFooter>
    <oddHeader>&amp;R&amp;"Calibri"&amp;10&amp;K000000 INTERNAL&amp;1#_x000D_</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C1:L182"/>
  <sheetViews>
    <sheetView topLeftCell="A9" zoomScaleNormal="100" workbookViewId="0"/>
  </sheetViews>
  <sheetFormatPr baseColWidth="10" defaultColWidth="9.5" defaultRowHeight="13" x14ac:dyDescent="0.15"/>
  <cols>
    <col min="1" max="2" width="2.83203125" style="3" customWidth="1"/>
    <col min="3" max="3" width="57.1640625" style="3" customWidth="1"/>
    <col min="4" max="6" width="21.5" style="3" customWidth="1"/>
    <col min="7" max="7" width="21.83203125" style="3" customWidth="1"/>
    <col min="8" max="8" width="2.5" style="3" customWidth="1"/>
    <col min="9" max="10" width="9.5" style="3"/>
    <col min="11" max="11" width="9.5" style="3" customWidth="1"/>
    <col min="12" max="12" width="9.5" style="3"/>
    <col min="13" max="13" width="9.5" style="3" customWidth="1"/>
    <col min="14" max="16384" width="9.5" style="3"/>
  </cols>
  <sheetData>
    <row r="1" spans="3:7" ht="15" customHeight="1" x14ac:dyDescent="0.15"/>
    <row r="2" spans="3:7" ht="21" customHeight="1" x14ac:dyDescent="0.2">
      <c r="C2" s="26" t="str">
        <f>Tekstnøgler!C196</f>
        <v>Resultat (GHG)</v>
      </c>
      <c r="D2" s="27"/>
      <c r="E2" s="27"/>
      <c r="F2" s="363" t="str">
        <f>Tekstnøgler!C2</f>
        <v>&lt;-- Gå til forsiden</v>
      </c>
      <c r="G2" s="27"/>
    </row>
    <row r="3" spans="3:7" ht="15" customHeight="1" x14ac:dyDescent="0.2">
      <c r="C3" s="2"/>
    </row>
    <row r="4" spans="3:7" ht="15" customHeight="1" x14ac:dyDescent="0.2">
      <c r="C4" s="2"/>
    </row>
    <row r="5" spans="3:7" ht="21" customHeight="1" x14ac:dyDescent="0.2">
      <c r="C5" s="29" t="str">
        <f>Hovedresultater!C5</f>
        <v>Resultat for 0 (År) - Tiltagscase</v>
      </c>
      <c r="D5" s="2"/>
    </row>
    <row r="6" spans="3:7" ht="21" customHeight="1" x14ac:dyDescent="0.2">
      <c r="C6" s="424" t="str">
        <f>Hovedresultater!C6</f>
        <v>10.230,61 ton CO₂e</v>
      </c>
      <c r="D6" s="424"/>
      <c r="E6" s="2"/>
    </row>
    <row r="7" spans="3:7" ht="16.5" customHeight="1" x14ac:dyDescent="0.2">
      <c r="C7" s="30"/>
      <c r="D7" s="30"/>
      <c r="E7" s="2"/>
    </row>
    <row r="8" spans="3:7" ht="16.5" customHeight="1" x14ac:dyDescent="0.2">
      <c r="C8" s="2" t="str">
        <f>Tekstnøgler!C71</f>
        <v>Metodevalg</v>
      </c>
    </row>
    <row r="10" spans="3:7" ht="67.5" customHeight="1" x14ac:dyDescent="0.15">
      <c r="C10" s="413" t="str">
        <f>Tekstnøgler!C72</f>
        <v>Resultaterne baserer sig på en række metodiske valg, der er foretaget i forbindelse med beregningerne. I nedenstående tabel kan du se, hvorvidt Radiative Forcing Index (RFI) er medregnet i forbindelse med udledninger fra flytransport. At medregne (eller korrigere for) RFI betyder, at der er taget højde for, at CO₂e udledt højere oppe i atmosfæren har en større drivhuseffekt end CO₂e udledt ved landjorden. Tabellen viser også, om emissionsfaktoren for el baserer sig på det årlige gennemsnit for sammensætningen af produktionen af el (miljødeklaration), eller om der i emissionsfaktoren korrigeres for virksomheders køb af grønne certifikater, såkaldte oprindelsesgarantier (eldeklaration).</v>
      </c>
      <c r="D10" s="413"/>
      <c r="E10" s="413"/>
      <c r="F10" s="413"/>
      <c r="G10" s="413"/>
    </row>
    <row r="11" spans="3:7" ht="15" customHeight="1" thickBot="1" x14ac:dyDescent="0.2">
      <c r="C11" s="49"/>
      <c r="D11" s="49"/>
      <c r="E11" s="49"/>
    </row>
    <row r="12" spans="3:7" ht="15" customHeight="1" x14ac:dyDescent="0.15">
      <c r="C12" s="50" t="str">
        <f>Tekstnøgler!C73</f>
        <v>Emissionsfaktor</v>
      </c>
      <c r="D12" s="51" t="str">
        <f>Tekstnøgler!C74</f>
        <v>Metodevalg</v>
      </c>
      <c r="E12" s="49"/>
    </row>
    <row r="13" spans="3:7" ht="15" thickBot="1" x14ac:dyDescent="0.2">
      <c r="C13" s="52" t="str">
        <f>Tekstnøgler!C75</f>
        <v>Valg af emissionsfaktor for elektricitet</v>
      </c>
      <c r="D13" s="230" t="str">
        <f>IF(ISBLANK(Hovedresultater!$E13),"",Hovedresultater!$E13)</f>
        <v>Eldeklaration</v>
      </c>
      <c r="E13" s="49"/>
    </row>
    <row r="14" spans="3:7" ht="15" thickBot="1" x14ac:dyDescent="0.2">
      <c r="C14" s="52" t="str">
        <f>Tekstnøgler!C76</f>
        <v>Emissionsfaktor for flytransport</v>
      </c>
      <c r="D14" s="230" t="str">
        <f>IF(ISBLANK(Hovedresultater!$E14),"",Hovedresultater!$E14)</f>
        <v>Inkluder RFI</v>
      </c>
    </row>
    <row r="15" spans="3:7" x14ac:dyDescent="0.15">
      <c r="C15" s="54"/>
    </row>
    <row r="17" spans="3:12" ht="20" x14ac:dyDescent="0.2">
      <c r="C17" s="26" t="str">
        <f>Tekstnøgler!C227</f>
        <v>Delresultater (GHG)</v>
      </c>
      <c r="E17" s="27"/>
    </row>
    <row r="18" spans="3:12" x14ac:dyDescent="0.15">
      <c r="D18" s="31"/>
      <c r="F18" s="31"/>
      <c r="G18" s="31"/>
    </row>
    <row r="19" spans="3:12" ht="28" customHeight="1" x14ac:dyDescent="0.15">
      <c r="C19" s="422" t="str">
        <f>Tekstnøgler!C228</f>
        <v>Her ses en mere detaljeret resultatvisning. Tabellen viser alle underkategorierne, der kan angives data for, den tilhørende udledning i ton CO₂e og underkategoriens samlede andel af de totale udledninger.</v>
      </c>
      <c r="D19" s="422"/>
      <c r="E19" s="422"/>
      <c r="F19" s="422"/>
      <c r="G19" s="422"/>
    </row>
    <row r="20" spans="3:12" ht="14.25" customHeight="1" thickBot="1" x14ac:dyDescent="0.2">
      <c r="C20" s="6"/>
      <c r="D20" s="6"/>
      <c r="E20" s="6"/>
      <c r="F20" s="6"/>
      <c r="G20" s="6"/>
    </row>
    <row r="21" spans="3:12" s="48" customFormat="1" ht="19.25" customHeight="1" thickBot="1" x14ac:dyDescent="0.2">
      <c r="C21" s="443" t="str">
        <f>Tekstnøgler!C226</f>
        <v>Oversigt over CO₂e-udledningen fordelt på hoved- og underkategorier</v>
      </c>
      <c r="D21" s="444"/>
      <c r="E21" s="444"/>
      <c r="F21" s="444"/>
      <c r="G21" s="453"/>
    </row>
    <row r="22" spans="3:12" s="48" customFormat="1" ht="14.5" customHeight="1" x14ac:dyDescent="0.15">
      <c r="C22" s="186" t="str">
        <f>Tekstnøgler!C115</f>
        <v>Hovedkategori</v>
      </c>
      <c r="D22" s="191" t="str">
        <f>Tekstnøgler!C203</f>
        <v>Scope 1</v>
      </c>
      <c r="E22" s="191" t="str">
        <f>Tekstnøgler!C204</f>
        <v>Scope 2</v>
      </c>
      <c r="F22" s="191" t="str">
        <f>Tekstnøgler!C205</f>
        <v>Scope 3</v>
      </c>
      <c r="G22" s="191" t="str">
        <f>Tekstnøgler!C230</f>
        <v>Samlede CO₂e udledning i ton (scope 1+2+3)</v>
      </c>
    </row>
    <row r="23" spans="3:12" s="48" customFormat="1" ht="27" customHeight="1" thickBot="1" x14ac:dyDescent="0.2">
      <c r="C23" s="187"/>
      <c r="D23" s="192" t="str">
        <f>Tekstnøgler!C229</f>
        <v>(ton CO₂e)</v>
      </c>
      <c r="E23" s="192" t="str">
        <f>Tekstnøgler!C229</f>
        <v>(ton CO₂e)</v>
      </c>
      <c r="F23" s="192" t="str">
        <f>Tekstnøgler!C229</f>
        <v>(ton CO₂e)</v>
      </c>
      <c r="G23" s="192" t="str">
        <f>Tekstnøgler!C229</f>
        <v>(ton CO₂e)</v>
      </c>
    </row>
    <row r="24" spans="3:12" s="48" customFormat="1" ht="14.5" customHeight="1" thickBot="1" x14ac:dyDescent="0.2">
      <c r="C24" s="45" t="str">
        <f>Tekstnøgler!C90</f>
        <v>Energi og processer</v>
      </c>
      <c r="D24" s="46">
        <f>D25+D28+D32+D35</f>
        <v>435.4457053534</v>
      </c>
      <c r="E24" s="46">
        <f>E25+E28+E32+E35</f>
        <v>1851.7950000000001</v>
      </c>
      <c r="F24" s="46">
        <f>F25+F28+F32+F35</f>
        <v>412.5954074627</v>
      </c>
      <c r="G24" s="46">
        <f>G25+G28+G32+G35</f>
        <v>2699.8361128161005</v>
      </c>
    </row>
    <row r="25" spans="3:12" s="48" customFormat="1" ht="14.5" customHeight="1" thickBot="1" x14ac:dyDescent="0.2">
      <c r="C25" s="47" t="str">
        <f>Tekstnøgler!C121</f>
        <v>Elektricitet</v>
      </c>
      <c r="D25" s="344">
        <f>SUM(D26:D27)</f>
        <v>0</v>
      </c>
      <c r="E25" s="344">
        <f>SUM(E26:E27)</f>
        <v>1851.7950000000001</v>
      </c>
      <c r="F25" s="344">
        <f>SUM(F26:F27)</f>
        <v>331.10114552139999</v>
      </c>
      <c r="G25" s="344">
        <f>SUM(G26:G27)</f>
        <v>2182.8961455214003</v>
      </c>
    </row>
    <row r="26" spans="3:12" s="48" customFormat="1" ht="14.5" customHeight="1" thickBot="1" x14ac:dyDescent="0.2">
      <c r="C26" s="17" t="str">
        <f>Tekstnøgler!C122</f>
        <v>Forbrug af elektricitet</v>
      </c>
      <c r="D26" s="346">
        <v>0</v>
      </c>
      <c r="E26" s="346">
        <v>1851.7950000000001</v>
      </c>
      <c r="F26" s="346">
        <v>331.10114552139999</v>
      </c>
      <c r="G26" s="409">
        <f>D26+E26+F26</f>
        <v>2182.8961455214003</v>
      </c>
      <c r="L26" s="190"/>
    </row>
    <row r="27" spans="3:12" s="48" customFormat="1" ht="15" thickBot="1" x14ac:dyDescent="0.2">
      <c r="C27" s="17" t="str">
        <f>Tekstnøgler!C123</f>
        <v>Forbrug af elektricitet med egne emissionsfaktorer</v>
      </c>
      <c r="D27" s="346">
        <v>0</v>
      </c>
      <c r="E27" s="346">
        <v>0</v>
      </c>
      <c r="F27" s="346">
        <v>0</v>
      </c>
      <c r="G27" s="409">
        <f>D27+E27+F27</f>
        <v>0</v>
      </c>
    </row>
    <row r="28" spans="3:12" s="48" customFormat="1" ht="14.5" customHeight="1" thickBot="1" x14ac:dyDescent="0.2">
      <c r="C28" s="47" t="str">
        <f>Tekstnøgler!C124</f>
        <v>Varme og procesenergi</v>
      </c>
      <c r="D28" s="344">
        <f>SUM(D29:D31)</f>
        <v>435.4457053534</v>
      </c>
      <c r="E28" s="344">
        <f>SUM(E29:E31)</f>
        <v>0</v>
      </c>
      <c r="F28" s="344">
        <f>SUM(F29:F31)</f>
        <v>81.494261941299996</v>
      </c>
      <c r="G28" s="344">
        <f>SUM(G29:G31)</f>
        <v>516.93996729469995</v>
      </c>
    </row>
    <row r="29" spans="3:12" s="48" customFormat="1" ht="14.5" customHeight="1" thickBot="1" x14ac:dyDescent="0.2">
      <c r="C29" s="17" t="str">
        <f>Tekstnøgler!C125</f>
        <v>Fjernvarme</v>
      </c>
      <c r="D29" s="346">
        <v>0</v>
      </c>
      <c r="E29" s="346">
        <v>0</v>
      </c>
      <c r="F29" s="346">
        <v>0</v>
      </c>
      <c r="G29" s="409">
        <f t="shared" ref="G29:G31" si="0">D29+E29+F29</f>
        <v>0</v>
      </c>
    </row>
    <row r="30" spans="3:12" s="48" customFormat="1" ht="14.5" customHeight="1" thickBot="1" x14ac:dyDescent="0.2">
      <c r="C30" s="17" t="str">
        <f>Tekstnøgler!C126</f>
        <v>Brændsler</v>
      </c>
      <c r="D30" s="346">
        <v>435.4457053534</v>
      </c>
      <c r="E30" s="346">
        <v>0</v>
      </c>
      <c r="F30" s="346">
        <v>81.494261941299996</v>
      </c>
      <c r="G30" s="409">
        <f t="shared" si="0"/>
        <v>516.93996729469995</v>
      </c>
    </row>
    <row r="31" spans="3:12" s="48" customFormat="1" ht="14.5" customHeight="1" thickBot="1" x14ac:dyDescent="0.2">
      <c r="C31" s="17" t="str">
        <f>Tekstnøgler!C127</f>
        <v>Varme og procesenergi med egne emissionsfaktorer</v>
      </c>
      <c r="D31" s="346">
        <v>0</v>
      </c>
      <c r="E31" s="346">
        <v>0</v>
      </c>
      <c r="F31" s="346">
        <v>0</v>
      </c>
      <c r="G31" s="409">
        <f t="shared" si="0"/>
        <v>0</v>
      </c>
    </row>
    <row r="32" spans="3:12" s="48" customFormat="1" ht="14.5" customHeight="1" thickBot="1" x14ac:dyDescent="0.2">
      <c r="C32" s="47" t="str">
        <f>Tekstnøgler!C128</f>
        <v>Procesudledning</v>
      </c>
      <c r="D32" s="344">
        <f>SUM(D33:D34)</f>
        <v>0</v>
      </c>
      <c r="E32" s="344">
        <f>SUM(E33:E34)</f>
        <v>0</v>
      </c>
      <c r="F32" s="344">
        <f>SUM(F33:F34)</f>
        <v>0</v>
      </c>
      <c r="G32" s="344">
        <f>SUM(G33:G34)</f>
        <v>0</v>
      </c>
    </row>
    <row r="33" spans="3:7" s="48" customFormat="1" ht="14.5" customHeight="1" thickBot="1" x14ac:dyDescent="0.2">
      <c r="C33" s="17" t="str">
        <f>Tekstnøgler!C129</f>
        <v>Procesudledning</v>
      </c>
      <c r="D33" s="346">
        <v>0</v>
      </c>
      <c r="E33" s="346">
        <v>0</v>
      </c>
      <c r="F33" s="346">
        <v>0</v>
      </c>
      <c r="G33" s="409">
        <f t="shared" ref="G33:G34" si="1">D33+E33+F33</f>
        <v>0</v>
      </c>
    </row>
    <row r="34" spans="3:7" s="48" customFormat="1" ht="14.5" customHeight="1" thickBot="1" x14ac:dyDescent="0.2">
      <c r="C34" s="17" t="str">
        <f>Tekstnøgler!C130</f>
        <v>Procesudledning med egne emissionsfaktorer</v>
      </c>
      <c r="D34" s="346">
        <v>0</v>
      </c>
      <c r="E34" s="346">
        <v>0</v>
      </c>
      <c r="F34" s="346">
        <v>0</v>
      </c>
      <c r="G34" s="409">
        <f t="shared" si="1"/>
        <v>0</v>
      </c>
    </row>
    <row r="35" spans="3:7" s="48" customFormat="1" ht="15" thickBot="1" x14ac:dyDescent="0.2">
      <c r="C35" s="47" t="str">
        <f>Tekstnøgler!C131</f>
        <v>Andet udledning ved energi og processer</v>
      </c>
      <c r="D35" s="410">
        <v>0</v>
      </c>
      <c r="E35" s="410">
        <v>0</v>
      </c>
      <c r="F35" s="410">
        <v>0</v>
      </c>
      <c r="G35" s="410">
        <f>D35+E35+F35</f>
        <v>0</v>
      </c>
    </row>
    <row r="36" spans="3:7" s="48" customFormat="1" ht="14.5" customHeight="1" thickBot="1" x14ac:dyDescent="0.2">
      <c r="C36" s="45" t="str">
        <f>Tekstnøgler!C91</f>
        <v>Indkøb</v>
      </c>
      <c r="D36" s="46">
        <f>D37+D51</f>
        <v>0</v>
      </c>
      <c r="E36" s="46">
        <f>E37+E51</f>
        <v>0</v>
      </c>
      <c r="F36" s="46">
        <f>F37+F51</f>
        <v>6765.5856396935997</v>
      </c>
      <c r="G36" s="46">
        <f>G37+G51</f>
        <v>6765.5856396935997</v>
      </c>
    </row>
    <row r="37" spans="3:7" s="48" customFormat="1" ht="14.5" customHeight="1" thickBot="1" x14ac:dyDescent="0.2">
      <c r="C37" s="47" t="str">
        <f>Tekstnøgler!C133</f>
        <v>Primære indkøb af råvarer til produktion</v>
      </c>
      <c r="D37" s="344">
        <f>D38+D43+D48</f>
        <v>0</v>
      </c>
      <c r="E37" s="344">
        <f>E38+E43+E48</f>
        <v>0</v>
      </c>
      <c r="F37" s="344">
        <f>F38+F43+F48</f>
        <v>6765.5856396935997</v>
      </c>
      <c r="G37" s="344">
        <f>G38+G43+G48</f>
        <v>6765.5856396935997</v>
      </c>
    </row>
    <row r="38" spans="3:7" s="48" customFormat="1" ht="14.5" customHeight="1" thickBot="1" x14ac:dyDescent="0.2">
      <c r="C38" s="47" t="str">
        <f>Tekstnøgler!C134</f>
        <v>Materialer (primære indkøb)</v>
      </c>
      <c r="D38" s="344">
        <f>SUM(D39:D42)</f>
        <v>0</v>
      </c>
      <c r="E38" s="344">
        <f>SUM(E39:E42)</f>
        <v>0</v>
      </c>
      <c r="F38" s="344">
        <f>SUM(F39:F42)</f>
        <v>6760.9302031130001</v>
      </c>
      <c r="G38" s="344">
        <f>SUM(G39:G42)</f>
        <v>6760.9302031130001</v>
      </c>
    </row>
    <row r="39" spans="3:7" s="48" customFormat="1" ht="14.5" customHeight="1" thickBot="1" x14ac:dyDescent="0.2">
      <c r="C39" s="17" t="str">
        <f>Tekstnøgler!C135</f>
        <v>Indkøb af materialer i fysiske enheder</v>
      </c>
      <c r="D39" s="346">
        <v>0</v>
      </c>
      <c r="E39" s="346">
        <v>0</v>
      </c>
      <c r="F39" s="346">
        <v>6760.9302031130001</v>
      </c>
      <c r="G39" s="409">
        <f t="shared" ref="G39:G42" si="2">D39+E39+F39</f>
        <v>6760.9302031130001</v>
      </c>
    </row>
    <row r="40" spans="3:7" s="48" customFormat="1" ht="14.5" customHeight="1" thickBot="1" x14ac:dyDescent="0.2">
      <c r="C40" s="17" t="str">
        <f>Tekstnøgler!C136</f>
        <v>Indkøb af materialer i monetære enheder (beløb i DKK)</v>
      </c>
      <c r="D40" s="346">
        <v>0</v>
      </c>
      <c r="E40" s="346">
        <v>0</v>
      </c>
      <c r="F40" s="346">
        <v>0</v>
      </c>
      <c r="G40" s="409">
        <f t="shared" si="2"/>
        <v>0</v>
      </c>
    </row>
    <row r="41" spans="3:7" s="48" customFormat="1" ht="14.5" customHeight="1" thickBot="1" x14ac:dyDescent="0.2">
      <c r="C41" s="17" t="str">
        <f>Tekstnøgler!C137</f>
        <v>Fysiske enheder med egne emissionsfaktorer</v>
      </c>
      <c r="D41" s="346">
        <v>0</v>
      </c>
      <c r="E41" s="346">
        <v>0</v>
      </c>
      <c r="F41" s="346">
        <v>0</v>
      </c>
      <c r="G41" s="409">
        <f t="shared" si="2"/>
        <v>0</v>
      </c>
    </row>
    <row r="42" spans="3:7" s="48" customFormat="1" ht="14.5" customHeight="1" thickBot="1" x14ac:dyDescent="0.2">
      <c r="C42" s="17" t="str">
        <f>Tekstnøgler!C138</f>
        <v>Monetære enheder (beløb i DKK) med egne emissionsfaktorer</v>
      </c>
      <c r="D42" s="346">
        <v>0</v>
      </c>
      <c r="E42" s="346">
        <v>0</v>
      </c>
      <c r="F42" s="346">
        <v>0</v>
      </c>
      <c r="G42" s="409">
        <f t="shared" si="2"/>
        <v>0</v>
      </c>
    </row>
    <row r="43" spans="3:7" s="48" customFormat="1" ht="14.5" customHeight="1" thickBot="1" x14ac:dyDescent="0.2">
      <c r="C43" s="47" t="str">
        <f>Tekstnøgler!C139</f>
        <v>Produkter og services (primære indkøb)</v>
      </c>
      <c r="D43" s="344">
        <f>SUM(D44:D47)</f>
        <v>0</v>
      </c>
      <c r="E43" s="344">
        <f>SUM(E44:E47)</f>
        <v>0</v>
      </c>
      <c r="F43" s="344">
        <f>SUM(F44:F47)</f>
        <v>4.6554365806</v>
      </c>
      <c r="G43" s="344">
        <f>SUM(G44:G47)</f>
        <v>4.6554365806</v>
      </c>
    </row>
    <row r="44" spans="3:7" s="48" customFormat="1" ht="14.5" customHeight="1" thickBot="1" x14ac:dyDescent="0.2">
      <c r="C44" s="17" t="str">
        <f>Tekstnøgler!C140</f>
        <v>Indkøb af produkter i fysiske enheder</v>
      </c>
      <c r="D44" s="346">
        <v>0</v>
      </c>
      <c r="E44" s="346">
        <v>0</v>
      </c>
      <c r="F44" s="346">
        <v>4.6554365806</v>
      </c>
      <c r="G44" s="409">
        <f t="shared" ref="G44:G47" si="3">D44+E44+F44</f>
        <v>4.6554365806</v>
      </c>
    </row>
    <row r="45" spans="3:7" s="48" customFormat="1" ht="14.5" customHeight="1" thickBot="1" x14ac:dyDescent="0.2">
      <c r="C45" s="17" t="str">
        <f>Tekstnøgler!C141</f>
        <v>Indkøb af produkter i monetære enheder (beløb i DKK)</v>
      </c>
      <c r="D45" s="346">
        <v>0</v>
      </c>
      <c r="E45" s="346">
        <v>0</v>
      </c>
      <c r="F45" s="346">
        <v>0</v>
      </c>
      <c r="G45" s="409">
        <f t="shared" si="3"/>
        <v>0</v>
      </c>
    </row>
    <row r="46" spans="3:7" s="48" customFormat="1" ht="14.5" customHeight="1" thickBot="1" x14ac:dyDescent="0.2">
      <c r="C46" s="17" t="str">
        <f>Tekstnøgler!C142</f>
        <v>Fysiske enheder med egne emissionsfaktorer</v>
      </c>
      <c r="D46" s="346">
        <v>0</v>
      </c>
      <c r="E46" s="346">
        <v>0</v>
      </c>
      <c r="F46" s="346">
        <v>0</v>
      </c>
      <c r="G46" s="409">
        <f t="shared" si="3"/>
        <v>0</v>
      </c>
    </row>
    <row r="47" spans="3:7" s="48" customFormat="1" ht="14.5" customHeight="1" thickBot="1" x14ac:dyDescent="0.2">
      <c r="C47" s="17" t="str">
        <f>Tekstnøgler!C143</f>
        <v>Monetære enheder (beløb i DKK) med egne emissionsfaktorer</v>
      </c>
      <c r="D47" s="346">
        <v>0</v>
      </c>
      <c r="E47" s="346">
        <v>0</v>
      </c>
      <c r="F47" s="346">
        <v>0</v>
      </c>
      <c r="G47" s="409">
        <f t="shared" si="3"/>
        <v>0</v>
      </c>
    </row>
    <row r="48" spans="3:7" s="48" customFormat="1" ht="14.5" customHeight="1" thickBot="1" x14ac:dyDescent="0.2">
      <c r="C48" s="47" t="str">
        <f>Tekstnøgler!C144</f>
        <v>Andet udledning ved primære indkøb</v>
      </c>
      <c r="D48" s="344">
        <f>SUM(D49:D50)</f>
        <v>0</v>
      </c>
      <c r="E48" s="344">
        <f>SUM(E49:E50)</f>
        <v>0</v>
      </c>
      <c r="F48" s="344">
        <f>SUM(F49:F50)</f>
        <v>0</v>
      </c>
      <c r="G48" s="344">
        <f>SUM(G49:G50)</f>
        <v>0</v>
      </c>
    </row>
    <row r="49" spans="3:7" s="48" customFormat="1" ht="14.5" customHeight="1" thickBot="1" x14ac:dyDescent="0.2">
      <c r="C49" s="17" t="str">
        <f>Tekstnøgler!C145</f>
        <v>Fysiske enheder med egne emissionsfaktorer</v>
      </c>
      <c r="D49" s="346">
        <v>0</v>
      </c>
      <c r="E49" s="346">
        <v>0</v>
      </c>
      <c r="F49" s="346">
        <v>0</v>
      </c>
      <c r="G49" s="409">
        <f t="shared" ref="G49:G50" si="4">D49+E49+F49</f>
        <v>0</v>
      </c>
    </row>
    <row r="50" spans="3:7" s="48" customFormat="1" ht="14.5" customHeight="1" thickBot="1" x14ac:dyDescent="0.2">
      <c r="C50" s="17" t="str">
        <f>Tekstnøgler!C146</f>
        <v>Monetære enheder (beløb i DKK) med egne emissionsfaktorer</v>
      </c>
      <c r="D50" s="346">
        <v>0</v>
      </c>
      <c r="E50" s="346">
        <v>0</v>
      </c>
      <c r="F50" s="346">
        <v>0</v>
      </c>
      <c r="G50" s="409">
        <f t="shared" si="4"/>
        <v>0</v>
      </c>
    </row>
    <row r="51" spans="3:7" s="48" customFormat="1" ht="14.5" customHeight="1" thickBot="1" x14ac:dyDescent="0.2">
      <c r="C51" s="53" t="str">
        <f>Tekstnøgler!C147</f>
        <v>Sekundære indkøb af hjælpematerialer og serviceydelser</v>
      </c>
      <c r="D51" s="345">
        <f>D52+D57+D62</f>
        <v>0</v>
      </c>
      <c r="E51" s="345">
        <f>E52+E57+E62</f>
        <v>0</v>
      </c>
      <c r="F51" s="345">
        <f>F52+F57+F62</f>
        <v>0</v>
      </c>
      <c r="G51" s="345">
        <f>G52+G57+G62</f>
        <v>0</v>
      </c>
    </row>
    <row r="52" spans="3:7" s="48" customFormat="1" ht="14.5" customHeight="1" thickBot="1" x14ac:dyDescent="0.2">
      <c r="C52" s="53" t="str">
        <f>Tekstnøgler!C148</f>
        <v>Materialer (sekundære indkøb)</v>
      </c>
      <c r="D52" s="345">
        <f>SUM(D53:D56)</f>
        <v>0</v>
      </c>
      <c r="E52" s="345">
        <f>SUM(E53:E56)</f>
        <v>0</v>
      </c>
      <c r="F52" s="345">
        <f>SUM(F53:F56)</f>
        <v>0</v>
      </c>
      <c r="G52" s="345">
        <f>SUM(G53:G56)</f>
        <v>0</v>
      </c>
    </row>
    <row r="53" spans="3:7" s="48" customFormat="1" ht="14.5" customHeight="1" thickBot="1" x14ac:dyDescent="0.2">
      <c r="C53" s="17" t="str">
        <f>Tekstnøgler!C149</f>
        <v>Indkøb af materialer i fysiske enheder</v>
      </c>
      <c r="D53" s="346">
        <v>0</v>
      </c>
      <c r="E53" s="346">
        <v>0</v>
      </c>
      <c r="F53" s="346">
        <v>0</v>
      </c>
      <c r="G53" s="409">
        <f t="shared" ref="G53:G56" si="5">D53+E53+F53</f>
        <v>0</v>
      </c>
    </row>
    <row r="54" spans="3:7" s="48" customFormat="1" ht="14.5" customHeight="1" thickBot="1" x14ac:dyDescent="0.2">
      <c r="C54" s="17" t="str">
        <f>Tekstnøgler!C150</f>
        <v>Indkøb af materialer i monetære enheder (beløb i DKK)</v>
      </c>
      <c r="D54" s="346">
        <v>0</v>
      </c>
      <c r="E54" s="346">
        <v>0</v>
      </c>
      <c r="F54" s="346">
        <v>0</v>
      </c>
      <c r="G54" s="409">
        <f t="shared" si="5"/>
        <v>0</v>
      </c>
    </row>
    <row r="55" spans="3:7" s="48" customFormat="1" ht="14.5" customHeight="1" thickBot="1" x14ac:dyDescent="0.2">
      <c r="C55" s="17" t="str">
        <f>Tekstnøgler!C151</f>
        <v>Fysiske enheder med egne emissionsfaktorer</v>
      </c>
      <c r="D55" s="346">
        <v>0</v>
      </c>
      <c r="E55" s="346">
        <v>0</v>
      </c>
      <c r="F55" s="346">
        <v>0</v>
      </c>
      <c r="G55" s="409">
        <f t="shared" si="5"/>
        <v>0</v>
      </c>
    </row>
    <row r="56" spans="3:7" s="48" customFormat="1" ht="14.5" customHeight="1" thickBot="1" x14ac:dyDescent="0.2">
      <c r="C56" s="17" t="str">
        <f>Tekstnøgler!C152</f>
        <v>Monetære enheder (beløb i DKK) med egne emissionsfaktorer</v>
      </c>
      <c r="D56" s="346">
        <v>0</v>
      </c>
      <c r="E56" s="346">
        <v>0</v>
      </c>
      <c r="F56" s="346">
        <v>0</v>
      </c>
      <c r="G56" s="409">
        <f t="shared" si="5"/>
        <v>0</v>
      </c>
    </row>
    <row r="57" spans="3:7" s="48" customFormat="1" ht="14.5" customHeight="1" thickBot="1" x14ac:dyDescent="0.2">
      <c r="C57" s="53" t="str">
        <f>Tekstnøgler!C153</f>
        <v>Produkter og services (sekundære indkøb)</v>
      </c>
      <c r="D57" s="345">
        <f>SUM(D58:D61)</f>
        <v>0</v>
      </c>
      <c r="E57" s="345">
        <f>SUM(E58:E61)</f>
        <v>0</v>
      </c>
      <c r="F57" s="345">
        <f>SUM(F58:F61)</f>
        <v>0</v>
      </c>
      <c r="G57" s="345">
        <f>SUM(G58:G61)</f>
        <v>0</v>
      </c>
    </row>
    <row r="58" spans="3:7" s="48" customFormat="1" ht="14.5" customHeight="1" thickBot="1" x14ac:dyDescent="0.2">
      <c r="C58" s="17" t="str">
        <f>Tekstnøgler!C154</f>
        <v>Indkøb af produkter i fysiske enheder</v>
      </c>
      <c r="D58" s="346">
        <v>0</v>
      </c>
      <c r="E58" s="346">
        <v>0</v>
      </c>
      <c r="F58" s="346">
        <v>0</v>
      </c>
      <c r="G58" s="409">
        <f t="shared" ref="G58:G61" si="6">D58+E58+F58</f>
        <v>0</v>
      </c>
    </row>
    <row r="59" spans="3:7" s="48" customFormat="1" ht="14.5" customHeight="1" thickBot="1" x14ac:dyDescent="0.2">
      <c r="C59" s="17" t="str">
        <f>Tekstnøgler!C155</f>
        <v>Indkøb af produkter i monetære enheder (beløb i DKK)</v>
      </c>
      <c r="D59" s="346">
        <v>0</v>
      </c>
      <c r="E59" s="346">
        <v>0</v>
      </c>
      <c r="F59" s="346">
        <v>0</v>
      </c>
      <c r="G59" s="409">
        <f t="shared" si="6"/>
        <v>0</v>
      </c>
    </row>
    <row r="60" spans="3:7" s="48" customFormat="1" ht="14.5" customHeight="1" thickBot="1" x14ac:dyDescent="0.2">
      <c r="C60" s="17" t="str">
        <f>Tekstnøgler!C156</f>
        <v>Fysiske enheder med egne emissionsfaktorer</v>
      </c>
      <c r="D60" s="346">
        <v>0</v>
      </c>
      <c r="E60" s="346">
        <v>0</v>
      </c>
      <c r="F60" s="346">
        <v>0</v>
      </c>
      <c r="G60" s="409">
        <f t="shared" si="6"/>
        <v>0</v>
      </c>
    </row>
    <row r="61" spans="3:7" s="48" customFormat="1" ht="14.5" customHeight="1" thickBot="1" x14ac:dyDescent="0.2">
      <c r="C61" s="17" t="str">
        <f>Tekstnøgler!C157</f>
        <v>Monetære enheder (beløb i DKK) med egne emissionsfaktorer</v>
      </c>
      <c r="D61" s="346">
        <v>0</v>
      </c>
      <c r="E61" s="346">
        <v>0</v>
      </c>
      <c r="F61" s="346">
        <v>0</v>
      </c>
      <c r="G61" s="409">
        <f t="shared" si="6"/>
        <v>0</v>
      </c>
    </row>
    <row r="62" spans="3:7" s="48" customFormat="1" ht="14.5" customHeight="1" thickBot="1" x14ac:dyDescent="0.2">
      <c r="C62" s="53" t="str">
        <f>Tekstnøgler!C158</f>
        <v>Andet udledning ved sekundære indkøb</v>
      </c>
      <c r="D62" s="345">
        <f>SUM(D63:D64)</f>
        <v>0</v>
      </c>
      <c r="E62" s="345">
        <f>SUM(E63:E64)</f>
        <v>0</v>
      </c>
      <c r="F62" s="345">
        <f>SUM(F63:F64)</f>
        <v>0</v>
      </c>
      <c r="G62" s="345">
        <f>SUM(G63:G64)</f>
        <v>0</v>
      </c>
    </row>
    <row r="63" spans="3:7" s="48" customFormat="1" ht="14.5" customHeight="1" thickBot="1" x14ac:dyDescent="0.2">
      <c r="C63" s="17" t="str">
        <f>Tekstnøgler!C159</f>
        <v>Fysiske enheder med egne emissionsfaktorer</v>
      </c>
      <c r="D63" s="346">
        <v>0</v>
      </c>
      <c r="E63" s="346">
        <v>0</v>
      </c>
      <c r="F63" s="346">
        <v>0</v>
      </c>
      <c r="G63" s="409">
        <f t="shared" ref="G63:G64" si="7">D63+E63+F63</f>
        <v>0</v>
      </c>
    </row>
    <row r="64" spans="3:7" s="48" customFormat="1" ht="14.5" customHeight="1" thickBot="1" x14ac:dyDescent="0.2">
      <c r="C64" s="17" t="str">
        <f>Tekstnøgler!C160</f>
        <v>Monetære enheder (beløb i DKK) med egne emissionsfaktorer</v>
      </c>
      <c r="D64" s="346">
        <v>0</v>
      </c>
      <c r="E64" s="346">
        <v>0</v>
      </c>
      <c r="F64" s="346">
        <v>0</v>
      </c>
      <c r="G64" s="409">
        <f t="shared" si="7"/>
        <v>0</v>
      </c>
    </row>
    <row r="65" spans="3:7" s="48" customFormat="1" ht="14.5" customHeight="1" thickBot="1" x14ac:dyDescent="0.2">
      <c r="C65" s="45" t="str">
        <f>Tekstnøgler!C92</f>
        <v>Transport</v>
      </c>
      <c r="D65" s="46">
        <f>D66+D70+D75+D79+D83</f>
        <v>7.9191353917000002</v>
      </c>
      <c r="E65" s="46">
        <f>E66+E70+E75+E79+E83</f>
        <v>0</v>
      </c>
      <c r="F65" s="46">
        <f>F66+F70+F75+F79+F83</f>
        <v>757.2676703530999</v>
      </c>
      <c r="G65" s="46">
        <f>G66+G70+G75+G79+G83</f>
        <v>765.18680574479993</v>
      </c>
    </row>
    <row r="66" spans="3:7" s="48" customFormat="1" ht="14.5" customHeight="1" thickBot="1" x14ac:dyDescent="0.2">
      <c r="C66" s="47" t="str">
        <f>Tekstnøgler!C162</f>
        <v>Egne og leasede transportmidler</v>
      </c>
      <c r="D66" s="344">
        <f>SUM(D67:D69)</f>
        <v>7.9191353917000002</v>
      </c>
      <c r="E66" s="344">
        <f>SUM(E67:E69)</f>
        <v>0</v>
      </c>
      <c r="F66" s="344">
        <f>SUM(F67:F69)</f>
        <v>2.1299864794999999</v>
      </c>
      <c r="G66" s="344">
        <f>SUM(G67:G69)</f>
        <v>10.049121871200001</v>
      </c>
    </row>
    <row r="67" spans="3:7" s="48" customFormat="1" ht="14.5" customHeight="1" thickBot="1" x14ac:dyDescent="0.2">
      <c r="C67" s="17" t="str">
        <f>Tekstnøgler!C163</f>
        <v>Egne og leasede transportmidler</v>
      </c>
      <c r="D67" s="346">
        <v>7.9191353917000002</v>
      </c>
      <c r="E67" s="346">
        <v>0</v>
      </c>
      <c r="F67" s="346">
        <v>2.1299864794999999</v>
      </c>
      <c r="G67" s="409">
        <f t="shared" ref="G67:G69" si="8">D67+E67+F67</f>
        <v>10.049121871200001</v>
      </c>
    </row>
    <row r="68" spans="3:7" s="48" customFormat="1" ht="14.5" customHeight="1" thickBot="1" x14ac:dyDescent="0.2">
      <c r="C68" s="17" t="str">
        <f>Tekstnøgler!C164</f>
        <v>Fly og Skibe</v>
      </c>
      <c r="D68" s="346">
        <v>0</v>
      </c>
      <c r="E68" s="346">
        <v>0</v>
      </c>
      <c r="F68" s="346">
        <v>0</v>
      </c>
      <c r="G68" s="409">
        <f t="shared" si="8"/>
        <v>0</v>
      </c>
    </row>
    <row r="69" spans="3:7" s="48" customFormat="1" ht="14.5" customHeight="1" thickBot="1" x14ac:dyDescent="0.2">
      <c r="C69" s="17" t="str">
        <f>Tekstnøgler!C165</f>
        <v>Egne og leasede transportmidler med egne emissionsfaktorer</v>
      </c>
      <c r="D69" s="346">
        <v>0</v>
      </c>
      <c r="E69" s="346">
        <v>0</v>
      </c>
      <c r="F69" s="346">
        <v>0</v>
      </c>
      <c r="G69" s="409">
        <f t="shared" si="8"/>
        <v>0</v>
      </c>
    </row>
    <row r="70" spans="3:7" s="48" customFormat="1" ht="14.5" customHeight="1" thickBot="1" x14ac:dyDescent="0.2">
      <c r="C70" s="47" t="str">
        <f>Tekstnøgler!C166</f>
        <v>Medarbejdertransport</v>
      </c>
      <c r="D70" s="344">
        <f>SUM(D71:D74)</f>
        <v>0</v>
      </c>
      <c r="E70" s="344">
        <f>SUM(E71:E74)</f>
        <v>0</v>
      </c>
      <c r="F70" s="344">
        <f>SUM(F71:F74)</f>
        <v>3.6176838735999999</v>
      </c>
      <c r="G70" s="344">
        <f>SUM(G71:G74)</f>
        <v>3.6176838735999999</v>
      </c>
    </row>
    <row r="71" spans="3:7" s="48" customFormat="1" ht="14.5" customHeight="1" thickBot="1" x14ac:dyDescent="0.2">
      <c r="C71" s="17" t="str">
        <f>Tekstnøgler!C167</f>
        <v>Pendling</v>
      </c>
      <c r="D71" s="346">
        <v>0</v>
      </c>
      <c r="E71" s="346">
        <v>0</v>
      </c>
      <c r="F71" s="346">
        <v>3.6176838735999999</v>
      </c>
      <c r="G71" s="409">
        <f t="shared" ref="G71:G74" si="9">D71+E71+F71</f>
        <v>3.6176838735999999</v>
      </c>
    </row>
    <row r="72" spans="3:7" s="48" customFormat="1" ht="14.5" customHeight="1" thickBot="1" x14ac:dyDescent="0.2">
      <c r="C72" s="17" t="str">
        <f>Tekstnøgler!C168</f>
        <v>Rejser i forbindelse med arbejder - Fysiske enheder</v>
      </c>
      <c r="D72" s="346">
        <v>0</v>
      </c>
      <c r="E72" s="346">
        <v>0</v>
      </c>
      <c r="F72" s="346">
        <v>0</v>
      </c>
      <c r="G72" s="409">
        <f t="shared" si="9"/>
        <v>0</v>
      </c>
    </row>
    <row r="73" spans="3:7" s="48" customFormat="1" ht="14.5" customHeight="1" thickBot="1" x14ac:dyDescent="0.2">
      <c r="C73" s="17" t="str">
        <f>Tekstnøgler!C169</f>
        <v>Rejser i forbindelse med arbejder - Monetære enheder (beløb i DKK)</v>
      </c>
      <c r="D73" s="346">
        <v>0</v>
      </c>
      <c r="E73" s="346">
        <v>0</v>
      </c>
      <c r="F73" s="346">
        <v>0</v>
      </c>
      <c r="G73" s="409">
        <f t="shared" si="9"/>
        <v>0</v>
      </c>
    </row>
    <row r="74" spans="3:7" s="48" customFormat="1" ht="14.5" customHeight="1" thickBot="1" x14ac:dyDescent="0.2">
      <c r="C74" s="17" t="str">
        <f>Tekstnøgler!C170</f>
        <v>Medarbejdertransport med egne emissionsfaktorer</v>
      </c>
      <c r="D74" s="346">
        <v>0</v>
      </c>
      <c r="E74" s="346">
        <v>0</v>
      </c>
      <c r="F74" s="346">
        <v>0</v>
      </c>
      <c r="G74" s="409">
        <f t="shared" si="9"/>
        <v>0</v>
      </c>
    </row>
    <row r="75" spans="3:7" s="48" customFormat="1" ht="14.5" customHeight="1" thickBot="1" x14ac:dyDescent="0.2">
      <c r="C75" s="47" t="str">
        <f>Tekstnøgler!C171</f>
        <v>Varetransport til virksomhed</v>
      </c>
      <c r="D75" s="344">
        <f>SUM(D76:D78)</f>
        <v>0</v>
      </c>
      <c r="E75" s="344">
        <f>SUM(E76:E78)</f>
        <v>0</v>
      </c>
      <c r="F75" s="344">
        <f>SUM(F76:F78)</f>
        <v>204.96</v>
      </c>
      <c r="G75" s="344">
        <f>SUM(G76:G78)</f>
        <v>204.96</v>
      </c>
    </row>
    <row r="76" spans="3:7" s="48" customFormat="1" ht="14.5" customHeight="1" thickBot="1" x14ac:dyDescent="0.2">
      <c r="C76" s="17" t="str">
        <f>Tekstnøgler!C172</f>
        <v>Varetransport i fysiske enheder</v>
      </c>
      <c r="D76" s="346">
        <v>0</v>
      </c>
      <c r="E76" s="346">
        <v>0</v>
      </c>
      <c r="F76" s="346">
        <v>204.96</v>
      </c>
      <c r="G76" s="409">
        <f t="shared" ref="G76:G78" si="10">D76+E76+F76</f>
        <v>204.96</v>
      </c>
    </row>
    <row r="77" spans="3:7" s="48" customFormat="1" ht="14.5" customHeight="1" thickBot="1" x14ac:dyDescent="0.2">
      <c r="C77" s="17" t="str">
        <f>Tekstnøgler!C173</f>
        <v>Varetransport i monetære enheder (beløb i DKK)</v>
      </c>
      <c r="D77" s="346">
        <v>0</v>
      </c>
      <c r="E77" s="346">
        <v>0</v>
      </c>
      <c r="F77" s="346">
        <v>0</v>
      </c>
      <c r="G77" s="409">
        <f t="shared" si="10"/>
        <v>0</v>
      </c>
    </row>
    <row r="78" spans="3:7" s="48" customFormat="1" ht="14.5" customHeight="1" thickBot="1" x14ac:dyDescent="0.2">
      <c r="C78" s="17" t="str">
        <f>Tekstnøgler!C174</f>
        <v>Varetransport til virksomhed med egne emissionsfaktorer</v>
      </c>
      <c r="D78" s="346">
        <v>0</v>
      </c>
      <c r="E78" s="346">
        <v>0</v>
      </c>
      <c r="F78" s="346">
        <v>0</v>
      </c>
      <c r="G78" s="409">
        <f t="shared" si="10"/>
        <v>0</v>
      </c>
    </row>
    <row r="79" spans="3:7" s="48" customFormat="1" ht="14.5" customHeight="1" thickBot="1" x14ac:dyDescent="0.2">
      <c r="C79" s="47" t="str">
        <f>Tekstnøgler!C175</f>
        <v>Varetransport fra virksomhed til kunde</v>
      </c>
      <c r="D79" s="344">
        <f>SUM(D80:D82)</f>
        <v>0</v>
      </c>
      <c r="E79" s="344">
        <f>SUM(E80:E82)</f>
        <v>0</v>
      </c>
      <c r="F79" s="344">
        <f>SUM(F80:F82)</f>
        <v>546.55999999999995</v>
      </c>
      <c r="G79" s="344">
        <f>SUM(G80:G82)</f>
        <v>546.55999999999995</v>
      </c>
    </row>
    <row r="80" spans="3:7" s="48" customFormat="1" ht="14.5" customHeight="1" thickBot="1" x14ac:dyDescent="0.2">
      <c r="C80" s="17" t="str">
        <f>Tekstnøgler!C176</f>
        <v>Varetransport i fysiske enheder</v>
      </c>
      <c r="D80" s="346">
        <v>0</v>
      </c>
      <c r="E80" s="346">
        <v>0</v>
      </c>
      <c r="F80" s="346">
        <v>546.55999999999995</v>
      </c>
      <c r="G80" s="409">
        <f t="shared" ref="G80:G82" si="11">D80+E80+F80</f>
        <v>546.55999999999995</v>
      </c>
    </row>
    <row r="81" spans="3:7" s="48" customFormat="1" ht="14.5" customHeight="1" thickBot="1" x14ac:dyDescent="0.2">
      <c r="C81" s="17" t="str">
        <f>Tekstnøgler!C177</f>
        <v>Varetransport i monetære enheder (beløb i DKK)</v>
      </c>
      <c r="D81" s="346">
        <v>0</v>
      </c>
      <c r="E81" s="346">
        <v>0</v>
      </c>
      <c r="F81" s="346">
        <v>0</v>
      </c>
      <c r="G81" s="409">
        <f t="shared" si="11"/>
        <v>0</v>
      </c>
    </row>
    <row r="82" spans="3:7" s="48" customFormat="1" ht="14.5" customHeight="1" thickBot="1" x14ac:dyDescent="0.2">
      <c r="C82" s="17" t="str">
        <f>Tekstnøgler!C178</f>
        <v>Varetransport fra virksomhed til kunde med egne emissionsfaktorer</v>
      </c>
      <c r="D82" s="346">
        <v>0</v>
      </c>
      <c r="E82" s="346">
        <v>0</v>
      </c>
      <c r="F82" s="346">
        <v>0</v>
      </c>
      <c r="G82" s="409">
        <f t="shared" si="11"/>
        <v>0</v>
      </c>
    </row>
    <row r="83" spans="3:7" s="48" customFormat="1" ht="14.5" customHeight="1" thickBot="1" x14ac:dyDescent="0.2">
      <c r="C83" s="47" t="str">
        <f>Tekstnøgler!C179</f>
        <v>Andet udledning ved transport</v>
      </c>
      <c r="D83" s="410">
        <v>0</v>
      </c>
      <c r="E83" s="410">
        <v>0</v>
      </c>
      <c r="F83" s="410">
        <v>0</v>
      </c>
      <c r="G83" s="410">
        <f>D83+E83+F83</f>
        <v>0</v>
      </c>
    </row>
    <row r="84" spans="3:7" s="48" customFormat="1" ht="14.5" customHeight="1" thickBot="1" x14ac:dyDescent="0.2">
      <c r="C84" s="45" t="str">
        <f>Tekstnøgler!C93</f>
        <v>Affald og genbrug</v>
      </c>
      <c r="D84" s="46">
        <f>D85+D88</f>
        <v>0</v>
      </c>
      <c r="E84" s="46">
        <f>E85+E88</f>
        <v>0</v>
      </c>
      <c r="F84" s="46">
        <f>F85+F88</f>
        <v>0</v>
      </c>
      <c r="G84" s="46">
        <f>G85+G88</f>
        <v>0</v>
      </c>
    </row>
    <row r="85" spans="3:7" s="48" customFormat="1" ht="14.5" customHeight="1" thickBot="1" x14ac:dyDescent="0.2">
      <c r="C85" s="47" t="str">
        <f>Tekstnøgler!C181</f>
        <v>Affald</v>
      </c>
      <c r="D85" s="344">
        <f>SUM(D86:D87)</f>
        <v>0</v>
      </c>
      <c r="E85" s="344">
        <f>SUM(E86:E87)</f>
        <v>0</v>
      </c>
      <c r="F85" s="344">
        <f>SUM(F86:F87)</f>
        <v>0</v>
      </c>
      <c r="G85" s="344">
        <f>SUM(G86:G87)</f>
        <v>0</v>
      </c>
    </row>
    <row r="86" spans="3:7" s="48" customFormat="1" ht="14.5" customHeight="1" thickBot="1" x14ac:dyDescent="0.2">
      <c r="C86" s="56" t="str">
        <f>Tekstnøgler!C182</f>
        <v>Affald</v>
      </c>
      <c r="D86" s="346">
        <v>0</v>
      </c>
      <c r="E86" s="346">
        <v>0</v>
      </c>
      <c r="F86" s="346">
        <v>0</v>
      </c>
      <c r="G86" s="409">
        <f t="shared" ref="G86:G87" si="12">D86+E86+F86</f>
        <v>0</v>
      </c>
    </row>
    <row r="87" spans="3:7" s="48" customFormat="1" ht="14.5" customHeight="1" thickBot="1" x14ac:dyDescent="0.2">
      <c r="C87" s="17" t="str">
        <f>Tekstnøgler!C183</f>
        <v>Affald med egne emissionsfaktorer</v>
      </c>
      <c r="D87" s="346">
        <v>0</v>
      </c>
      <c r="E87" s="346">
        <v>0</v>
      </c>
      <c r="F87" s="346">
        <v>0</v>
      </c>
      <c r="G87" s="409">
        <f t="shared" si="12"/>
        <v>0</v>
      </c>
    </row>
    <row r="88" spans="3:7" s="48" customFormat="1" ht="14.5" customHeight="1" thickBot="1" x14ac:dyDescent="0.2">
      <c r="C88" s="47" t="str">
        <f>Tekstnøgler!C184</f>
        <v>Andet udledning ved affald</v>
      </c>
      <c r="D88" s="410">
        <v>0</v>
      </c>
      <c r="E88" s="410">
        <v>0</v>
      </c>
      <c r="F88" s="410">
        <v>0</v>
      </c>
      <c r="G88" s="410">
        <f>D88+E88+F88</f>
        <v>0</v>
      </c>
    </row>
    <row r="89" spans="3:7" s="48" customFormat="1" ht="14.5" customHeight="1" thickBot="1" x14ac:dyDescent="0.2">
      <c r="C89" s="45" t="str">
        <f>Tekstnøgler!C94</f>
        <v>Solgte produkter</v>
      </c>
      <c r="D89" s="46">
        <f>D90+D91+D94+D97</f>
        <v>0</v>
      </c>
      <c r="E89" s="46">
        <f>E90+E91+E94+E97</f>
        <v>0</v>
      </c>
      <c r="F89" s="46">
        <f>F90+F91+F94+F97</f>
        <v>0</v>
      </c>
      <c r="G89" s="46">
        <f>G90+G91+G94+G97</f>
        <v>0</v>
      </c>
    </row>
    <row r="90" spans="3:7" s="48" customFormat="1" ht="14.5" customHeight="1" thickBot="1" x14ac:dyDescent="0.2">
      <c r="C90" s="47" t="str">
        <f>Tekstnøgler!C186</f>
        <v>Forarbejdning og processering af solgte produkter</v>
      </c>
      <c r="D90" s="410">
        <v>0</v>
      </c>
      <c r="E90" s="410">
        <v>0</v>
      </c>
      <c r="F90" s="410">
        <v>0</v>
      </c>
      <c r="G90" s="410">
        <f>D90+E90+F90</f>
        <v>0</v>
      </c>
    </row>
    <row r="91" spans="3:7" s="48" customFormat="1" ht="14.5" customHeight="1" thickBot="1" x14ac:dyDescent="0.2">
      <c r="C91" s="47" t="str">
        <f>Tekstnøgler!C187</f>
        <v>Brug af solgte og udlejede produkter</v>
      </c>
      <c r="D91" s="410">
        <f>SUM(D92:D93)</f>
        <v>0</v>
      </c>
      <c r="E91" s="410">
        <f>SUM(E92:E93)</f>
        <v>0</v>
      </c>
      <c r="F91" s="410">
        <f>SUM(F92:F93)</f>
        <v>0</v>
      </c>
      <c r="G91" s="410">
        <f>SUM(G92:G93)</f>
        <v>0</v>
      </c>
    </row>
    <row r="92" spans="3:7" s="48" customFormat="1" ht="14.5" customHeight="1" thickBot="1" x14ac:dyDescent="0.2">
      <c r="C92" s="17" t="str">
        <f>Tekstnøgler!C188</f>
        <v>Brug af solgte og udlejede produkter</v>
      </c>
      <c r="D92" s="346">
        <v>0</v>
      </c>
      <c r="E92" s="346">
        <v>0</v>
      </c>
      <c r="F92" s="346">
        <v>0</v>
      </c>
      <c r="G92" s="409">
        <f t="shared" ref="G92:G93" si="13">D92+E92+F92</f>
        <v>0</v>
      </c>
    </row>
    <row r="93" spans="3:7" s="48" customFormat="1" ht="14.5" customHeight="1" thickBot="1" x14ac:dyDescent="0.2">
      <c r="C93" s="17" t="str">
        <f>Tekstnøgler!C189</f>
        <v>Brug af solgte og udlejede produkter med egne emissionsfaktorer</v>
      </c>
      <c r="D93" s="346">
        <v>0</v>
      </c>
      <c r="E93" s="346">
        <v>0</v>
      </c>
      <c r="F93" s="346">
        <v>0</v>
      </c>
      <c r="G93" s="409">
        <f t="shared" si="13"/>
        <v>0</v>
      </c>
    </row>
    <row r="94" spans="3:7" s="48" customFormat="1" ht="14.5" customHeight="1" thickBot="1" x14ac:dyDescent="0.2">
      <c r="C94" s="47" t="str">
        <f>Tekstnøgler!C190</f>
        <v>End-of-life behandling</v>
      </c>
      <c r="D94" s="344">
        <f>SUM(D95:D96)</f>
        <v>0</v>
      </c>
      <c r="E94" s="344">
        <f>SUM(E95:E96)</f>
        <v>0</v>
      </c>
      <c r="F94" s="344">
        <f>SUM(F95:F96)</f>
        <v>0</v>
      </c>
      <c r="G94" s="344">
        <f>SUM(G95:G96)</f>
        <v>0</v>
      </c>
    </row>
    <row r="95" spans="3:7" s="48" customFormat="1" ht="14.5" customHeight="1" thickBot="1" x14ac:dyDescent="0.2">
      <c r="C95" s="17" t="str">
        <f>Tekstnøgler!C191</f>
        <v>Håndtering af affaldsprodukt</v>
      </c>
      <c r="D95" s="346">
        <v>0</v>
      </c>
      <c r="E95" s="346">
        <v>0</v>
      </c>
      <c r="F95" s="346">
        <v>0</v>
      </c>
      <c r="G95" s="409">
        <f t="shared" ref="G95:G96" si="14">D95+E95+F95</f>
        <v>0</v>
      </c>
    </row>
    <row r="96" spans="3:7" s="48" customFormat="1" ht="14.5" customHeight="1" thickBot="1" x14ac:dyDescent="0.2">
      <c r="C96" s="17" t="str">
        <f>Tekstnøgler!C192</f>
        <v>Håndtering af affaldsprodukt med egne emissionsfaktorer</v>
      </c>
      <c r="D96" s="346">
        <v>0</v>
      </c>
      <c r="E96" s="346">
        <v>0</v>
      </c>
      <c r="F96" s="346">
        <v>0</v>
      </c>
      <c r="G96" s="409">
        <f t="shared" si="14"/>
        <v>0</v>
      </c>
    </row>
    <row r="97" spans="3:7" s="48" customFormat="1" ht="14.5" customHeight="1" thickBot="1" x14ac:dyDescent="0.2">
      <c r="C97" s="47" t="str">
        <f>Tekstnøgler!C193</f>
        <v>Andet udledning ved solgte og udlejede produkter</v>
      </c>
      <c r="D97" s="410">
        <v>0</v>
      </c>
      <c r="E97" s="410">
        <v>0</v>
      </c>
      <c r="F97" s="410">
        <v>0</v>
      </c>
      <c r="G97" s="410">
        <f>D97+E97+F97</f>
        <v>0</v>
      </c>
    </row>
    <row r="98" spans="3:7" ht="15" thickBot="1" x14ac:dyDescent="0.2">
      <c r="C98" s="45" t="str">
        <f>Tekstnøgler!C95</f>
        <v>Total</v>
      </c>
      <c r="D98" s="46">
        <f>D24+D36+D65+D84+D89</f>
        <v>443.36484074510003</v>
      </c>
      <c r="E98" s="46">
        <f>E24+E36+E65+E84+E89</f>
        <v>1851.7950000000001</v>
      </c>
      <c r="F98" s="46">
        <f>F24+F36+F65+F84+F89</f>
        <v>7935.4487175093991</v>
      </c>
      <c r="G98" s="46">
        <f>G24+G36+G65+G84+G89</f>
        <v>10230.6085582545</v>
      </c>
    </row>
    <row r="101" spans="3:7" ht="30" customHeight="1" x14ac:dyDescent="0.2">
      <c r="C101" s="26" t="str">
        <f>Tekstnøgler!C231</f>
        <v>Udenfor scopes resultater</v>
      </c>
      <c r="E101" s="27"/>
    </row>
    <row r="102" spans="3:7" ht="14.25" customHeight="1" x14ac:dyDescent="0.15">
      <c r="D102" s="31"/>
      <c r="F102" s="31"/>
      <c r="G102" s="31"/>
    </row>
    <row r="103" spans="3:7" s="48" customFormat="1" ht="27.5" customHeight="1" x14ac:dyDescent="0.15">
      <c r="C103" s="422" t="str">
        <f>Tekstnøgler!C232</f>
        <v xml:space="preserve">Her ses en mere detaljeret resultatvisning for udenfor scopes. Tabellen viser den tilhørende udledning for alle underkategorierne, der er indtastet data for. Bemærk at udenfor scopes ikke medregnes i totalen jf. GHG-protokollen.  </v>
      </c>
      <c r="D103" s="422"/>
      <c r="E103" s="422"/>
      <c r="F103" s="422"/>
      <c r="G103" s="422"/>
    </row>
    <row r="104" spans="3:7" s="48" customFormat="1" ht="14.5" customHeight="1" thickBot="1" x14ac:dyDescent="0.2">
      <c r="C104" s="6"/>
      <c r="D104" s="6"/>
      <c r="E104" s="6"/>
      <c r="F104" s="6"/>
      <c r="G104" s="6"/>
    </row>
    <row r="105" spans="3:7" s="48" customFormat="1" ht="27" customHeight="1" thickBot="1" x14ac:dyDescent="0.2">
      <c r="C105" s="456" t="str">
        <f>Tekstnøgler!C233</f>
        <v>Oversigt af 'udenfor scopes' resultater over CO₂e-udledningen fordelt på hoved- og underkategorier</v>
      </c>
      <c r="D105" s="457"/>
      <c r="E105" s="6"/>
      <c r="F105" s="6"/>
      <c r="G105" s="6"/>
    </row>
    <row r="106" spans="3:7" s="48" customFormat="1" ht="14.5" customHeight="1" x14ac:dyDescent="0.15">
      <c r="C106" s="186" t="str">
        <f>C22</f>
        <v>Hovedkategori</v>
      </c>
      <c r="D106" s="191" t="str">
        <f>Tekstnøgler!C234</f>
        <v>Udenfor scopes i ton CO2e</v>
      </c>
      <c r="E106" s="6"/>
      <c r="F106" s="6"/>
      <c r="G106" s="6"/>
    </row>
    <row r="107" spans="3:7" s="48" customFormat="1" ht="14.5" customHeight="1" thickBot="1" x14ac:dyDescent="0.2">
      <c r="C107" s="187"/>
      <c r="D107" s="193" t="str">
        <f>Tekstnøgler!C229</f>
        <v>(ton CO₂e)</v>
      </c>
      <c r="E107" s="6"/>
      <c r="F107" s="6"/>
      <c r="G107" s="6"/>
    </row>
    <row r="108" spans="3:7" s="48" customFormat="1" ht="14.5" customHeight="1" thickBot="1" x14ac:dyDescent="0.2">
      <c r="C108" s="45" t="str">
        <f>C24</f>
        <v>Energi og processer</v>
      </c>
      <c r="D108" s="46">
        <f>D109+D112+D116+D119</f>
        <v>137.48753816509998</v>
      </c>
      <c r="F108" s="6"/>
      <c r="G108" s="6"/>
    </row>
    <row r="109" spans="3:7" s="48" customFormat="1" ht="15" thickBot="1" x14ac:dyDescent="0.2">
      <c r="C109" s="47" t="str">
        <f t="shared" ref="C109:C172" si="15">C25</f>
        <v>Elektricitet</v>
      </c>
      <c r="D109" s="344">
        <f>SUM(D110:D111)</f>
        <v>129.88681422709999</v>
      </c>
      <c r="F109" s="6"/>
      <c r="G109" s="6"/>
    </row>
    <row r="110" spans="3:7" s="48" customFormat="1" ht="14.5" customHeight="1" thickBot="1" x14ac:dyDescent="0.2">
      <c r="C110" s="17" t="str">
        <f t="shared" si="15"/>
        <v>Forbrug af elektricitet</v>
      </c>
      <c r="D110" s="346">
        <v>129.88681422709999</v>
      </c>
      <c r="F110" s="6"/>
      <c r="G110" s="6"/>
    </row>
    <row r="111" spans="3:7" s="48" customFormat="1" ht="14.5" customHeight="1" thickBot="1" x14ac:dyDescent="0.2">
      <c r="C111" s="17" t="str">
        <f t="shared" si="15"/>
        <v>Forbrug af elektricitet med egne emissionsfaktorer</v>
      </c>
      <c r="D111" s="346">
        <v>0</v>
      </c>
      <c r="F111" s="6"/>
      <c r="G111" s="6"/>
    </row>
    <row r="112" spans="3:7" s="48" customFormat="1" ht="14.5" customHeight="1" thickBot="1" x14ac:dyDescent="0.2">
      <c r="C112" s="47" t="str">
        <f t="shared" si="15"/>
        <v>Varme og procesenergi</v>
      </c>
      <c r="D112" s="344">
        <f>SUM(D113:D115)</f>
        <v>7.6007239379999998</v>
      </c>
      <c r="F112" s="6"/>
      <c r="G112" s="6"/>
    </row>
    <row r="113" spans="3:7" s="48" customFormat="1" ht="14.5" customHeight="1" thickBot="1" x14ac:dyDescent="0.2">
      <c r="C113" s="17" t="str">
        <f t="shared" si="15"/>
        <v>Fjernvarme</v>
      </c>
      <c r="D113" s="346">
        <v>0</v>
      </c>
      <c r="F113" s="6"/>
      <c r="G113" s="6"/>
    </row>
    <row r="114" spans="3:7" s="48" customFormat="1" ht="14.5" customHeight="1" thickBot="1" x14ac:dyDescent="0.2">
      <c r="C114" s="17" t="str">
        <f t="shared" si="15"/>
        <v>Brændsler</v>
      </c>
      <c r="D114" s="346">
        <v>7.6007239379999998</v>
      </c>
      <c r="F114" s="6"/>
      <c r="G114" s="6"/>
    </row>
    <row r="115" spans="3:7" s="48" customFormat="1" ht="14.5" customHeight="1" thickBot="1" x14ac:dyDescent="0.2">
      <c r="C115" s="17" t="str">
        <f t="shared" si="15"/>
        <v>Varme og procesenergi med egne emissionsfaktorer</v>
      </c>
      <c r="D115" s="346">
        <v>0</v>
      </c>
      <c r="F115" s="6"/>
      <c r="G115" s="6"/>
    </row>
    <row r="116" spans="3:7" s="48" customFormat="1" ht="14.5" customHeight="1" thickBot="1" x14ac:dyDescent="0.2">
      <c r="C116" s="47" t="str">
        <f t="shared" si="15"/>
        <v>Procesudledning</v>
      </c>
      <c r="D116" s="344">
        <f>SUM(D117:D118)</f>
        <v>0</v>
      </c>
      <c r="F116" s="6"/>
      <c r="G116" s="6"/>
    </row>
    <row r="117" spans="3:7" s="48" customFormat="1" ht="15" thickBot="1" x14ac:dyDescent="0.2">
      <c r="C117" s="17" t="str">
        <f t="shared" si="15"/>
        <v>Procesudledning</v>
      </c>
      <c r="D117" s="346">
        <v>0</v>
      </c>
      <c r="F117" s="6"/>
      <c r="G117" s="6"/>
    </row>
    <row r="118" spans="3:7" s="48" customFormat="1" ht="14.5" customHeight="1" thickBot="1" x14ac:dyDescent="0.2">
      <c r="C118" s="17" t="str">
        <f t="shared" si="15"/>
        <v>Procesudledning med egne emissionsfaktorer</v>
      </c>
      <c r="D118" s="346">
        <v>0</v>
      </c>
      <c r="F118" s="6"/>
      <c r="G118" s="6"/>
    </row>
    <row r="119" spans="3:7" s="48" customFormat="1" ht="14.5" customHeight="1" thickBot="1" x14ac:dyDescent="0.2">
      <c r="C119" s="47" t="str">
        <f t="shared" si="15"/>
        <v>Andet udledning ved energi og processer</v>
      </c>
      <c r="D119" s="410">
        <v>0</v>
      </c>
      <c r="F119" s="6"/>
      <c r="G119" s="6"/>
    </row>
    <row r="120" spans="3:7" s="48" customFormat="1" ht="14.5" customHeight="1" thickBot="1" x14ac:dyDescent="0.2">
      <c r="C120" s="45" t="str">
        <f t="shared" si="15"/>
        <v>Indkøb</v>
      </c>
      <c r="D120" s="46">
        <f>D121+D135</f>
        <v>0</v>
      </c>
      <c r="F120" s="6"/>
      <c r="G120" s="6"/>
    </row>
    <row r="121" spans="3:7" s="48" customFormat="1" ht="14.5" customHeight="1" thickBot="1" x14ac:dyDescent="0.2">
      <c r="C121" s="47" t="str">
        <f t="shared" si="15"/>
        <v>Primære indkøb af råvarer til produktion</v>
      </c>
      <c r="D121" s="344">
        <f>D122+D127+D132</f>
        <v>0</v>
      </c>
      <c r="F121" s="6"/>
    </row>
    <row r="122" spans="3:7" s="48" customFormat="1" ht="14.5" customHeight="1" thickBot="1" x14ac:dyDescent="0.2">
      <c r="C122" s="47" t="str">
        <f t="shared" si="15"/>
        <v>Materialer (primære indkøb)</v>
      </c>
      <c r="D122" s="344">
        <f>SUM(D123:D126)</f>
        <v>0</v>
      </c>
    </row>
    <row r="123" spans="3:7" s="48" customFormat="1" ht="14.5" customHeight="1" thickBot="1" x14ac:dyDescent="0.2">
      <c r="C123" s="17" t="str">
        <f t="shared" si="15"/>
        <v>Indkøb af materialer i fysiske enheder</v>
      </c>
      <c r="D123" s="346">
        <v>0</v>
      </c>
      <c r="F123" s="6"/>
    </row>
    <row r="124" spans="3:7" s="48" customFormat="1" ht="14.5" customHeight="1" thickBot="1" x14ac:dyDescent="0.2">
      <c r="C124" s="17" t="str">
        <f t="shared" si="15"/>
        <v>Indkøb af materialer i monetære enheder (beløb i DKK)</v>
      </c>
      <c r="D124" s="346">
        <v>0</v>
      </c>
      <c r="F124" s="6"/>
    </row>
    <row r="125" spans="3:7" s="48" customFormat="1" ht="14.5" customHeight="1" thickBot="1" x14ac:dyDescent="0.2">
      <c r="C125" s="17" t="str">
        <f t="shared" si="15"/>
        <v>Fysiske enheder med egne emissionsfaktorer</v>
      </c>
      <c r="D125" s="346">
        <v>0</v>
      </c>
      <c r="F125" s="6"/>
    </row>
    <row r="126" spans="3:7" s="48" customFormat="1" ht="14.5" customHeight="1" thickBot="1" x14ac:dyDescent="0.2">
      <c r="C126" s="17" t="str">
        <f t="shared" si="15"/>
        <v>Monetære enheder (beløb i DKK) med egne emissionsfaktorer</v>
      </c>
      <c r="D126" s="346">
        <v>0</v>
      </c>
      <c r="F126" s="6"/>
    </row>
    <row r="127" spans="3:7" s="48" customFormat="1" ht="14.5" customHeight="1" thickBot="1" x14ac:dyDescent="0.2">
      <c r="C127" s="47" t="str">
        <f t="shared" si="15"/>
        <v>Produkter og services (primære indkøb)</v>
      </c>
      <c r="D127" s="344">
        <f>SUM(D128:D131)</f>
        <v>0</v>
      </c>
      <c r="F127" s="6"/>
    </row>
    <row r="128" spans="3:7" s="48" customFormat="1" ht="14.5" customHeight="1" thickBot="1" x14ac:dyDescent="0.2">
      <c r="C128" s="17" t="str">
        <f t="shared" si="15"/>
        <v>Indkøb af produkter i fysiske enheder</v>
      </c>
      <c r="D128" s="346">
        <v>0</v>
      </c>
      <c r="F128" s="6"/>
    </row>
    <row r="129" spans="3:7" s="48" customFormat="1" ht="14.5" customHeight="1" thickBot="1" x14ac:dyDescent="0.2">
      <c r="C129" s="17" t="str">
        <f t="shared" si="15"/>
        <v>Indkøb af produkter i monetære enheder (beløb i DKK)</v>
      </c>
      <c r="D129" s="346">
        <v>0</v>
      </c>
      <c r="F129" s="6"/>
    </row>
    <row r="130" spans="3:7" s="48" customFormat="1" ht="14.5" customHeight="1" thickBot="1" x14ac:dyDescent="0.2">
      <c r="C130" s="17" t="str">
        <f t="shared" si="15"/>
        <v>Fysiske enheder med egne emissionsfaktorer</v>
      </c>
      <c r="D130" s="346">
        <v>0</v>
      </c>
      <c r="F130" s="6"/>
    </row>
    <row r="131" spans="3:7" s="48" customFormat="1" ht="14.5" customHeight="1" thickBot="1" x14ac:dyDescent="0.2">
      <c r="C131" s="17" t="str">
        <f t="shared" si="15"/>
        <v>Monetære enheder (beløb i DKK) med egne emissionsfaktorer</v>
      </c>
      <c r="D131" s="346">
        <v>0</v>
      </c>
      <c r="F131" s="6"/>
    </row>
    <row r="132" spans="3:7" s="48" customFormat="1" ht="14.5" customHeight="1" thickBot="1" x14ac:dyDescent="0.2">
      <c r="C132" s="47" t="str">
        <f t="shared" si="15"/>
        <v>Andet udledning ved primære indkøb</v>
      </c>
      <c r="D132" s="344">
        <f>SUM(D133:D134)</f>
        <v>0</v>
      </c>
      <c r="F132" s="6"/>
    </row>
    <row r="133" spans="3:7" s="48" customFormat="1" ht="14.5" customHeight="1" thickBot="1" x14ac:dyDescent="0.2">
      <c r="C133" s="17" t="str">
        <f t="shared" si="15"/>
        <v>Fysiske enheder med egne emissionsfaktorer</v>
      </c>
      <c r="D133" s="346">
        <v>0</v>
      </c>
      <c r="F133" s="6"/>
    </row>
    <row r="134" spans="3:7" s="48" customFormat="1" ht="14.5" customHeight="1" thickBot="1" x14ac:dyDescent="0.2">
      <c r="C134" s="17" t="str">
        <f t="shared" si="15"/>
        <v>Monetære enheder (beløb i DKK) med egne emissionsfaktorer</v>
      </c>
      <c r="D134" s="346">
        <v>0</v>
      </c>
      <c r="F134" s="6"/>
    </row>
    <row r="135" spans="3:7" s="48" customFormat="1" ht="14.5" customHeight="1" thickBot="1" x14ac:dyDescent="0.2">
      <c r="C135" s="53" t="str">
        <f t="shared" si="15"/>
        <v>Sekundære indkøb af hjælpematerialer og serviceydelser</v>
      </c>
      <c r="D135" s="345">
        <f>D136+D141+D146</f>
        <v>0</v>
      </c>
      <c r="F135" s="6"/>
    </row>
    <row r="136" spans="3:7" s="48" customFormat="1" ht="14.5" customHeight="1" thickBot="1" x14ac:dyDescent="0.2">
      <c r="C136" s="53" t="str">
        <f t="shared" si="15"/>
        <v>Materialer (sekundære indkøb)</v>
      </c>
      <c r="D136" s="345">
        <f>SUM(D137:D140)</f>
        <v>0</v>
      </c>
      <c r="G136" s="6"/>
    </row>
    <row r="137" spans="3:7" s="48" customFormat="1" ht="14.5" customHeight="1" thickBot="1" x14ac:dyDescent="0.2">
      <c r="C137" s="17" t="str">
        <f t="shared" si="15"/>
        <v>Indkøb af materialer i fysiske enheder</v>
      </c>
      <c r="D137" s="346">
        <v>0</v>
      </c>
      <c r="F137" s="6"/>
      <c r="G137" s="6"/>
    </row>
    <row r="138" spans="3:7" s="48" customFormat="1" ht="14.5" customHeight="1" thickBot="1" x14ac:dyDescent="0.2">
      <c r="C138" s="17" t="str">
        <f t="shared" si="15"/>
        <v>Indkøb af materialer i monetære enheder (beløb i DKK)</v>
      </c>
      <c r="D138" s="346">
        <v>0</v>
      </c>
      <c r="F138" s="6"/>
      <c r="G138" s="6"/>
    </row>
    <row r="139" spans="3:7" s="48" customFormat="1" ht="14.5" customHeight="1" thickBot="1" x14ac:dyDescent="0.2">
      <c r="C139" s="17" t="str">
        <f t="shared" si="15"/>
        <v>Fysiske enheder med egne emissionsfaktorer</v>
      </c>
      <c r="D139" s="346">
        <v>0</v>
      </c>
      <c r="F139" s="6"/>
      <c r="G139" s="6"/>
    </row>
    <row r="140" spans="3:7" s="48" customFormat="1" ht="14.5" customHeight="1" thickBot="1" x14ac:dyDescent="0.2">
      <c r="C140" s="17" t="str">
        <f t="shared" si="15"/>
        <v>Monetære enheder (beløb i DKK) med egne emissionsfaktorer</v>
      </c>
      <c r="D140" s="346">
        <v>0</v>
      </c>
      <c r="F140" s="6"/>
      <c r="G140" s="6"/>
    </row>
    <row r="141" spans="3:7" s="48" customFormat="1" ht="14.5" customHeight="1" thickBot="1" x14ac:dyDescent="0.2">
      <c r="C141" s="53" t="str">
        <f t="shared" si="15"/>
        <v>Produkter og services (sekundære indkøb)</v>
      </c>
      <c r="D141" s="345">
        <f>SUM(D142:D145)</f>
        <v>0</v>
      </c>
      <c r="F141" s="6"/>
      <c r="G141" s="6"/>
    </row>
    <row r="142" spans="3:7" s="48" customFormat="1" ht="14.5" customHeight="1" thickBot="1" x14ac:dyDescent="0.2">
      <c r="C142" s="17" t="str">
        <f t="shared" si="15"/>
        <v>Indkøb af produkter i fysiske enheder</v>
      </c>
      <c r="D142" s="346">
        <v>0</v>
      </c>
      <c r="F142" s="6"/>
      <c r="G142" s="6"/>
    </row>
    <row r="143" spans="3:7" s="48" customFormat="1" ht="14.5" customHeight="1" thickBot="1" x14ac:dyDescent="0.2">
      <c r="C143" s="17" t="str">
        <f t="shared" si="15"/>
        <v>Indkøb af produkter i monetære enheder (beløb i DKK)</v>
      </c>
      <c r="D143" s="346">
        <v>0</v>
      </c>
      <c r="F143" s="6"/>
      <c r="G143" s="6"/>
    </row>
    <row r="144" spans="3:7" s="48" customFormat="1" ht="14.5" customHeight="1" thickBot="1" x14ac:dyDescent="0.2">
      <c r="C144" s="17" t="str">
        <f t="shared" si="15"/>
        <v>Fysiske enheder med egne emissionsfaktorer</v>
      </c>
      <c r="D144" s="346">
        <v>0</v>
      </c>
      <c r="F144" s="6"/>
      <c r="G144" s="6"/>
    </row>
    <row r="145" spans="3:7" s="48" customFormat="1" ht="14.5" customHeight="1" thickBot="1" x14ac:dyDescent="0.2">
      <c r="C145" s="17" t="str">
        <f t="shared" si="15"/>
        <v>Monetære enheder (beløb i DKK) med egne emissionsfaktorer</v>
      </c>
      <c r="D145" s="346">
        <v>0</v>
      </c>
      <c r="F145" s="6"/>
      <c r="G145" s="6"/>
    </row>
    <row r="146" spans="3:7" s="48" customFormat="1" ht="14.5" customHeight="1" thickBot="1" x14ac:dyDescent="0.2">
      <c r="C146" s="53" t="str">
        <f t="shared" si="15"/>
        <v>Andet udledning ved sekundære indkøb</v>
      </c>
      <c r="D146" s="345">
        <f>SUM(D147:D148)</f>
        <v>0</v>
      </c>
      <c r="F146" s="6"/>
      <c r="G146" s="6"/>
    </row>
    <row r="147" spans="3:7" s="48" customFormat="1" ht="14.5" customHeight="1" thickBot="1" x14ac:dyDescent="0.2">
      <c r="C147" s="17" t="str">
        <f t="shared" si="15"/>
        <v>Fysiske enheder med egne emissionsfaktorer</v>
      </c>
      <c r="D147" s="346">
        <v>0</v>
      </c>
      <c r="F147" s="6"/>
      <c r="G147" s="6"/>
    </row>
    <row r="148" spans="3:7" s="48" customFormat="1" ht="14.5" customHeight="1" thickBot="1" x14ac:dyDescent="0.2">
      <c r="C148" s="17" t="str">
        <f t="shared" si="15"/>
        <v>Monetære enheder (beløb i DKK) med egne emissionsfaktorer</v>
      </c>
      <c r="D148" s="346">
        <v>0</v>
      </c>
      <c r="F148" s="6"/>
      <c r="G148" s="6"/>
    </row>
    <row r="149" spans="3:7" s="48" customFormat="1" ht="14.5" customHeight="1" thickBot="1" x14ac:dyDescent="0.2">
      <c r="C149" s="45" t="str">
        <f t="shared" si="15"/>
        <v>Transport</v>
      </c>
      <c r="D149" s="46">
        <f>D150+D154+D159+D163+D167</f>
        <v>41.952344429199997</v>
      </c>
      <c r="F149" s="6"/>
      <c r="G149" s="6"/>
    </row>
    <row r="150" spans="3:7" s="48" customFormat="1" ht="14.5" customHeight="1" thickBot="1" x14ac:dyDescent="0.2">
      <c r="C150" s="47" t="str">
        <f t="shared" si="15"/>
        <v>Egne og leasede transportmidler</v>
      </c>
      <c r="D150" s="344">
        <f>SUM(D151:D153)</f>
        <v>0.55431020060000002</v>
      </c>
      <c r="F150" s="6"/>
      <c r="G150" s="6"/>
    </row>
    <row r="151" spans="3:7" s="48" customFormat="1" ht="14.5" customHeight="1" thickBot="1" x14ac:dyDescent="0.2">
      <c r="C151" s="17" t="str">
        <f t="shared" si="15"/>
        <v>Egne og leasede transportmidler</v>
      </c>
      <c r="D151" s="346">
        <v>0.55431020060000002</v>
      </c>
      <c r="F151" s="6"/>
      <c r="G151" s="6"/>
    </row>
    <row r="152" spans="3:7" s="48" customFormat="1" ht="14.5" customHeight="1" thickBot="1" x14ac:dyDescent="0.2">
      <c r="C152" s="17" t="str">
        <f t="shared" si="15"/>
        <v>Fly og Skibe</v>
      </c>
      <c r="D152" s="346">
        <v>0</v>
      </c>
      <c r="F152" s="6"/>
      <c r="G152" s="6"/>
    </row>
    <row r="153" spans="3:7" s="48" customFormat="1" ht="14.5" customHeight="1" thickBot="1" x14ac:dyDescent="0.2">
      <c r="C153" s="17" t="str">
        <f t="shared" si="15"/>
        <v>Egne og leasede transportmidler med egne emissionsfaktorer</v>
      </c>
      <c r="D153" s="346">
        <v>0</v>
      </c>
      <c r="F153" s="6"/>
      <c r="G153" s="6"/>
    </row>
    <row r="154" spans="3:7" s="48" customFormat="1" ht="14.5" customHeight="1" thickBot="1" x14ac:dyDescent="0.2">
      <c r="C154" s="47" t="str">
        <f t="shared" si="15"/>
        <v>Medarbejdertransport</v>
      </c>
      <c r="D154" s="344">
        <f>SUM(D155:D158)</f>
        <v>0.1995516722</v>
      </c>
      <c r="F154" s="6"/>
      <c r="G154" s="6"/>
    </row>
    <row r="155" spans="3:7" s="48" customFormat="1" ht="14.5" customHeight="1" thickBot="1" x14ac:dyDescent="0.2">
      <c r="C155" s="17" t="str">
        <f t="shared" si="15"/>
        <v>Pendling</v>
      </c>
      <c r="D155" s="346">
        <v>0.1995516722</v>
      </c>
      <c r="F155" s="6"/>
      <c r="G155" s="6"/>
    </row>
    <row r="156" spans="3:7" s="48" customFormat="1" ht="14.5" customHeight="1" thickBot="1" x14ac:dyDescent="0.2">
      <c r="C156" s="17" t="str">
        <f t="shared" si="15"/>
        <v>Rejser i forbindelse med arbejder - Fysiske enheder</v>
      </c>
      <c r="D156" s="346">
        <v>0</v>
      </c>
      <c r="F156" s="6"/>
      <c r="G156" s="6"/>
    </row>
    <row r="157" spans="3:7" s="48" customFormat="1" ht="14.5" customHeight="1" thickBot="1" x14ac:dyDescent="0.2">
      <c r="C157" s="17" t="str">
        <f t="shared" si="15"/>
        <v>Rejser i forbindelse med arbejder - Monetære enheder (beløb i DKK)</v>
      </c>
      <c r="D157" s="346">
        <v>0</v>
      </c>
      <c r="F157" s="6"/>
      <c r="G157" s="6"/>
    </row>
    <row r="158" spans="3:7" s="48" customFormat="1" ht="14.5" customHeight="1" thickBot="1" x14ac:dyDescent="0.2">
      <c r="C158" s="17" t="str">
        <f t="shared" si="15"/>
        <v>Medarbejdertransport med egne emissionsfaktorer</v>
      </c>
      <c r="D158" s="346">
        <v>0</v>
      </c>
      <c r="F158" s="6"/>
      <c r="G158" s="6"/>
    </row>
    <row r="159" spans="3:7" s="48" customFormat="1" ht="14.5" customHeight="1" thickBot="1" x14ac:dyDescent="0.2">
      <c r="C159" s="47" t="str">
        <f t="shared" si="15"/>
        <v>Varetransport til virksomhed</v>
      </c>
      <c r="D159" s="344">
        <f>SUM(D160:D162)</f>
        <v>11.235949788099999</v>
      </c>
      <c r="F159" s="6"/>
      <c r="G159" s="6"/>
    </row>
    <row r="160" spans="3:7" s="48" customFormat="1" ht="14.5" customHeight="1" thickBot="1" x14ac:dyDescent="0.2">
      <c r="C160" s="17" t="str">
        <f t="shared" si="15"/>
        <v>Varetransport i fysiske enheder</v>
      </c>
      <c r="D160" s="346">
        <v>11.235949788099999</v>
      </c>
      <c r="F160" s="6"/>
      <c r="G160" s="6"/>
    </row>
    <row r="161" spans="3:7" s="48" customFormat="1" ht="14.5" customHeight="1" thickBot="1" x14ac:dyDescent="0.2">
      <c r="C161" s="17" t="str">
        <f t="shared" si="15"/>
        <v>Varetransport i monetære enheder (beløb i DKK)</v>
      </c>
      <c r="D161" s="346">
        <v>0</v>
      </c>
      <c r="F161" s="6"/>
      <c r="G161" s="6"/>
    </row>
    <row r="162" spans="3:7" s="48" customFormat="1" ht="14.5" customHeight="1" thickBot="1" x14ac:dyDescent="0.2">
      <c r="C162" s="17" t="str">
        <f t="shared" si="15"/>
        <v>Varetransport til virksomhed med egne emissionsfaktorer</v>
      </c>
      <c r="D162" s="346">
        <v>0</v>
      </c>
      <c r="F162" s="6"/>
      <c r="G162" s="6"/>
    </row>
    <row r="163" spans="3:7" s="48" customFormat="1" ht="14.5" customHeight="1" thickBot="1" x14ac:dyDescent="0.2">
      <c r="C163" s="47" t="str">
        <f t="shared" si="15"/>
        <v>Varetransport fra virksomhed til kunde</v>
      </c>
      <c r="D163" s="344">
        <f>SUM(D164:D166)</f>
        <v>29.962532768300001</v>
      </c>
      <c r="F163" s="6"/>
      <c r="G163" s="6"/>
    </row>
    <row r="164" spans="3:7" s="48" customFormat="1" ht="14.5" customHeight="1" thickBot="1" x14ac:dyDescent="0.2">
      <c r="C164" s="17" t="str">
        <f t="shared" si="15"/>
        <v>Varetransport i fysiske enheder</v>
      </c>
      <c r="D164" s="346">
        <v>29.962532768300001</v>
      </c>
      <c r="F164" s="6"/>
      <c r="G164" s="6"/>
    </row>
    <row r="165" spans="3:7" s="48" customFormat="1" ht="14.5" customHeight="1" thickBot="1" x14ac:dyDescent="0.2">
      <c r="C165" s="17" t="str">
        <f t="shared" si="15"/>
        <v>Varetransport i monetære enheder (beløb i DKK)</v>
      </c>
      <c r="D165" s="346">
        <v>0</v>
      </c>
      <c r="F165" s="6"/>
      <c r="G165" s="6"/>
    </row>
    <row r="166" spans="3:7" s="48" customFormat="1" ht="14.5" customHeight="1" thickBot="1" x14ac:dyDescent="0.2">
      <c r="C166" s="17" t="str">
        <f t="shared" si="15"/>
        <v>Varetransport fra virksomhed til kunde med egne emissionsfaktorer</v>
      </c>
      <c r="D166" s="346">
        <v>0</v>
      </c>
      <c r="F166" s="6"/>
      <c r="G166" s="6"/>
    </row>
    <row r="167" spans="3:7" s="48" customFormat="1" ht="14.5" customHeight="1" thickBot="1" x14ac:dyDescent="0.2">
      <c r="C167" s="47" t="str">
        <f t="shared" si="15"/>
        <v>Andet udledning ved transport</v>
      </c>
      <c r="D167" s="410">
        <v>0</v>
      </c>
      <c r="F167" s="6"/>
      <c r="G167" s="6"/>
    </row>
    <row r="168" spans="3:7" s="48" customFormat="1" ht="14.5" customHeight="1" thickBot="1" x14ac:dyDescent="0.2">
      <c r="C168" s="45" t="str">
        <f t="shared" si="15"/>
        <v>Affald og genbrug</v>
      </c>
      <c r="D168" s="46">
        <f>D169+D172</f>
        <v>-128.217817</v>
      </c>
      <c r="F168" s="6"/>
      <c r="G168" s="6"/>
    </row>
    <row r="169" spans="3:7" s="48" customFormat="1" ht="14.5" customHeight="1" thickBot="1" x14ac:dyDescent="0.2">
      <c r="C169" s="47" t="str">
        <f t="shared" si="15"/>
        <v>Affald</v>
      </c>
      <c r="D169" s="344">
        <f>SUM(D170:D171)</f>
        <v>-128.217817</v>
      </c>
      <c r="F169" s="6"/>
      <c r="G169" s="6"/>
    </row>
    <row r="170" spans="3:7" s="48" customFormat="1" ht="14.5" customHeight="1" thickBot="1" x14ac:dyDescent="0.2">
      <c r="C170" s="56" t="str">
        <f t="shared" si="15"/>
        <v>Affald</v>
      </c>
      <c r="D170" s="346">
        <v>-128.217817</v>
      </c>
      <c r="F170" s="6"/>
      <c r="G170" s="6"/>
    </row>
    <row r="171" spans="3:7" s="48" customFormat="1" ht="14.5" customHeight="1" thickBot="1" x14ac:dyDescent="0.2">
      <c r="C171" s="17" t="str">
        <f t="shared" si="15"/>
        <v>Affald med egne emissionsfaktorer</v>
      </c>
      <c r="D171" s="346">
        <v>0</v>
      </c>
      <c r="F171" s="6"/>
      <c r="G171" s="6"/>
    </row>
    <row r="172" spans="3:7" s="48" customFormat="1" ht="14.5" customHeight="1" thickBot="1" x14ac:dyDescent="0.2">
      <c r="C172" s="47" t="str">
        <f t="shared" si="15"/>
        <v>Andet udledning ved affald</v>
      </c>
      <c r="D172" s="410">
        <v>0</v>
      </c>
      <c r="F172" s="6"/>
      <c r="G172" s="6"/>
    </row>
    <row r="173" spans="3:7" s="48" customFormat="1" ht="14.5" customHeight="1" thickBot="1" x14ac:dyDescent="0.2">
      <c r="C173" s="45" t="str">
        <f t="shared" ref="C173:C181" si="16">C89</f>
        <v>Solgte produkter</v>
      </c>
      <c r="D173" s="46">
        <f>D174+D175+D178+D181</f>
        <v>-111.89732480000001</v>
      </c>
      <c r="F173" s="6"/>
      <c r="G173" s="6"/>
    </row>
    <row r="174" spans="3:7" s="48" customFormat="1" ht="14.5" customHeight="1" thickBot="1" x14ac:dyDescent="0.2">
      <c r="C174" s="47" t="str">
        <f t="shared" si="16"/>
        <v>Forarbejdning og processering af solgte produkter</v>
      </c>
      <c r="D174" s="410">
        <v>0</v>
      </c>
      <c r="F174" s="6"/>
      <c r="G174" s="6"/>
    </row>
    <row r="175" spans="3:7" s="48" customFormat="1" ht="14.5" customHeight="1" thickBot="1" x14ac:dyDescent="0.2">
      <c r="C175" s="47" t="str">
        <f t="shared" si="16"/>
        <v>Brug af solgte og udlejede produkter</v>
      </c>
      <c r="D175" s="410">
        <f>SUM(D176:D177)</f>
        <v>0</v>
      </c>
      <c r="F175" s="6"/>
      <c r="G175" s="6"/>
    </row>
    <row r="176" spans="3:7" s="48" customFormat="1" ht="14.5" customHeight="1" thickBot="1" x14ac:dyDescent="0.2">
      <c r="C176" s="17" t="str">
        <f t="shared" si="16"/>
        <v>Brug af solgte og udlejede produkter</v>
      </c>
      <c r="D176" s="346">
        <v>0</v>
      </c>
      <c r="F176" s="6"/>
      <c r="G176" s="6"/>
    </row>
    <row r="177" spans="3:7" s="48" customFormat="1" ht="14.5" customHeight="1" thickBot="1" x14ac:dyDescent="0.2">
      <c r="C177" s="17" t="str">
        <f t="shared" si="16"/>
        <v>Brug af solgte og udlejede produkter med egne emissionsfaktorer</v>
      </c>
      <c r="D177" s="346">
        <v>0</v>
      </c>
      <c r="F177" s="6"/>
      <c r="G177" s="6"/>
    </row>
    <row r="178" spans="3:7" s="48" customFormat="1" ht="14.5" customHeight="1" thickBot="1" x14ac:dyDescent="0.2">
      <c r="C178" s="47" t="str">
        <f t="shared" si="16"/>
        <v>End-of-life behandling</v>
      </c>
      <c r="D178" s="344">
        <f>SUM(D179:D180)</f>
        <v>-111.89732480000001</v>
      </c>
      <c r="F178" s="6"/>
      <c r="G178" s="6"/>
    </row>
    <row r="179" spans="3:7" s="48" customFormat="1" ht="14.5" customHeight="1" thickBot="1" x14ac:dyDescent="0.2">
      <c r="C179" s="17" t="str">
        <f t="shared" si="16"/>
        <v>Håndtering af affaldsprodukt</v>
      </c>
      <c r="D179" s="346">
        <v>-111.89732480000001</v>
      </c>
      <c r="F179" s="6"/>
      <c r="G179" s="6"/>
    </row>
    <row r="180" spans="3:7" s="48" customFormat="1" ht="14.5" customHeight="1" thickBot="1" x14ac:dyDescent="0.2">
      <c r="C180" s="17" t="str">
        <f t="shared" si="16"/>
        <v>Håndtering af affaldsprodukt med egne emissionsfaktorer</v>
      </c>
      <c r="D180" s="346">
        <v>0</v>
      </c>
      <c r="F180" s="6"/>
      <c r="G180" s="6"/>
    </row>
    <row r="181" spans="3:7" s="48" customFormat="1" ht="14.5" customHeight="1" thickBot="1" x14ac:dyDescent="0.2">
      <c r="C181" s="47" t="str">
        <f t="shared" si="16"/>
        <v>Andet udledning ved solgte og udlejede produkter</v>
      </c>
      <c r="D181" s="410">
        <v>0</v>
      </c>
      <c r="F181" s="6"/>
      <c r="G181" s="6"/>
    </row>
    <row r="182" spans="3:7" ht="15" thickBot="1" x14ac:dyDescent="0.2">
      <c r="C182" s="45" t="str">
        <f>Tekstnøgler!C235</f>
        <v>Total (ton CO₂e)</v>
      </c>
      <c r="D182" s="46">
        <f>D108+D120+D149+D168+D173</f>
        <v>-60.67525920570003</v>
      </c>
      <c r="F182" s="6"/>
    </row>
  </sheetData>
  <mergeCells count="6">
    <mergeCell ref="C105:D105"/>
    <mergeCell ref="C6:D6"/>
    <mergeCell ref="C10:G10"/>
    <mergeCell ref="C19:G19"/>
    <mergeCell ref="C21:G21"/>
    <mergeCell ref="C103:G103"/>
  </mergeCells>
  <hyperlinks>
    <hyperlink ref="F2" location="Forside!A1" display="Forside!A1" xr:uid="{81AAF584-CEBC-E74F-A7FC-41C025AD4272}"/>
  </hyperlinks>
  <pageMargins left="0.7" right="0.7" top="0.75" bottom="0.75" header="0.3" footer="0.3"/>
  <pageSetup paperSize="9" orientation="portrait" r:id="rId1"/>
  <headerFooter>
    <oddHeader>&amp;R&amp;"Calibri"&amp;10&amp;K000000 INTERNAL&amp;1#_x000D_</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1A5D0-60AE-433C-9CA6-BB37CB6E9F4C}">
  <dimension ref="C1:H117"/>
  <sheetViews>
    <sheetView topLeftCell="A12" zoomScaleNormal="100" workbookViewId="0">
      <selection activeCell="Q40" sqref="Q40"/>
    </sheetView>
  </sheetViews>
  <sheetFormatPr baseColWidth="10" defaultColWidth="9.5" defaultRowHeight="13" x14ac:dyDescent="0.15"/>
  <cols>
    <col min="1" max="2" width="2.83203125" style="3" customWidth="1"/>
    <col min="3" max="3" width="70" style="3" customWidth="1"/>
    <col min="4" max="5" width="21.5" style="3" customWidth="1"/>
    <col min="6" max="6" width="24.5" style="3" customWidth="1"/>
    <col min="7" max="7" width="21.83203125" style="3" customWidth="1"/>
    <col min="8" max="16384" width="9.5" style="3"/>
  </cols>
  <sheetData>
    <row r="1" spans="3:8" ht="15" customHeight="1" x14ac:dyDescent="0.15"/>
    <row r="2" spans="3:8" ht="21" customHeight="1" x14ac:dyDescent="0.2">
      <c r="C2" s="26" t="str">
        <f>Tekstnøgler!C33</f>
        <v>Resultat</v>
      </c>
      <c r="D2" s="27"/>
      <c r="E2" s="290" t="str">
        <f>Tekstnøgler!C2</f>
        <v>&lt;-- Gå til forsiden</v>
      </c>
      <c r="F2" s="27"/>
      <c r="G2" s="27"/>
    </row>
    <row r="3" spans="3:8" ht="15" customHeight="1" x14ac:dyDescent="0.2">
      <c r="C3" s="2"/>
    </row>
    <row r="4" spans="3:8" ht="15" customHeight="1" x14ac:dyDescent="0.2">
      <c r="C4" s="2"/>
    </row>
    <row r="5" spans="3:8" ht="21" customHeight="1" x14ac:dyDescent="0.2">
      <c r="C5" s="29" t="str">
        <f>Hovedresultater!C5</f>
        <v>Resultat for 0 (År) - Tiltagscase</v>
      </c>
      <c r="D5" s="2"/>
    </row>
    <row r="6" spans="3:8" ht="21" customHeight="1" x14ac:dyDescent="0.2">
      <c r="C6" s="424" t="str">
        <f>Hovedresultater!C6</f>
        <v>10.230,61 ton CO₂e</v>
      </c>
      <c r="D6" s="424"/>
      <c r="E6" s="2"/>
    </row>
    <row r="7" spans="3:8" ht="16.5" customHeight="1" x14ac:dyDescent="0.2">
      <c r="C7" s="30"/>
      <c r="D7" s="30"/>
      <c r="E7" s="2"/>
    </row>
    <row r="8" spans="3:8" ht="16.5" customHeight="1" x14ac:dyDescent="0.2">
      <c r="C8" s="2" t="str">
        <f>Tekstnøgler!C71</f>
        <v>Metodevalg</v>
      </c>
    </row>
    <row r="10" spans="3:8" ht="53.25" customHeight="1" x14ac:dyDescent="0.2">
      <c r="C10" s="413" t="str">
        <f>Tekstnøgler!C72</f>
        <v>Resultaterne baserer sig på en række metodiske valg, der er foretaget i forbindelse med beregningerne. I nedenstående tabel kan du se, hvorvidt Radiative Forcing Index (RFI) er medregnet i forbindelse med udledninger fra flytransport. At medregne (eller korrigere for) RFI betyder, at der er taget højde for, at CO₂e udledt højere oppe i atmosfæren har en større drivhuseffekt end CO₂e udledt ved landjorden. Tabellen viser også, om emissionsfaktoren for el baserer sig på det årlige gennemsnit for sammensætningen af produktionen af el (miljødeklaration), eller om der i emissionsfaktoren korrigeres for virksomheders køb af grønne certifikater, såkaldte oprindelsesgarantier (eldeklaration).</v>
      </c>
      <c r="D10" s="423"/>
      <c r="E10" s="423"/>
      <c r="F10" s="423"/>
      <c r="G10" s="423"/>
      <c r="H10" s="423"/>
    </row>
    <row r="11" spans="3:8" ht="15" customHeight="1" thickBot="1" x14ac:dyDescent="0.2">
      <c r="C11" s="49"/>
      <c r="D11" s="49"/>
      <c r="E11" s="49"/>
    </row>
    <row r="12" spans="3:8" ht="15" customHeight="1" x14ac:dyDescent="0.15">
      <c r="C12" s="50" t="str">
        <f>Tekstnøgler!C73</f>
        <v>Emissionsfaktor</v>
      </c>
      <c r="D12" s="51" t="str">
        <f>Tekstnøgler!C74</f>
        <v>Metodevalg</v>
      </c>
      <c r="E12" s="49"/>
    </row>
    <row r="13" spans="3:8" ht="15" thickBot="1" x14ac:dyDescent="0.2">
      <c r="C13" s="52" t="str">
        <f>Tekstnøgler!C75</f>
        <v>Valg af emissionsfaktor for elektricitet</v>
      </c>
      <c r="D13" s="230" t="str">
        <f>IF(ISBLANK(Hovedresultater!$E13),"",Hovedresultater!$E13)</f>
        <v>Eldeklaration</v>
      </c>
      <c r="E13" s="49"/>
    </row>
    <row r="14" spans="3:8" ht="15" thickBot="1" x14ac:dyDescent="0.2">
      <c r="C14" s="52" t="str">
        <f>Tekstnøgler!C76</f>
        <v>Emissionsfaktor for flytransport</v>
      </c>
      <c r="D14" s="230" t="str">
        <f>IF(ISBLANK(Hovedresultater!$E14),"",Hovedresultater!$E14)</f>
        <v>Inkluder RFI</v>
      </c>
    </row>
    <row r="15" spans="3:8" x14ac:dyDescent="0.15">
      <c r="C15" s="54"/>
      <c r="D15" s="54"/>
    </row>
    <row r="17" spans="3:8" ht="20" x14ac:dyDescent="0.2">
      <c r="C17" s="26" t="str">
        <f>Tekstnøgler!C238</f>
        <v xml:space="preserve">E-nøgletal (ESG) </v>
      </c>
      <c r="E17" s="27"/>
    </row>
    <row r="18" spans="3:8" x14ac:dyDescent="0.15">
      <c r="D18" s="31"/>
      <c r="F18" s="31"/>
      <c r="G18" s="31"/>
    </row>
    <row r="19" spans="3:8" ht="73" customHeight="1" x14ac:dyDescent="0.2">
      <c r="C19" s="413" t="str">
        <f>Tekstnøgler!C241</f>
        <v xml:space="preserve">ESG står for Environment, Social og Governance og dækker over ikke-finansielle nøgletal, som kan indgå i din virksomheds opgørelse, dokumentation og rapportering af bæredygtighed ift. miljø- og klimamæssige forhold, sociale forhold samt god selskabsledelse. En række vejledende nøgletal under "E" kan beregnes med Klimakompasset, når du udarbejder dit klimaaftryk. Nøgletallene er kun vejledende og kan ikke bruges til at verificere din ESG-rapport. Læs mere om ESG på Virksomhedsguiden.
</v>
      </c>
      <c r="D19" s="423"/>
      <c r="E19" s="423"/>
      <c r="F19" s="423"/>
      <c r="G19" s="423"/>
      <c r="H19" s="423"/>
    </row>
    <row r="20" spans="3:8" ht="14.25" customHeight="1" x14ac:dyDescent="0.15">
      <c r="C20" s="6"/>
      <c r="D20" s="6"/>
      <c r="E20" s="6"/>
      <c r="F20" s="6"/>
      <c r="G20" s="6"/>
    </row>
    <row r="21" spans="3:8" ht="18.75" customHeight="1" x14ac:dyDescent="0.2">
      <c r="C21" s="2" t="str">
        <f>Tekstnøgler!C239</f>
        <v>E-nøgletal</v>
      </c>
      <c r="D21" s="6"/>
      <c r="E21" s="6"/>
      <c r="F21" s="6"/>
      <c r="G21" s="6"/>
    </row>
    <row r="22" spans="3:8" ht="14.25" customHeight="1" thickBot="1" x14ac:dyDescent="0.2">
      <c r="C22" s="6"/>
      <c r="D22" s="6"/>
      <c r="E22" s="6"/>
      <c r="F22" s="6"/>
      <c r="G22" s="6"/>
    </row>
    <row r="23" spans="3:8" s="48" customFormat="1" ht="14.25" customHeight="1" thickBot="1" x14ac:dyDescent="0.2">
      <c r="C23" s="459" t="str">
        <f>Tekstnøgler!C242</f>
        <v>CO₂e-udledning</v>
      </c>
      <c r="D23" s="459"/>
      <c r="E23" s="462" t="str">
        <f>Tekstnøgler!C245</f>
        <v>Resultat</v>
      </c>
      <c r="F23" s="462"/>
      <c r="G23" s="396" t="str">
        <f>Tekstnøgler!C244</f>
        <v>Enhed</v>
      </c>
    </row>
    <row r="24" spans="3:8" s="48" customFormat="1" ht="14.5" customHeight="1" thickBot="1" x14ac:dyDescent="0.2">
      <c r="C24" s="461" t="str">
        <f>Tekstnøgler!C247</f>
        <v>CO₂e-udledning inden for scope 1</v>
      </c>
      <c r="D24" s="461"/>
      <c r="E24" s="468">
        <f>'Delresultater (GHG)'!D98</f>
        <v>443.36484074510003</v>
      </c>
      <c r="F24" s="468"/>
      <c r="G24" s="397" t="str">
        <f>Tekstnøgler!C263</f>
        <v>Ton CO₂e</v>
      </c>
    </row>
    <row r="25" spans="3:8" s="48" customFormat="1" ht="14.5" customHeight="1" thickBot="1" x14ac:dyDescent="0.2">
      <c r="C25" s="461" t="str">
        <f>Tekstnøgler!C248</f>
        <v>CO₂e-udledning inden for scope 2</v>
      </c>
      <c r="D25" s="461"/>
      <c r="E25" s="468">
        <f>'Delresultater (GHG)'!E98</f>
        <v>1851.7950000000001</v>
      </c>
      <c r="F25" s="468"/>
      <c r="G25" s="397" t="str">
        <f>Tekstnøgler!C263</f>
        <v>Ton CO₂e</v>
      </c>
    </row>
    <row r="26" spans="3:8" s="48" customFormat="1" ht="14.5" customHeight="1" thickBot="1" x14ac:dyDescent="0.2">
      <c r="C26" s="460" t="str">
        <f>Tekstnøgler!C250</f>
        <v>Samlet CO₂e-udledning (Scope 1 og 2)</v>
      </c>
      <c r="D26" s="460"/>
      <c r="E26" s="463">
        <v>2295.1598407451002</v>
      </c>
      <c r="F26" s="464"/>
      <c r="G26" s="397" t="str">
        <f>Tekstnøgler!C263</f>
        <v>Ton CO₂e</v>
      </c>
    </row>
    <row r="27" spans="3:8" s="48" customFormat="1" ht="14.5" customHeight="1" thickBot="1" x14ac:dyDescent="0.2">
      <c r="C27" s="461" t="str">
        <f>Tekstnøgler!C253</f>
        <v>CO₂ intensitet (CO₂e-udledning for scope 1 og 2 ift. nettoomsætning)</v>
      </c>
      <c r="D27" s="461"/>
      <c r="E27" s="469">
        <f>IF(AND(ISNUMBER(E66),ISNUMBER(E26),E66&gt;0),E26/E66,Tekstnøgler!C269)</f>
        <v>99.78955829326523</v>
      </c>
      <c r="F27" s="469"/>
      <c r="G27" s="397" t="str">
        <f>Tekstnøgler!C264</f>
        <v>Ton CO₂e / mio. DKK</v>
      </c>
    </row>
    <row r="28" spans="3:8" s="48" customFormat="1" ht="14.5" customHeight="1" thickBot="1" x14ac:dyDescent="0.2">
      <c r="C28" s="461" t="str">
        <f>Tekstnøgler!C249</f>
        <v>CO₂e-udledning inden for scope 3</v>
      </c>
      <c r="D28" s="461"/>
      <c r="E28" s="468">
        <f>'Delresultater (GHG)'!F98</f>
        <v>7935.4487175093991</v>
      </c>
      <c r="F28" s="468"/>
      <c r="G28" s="397" t="str">
        <f>Tekstnøgler!C263</f>
        <v>Ton CO₂e</v>
      </c>
    </row>
    <row r="29" spans="3:8" s="48" customFormat="1" ht="15.75" customHeight="1" thickBot="1" x14ac:dyDescent="0.2">
      <c r="C29" s="460" t="str">
        <f>Tekstnøgler!C251</f>
        <v>Samlet CO₂e-udledning (Scope 1, 2 og 3)</v>
      </c>
      <c r="D29" s="460"/>
      <c r="E29" s="468">
        <f>'Delresultater (GHG)'!G98</f>
        <v>10230.6085582545</v>
      </c>
      <c r="F29" s="468"/>
      <c r="G29" s="397" t="str">
        <f>Tekstnøgler!C263</f>
        <v>Ton CO₂e</v>
      </c>
    </row>
    <row r="30" spans="3:8" s="48" customFormat="1" ht="15.75" customHeight="1" thickBot="1" x14ac:dyDescent="0.2">
      <c r="C30" s="461" t="str">
        <f>Tekstnøgler!C252</f>
        <v>CO₂ intensitet (Samlet CO₂e-udledning ift. nettoomsætning)</v>
      </c>
      <c r="D30" s="461"/>
      <c r="E30" s="468">
        <f>IF(AND(ISNUMBER(E66),ISNUMBER(E29),E66&gt;0),E29/E66,Tekstnøgler!C269)</f>
        <v>444.80906775019565</v>
      </c>
      <c r="F30" s="468"/>
      <c r="G30" s="397" t="str">
        <f>Tekstnøgler!C264</f>
        <v>Ton CO₂e / mio. DKK</v>
      </c>
    </row>
    <row r="31" spans="3:8" s="48" customFormat="1" ht="14.5" customHeight="1" x14ac:dyDescent="0.15">
      <c r="C31" s="6"/>
      <c r="D31" s="6"/>
      <c r="E31" s="378"/>
      <c r="F31" s="6"/>
      <c r="G31" s="6"/>
    </row>
    <row r="32" spans="3:8" s="48" customFormat="1" ht="27" customHeight="1" x14ac:dyDescent="0.15">
      <c r="C32" s="422" t="str">
        <f>Tekstnøgler!C602</f>
        <v>Her ses din virksomheds samlede forbrug af elektricitet, og heraf hvad som kommer fra vedvarende energikilder. Bemærk, at den nukleare energiandel er medregnet under vedvarende elektricitet. Det skyldes, at den nukleare andel ikke udleder CO₂e.</v>
      </c>
      <c r="D32" s="422"/>
      <c r="E32" s="422"/>
      <c r="F32" s="422"/>
      <c r="G32" s="422"/>
      <c r="H32" s="422"/>
    </row>
    <row r="33" spans="3:8" s="48" customFormat="1" ht="14.5" customHeight="1" thickBot="1" x14ac:dyDescent="0.2">
      <c r="C33" s="6"/>
      <c r="D33" s="6"/>
      <c r="E33" s="378"/>
      <c r="F33" s="6"/>
      <c r="G33" s="6"/>
    </row>
    <row r="34" spans="3:8" s="48" customFormat="1" ht="14.5" customHeight="1" x14ac:dyDescent="0.15">
      <c r="C34" s="80" t="str">
        <f>Tekstnøgler!C284</f>
        <v>Energiforbrug</v>
      </c>
      <c r="D34" s="78" t="str">
        <f>Tekstnøgler!C285</f>
        <v>Vedvarende</v>
      </c>
      <c r="E34" s="78" t="str">
        <f>Tekstnøgler!C286</f>
        <v>Ikke vedvarende</v>
      </c>
      <c r="F34" s="78" t="str">
        <f>Tekstnøgler!C287</f>
        <v>Total</v>
      </c>
      <c r="G34" s="78" t="str">
        <f>Tekstnøgler!C244</f>
        <v>Enhed</v>
      </c>
    </row>
    <row r="35" spans="3:8" s="48" customFormat="1" ht="14.5" customHeight="1" thickBot="1" x14ac:dyDescent="0.2">
      <c r="C35" s="52" t="str">
        <f>Tekstnøgler!C293</f>
        <v>Elektricitet</v>
      </c>
      <c r="D35" s="408">
        <v>1819.6129309212602</v>
      </c>
      <c r="E35" s="408">
        <v>2680.3870690787398</v>
      </c>
      <c r="F35" s="249">
        <f>IF(OR(ISNUMBER(D35),ISNUMBER(E35)),SUM(D35:E35),Tekstnøgler!$C$269)</f>
        <v>4500</v>
      </c>
      <c r="G35" s="379" t="str">
        <f>Tekstnøgler!C289</f>
        <v>MWh</v>
      </c>
    </row>
    <row r="36" spans="3:8" s="48" customFormat="1" ht="14.5" customHeight="1" thickBot="1" x14ac:dyDescent="0.2">
      <c r="C36" s="52" t="str">
        <f>Tekstnøgler!C294</f>
        <v>Brændsler</v>
      </c>
      <c r="D36" s="408">
        <v>48.993721752173862</v>
      </c>
      <c r="E36" s="408">
        <v>1940.8372284372647</v>
      </c>
      <c r="F36" s="249">
        <f>IF(OR(ISNUMBER(D36),ISNUMBER(E36)),SUM(D36:E36),Tekstnøgler!$C$269)</f>
        <v>1989.8309501894385</v>
      </c>
      <c r="G36" s="379" t="str">
        <f>Tekstnøgler!C289</f>
        <v>MWh</v>
      </c>
    </row>
    <row r="37" spans="3:8" s="48" customFormat="1" ht="14.5" customHeight="1" thickBot="1" x14ac:dyDescent="0.2">
      <c r="C37" s="52" t="str">
        <f>Tekstnøgler!C295</f>
        <v>Fjernvarme</v>
      </c>
      <c r="D37" s="408" t="str">
        <f>Tekstnøgler!C269</f>
        <v>(ikke angivet)</v>
      </c>
      <c r="E37" s="408" t="str">
        <f>Tekstnøgler!C269</f>
        <v>(ikke angivet)</v>
      </c>
      <c r="F37" s="249" t="str">
        <f>IF(OR(ISNUMBER(D37),ISNUMBER(E37)),SUM(D37:E37),Tekstnøgler!$C$269)</f>
        <v>(ikke angivet)</v>
      </c>
      <c r="G37" s="379" t="str">
        <f>Tekstnøgler!C289</f>
        <v>MWh</v>
      </c>
    </row>
    <row r="38" spans="3:8" s="48" customFormat="1" ht="14.5" customHeight="1" thickBot="1" x14ac:dyDescent="0.2">
      <c r="C38" s="394" t="str">
        <f>Tekstnøgler!C287</f>
        <v>Total</v>
      </c>
      <c r="D38" s="249">
        <f>IF(OR(ISNUMBER(D35),ISNUMBER(D36),ISNUMBER(D37)),SUM(D35:D37),Tekstnøgler!$C$269)</f>
        <v>1868.6066526734339</v>
      </c>
      <c r="E38" s="249">
        <f>IF(OR(ISNUMBER(E35),ISNUMBER(E36),ISNUMBER(E37)),SUM(E35:E37),Tekstnøgler!$C$269)</f>
        <v>4621.2242975160043</v>
      </c>
      <c r="F38" s="249">
        <f>IF(OR(ISNUMBER(F35),ISNUMBER(F36),ISNUMBER(F37)),SUM(F35:F37),Tekstnøgler!$C$269)</f>
        <v>6489.8309501894382</v>
      </c>
      <c r="G38" s="379" t="str">
        <f>Tekstnøgler!C289</f>
        <v>MWh</v>
      </c>
    </row>
    <row r="39" spans="3:8" s="48" customFormat="1" ht="14.5" customHeight="1" x14ac:dyDescent="0.15">
      <c r="C39" s="465"/>
      <c r="D39" s="465"/>
      <c r="E39" s="378"/>
      <c r="F39" s="6"/>
      <c r="G39" s="6"/>
    </row>
    <row r="40" spans="3:8" s="48" customFormat="1" ht="14.5" customHeight="1" x14ac:dyDescent="0.15">
      <c r="C40" s="467"/>
      <c r="D40" s="467"/>
      <c r="E40" s="378"/>
      <c r="F40" s="6"/>
      <c r="G40" s="6"/>
    </row>
    <row r="41" spans="3:8" s="48" customFormat="1" ht="17.25" customHeight="1" x14ac:dyDescent="0.2">
      <c r="C41" s="466" t="str">
        <f>Tekstnøgler!C240</f>
        <v>Andre nøgletal</v>
      </c>
      <c r="D41" s="466"/>
      <c r="E41" s="378"/>
      <c r="F41" s="6"/>
      <c r="G41" s="6"/>
    </row>
    <row r="42" spans="3:8" s="48" customFormat="1" ht="14.5" customHeight="1" x14ac:dyDescent="0.15">
      <c r="C42" s="467"/>
      <c r="D42" s="467"/>
      <c r="E42" s="378"/>
      <c r="F42" s="6"/>
      <c r="G42" s="6"/>
    </row>
    <row r="43" spans="3:8" s="48" customFormat="1" ht="26" customHeight="1" x14ac:dyDescent="0.15">
      <c r="C43" s="422" t="str">
        <f>Tekstnøgler!C600</f>
        <v>Her ses din virksomheds samlede energiforbrug, samt hvor stor andel af energiforbruget der kommer fra hhv. fossile kilder (såsom olie og gas), nukleare kilder (atomkraft) og vedvarende kilder (fx solcelle-energi).</v>
      </c>
      <c r="D43" s="422"/>
      <c r="E43" s="422"/>
      <c r="F43" s="422"/>
      <c r="G43" s="422"/>
      <c r="H43" s="422"/>
    </row>
    <row r="44" spans="3:8" s="48" customFormat="1" ht="14.5" customHeight="1" thickBot="1" x14ac:dyDescent="0.2">
      <c r="C44" s="6"/>
      <c r="D44" s="6"/>
      <c r="E44" s="378"/>
      <c r="F44" s="6"/>
      <c r="G44" s="6"/>
    </row>
    <row r="45" spans="3:8" s="48" customFormat="1" ht="14.25" customHeight="1" thickBot="1" x14ac:dyDescent="0.2">
      <c r="C45" s="459" t="str">
        <f>Tekstnøgler!C282</f>
        <v>Energiforbrug fordelt på kilder</v>
      </c>
      <c r="D45" s="459"/>
      <c r="E45" s="396" t="str">
        <f>Tekstnøgler!C245</f>
        <v>Resultat</v>
      </c>
      <c r="F45" s="396" t="str">
        <f>Tekstnøgler!C244</f>
        <v>Enhed</v>
      </c>
      <c r="G45" s="396" t="str">
        <f>Tekstnøgler!C246</f>
        <v>Andel</v>
      </c>
    </row>
    <row r="46" spans="3:8" s="48" customFormat="1" ht="14.5" customHeight="1" thickBot="1" x14ac:dyDescent="0.2">
      <c r="C46" s="461" t="str">
        <f>Tekstnøgler!C254</f>
        <v>Energiforbrug: Fossile kilder</v>
      </c>
      <c r="D46" s="461"/>
      <c r="E46" s="407">
        <v>4621.2242975160043</v>
      </c>
      <c r="F46" s="397" t="str">
        <f>Tekstnøgler!C289</f>
        <v>MWh</v>
      </c>
      <c r="G46" s="398">
        <f>IF(AND(ISNUMBER(E46),ISNUMBER($E$49),$E$49&lt;&gt;0),E46/$E$49,Tekstnøgler!$C$269)</f>
        <v>0.71207159831815203</v>
      </c>
    </row>
    <row r="47" spans="3:8" s="48" customFormat="1" ht="14.5" customHeight="1" thickBot="1" x14ac:dyDescent="0.2">
      <c r="C47" s="461" t="str">
        <f>Tekstnøgler!C255</f>
        <v>Energiforbrug: Nukleare kilder</v>
      </c>
      <c r="D47" s="461"/>
      <c r="E47" s="407">
        <v>1389.2903989037959</v>
      </c>
      <c r="F47" s="397" t="str">
        <f>Tekstnøgler!C289</f>
        <v>MWh</v>
      </c>
      <c r="G47" s="398">
        <f>IF(AND(ISNUMBER(E47),ISNUMBER($E$49),$E$49&lt;&gt;0),E47/$E$49,Tekstnøgler!$C$269)</f>
        <v>0.21407189333078738</v>
      </c>
    </row>
    <row r="48" spans="3:8" s="48" customFormat="1" ht="14.5" customHeight="1" thickBot="1" x14ac:dyDescent="0.2">
      <c r="C48" s="461" t="str">
        <f>Tekstnøgler!C256</f>
        <v>Energiforbrug: Vedvarende kilder</v>
      </c>
      <c r="D48" s="461"/>
      <c r="E48" s="407">
        <v>479.31625376963831</v>
      </c>
      <c r="F48" s="397" t="str">
        <f>Tekstnøgler!C289</f>
        <v>MWh</v>
      </c>
      <c r="G48" s="398">
        <f>IF(AND(ISNUMBER(E48),ISNUMBER($E$49),$E$49&lt;&gt;0),E48/$E$49,Tekstnøgler!$C$269)</f>
        <v>7.3856508351060682E-2</v>
      </c>
    </row>
    <row r="49" spans="3:8" s="48" customFormat="1" ht="14.5" customHeight="1" thickBot="1" x14ac:dyDescent="0.2">
      <c r="C49" s="460" t="str">
        <f>Tekstnøgler!C257</f>
        <v>Samlet energiforbrug</v>
      </c>
      <c r="D49" s="460"/>
      <c r="E49" s="395">
        <f>IF(OR(ISNUMBER(E46),ISNUMBER(E47),ISNUMBER(E48)),SUM(E46:E48),Tekstnøgler!$C$269)</f>
        <v>6489.8309501894382</v>
      </c>
      <c r="F49" s="397" t="str">
        <f>Tekstnøgler!C289</f>
        <v>MWh</v>
      </c>
      <c r="G49" s="398" t="str">
        <f>IF(ISNUMBER(E49),"100,00%",Tekstnøgler!$C$269)</f>
        <v>100,00%</v>
      </c>
    </row>
    <row r="50" spans="3:8" s="48" customFormat="1" ht="14.5" customHeight="1" x14ac:dyDescent="0.15">
      <c r="C50" s="6"/>
      <c r="D50" s="6"/>
      <c r="E50" s="378"/>
      <c r="F50" s="6"/>
      <c r="G50" s="6"/>
    </row>
    <row r="51" spans="3:8" s="48" customFormat="1" ht="27" customHeight="1" x14ac:dyDescent="0.15">
      <c r="C51" s="422" t="str">
        <f>Tekstnøgler!C601</f>
        <v>Her ses din virksomheds samlede vandforbrug, og hvad vandintensiteten er. Du kan også se virksomhedens samlede mængde affald, heraf hvor stor andel som er farligt affald og hvor stor andel som bliver sendt til genanvendelse eller genbrug.</v>
      </c>
      <c r="D51" s="422"/>
      <c r="E51" s="422"/>
      <c r="F51" s="422"/>
      <c r="G51" s="422"/>
      <c r="H51" s="422"/>
    </row>
    <row r="52" spans="3:8" s="48" customFormat="1" ht="14.5" customHeight="1" thickBot="1" x14ac:dyDescent="0.2">
      <c r="C52" s="6"/>
      <c r="D52" s="6"/>
      <c r="E52" s="378"/>
      <c r="F52" s="6"/>
      <c r="G52" s="6"/>
    </row>
    <row r="53" spans="3:8" s="48" customFormat="1" ht="14.5" customHeight="1" thickBot="1" x14ac:dyDescent="0.2">
      <c r="C53" s="459" t="str">
        <f>Tekstnøgler!C283</f>
        <v>Vand og affald</v>
      </c>
      <c r="D53" s="459"/>
      <c r="E53" s="462" t="str">
        <f>Tekstnøgler!C245</f>
        <v>Resultat</v>
      </c>
      <c r="F53" s="462"/>
      <c r="G53" s="396" t="str">
        <f>Tekstnøgler!C244</f>
        <v>Enhed</v>
      </c>
    </row>
    <row r="54" spans="3:8" s="48" customFormat="1" ht="14.5" customHeight="1" thickBot="1" x14ac:dyDescent="0.2">
      <c r="C54" s="460" t="str">
        <f>Tekstnøgler!C260</f>
        <v>Samlet vandforbrug</v>
      </c>
      <c r="D54" s="460"/>
      <c r="E54" s="463">
        <v>2000</v>
      </c>
      <c r="F54" s="464"/>
      <c r="G54" s="397" t="str">
        <f>Tekstnøgler!C290</f>
        <v>m3</v>
      </c>
    </row>
    <row r="55" spans="3:8" s="48" customFormat="1" ht="14.5" customHeight="1" thickBot="1" x14ac:dyDescent="0.2">
      <c r="C55" s="460" t="str">
        <f>Tekstnøgler!C292</f>
        <v>Samlet mængde affald</v>
      </c>
      <c r="D55" s="460"/>
      <c r="E55" s="463">
        <v>360</v>
      </c>
      <c r="F55" s="464"/>
      <c r="G55" s="397" t="str">
        <f>Tekstnøgler!C280</f>
        <v>Ton</v>
      </c>
    </row>
    <row r="56" spans="3:8" s="48" customFormat="1" ht="14.5" customHeight="1" thickBot="1" x14ac:dyDescent="0.2">
      <c r="C56" s="461" t="str">
        <f>Tekstnøgler!C261</f>
        <v>Andel af farligt affald (Mængde af farligt affald ift. total mængde affald)</v>
      </c>
      <c r="D56" s="461"/>
      <c r="E56" s="458" t="str">
        <f>IF(AND(ISNUMBER(E68),ISNUMBER(E69)),E69/E68,Tekstnøgler!C269)</f>
        <v>(ikke angivet)</v>
      </c>
      <c r="F56" s="458"/>
      <c r="G56" s="397" t="str">
        <f>Tekstnøgler!C267</f>
        <v>Pct. (%)</v>
      </c>
    </row>
    <row r="57" spans="3:8" s="48" customFormat="1" ht="14.5" customHeight="1" thickBot="1" x14ac:dyDescent="0.2">
      <c r="C57" s="461" t="str">
        <f>Tekstnøgler!C262</f>
        <v>Andel affald sendt til genanvendelse og genbrug (Mængde af genanvendt affald ift. total mængde affald)</v>
      </c>
      <c r="D57" s="461"/>
      <c r="E57" s="458">
        <f>IF(AND(ISNUMBER(E68),ISNUMBER(E70)),E70/E68,Tekstnøgler!C269)</f>
        <v>0.72222222222222221</v>
      </c>
      <c r="F57" s="458"/>
      <c r="G57" s="397" t="str">
        <f>Tekstnøgler!C267</f>
        <v>Pct. (%)</v>
      </c>
    </row>
    <row r="58" spans="3:8" s="48" customFormat="1" ht="14.5" customHeight="1" x14ac:dyDescent="0.15">
      <c r="C58" s="6"/>
      <c r="D58" s="6"/>
      <c r="E58" s="378"/>
      <c r="F58" s="6"/>
      <c r="G58" s="6"/>
    </row>
    <row r="59" spans="3:8" s="48" customFormat="1" ht="14.5" customHeight="1" x14ac:dyDescent="0.15">
      <c r="C59" s="6"/>
      <c r="D59" s="6"/>
      <c r="E59" s="6"/>
      <c r="F59" s="9"/>
      <c r="G59" s="10"/>
    </row>
    <row r="60" spans="3:8" s="48" customFormat="1" ht="33.75" hidden="1" customHeight="1" x14ac:dyDescent="0.2">
      <c r="C60" s="2" t="str">
        <f>Tekstnøgler!C270</f>
        <v>Anvendte værdier i beregning af E-nøgletal (ESG)</v>
      </c>
      <c r="D60" s="2"/>
      <c r="E60" s="6"/>
      <c r="F60" s="6"/>
      <c r="G60" s="6"/>
    </row>
    <row r="61" spans="3:8" s="48" customFormat="1" ht="14.5" hidden="1" customHeight="1" x14ac:dyDescent="0.15">
      <c r="C61" s="3"/>
      <c r="D61" s="3"/>
      <c r="E61" s="9"/>
      <c r="F61" s="6"/>
      <c r="G61" s="6"/>
    </row>
    <row r="62" spans="3:8" s="48" customFormat="1" ht="14.5" hidden="1" customHeight="1" x14ac:dyDescent="0.15">
      <c r="C62" s="3" t="str">
        <f>Tekstnøgler!C271</f>
        <v>I følgende tabel kan du se de værdier, der er anvendt i beregningen af E-nøgletallene præsenteret i tabellen ovenfor</v>
      </c>
      <c r="D62" s="6"/>
      <c r="E62" s="6"/>
      <c r="F62" s="6"/>
      <c r="G62" s="6"/>
    </row>
    <row r="63" spans="3:8" s="48" customFormat="1" ht="14.5" hidden="1" customHeight="1" thickBot="1" x14ac:dyDescent="0.2">
      <c r="C63" s="6"/>
      <c r="D63" s="6"/>
      <c r="E63" s="6"/>
      <c r="F63" s="6"/>
      <c r="G63" s="6"/>
    </row>
    <row r="64" spans="3:8" s="48" customFormat="1" ht="17" hidden="1" customHeight="1" x14ac:dyDescent="0.15">
      <c r="C64" s="80" t="str">
        <f>Tekstnøgler!C272</f>
        <v>PARAMETRE BRUGT TIL BEREGNING AF E-NØGLETAL</v>
      </c>
      <c r="D64" s="78"/>
      <c r="E64" s="78"/>
      <c r="F64" s="6"/>
      <c r="G64" s="6"/>
    </row>
    <row r="65" spans="3:7" s="48" customFormat="1" ht="14.5" hidden="1" customHeight="1" thickBot="1" x14ac:dyDescent="0.2">
      <c r="C65" s="123" t="str">
        <f>Tekstnøgler!C243</f>
        <v>Titel</v>
      </c>
      <c r="D65" s="124" t="str">
        <f>Tekstnøgler!C244</f>
        <v>Enhed</v>
      </c>
      <c r="E65" s="125" t="str">
        <f>Tekstnøgler!C245</f>
        <v>Resultat</v>
      </c>
      <c r="F65" s="6"/>
      <c r="G65" s="6"/>
    </row>
    <row r="66" spans="3:7" s="48" customFormat="1" ht="14.5" hidden="1" customHeight="1" thickBot="1" x14ac:dyDescent="0.2">
      <c r="C66" s="52" t="str">
        <f>Tekstnøgler!C273</f>
        <v>Nettoomsætning</v>
      </c>
      <c r="D66" s="79" t="str">
        <f>Tekstnøgler!C278</f>
        <v>mio. DKK</v>
      </c>
      <c r="E66" s="393">
        <f>IF(ISBLANK(Stamdata!B59),Tekstnøgler!C269,Stamdata!B59)</f>
        <v>23</v>
      </c>
      <c r="F66" s="6"/>
      <c r="G66" s="6"/>
    </row>
    <row r="67" spans="3:7" s="48" customFormat="1" ht="14.5" hidden="1" customHeight="1" thickBot="1" x14ac:dyDescent="0.2">
      <c r="C67" s="52" t="str">
        <f>Tekstnøgler!C274</f>
        <v>Vedvarende energiforbrug</v>
      </c>
      <c r="D67" s="380" t="str">
        <f>Tekstnøgler!$C$289</f>
        <v>MWh</v>
      </c>
      <c r="E67" s="408">
        <v>479.31625376963831</v>
      </c>
      <c r="F67" s="6"/>
      <c r="G67" s="6"/>
    </row>
    <row r="68" spans="3:7" s="48" customFormat="1" ht="14.5" hidden="1" customHeight="1" thickBot="1" x14ac:dyDescent="0.2">
      <c r="C68" s="52" t="str">
        <f>Tekstnøgler!C275</f>
        <v>Total mængde af affald</v>
      </c>
      <c r="D68" s="79" t="str">
        <f>Tekstnøgler!C280</f>
        <v>Ton</v>
      </c>
      <c r="E68" s="408">
        <v>360</v>
      </c>
      <c r="F68" s="6"/>
      <c r="G68" s="6"/>
    </row>
    <row r="69" spans="3:7" s="48" customFormat="1" ht="14.5" hidden="1" customHeight="1" thickBot="1" x14ac:dyDescent="0.2">
      <c r="C69" s="52" t="str">
        <f>Tekstnøgler!C276</f>
        <v>Mængde af farligt affald</v>
      </c>
      <c r="D69" s="79" t="str">
        <f>Tekstnøgler!C280</f>
        <v>Ton</v>
      </c>
      <c r="E69" s="408" t="str">
        <f>Tekstnøgler!C269</f>
        <v>(ikke angivet)</v>
      </c>
      <c r="F69" s="6" t="str">
        <f>IF(E69&gt;E68,Tekstnøgler!C536,"")</f>
        <v>Mængde af farligt affald er større end den total mængde af affald</v>
      </c>
      <c r="G69" s="6"/>
    </row>
    <row r="70" spans="3:7" s="48" customFormat="1" ht="14.5" hidden="1" customHeight="1" thickBot="1" x14ac:dyDescent="0.2">
      <c r="C70" s="52" t="str">
        <f>Tekstnøgler!C277</f>
        <v>Mængde af genanvendt affald</v>
      </c>
      <c r="D70" s="79" t="str">
        <f>Tekstnøgler!C280</f>
        <v>Ton</v>
      </c>
      <c r="E70" s="408">
        <v>260</v>
      </c>
      <c r="F70" s="6" t="str">
        <f>IF(E70&gt;E68,Tekstnøgler!C537,"")</f>
        <v/>
      </c>
      <c r="G70" s="6"/>
    </row>
    <row r="71" spans="3:7" s="48" customFormat="1" ht="14.5" hidden="1" customHeight="1" x14ac:dyDescent="0.15">
      <c r="C71" s="6"/>
      <c r="D71" s="6"/>
      <c r="E71" s="6"/>
      <c r="F71" s="6"/>
      <c r="G71" s="6"/>
    </row>
    <row r="72" spans="3:7" s="48" customFormat="1" ht="14.5" hidden="1" customHeight="1" x14ac:dyDescent="0.15">
      <c r="C72" s="6"/>
      <c r="D72" s="6"/>
      <c r="E72" s="6"/>
      <c r="F72" s="6"/>
      <c r="G72" s="6"/>
    </row>
    <row r="73" spans="3:7" s="48" customFormat="1" ht="14.5" customHeight="1" x14ac:dyDescent="0.15">
      <c r="C73" s="6"/>
      <c r="D73" s="6"/>
      <c r="E73" s="6"/>
      <c r="F73" s="6"/>
      <c r="G73" s="6"/>
    </row>
    <row r="74" spans="3:7" s="48" customFormat="1" ht="14.5" customHeight="1" x14ac:dyDescent="0.15">
      <c r="C74" s="6"/>
      <c r="D74" s="6"/>
      <c r="E74" s="6"/>
      <c r="F74" s="6"/>
      <c r="G74" s="6"/>
    </row>
    <row r="75" spans="3:7" s="48" customFormat="1" ht="14.5" customHeight="1" x14ac:dyDescent="0.15">
      <c r="C75" s="6"/>
      <c r="D75" s="6"/>
      <c r="E75" s="6"/>
      <c r="F75" s="6"/>
      <c r="G75" s="6"/>
    </row>
    <row r="76" spans="3:7" s="48" customFormat="1" ht="14.5" customHeight="1" x14ac:dyDescent="0.15">
      <c r="C76" s="6"/>
      <c r="D76" s="6"/>
      <c r="E76" s="6"/>
      <c r="F76" s="6"/>
      <c r="G76" s="6"/>
    </row>
    <row r="77" spans="3:7" s="48" customFormat="1" ht="14.5" customHeight="1" x14ac:dyDescent="0.15">
      <c r="C77" s="6"/>
      <c r="D77" s="6"/>
      <c r="E77" s="6"/>
      <c r="F77" s="6"/>
      <c r="G77" s="6"/>
    </row>
    <row r="78" spans="3:7" s="48" customFormat="1" ht="14.5" customHeight="1" x14ac:dyDescent="0.15">
      <c r="C78" s="6"/>
      <c r="D78" s="6"/>
      <c r="E78" s="6"/>
      <c r="F78" s="6"/>
      <c r="G78" s="6"/>
    </row>
    <row r="79" spans="3:7" s="48" customFormat="1" ht="14.5" customHeight="1" x14ac:dyDescent="0.15">
      <c r="C79" s="6"/>
      <c r="D79" s="6"/>
      <c r="E79" s="6"/>
      <c r="F79" s="6"/>
      <c r="G79" s="6"/>
    </row>
    <row r="80" spans="3:7" s="48" customFormat="1" ht="14.5" customHeight="1" x14ac:dyDescent="0.15">
      <c r="C80" s="6"/>
      <c r="D80" s="6"/>
      <c r="E80" s="6"/>
      <c r="F80" s="6"/>
      <c r="G80" s="6"/>
    </row>
    <row r="81" spans="3:7" s="48" customFormat="1" ht="14.5" customHeight="1" x14ac:dyDescent="0.15">
      <c r="C81" s="6"/>
      <c r="D81" s="6"/>
      <c r="E81" s="6"/>
      <c r="F81" s="6"/>
      <c r="G81" s="6"/>
    </row>
    <row r="82" spans="3:7" s="48" customFormat="1" ht="14.5" customHeight="1" x14ac:dyDescent="0.15">
      <c r="C82" s="6"/>
      <c r="D82" s="6"/>
      <c r="E82" s="6"/>
      <c r="F82" s="6"/>
      <c r="G82" s="6"/>
    </row>
    <row r="83" spans="3:7" s="48" customFormat="1" ht="14.5" customHeight="1" x14ac:dyDescent="0.15">
      <c r="C83" s="6"/>
      <c r="D83" s="6"/>
      <c r="E83" s="6"/>
      <c r="F83" s="6"/>
      <c r="G83" s="6"/>
    </row>
    <row r="84" spans="3:7" s="48" customFormat="1" ht="14.5" customHeight="1" x14ac:dyDescent="0.15">
      <c r="C84" s="6"/>
      <c r="D84" s="6"/>
      <c r="E84" s="6"/>
      <c r="F84" s="6"/>
      <c r="G84" s="6"/>
    </row>
    <row r="85" spans="3:7" s="48" customFormat="1" ht="14.5" customHeight="1" x14ac:dyDescent="0.15">
      <c r="C85" s="6"/>
      <c r="D85" s="6"/>
      <c r="E85" s="6"/>
      <c r="F85" s="6"/>
      <c r="G85" s="6"/>
    </row>
    <row r="86" spans="3:7" s="48" customFormat="1" ht="14.5" customHeight="1" x14ac:dyDescent="0.15">
      <c r="C86" s="6"/>
      <c r="D86" s="6"/>
      <c r="E86" s="6"/>
      <c r="F86" s="6"/>
      <c r="G86" s="6"/>
    </row>
    <row r="87" spans="3:7" s="48" customFormat="1" ht="14.5" customHeight="1" x14ac:dyDescent="0.15">
      <c r="C87" s="6"/>
      <c r="D87" s="6"/>
      <c r="E87" s="6"/>
      <c r="F87" s="6"/>
      <c r="G87" s="6"/>
    </row>
    <row r="88" spans="3:7" s="48" customFormat="1" ht="14.5" customHeight="1" x14ac:dyDescent="0.15">
      <c r="C88" s="6"/>
      <c r="D88" s="6"/>
      <c r="E88" s="6"/>
      <c r="F88" s="6"/>
      <c r="G88" s="6"/>
    </row>
    <row r="89" spans="3:7" s="48" customFormat="1" ht="14.5" customHeight="1" x14ac:dyDescent="0.15">
      <c r="C89" s="6"/>
      <c r="D89" s="6"/>
      <c r="E89" s="6"/>
      <c r="F89" s="6"/>
      <c r="G89" s="6"/>
    </row>
    <row r="90" spans="3:7" s="48" customFormat="1" ht="14.5" customHeight="1" x14ac:dyDescent="0.15">
      <c r="C90" s="6"/>
      <c r="D90" s="6"/>
      <c r="E90" s="6"/>
      <c r="F90" s="6"/>
      <c r="G90" s="6"/>
    </row>
    <row r="91" spans="3:7" s="48" customFormat="1" ht="14.5" customHeight="1" x14ac:dyDescent="0.15">
      <c r="C91" s="6"/>
      <c r="D91" s="6"/>
      <c r="E91" s="6"/>
      <c r="F91" s="6"/>
      <c r="G91" s="6"/>
    </row>
    <row r="92" spans="3:7" s="48" customFormat="1" ht="14.5" customHeight="1" x14ac:dyDescent="0.15">
      <c r="C92" s="6"/>
      <c r="D92" s="6"/>
      <c r="E92" s="6"/>
      <c r="F92" s="6"/>
      <c r="G92" s="6"/>
    </row>
    <row r="93" spans="3:7" s="48" customFormat="1" ht="14.5" customHeight="1" x14ac:dyDescent="0.15">
      <c r="C93" s="6"/>
      <c r="D93" s="6"/>
      <c r="E93" s="6"/>
      <c r="F93" s="6"/>
      <c r="G93" s="6"/>
    </row>
    <row r="94" spans="3:7" s="48" customFormat="1" ht="14.5" customHeight="1" x14ac:dyDescent="0.15">
      <c r="C94" s="6"/>
      <c r="D94" s="6"/>
      <c r="E94" s="6"/>
      <c r="F94" s="6"/>
      <c r="G94" s="6"/>
    </row>
    <row r="95" spans="3:7" s="48" customFormat="1" ht="14.5" customHeight="1" x14ac:dyDescent="0.15">
      <c r="C95" s="6"/>
      <c r="D95" s="6"/>
      <c r="E95" s="6"/>
      <c r="F95" s="6"/>
      <c r="G95" s="6"/>
    </row>
    <row r="96" spans="3:7" s="48" customFormat="1" ht="14.5" customHeight="1" x14ac:dyDescent="0.15">
      <c r="C96" s="6"/>
      <c r="D96" s="6"/>
      <c r="E96" s="6"/>
      <c r="F96" s="6"/>
      <c r="G96" s="6"/>
    </row>
    <row r="97" spans="3:7" s="48" customFormat="1" ht="14.5" customHeight="1" x14ac:dyDescent="0.15">
      <c r="C97" s="6"/>
      <c r="D97" s="6"/>
      <c r="E97" s="6"/>
      <c r="F97" s="6"/>
      <c r="G97" s="6"/>
    </row>
    <row r="98" spans="3:7" s="48" customFormat="1" ht="14.5" customHeight="1" x14ac:dyDescent="0.15">
      <c r="C98" s="6"/>
      <c r="D98" s="6"/>
      <c r="E98" s="6"/>
      <c r="F98" s="6"/>
      <c r="G98" s="6"/>
    </row>
    <row r="99" spans="3:7" s="48" customFormat="1" ht="14.5" customHeight="1" x14ac:dyDescent="0.15">
      <c r="C99" s="6"/>
      <c r="D99" s="6"/>
      <c r="E99" s="6"/>
      <c r="F99" s="6"/>
      <c r="G99" s="6"/>
    </row>
    <row r="100" spans="3:7" s="48" customFormat="1" ht="14.5" customHeight="1" x14ac:dyDescent="0.15">
      <c r="C100" s="6"/>
      <c r="D100" s="6"/>
      <c r="E100" s="6"/>
      <c r="F100" s="6"/>
      <c r="G100" s="6"/>
    </row>
    <row r="101" spans="3:7" s="48" customFormat="1" ht="14.5" customHeight="1" x14ac:dyDescent="0.15">
      <c r="C101" s="6"/>
      <c r="D101" s="6"/>
      <c r="E101" s="6"/>
      <c r="F101" s="6"/>
      <c r="G101" s="6"/>
    </row>
    <row r="102" spans="3:7" s="48" customFormat="1" ht="14.5" customHeight="1" x14ac:dyDescent="0.15">
      <c r="C102" s="6"/>
      <c r="D102" s="6"/>
      <c r="E102" s="6"/>
      <c r="F102" s="6"/>
      <c r="G102" s="6"/>
    </row>
    <row r="103" spans="3:7" s="48" customFormat="1" ht="14.5" customHeight="1" x14ac:dyDescent="0.15">
      <c r="C103" s="6"/>
      <c r="D103" s="6"/>
      <c r="E103" s="6"/>
      <c r="F103" s="6"/>
      <c r="G103" s="6"/>
    </row>
    <row r="104" spans="3:7" s="48" customFormat="1" ht="14.5" customHeight="1" x14ac:dyDescent="0.15">
      <c r="C104" s="6"/>
      <c r="D104" s="6"/>
      <c r="E104" s="6"/>
      <c r="F104" s="6"/>
      <c r="G104" s="6"/>
    </row>
    <row r="105" spans="3:7" s="48" customFormat="1" ht="14.5" customHeight="1" x14ac:dyDescent="0.15">
      <c r="C105" s="6"/>
      <c r="D105" s="6"/>
      <c r="E105" s="6"/>
      <c r="F105" s="6"/>
      <c r="G105" s="6"/>
    </row>
    <row r="106" spans="3:7" s="48" customFormat="1" ht="14.5" customHeight="1" x14ac:dyDescent="0.15">
      <c r="C106" s="6"/>
      <c r="D106" s="6"/>
      <c r="E106" s="6"/>
      <c r="F106" s="6"/>
      <c r="G106" s="6"/>
    </row>
    <row r="107" spans="3:7" s="48" customFormat="1" ht="14.5" customHeight="1" x14ac:dyDescent="0.15">
      <c r="C107" s="6"/>
      <c r="D107" s="6"/>
      <c r="E107" s="6"/>
      <c r="F107" s="6"/>
      <c r="G107" s="6"/>
    </row>
    <row r="108" spans="3:7" s="48" customFormat="1" ht="14.5" customHeight="1" x14ac:dyDescent="0.15">
      <c r="C108" s="6"/>
      <c r="D108" s="6"/>
      <c r="E108" s="6"/>
      <c r="F108" s="6"/>
      <c r="G108" s="6"/>
    </row>
    <row r="109" spans="3:7" s="48" customFormat="1" ht="14.5" customHeight="1" x14ac:dyDescent="0.15">
      <c r="C109" s="6"/>
      <c r="D109" s="6"/>
      <c r="E109" s="6"/>
      <c r="F109" s="6"/>
      <c r="G109" s="6"/>
    </row>
    <row r="110" spans="3:7" s="48" customFormat="1" ht="14.5" customHeight="1" x14ac:dyDescent="0.15">
      <c r="C110" s="6"/>
      <c r="D110" s="6"/>
      <c r="E110" s="6"/>
      <c r="F110" s="6"/>
      <c r="G110" s="6"/>
    </row>
    <row r="111" spans="3:7" s="48" customFormat="1" ht="14.5" customHeight="1" x14ac:dyDescent="0.15">
      <c r="C111" s="6"/>
      <c r="D111" s="6"/>
      <c r="E111" s="6"/>
      <c r="F111" s="6"/>
      <c r="G111" s="6"/>
    </row>
    <row r="112" spans="3:7" s="48" customFormat="1" ht="14.5" customHeight="1" x14ac:dyDescent="0.15">
      <c r="C112" s="6"/>
      <c r="D112" s="6"/>
      <c r="E112" s="6"/>
      <c r="F112" s="6"/>
      <c r="G112" s="6"/>
    </row>
    <row r="113" spans="3:7" s="48" customFormat="1" ht="14.5" customHeight="1" x14ac:dyDescent="0.15">
      <c r="C113" s="6"/>
      <c r="D113" s="6"/>
      <c r="E113" s="6"/>
      <c r="F113" s="6"/>
      <c r="G113" s="6"/>
    </row>
    <row r="114" spans="3:7" s="48" customFormat="1" ht="14.5" customHeight="1" x14ac:dyDescent="0.15">
      <c r="C114" s="6"/>
      <c r="D114" s="6"/>
      <c r="E114" s="6"/>
      <c r="F114" s="6"/>
      <c r="G114" s="6"/>
    </row>
    <row r="115" spans="3:7" x14ac:dyDescent="0.15">
      <c r="C115" s="6"/>
      <c r="D115" s="6"/>
      <c r="E115" s="6"/>
    </row>
    <row r="116" spans="3:7" x14ac:dyDescent="0.15">
      <c r="C116" s="6"/>
      <c r="D116" s="6"/>
      <c r="E116" s="6"/>
    </row>
    <row r="117" spans="3:7" x14ac:dyDescent="0.15">
      <c r="C117" s="6"/>
      <c r="D117" s="6"/>
      <c r="E117" s="6"/>
    </row>
  </sheetData>
  <mergeCells count="41">
    <mergeCell ref="C6:D6"/>
    <mergeCell ref="C19:H19"/>
    <mergeCell ref="C10:H10"/>
    <mergeCell ref="C43:H43"/>
    <mergeCell ref="C51:H51"/>
    <mergeCell ref="E23:F23"/>
    <mergeCell ref="E24:F24"/>
    <mergeCell ref="E25:F25"/>
    <mergeCell ref="E26:F26"/>
    <mergeCell ref="E27:F27"/>
    <mergeCell ref="E28:F28"/>
    <mergeCell ref="E29:F29"/>
    <mergeCell ref="E30:F30"/>
    <mergeCell ref="C23:D23"/>
    <mergeCell ref="C24:D24"/>
    <mergeCell ref="C25:D25"/>
    <mergeCell ref="C26:D26"/>
    <mergeCell ref="C27:D27"/>
    <mergeCell ref="C28:D28"/>
    <mergeCell ref="C29:D29"/>
    <mergeCell ref="C30:D30"/>
    <mergeCell ref="C32:H32"/>
    <mergeCell ref="C49:D49"/>
    <mergeCell ref="E53:F53"/>
    <mergeCell ref="E54:F54"/>
    <mergeCell ref="E55:F55"/>
    <mergeCell ref="C45:D45"/>
    <mergeCell ref="C46:D46"/>
    <mergeCell ref="C47:D47"/>
    <mergeCell ref="C48:D48"/>
    <mergeCell ref="C39:D39"/>
    <mergeCell ref="C41:D41"/>
    <mergeCell ref="C42:D42"/>
    <mergeCell ref="C40:D40"/>
    <mergeCell ref="E56:F56"/>
    <mergeCell ref="E57:F57"/>
    <mergeCell ref="C53:D53"/>
    <mergeCell ref="C54:D54"/>
    <mergeCell ref="C55:D55"/>
    <mergeCell ref="C56:D56"/>
    <mergeCell ref="C57:D57"/>
  </mergeCells>
  <conditionalFormatting sqref="F69">
    <cfRule type="expression" dxfId="57" priority="2">
      <formula>IF(E69&gt;E68,TRUE())</formula>
    </cfRule>
  </conditionalFormatting>
  <conditionalFormatting sqref="F70">
    <cfRule type="expression" dxfId="56" priority="1">
      <formula>IF(E70&gt;E68,TRUE())</formula>
    </cfRule>
  </conditionalFormatting>
  <hyperlinks>
    <hyperlink ref="E2" location="Forside!A1" display="Gå til forside" xr:uid="{42E7FA1D-80E9-46CD-9D85-213681FB0DE3}"/>
  </hyperlinks>
  <pageMargins left="0.7" right="0.7" top="0.75" bottom="0.75" header="0.3" footer="0.3"/>
  <pageSetup paperSize="9" orientation="portrait" r:id="rId1"/>
  <headerFooter>
    <oddHeader>&amp;R&amp;"Calibri"&amp;10&amp;K000000 INTERNAL&amp;1#_x000D_</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9051A-E1A5-4B4B-88DE-253A7F8EB4BB}">
  <dimension ref="C1:F97"/>
  <sheetViews>
    <sheetView zoomScaleNormal="100" workbookViewId="0"/>
  </sheetViews>
  <sheetFormatPr baseColWidth="10" defaultColWidth="9.5" defaultRowHeight="13" x14ac:dyDescent="0.15"/>
  <cols>
    <col min="1" max="2" width="2.83203125" style="3" customWidth="1"/>
    <col min="3" max="3" width="70" style="3" customWidth="1"/>
    <col min="4" max="5" width="21.5" style="3" customWidth="1"/>
    <col min="6" max="6" width="77.83203125" style="3" customWidth="1"/>
    <col min="7" max="16384" width="9.5" style="3"/>
  </cols>
  <sheetData>
    <row r="1" spans="3:5" ht="15" customHeight="1" x14ac:dyDescent="0.15"/>
    <row r="2" spans="3:5" ht="21" customHeight="1" x14ac:dyDescent="0.2">
      <c r="C2" s="26" t="str">
        <f>Tekstnøgler!C33</f>
        <v>Resultat</v>
      </c>
      <c r="D2" s="27"/>
      <c r="E2" s="290" t="str">
        <f>Tekstnøgler!C2</f>
        <v>&lt;-- Gå til forsiden</v>
      </c>
    </row>
    <row r="3" spans="3:5" ht="15" customHeight="1" x14ac:dyDescent="0.2">
      <c r="C3" s="2"/>
    </row>
    <row r="4" spans="3:5" ht="15" customHeight="1" x14ac:dyDescent="0.2">
      <c r="C4" s="2"/>
    </row>
    <row r="5" spans="3:5" ht="21" customHeight="1" x14ac:dyDescent="0.2">
      <c r="C5" s="29" t="str">
        <f>Hovedresultater!C5</f>
        <v>Resultat for 0 (År) - Tiltagscase</v>
      </c>
      <c r="D5" s="2"/>
    </row>
    <row r="6" spans="3:5" ht="21" customHeight="1" x14ac:dyDescent="0.2">
      <c r="C6" s="424" t="str">
        <f>Hovedresultater!C6</f>
        <v>10.230,61 ton CO₂e</v>
      </c>
      <c r="D6" s="424"/>
      <c r="E6" s="2"/>
    </row>
    <row r="7" spans="3:5" ht="16.5" customHeight="1" x14ac:dyDescent="0.2">
      <c r="C7" s="30"/>
      <c r="D7" s="30"/>
      <c r="E7" s="2"/>
    </row>
    <row r="8" spans="3:5" ht="16.5" customHeight="1" x14ac:dyDescent="0.2">
      <c r="C8" s="2" t="str">
        <f>Tekstnøgler!C71</f>
        <v>Metodevalg</v>
      </c>
    </row>
    <row r="10" spans="3:5" ht="102" customHeight="1" x14ac:dyDescent="0.15">
      <c r="C10" s="470" t="str">
        <f>Tekstnøgler!C72</f>
        <v>Resultaterne baserer sig på en række metodiske valg, der er foretaget i forbindelse med beregningerne. I nedenstående tabel kan du se, hvorvidt Radiative Forcing Index (RFI) er medregnet i forbindelse med udledninger fra flytransport. At medregne (eller korrigere for) RFI betyder, at der er taget højde for, at CO₂e udledt højere oppe i atmosfæren har en større drivhuseffekt end CO₂e udledt ved landjorden. Tabellen viser også, om emissionsfaktoren for el baserer sig på det årlige gennemsnit for sammensætningen af produktionen af el (miljødeklaration), eller om der i emissionsfaktoren korrigeres for virksomheders køb af grønne certifikater, såkaldte oprindelsesgarantier (eldeklaration).</v>
      </c>
      <c r="D10" s="471"/>
      <c r="E10" s="471"/>
    </row>
    <row r="11" spans="3:5" ht="15" customHeight="1" thickBot="1" x14ac:dyDescent="0.2">
      <c r="C11" s="49"/>
      <c r="D11" s="49"/>
      <c r="E11" s="49"/>
    </row>
    <row r="12" spans="3:5" ht="15" customHeight="1" x14ac:dyDescent="0.15">
      <c r="C12" s="50" t="str">
        <f>Tekstnøgler!C73</f>
        <v>Emissionsfaktor</v>
      </c>
      <c r="D12" s="51" t="str">
        <f>Tekstnøgler!C74</f>
        <v>Metodevalg</v>
      </c>
      <c r="E12" s="49"/>
    </row>
    <row r="13" spans="3:5" ht="15" thickBot="1" x14ac:dyDescent="0.2">
      <c r="C13" s="52" t="str">
        <f>Tekstnøgler!C75</f>
        <v>Valg af emissionsfaktor for elektricitet</v>
      </c>
      <c r="D13" s="230" t="str">
        <f>IF(ISBLANK(Hovedresultater!$E13),"",Hovedresultater!$E13)</f>
        <v>Eldeklaration</v>
      </c>
      <c r="E13" s="49"/>
    </row>
    <row r="14" spans="3:5" ht="15" thickBot="1" x14ac:dyDescent="0.2">
      <c r="C14" s="52" t="str">
        <f>Tekstnøgler!C76</f>
        <v>Emissionsfaktor for flytransport</v>
      </c>
      <c r="D14" s="230" t="str">
        <f>IF(ISBLANK(Hovedresultater!$E14),"",Hovedresultater!$E14)</f>
        <v>Inkluder RFI</v>
      </c>
    </row>
    <row r="15" spans="3:5" x14ac:dyDescent="0.15">
      <c r="C15" s="54"/>
      <c r="D15" s="54"/>
    </row>
    <row r="17" spans="3:5" ht="20" x14ac:dyDescent="0.2">
      <c r="C17" s="26" t="str">
        <f>Tekstnøgler!C299</f>
        <v>Scope 3 kategorier</v>
      </c>
      <c r="E17" s="27"/>
    </row>
    <row r="18" spans="3:5" x14ac:dyDescent="0.15">
      <c r="D18" s="31"/>
    </row>
    <row r="19" spans="3:5" ht="117" customHeight="1" x14ac:dyDescent="0.15">
      <c r="C19" s="470" t="str">
        <f>Tekstnøgler!C300</f>
        <v xml:space="preserve">GHG protokollen opdeler scope 3 udledning i 15 kategorier for hhv. opstrømsudledninger, der opstår tidligere i virksomhedens værdikæde (fx indkøb af varer og services eller fragt til virksomheden) og for nedstrømsudledninger, der opstår senere i virksomhedens værdikæde (fx brug og bortskaffelse af virksomhedens produkter). Bemærk, at kategori 14 (franchises) og kategori 15 (investeringer) ikke er medtaget her, da de ligger udover Klimakompassets anvendelse. 
Vær opmærksom på, at der i visningen af dine scope 3 udledninger er mulighed for at vise dit forbrug af elektricitet opgjort enten ved brug af metoderne ”eldeklaration” eller ”miljødeklaration”. GHG-protokollen anbefaler, at du laver to ens opgørelser, hvor den eneste forskel er, hvilken deklaration der klikkes af i Klimakompasset.
Virksomhedens CO₂e-udledninger inden for de forskellige scope 3 kategorier er vist i diagrammet samt i tabellen nedenfor.
</v>
      </c>
      <c r="D19" s="471"/>
      <c r="E19" s="471"/>
    </row>
    <row r="20" spans="3:5" ht="14" customHeight="1" thickBot="1" x14ac:dyDescent="0.2">
      <c r="C20" s="6"/>
      <c r="D20" s="6"/>
      <c r="E20" s="6"/>
    </row>
    <row r="21" spans="3:5" s="48" customFormat="1" ht="21" customHeight="1" thickBot="1" x14ac:dyDescent="0.2">
      <c r="C21" s="78" t="str">
        <f>Tekstnøgler!C301</f>
        <v>SCOPE 3 KATEGORIER I TON CO₂e</v>
      </c>
      <c r="D21" s="78"/>
      <c r="E21" s="78"/>
    </row>
    <row r="22" spans="3:5" s="48" customFormat="1" ht="19.5" customHeight="1" thickBot="1" x14ac:dyDescent="0.2">
      <c r="C22" s="194" t="str">
        <f>Tekstnøgler!C302</f>
        <v>Kategori</v>
      </c>
      <c r="D22" s="195" t="str">
        <f>Tekstnøgler!C303</f>
        <v>Opstrøms</v>
      </c>
      <c r="E22" s="196" t="str">
        <f>Tekstnøgler!C304</f>
        <v>Nedstrøms</v>
      </c>
    </row>
    <row r="23" spans="3:5" s="48" customFormat="1" ht="14.5" customHeight="1" thickBot="1" x14ac:dyDescent="0.2">
      <c r="C23" s="52" t="str">
        <f>Tekstnøgler!C305</f>
        <v>1. Indkøb af varer og tjenesteydelser</v>
      </c>
      <c r="D23" s="404">
        <v>6765.5856396935997</v>
      </c>
      <c r="E23" s="404"/>
    </row>
    <row r="24" spans="3:5" s="48" customFormat="1" ht="14.5" customHeight="1" thickBot="1" x14ac:dyDescent="0.2">
      <c r="C24" s="52" t="str">
        <f>Tekstnøgler!C306</f>
        <v>2. Anlægsaktiver</v>
      </c>
      <c r="D24" s="404"/>
      <c r="E24" s="404"/>
    </row>
    <row r="25" spans="3:5" s="48" customFormat="1" ht="14.5" customHeight="1" thickBot="1" x14ac:dyDescent="0.2">
      <c r="C25" s="52" t="str">
        <f>Tekstnøgler!C307</f>
        <v>3. Brændsels- og energirelaterede aktiviteter</v>
      </c>
      <c r="D25" s="404">
        <v>414.72539394220001</v>
      </c>
      <c r="E25" s="404"/>
    </row>
    <row r="26" spans="3:5" s="48" customFormat="1" ht="15" thickBot="1" x14ac:dyDescent="0.2">
      <c r="C26" s="52" t="str">
        <f>Tekstnøgler!C308</f>
        <v>4. Opstrømstransport og distribution</v>
      </c>
      <c r="D26" s="404">
        <v>204.96</v>
      </c>
      <c r="E26" s="404"/>
    </row>
    <row r="27" spans="3:5" s="48" customFormat="1" ht="14.5" customHeight="1" thickBot="1" x14ac:dyDescent="0.2">
      <c r="C27" s="52" t="str">
        <f>Tekstnøgler!C309</f>
        <v>5. Affald fra drift</v>
      </c>
      <c r="D27" s="404">
        <v>0</v>
      </c>
      <c r="E27" s="404"/>
    </row>
    <row r="28" spans="3:5" s="48" customFormat="1" ht="14.5" customHeight="1" thickBot="1" x14ac:dyDescent="0.2">
      <c r="C28" s="52" t="str">
        <f>Tekstnøgler!C310</f>
        <v>6. Forretningsrejser</v>
      </c>
      <c r="D28" s="404"/>
      <c r="E28" s="404"/>
    </row>
    <row r="29" spans="3:5" s="48" customFormat="1" ht="14.5" customHeight="1" thickBot="1" x14ac:dyDescent="0.2">
      <c r="C29" s="52" t="str">
        <f>Tekstnøgler!C311</f>
        <v>7. Medarbejderpendling</v>
      </c>
      <c r="D29" s="404">
        <v>3.6176838735999999</v>
      </c>
      <c r="E29" s="404"/>
    </row>
    <row r="30" spans="3:5" s="48" customFormat="1" ht="14.5" customHeight="1" thickBot="1" x14ac:dyDescent="0.2">
      <c r="C30" s="52" t="str">
        <f>Tekstnøgler!C312</f>
        <v>8. Opstrøms leasede aktiver</v>
      </c>
      <c r="D30" s="404"/>
      <c r="E30" s="404"/>
    </row>
    <row r="31" spans="3:5" s="48" customFormat="1" ht="14.5" customHeight="1" thickBot="1" x14ac:dyDescent="0.2">
      <c r="C31" s="52" t="str">
        <f>Tekstnøgler!C313</f>
        <v>9. Nedstrømstransport og distribution</v>
      </c>
      <c r="D31" s="404"/>
      <c r="E31" s="404">
        <v>546.55999999999995</v>
      </c>
    </row>
    <row r="32" spans="3:5" s="48" customFormat="1" ht="15" thickBot="1" x14ac:dyDescent="0.2">
      <c r="C32" s="52" t="str">
        <f>Tekstnøgler!C314</f>
        <v>10. Forarbejdning af solgte produkter</v>
      </c>
      <c r="D32" s="404"/>
      <c r="E32" s="404"/>
    </row>
    <row r="33" spans="3:6" s="48" customFormat="1" ht="14.5" customHeight="1" thickBot="1" x14ac:dyDescent="0.2">
      <c r="C33" s="52" t="str">
        <f>Tekstnøgler!C315</f>
        <v>11. Brug af solgte produkter</v>
      </c>
      <c r="D33" s="404"/>
      <c r="E33" s="404"/>
    </row>
    <row r="34" spans="3:6" s="48" customFormat="1" ht="14.5" customHeight="1" thickBot="1" x14ac:dyDescent="0.2">
      <c r="C34" s="52" t="str">
        <f>Tekstnøgler!C316</f>
        <v>12. Behandling af solgte produkter efter endt levetid</v>
      </c>
      <c r="D34" s="404"/>
      <c r="E34" s="404">
        <v>0</v>
      </c>
    </row>
    <row r="35" spans="3:6" s="48" customFormat="1" ht="14.5" customHeight="1" thickBot="1" x14ac:dyDescent="0.2">
      <c r="C35" s="52" t="str">
        <f>Tekstnøgler!C317</f>
        <v>13. Nedstrøms leasede aktiver</v>
      </c>
      <c r="D35" s="404"/>
      <c r="E35" s="404"/>
    </row>
    <row r="36" spans="3:6" s="48" customFormat="1" ht="16.5" customHeight="1" thickBot="1" x14ac:dyDescent="0.2">
      <c r="C36" s="45" t="str">
        <f>Tekstnøgler!C318</f>
        <v>Samlede CO₂e udledninger fordelt på opstrøm og nedstrøm (ton)</v>
      </c>
      <c r="D36" s="46">
        <f>SUM(D23:D30)</f>
        <v>7388.8887175093996</v>
      </c>
      <c r="E36" s="114">
        <f>SUM(E31:E35)</f>
        <v>546.55999999999995</v>
      </c>
    </row>
    <row r="37" spans="3:6" s="48" customFormat="1" ht="15" customHeight="1" thickBot="1" x14ac:dyDescent="0.2">
      <c r="C37" s="77" t="str">
        <f>Tekstnøgler!C319</f>
        <v>Samlet CO₂e udledning i alt (ton)</v>
      </c>
      <c r="D37" s="76"/>
      <c r="E37" s="115">
        <f>D36+E36</f>
        <v>7935.4487175094</v>
      </c>
      <c r="F37" s="6" t="str">
        <f>IF(E37&gt;'Delresultater (GHG)'!F98,Tekstnøgler!C538,"")</f>
        <v/>
      </c>
    </row>
    <row r="38" spans="3:6" s="48" customFormat="1" ht="14.5" customHeight="1" x14ac:dyDescent="0.15">
      <c r="C38" s="6"/>
      <c r="D38" s="6"/>
      <c r="E38" s="6"/>
    </row>
    <row r="39" spans="3:6" s="48" customFormat="1" ht="48" customHeight="1" x14ac:dyDescent="0.2">
      <c r="C39" s="2" t="str">
        <f>Tekstnøgler!C320</f>
        <v xml:space="preserve">Opsummering af virksomhedens beregnede CO₂e-udledning </v>
      </c>
      <c r="D39" s="2"/>
      <c r="E39" s="6"/>
    </row>
    <row r="40" spans="3:6" s="48" customFormat="1" ht="14.5" customHeight="1" x14ac:dyDescent="0.15">
      <c r="C40" s="3"/>
      <c r="D40" s="3"/>
      <c r="E40" s="9"/>
    </row>
    <row r="41" spans="3:6" s="48" customFormat="1" ht="14.5" customHeight="1" x14ac:dyDescent="0.15">
      <c r="C41" s="3" t="str">
        <f>Tekstnøgler!C321</f>
        <v>Nedenstående figur angiver virksomhedens opgjorte udledning i ton CO₂-ækvivalenter fordelt på scope 3 kategorier.</v>
      </c>
      <c r="D41" s="6"/>
      <c r="E41" s="6"/>
    </row>
    <row r="42" spans="3:6" s="48" customFormat="1" ht="14.5" customHeight="1" x14ac:dyDescent="0.15">
      <c r="C42" s="439" t="str">
        <f>Tekstnøgler!C322</f>
        <v>Figur 1: CO₂e udledning fordelt på scope 3 kategorier (ton)</v>
      </c>
      <c r="D42" s="439"/>
      <c r="E42" s="439"/>
    </row>
    <row r="43" spans="3:6" s="48" customFormat="1" ht="14.5" customHeight="1" x14ac:dyDescent="0.15">
      <c r="C43" s="6"/>
      <c r="D43" s="6"/>
      <c r="E43" s="6"/>
    </row>
    <row r="44" spans="3:6" s="48" customFormat="1" ht="14.5" customHeight="1" x14ac:dyDescent="0.15">
      <c r="C44" s="6"/>
      <c r="D44" s="6"/>
      <c r="E44" s="6"/>
    </row>
    <row r="45" spans="3:6" s="48" customFormat="1" ht="14.5" customHeight="1" x14ac:dyDescent="0.15">
      <c r="C45" s="6"/>
      <c r="D45" s="6"/>
      <c r="E45" s="6"/>
    </row>
    <row r="46" spans="3:6" s="48" customFormat="1" ht="14.5" customHeight="1" x14ac:dyDescent="0.15">
      <c r="C46" s="6"/>
      <c r="D46" s="6"/>
      <c r="E46" s="6"/>
    </row>
    <row r="47" spans="3:6" s="48" customFormat="1" ht="14.5" customHeight="1" x14ac:dyDescent="0.15">
      <c r="C47" s="6"/>
      <c r="D47" s="6"/>
      <c r="E47" s="6"/>
    </row>
    <row r="48" spans="3:6" s="48" customFormat="1" ht="14.5" customHeight="1" x14ac:dyDescent="0.15">
      <c r="C48" s="6"/>
      <c r="D48" s="6"/>
      <c r="E48" s="6"/>
    </row>
    <row r="49" spans="3:5" s="48" customFormat="1" ht="14.5" customHeight="1" x14ac:dyDescent="0.15">
      <c r="C49" s="6"/>
      <c r="D49" s="6"/>
      <c r="E49" s="6"/>
    </row>
    <row r="50" spans="3:5" s="48" customFormat="1" ht="14.5" customHeight="1" x14ac:dyDescent="0.15">
      <c r="C50" s="6"/>
      <c r="D50" s="6"/>
      <c r="E50" s="6"/>
    </row>
    <row r="51" spans="3:5" s="48" customFormat="1" ht="14.5" customHeight="1" x14ac:dyDescent="0.15">
      <c r="C51" s="6"/>
      <c r="D51" s="6"/>
      <c r="E51" s="6"/>
    </row>
    <row r="52" spans="3:5" s="48" customFormat="1" ht="14.5" customHeight="1" x14ac:dyDescent="0.15">
      <c r="C52" s="6"/>
      <c r="D52" s="6"/>
      <c r="E52" s="6"/>
    </row>
    <row r="53" spans="3:5" s="48" customFormat="1" ht="14.5" customHeight="1" x14ac:dyDescent="0.15">
      <c r="C53" s="6"/>
      <c r="D53" s="6"/>
      <c r="E53" s="6"/>
    </row>
    <row r="54" spans="3:5" s="48" customFormat="1" ht="14.5" customHeight="1" x14ac:dyDescent="0.15">
      <c r="C54" s="6"/>
      <c r="D54" s="6"/>
      <c r="E54" s="6"/>
    </row>
    <row r="55" spans="3:5" s="48" customFormat="1" ht="14.5" customHeight="1" x14ac:dyDescent="0.15">
      <c r="C55" s="6"/>
      <c r="D55" s="6"/>
      <c r="E55" s="6"/>
    </row>
    <row r="56" spans="3:5" s="48" customFormat="1" ht="14.5" customHeight="1" x14ac:dyDescent="0.15">
      <c r="C56" s="6"/>
      <c r="D56" s="6"/>
      <c r="E56" s="6"/>
    </row>
    <row r="57" spans="3:5" s="48" customFormat="1" ht="14.5" customHeight="1" x14ac:dyDescent="0.15">
      <c r="C57" s="6"/>
      <c r="D57" s="6"/>
      <c r="E57" s="6"/>
    </row>
    <row r="58" spans="3:5" s="48" customFormat="1" ht="14.5" customHeight="1" x14ac:dyDescent="0.15">
      <c r="C58" s="6"/>
      <c r="D58" s="6"/>
      <c r="E58" s="6"/>
    </row>
    <row r="59" spans="3:5" s="48" customFormat="1" ht="14.5" customHeight="1" x14ac:dyDescent="0.15">
      <c r="C59" s="6"/>
      <c r="D59" s="6"/>
      <c r="E59" s="6"/>
    </row>
    <row r="60" spans="3:5" s="48" customFormat="1" ht="14.5" customHeight="1" x14ac:dyDescent="0.15">
      <c r="C60" s="6"/>
      <c r="D60" s="6"/>
      <c r="E60" s="6"/>
    </row>
    <row r="61" spans="3:5" s="48" customFormat="1" ht="14.5" customHeight="1" x14ac:dyDescent="0.15">
      <c r="C61" s="6"/>
      <c r="D61" s="6"/>
      <c r="E61" s="6"/>
    </row>
    <row r="62" spans="3:5" s="48" customFormat="1" ht="14.5" customHeight="1" x14ac:dyDescent="0.15">
      <c r="C62" s="6"/>
      <c r="D62" s="6"/>
      <c r="E62" s="6"/>
    </row>
    <row r="63" spans="3:5" s="48" customFormat="1" ht="14.5" customHeight="1" x14ac:dyDescent="0.15">
      <c r="C63" s="6"/>
      <c r="D63" s="6"/>
      <c r="E63" s="6"/>
    </row>
    <row r="64" spans="3:5" s="48" customFormat="1" ht="14.5" customHeight="1" x14ac:dyDescent="0.15">
      <c r="C64" s="6"/>
      <c r="D64" s="6"/>
      <c r="E64" s="6"/>
    </row>
    <row r="65" spans="3:5" s="48" customFormat="1" ht="14.5" customHeight="1" x14ac:dyDescent="0.15">
      <c r="C65" s="6"/>
      <c r="D65" s="6"/>
      <c r="E65" s="6"/>
    </row>
    <row r="66" spans="3:5" s="48" customFormat="1" ht="14.5" customHeight="1" x14ac:dyDescent="0.15">
      <c r="C66" s="6"/>
      <c r="D66" s="6"/>
      <c r="E66" s="6"/>
    </row>
    <row r="67" spans="3:5" s="48" customFormat="1" ht="14.5" customHeight="1" x14ac:dyDescent="0.15">
      <c r="C67" s="6"/>
      <c r="D67" s="6"/>
      <c r="E67" s="6"/>
    </row>
    <row r="68" spans="3:5" s="48" customFormat="1" ht="14.5" customHeight="1" x14ac:dyDescent="0.15">
      <c r="C68" s="6"/>
      <c r="D68" s="6"/>
      <c r="E68" s="6"/>
    </row>
    <row r="69" spans="3:5" s="48" customFormat="1" ht="14.5" customHeight="1" x14ac:dyDescent="0.15">
      <c r="C69" s="6"/>
      <c r="D69" s="6"/>
      <c r="E69" s="6"/>
    </row>
    <row r="70" spans="3:5" s="48" customFormat="1" ht="14.5" customHeight="1" x14ac:dyDescent="0.15">
      <c r="C70" s="6"/>
      <c r="D70" s="6"/>
      <c r="E70" s="6"/>
    </row>
    <row r="71" spans="3:5" s="48" customFormat="1" ht="14.5" customHeight="1" x14ac:dyDescent="0.15">
      <c r="C71" s="6"/>
      <c r="D71" s="6"/>
      <c r="E71" s="6"/>
    </row>
    <row r="72" spans="3:5" s="48" customFormat="1" ht="14.5" customHeight="1" x14ac:dyDescent="0.15">
      <c r="C72" s="6"/>
      <c r="D72" s="6"/>
      <c r="E72" s="6"/>
    </row>
    <row r="73" spans="3:5" s="48" customFormat="1" ht="14.5" customHeight="1" x14ac:dyDescent="0.15">
      <c r="C73" s="6"/>
      <c r="D73" s="6"/>
      <c r="E73" s="6"/>
    </row>
    <row r="74" spans="3:5" s="48" customFormat="1" ht="14.5" customHeight="1" x14ac:dyDescent="0.15">
      <c r="C74" s="6"/>
      <c r="D74" s="6"/>
      <c r="E74" s="6"/>
    </row>
    <row r="75" spans="3:5" s="48" customFormat="1" ht="14.5" customHeight="1" x14ac:dyDescent="0.15">
      <c r="C75" s="6"/>
      <c r="D75" s="6"/>
      <c r="E75" s="6"/>
    </row>
    <row r="76" spans="3:5" s="48" customFormat="1" ht="14.5" customHeight="1" x14ac:dyDescent="0.15">
      <c r="C76" s="6"/>
      <c r="D76" s="6"/>
      <c r="E76" s="6"/>
    </row>
    <row r="77" spans="3:5" s="48" customFormat="1" ht="14.5" customHeight="1" x14ac:dyDescent="0.15">
      <c r="C77" s="6"/>
      <c r="D77" s="6"/>
      <c r="E77" s="6"/>
    </row>
    <row r="78" spans="3:5" s="48" customFormat="1" ht="14.5" customHeight="1" x14ac:dyDescent="0.15">
      <c r="C78" s="6"/>
      <c r="D78" s="6"/>
      <c r="E78" s="6"/>
    </row>
    <row r="79" spans="3:5" s="48" customFormat="1" ht="14.5" customHeight="1" x14ac:dyDescent="0.15">
      <c r="C79" s="6"/>
      <c r="D79" s="6"/>
      <c r="E79" s="6"/>
    </row>
    <row r="80" spans="3:5" s="48" customFormat="1" ht="14.5" customHeight="1" x14ac:dyDescent="0.15">
      <c r="C80" s="6"/>
      <c r="D80" s="6"/>
      <c r="E80" s="6"/>
    </row>
    <row r="81" spans="3:5" s="48" customFormat="1" ht="14.5" customHeight="1" x14ac:dyDescent="0.15">
      <c r="C81" s="6"/>
      <c r="D81" s="6"/>
      <c r="E81" s="6"/>
    </row>
    <row r="82" spans="3:5" s="48" customFormat="1" ht="14.5" customHeight="1" x14ac:dyDescent="0.15">
      <c r="C82" s="6"/>
      <c r="D82" s="6"/>
      <c r="E82" s="6"/>
    </row>
    <row r="83" spans="3:5" s="48" customFormat="1" ht="14.5" customHeight="1" x14ac:dyDescent="0.15">
      <c r="C83" s="6"/>
      <c r="D83" s="6"/>
      <c r="E83" s="6"/>
    </row>
    <row r="84" spans="3:5" s="48" customFormat="1" ht="14.5" customHeight="1" x14ac:dyDescent="0.15">
      <c r="C84" s="6"/>
      <c r="D84" s="6"/>
      <c r="E84" s="6"/>
    </row>
    <row r="85" spans="3:5" s="48" customFormat="1" ht="14.5" customHeight="1" x14ac:dyDescent="0.15">
      <c r="C85" s="6"/>
      <c r="D85" s="6"/>
      <c r="E85" s="6"/>
    </row>
    <row r="86" spans="3:5" s="48" customFormat="1" ht="14.5" customHeight="1" x14ac:dyDescent="0.15">
      <c r="C86" s="6"/>
      <c r="D86" s="6"/>
      <c r="E86" s="6"/>
    </row>
    <row r="87" spans="3:5" s="48" customFormat="1" ht="14.5" customHeight="1" x14ac:dyDescent="0.15">
      <c r="C87" s="6"/>
      <c r="D87" s="6"/>
      <c r="E87" s="6"/>
    </row>
    <row r="88" spans="3:5" s="48" customFormat="1" ht="14.5" customHeight="1" x14ac:dyDescent="0.15">
      <c r="C88" s="6"/>
      <c r="D88" s="6"/>
      <c r="E88" s="6"/>
    </row>
    <row r="89" spans="3:5" s="48" customFormat="1" ht="14.5" customHeight="1" x14ac:dyDescent="0.15">
      <c r="C89" s="6"/>
      <c r="D89" s="6"/>
      <c r="E89" s="6"/>
    </row>
    <row r="90" spans="3:5" s="48" customFormat="1" ht="14.5" customHeight="1" x14ac:dyDescent="0.15">
      <c r="C90" s="6"/>
      <c r="D90" s="6"/>
      <c r="E90" s="6"/>
    </row>
    <row r="91" spans="3:5" s="48" customFormat="1" ht="14.5" customHeight="1" x14ac:dyDescent="0.15">
      <c r="C91" s="6"/>
      <c r="D91" s="6"/>
      <c r="E91" s="6"/>
    </row>
    <row r="92" spans="3:5" s="48" customFormat="1" ht="14.5" customHeight="1" x14ac:dyDescent="0.15">
      <c r="C92" s="6"/>
      <c r="D92" s="6"/>
      <c r="E92" s="6"/>
    </row>
    <row r="93" spans="3:5" s="48" customFormat="1" ht="14.5" customHeight="1" x14ac:dyDescent="0.15">
      <c r="C93" s="6"/>
      <c r="D93" s="6"/>
      <c r="E93" s="6"/>
    </row>
    <row r="94" spans="3:5" s="48" customFormat="1" ht="14.5" customHeight="1" x14ac:dyDescent="0.15">
      <c r="C94" s="6"/>
      <c r="D94" s="6"/>
      <c r="E94" s="6"/>
    </row>
    <row r="95" spans="3:5" x14ac:dyDescent="0.15">
      <c r="C95" s="6"/>
      <c r="D95" s="6"/>
      <c r="E95" s="6"/>
    </row>
    <row r="96" spans="3:5" x14ac:dyDescent="0.15">
      <c r="C96" s="6"/>
      <c r="D96" s="6"/>
      <c r="E96" s="6"/>
    </row>
    <row r="97" spans="3:5" x14ac:dyDescent="0.15">
      <c r="C97" s="6"/>
      <c r="D97" s="6"/>
      <c r="E97" s="6"/>
    </row>
  </sheetData>
  <mergeCells count="4">
    <mergeCell ref="C42:E42"/>
    <mergeCell ref="C6:D6"/>
    <mergeCell ref="C19:E19"/>
    <mergeCell ref="C10:E10"/>
  </mergeCells>
  <hyperlinks>
    <hyperlink ref="E2" location="Forside!A1" display="Gå til forside" xr:uid="{CB9B446A-090A-4ECF-A133-36BEFF99377B}"/>
  </hyperlinks>
  <pageMargins left="0.7" right="0.7" top="0.75" bottom="0.75" header="0.3" footer="0.3"/>
  <pageSetup paperSize="9" orientation="portrait" r:id="rId1"/>
  <headerFooter>
    <oddHeader>&amp;R&amp;"Calibri"&amp;10&amp;K000000 INTERNAL&amp;1#_x000D_</oddHeader>
  </headerFooter>
  <drawing r:id="rId2"/>
  <extLst>
    <ext xmlns:x14="http://schemas.microsoft.com/office/spreadsheetml/2009/9/main" uri="{78C0D931-6437-407d-A8EE-F0AAD7539E65}">
      <x14:conditionalFormattings>
        <x14:conditionalFormatting xmlns:xm="http://schemas.microsoft.com/office/excel/2006/main">
          <x14:cfRule type="expression" priority="1" id="{96CD299F-596D-40AA-A40E-FAD1C780AFCA}">
            <xm:f>IF(E37&gt;'Delresultater (GHG)'!F98,TRUE())</xm:f>
            <x14:dxf>
              <fill>
                <patternFill>
                  <bgColor rgb="FFFF9999"/>
                </patternFill>
              </fill>
            </x14:dxf>
          </x14:cfRule>
          <xm:sqref>F37</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62CBD-3CFF-449C-B4F4-F277402EFF30}">
  <dimension ref="C1:I105"/>
  <sheetViews>
    <sheetView zoomScaleNormal="100" workbookViewId="0"/>
  </sheetViews>
  <sheetFormatPr baseColWidth="10" defaultColWidth="9.5" defaultRowHeight="13" x14ac:dyDescent="0.15"/>
  <cols>
    <col min="1" max="2" width="2.83203125" style="3" customWidth="1"/>
    <col min="3" max="3" width="72.5" style="3" customWidth="1"/>
    <col min="4" max="4" width="32.83203125" style="3" customWidth="1"/>
    <col min="5" max="5" width="13.1640625" style="3" customWidth="1"/>
    <col min="6" max="6" width="13" style="3" customWidth="1"/>
    <col min="7" max="7" width="12.83203125" style="3" customWidth="1"/>
    <col min="8" max="8" width="13.5" style="3" customWidth="1"/>
    <col min="9" max="9" width="15.6640625" style="3" customWidth="1"/>
    <col min="10" max="10" width="86.5" style="3" customWidth="1"/>
    <col min="11" max="16384" width="9.5" style="3"/>
  </cols>
  <sheetData>
    <row r="1" spans="3:8" ht="15" customHeight="1" x14ac:dyDescent="0.15"/>
    <row r="2" spans="3:8" ht="21" customHeight="1" x14ac:dyDescent="0.2">
      <c r="C2" s="26" t="str">
        <f>Tekstnøgler!C33</f>
        <v>Resultat</v>
      </c>
      <c r="D2" s="27"/>
      <c r="E2" s="290" t="str">
        <f>Tekstnøgler!C2</f>
        <v>&lt;-- Gå til forsiden</v>
      </c>
      <c r="F2" s="27"/>
      <c r="G2" s="27"/>
    </row>
    <row r="3" spans="3:8" ht="15" customHeight="1" x14ac:dyDescent="0.2">
      <c r="C3" s="2"/>
    </row>
    <row r="4" spans="3:8" ht="15" customHeight="1" x14ac:dyDescent="0.2">
      <c r="C4" s="2"/>
    </row>
    <row r="5" spans="3:8" ht="21" customHeight="1" x14ac:dyDescent="0.2">
      <c r="C5" s="29" t="str">
        <f>Hovedresultater!C5</f>
        <v>Resultat for 0 (År) - Tiltagscase</v>
      </c>
      <c r="D5" s="2"/>
    </row>
    <row r="6" spans="3:8" ht="21" customHeight="1" x14ac:dyDescent="0.2">
      <c r="C6" s="424" t="str">
        <f>Hovedresultater!C6</f>
        <v>10.230,61 ton CO₂e</v>
      </c>
      <c r="D6" s="424"/>
      <c r="E6" s="2"/>
    </row>
    <row r="7" spans="3:8" ht="16.5" customHeight="1" x14ac:dyDescent="0.2">
      <c r="C7" s="30"/>
      <c r="D7" s="30"/>
      <c r="E7" s="2"/>
    </row>
    <row r="8" spans="3:8" ht="16.5" customHeight="1" x14ac:dyDescent="0.2">
      <c r="C8" s="2" t="str">
        <f>Tekstnøgler!C71</f>
        <v>Metodevalg</v>
      </c>
    </row>
    <row r="10" spans="3:8" ht="53.25" customHeight="1" x14ac:dyDescent="0.2">
      <c r="C10" s="413" t="str">
        <f>Tekstnøgler!C72</f>
        <v>Resultaterne baserer sig på en række metodiske valg, der er foretaget i forbindelse med beregningerne. I nedenstående tabel kan du se, hvorvidt Radiative Forcing Index (RFI) er medregnet i forbindelse med udledninger fra flytransport. At medregne (eller korrigere for) RFI betyder, at der er taget højde for, at CO₂e udledt højere oppe i atmosfæren har en større drivhuseffekt end CO₂e udledt ved landjorden. Tabellen viser også, om emissionsfaktoren for el baserer sig på det årlige gennemsnit for sammensætningen af produktionen af el (miljødeklaration), eller om der i emissionsfaktoren korrigeres for virksomheders køb af grønne certifikater, såkaldte oprindelsesgarantier (eldeklaration).</v>
      </c>
      <c r="D10" s="423"/>
      <c r="E10" s="423"/>
      <c r="F10" s="423"/>
      <c r="G10" s="423"/>
      <c r="H10" s="423"/>
    </row>
    <row r="11" spans="3:8" ht="15" customHeight="1" thickBot="1" x14ac:dyDescent="0.2">
      <c r="C11" s="49"/>
      <c r="D11" s="49"/>
      <c r="E11" s="49"/>
    </row>
    <row r="12" spans="3:8" ht="15" customHeight="1" x14ac:dyDescent="0.15">
      <c r="C12" s="50" t="str">
        <f>Tekstnøgler!C73</f>
        <v>Emissionsfaktor</v>
      </c>
      <c r="D12" s="51" t="str">
        <f>Tekstnøgler!C74</f>
        <v>Metodevalg</v>
      </c>
      <c r="E12" s="49"/>
    </row>
    <row r="13" spans="3:8" ht="15" thickBot="1" x14ac:dyDescent="0.2">
      <c r="C13" s="52" t="str">
        <f>Tekstnøgler!C75</f>
        <v>Valg af emissionsfaktor for elektricitet</v>
      </c>
      <c r="D13" s="230" t="str">
        <f>IF(ISBLANK(Hovedresultater!$E13),"",Hovedresultater!$E13)</f>
        <v>Eldeklaration</v>
      </c>
      <c r="E13" s="49"/>
    </row>
    <row r="14" spans="3:8" ht="15" thickBot="1" x14ac:dyDescent="0.2">
      <c r="C14" s="52" t="str">
        <f>Tekstnøgler!C76</f>
        <v>Emissionsfaktor for flytransport</v>
      </c>
      <c r="D14" s="230" t="str">
        <f>IF(ISBLANK(Hovedresultater!$E14),"",Hovedresultater!$E14)</f>
        <v>Inkluder RFI</v>
      </c>
    </row>
    <row r="15" spans="3:8" x14ac:dyDescent="0.15">
      <c r="C15" s="54"/>
      <c r="D15" s="54"/>
    </row>
    <row r="17" spans="3:8" ht="20" x14ac:dyDescent="0.2">
      <c r="C17" s="26" t="str">
        <f>Tekstnøgler!C325</f>
        <v>Største CO₂e-udledning</v>
      </c>
      <c r="E17" s="27"/>
    </row>
    <row r="18" spans="3:8" x14ac:dyDescent="0.15">
      <c r="D18" s="31"/>
      <c r="F18" s="31"/>
      <c r="G18" s="31"/>
    </row>
    <row r="19" spans="3:8" ht="102" customHeight="1" x14ac:dyDescent="0.2">
      <c r="C19" s="413" t="str">
        <f>Tekstnøgler!C583</f>
        <v>På denne side kan du få indblik i, hvilke af dine indtastninger i Klimakompasset, der fylder mest i din virksomheds klimaregnskab – en såkaldt hot spot analyse.
Med udpegning af din virksomheds 20 største kilder til udledninger får du et hurtigt overblik over potentielle reduktionsmuligheder, så du kan fokusere på de vigtigste steder først, og prioritere de reducerende tiltag, der har størst effekt i din virksomhed.
I tabellen nederst på siden kan du se de 20 indtastninger med størst udledning, og hvor stor en procentdel de udgør af virksomhedens samlede udledninger i scope 1, 2 og 3.</v>
      </c>
      <c r="D19" s="472"/>
      <c r="E19" s="472"/>
      <c r="F19" s="472"/>
      <c r="G19" s="472"/>
      <c r="H19" s="472"/>
    </row>
    <row r="20" spans="3:8" ht="14.25" customHeight="1" x14ac:dyDescent="0.15">
      <c r="C20" s="6"/>
      <c r="D20" s="6"/>
      <c r="E20" s="6"/>
      <c r="F20" s="6"/>
      <c r="G20" s="6"/>
    </row>
    <row r="21" spans="3:8" ht="14.25" customHeight="1" x14ac:dyDescent="0.15">
      <c r="C21" s="138" t="str">
        <f>Tekstnøgler!C584</f>
        <v>Figur 1: CO₂e-udledning i ton scope 1, 2 og 3 fordelt på poster</v>
      </c>
      <c r="D21" s="6"/>
      <c r="E21" s="6"/>
      <c r="F21" s="6"/>
      <c r="G21" s="6"/>
    </row>
    <row r="22" spans="3:8" ht="14.25" customHeight="1" x14ac:dyDescent="0.15">
      <c r="C22" s="6"/>
      <c r="D22" s="6"/>
      <c r="E22" s="6"/>
      <c r="F22" s="6"/>
      <c r="G22" s="6"/>
    </row>
    <row r="23" spans="3:8" ht="14.25" customHeight="1" x14ac:dyDescent="0.15">
      <c r="C23" s="6"/>
      <c r="D23" s="6"/>
      <c r="E23" s="6"/>
      <c r="F23" s="6"/>
      <c r="G23" s="6"/>
    </row>
    <row r="24" spans="3:8" ht="14.25" customHeight="1" x14ac:dyDescent="0.15">
      <c r="C24" s="6"/>
      <c r="D24" s="6"/>
      <c r="E24" s="6"/>
      <c r="F24" s="6"/>
      <c r="G24" s="6"/>
    </row>
    <row r="25" spans="3:8" ht="14.25" customHeight="1" x14ac:dyDescent="0.15">
      <c r="C25" s="6"/>
      <c r="D25" s="6"/>
      <c r="E25" s="6"/>
      <c r="F25" s="6"/>
      <c r="G25" s="6"/>
    </row>
    <row r="26" spans="3:8" ht="14.25" customHeight="1" x14ac:dyDescent="0.15">
      <c r="C26" s="6"/>
      <c r="D26" s="6"/>
      <c r="E26" s="6"/>
      <c r="F26" s="6"/>
      <c r="G26" s="6"/>
    </row>
    <row r="27" spans="3:8" ht="14.25" customHeight="1" x14ac:dyDescent="0.15">
      <c r="C27" s="6"/>
      <c r="D27" s="6"/>
      <c r="E27" s="6"/>
      <c r="F27" s="6"/>
      <c r="G27" s="6"/>
    </row>
    <row r="28" spans="3:8" ht="14.25" customHeight="1" x14ac:dyDescent="0.15">
      <c r="C28" s="6"/>
      <c r="D28" s="6"/>
      <c r="E28" s="6"/>
      <c r="F28" s="6"/>
      <c r="G28" s="6"/>
    </row>
    <row r="29" spans="3:8" ht="14.25" customHeight="1" x14ac:dyDescent="0.15">
      <c r="C29" s="6"/>
      <c r="D29" s="6"/>
      <c r="E29" s="6"/>
      <c r="F29" s="6"/>
      <c r="G29" s="6"/>
    </row>
    <row r="30" spans="3:8" ht="14.25" customHeight="1" x14ac:dyDescent="0.15">
      <c r="C30" s="6"/>
      <c r="D30" s="6"/>
      <c r="E30" s="6"/>
      <c r="F30" s="6"/>
      <c r="G30" s="6"/>
    </row>
    <row r="31" spans="3:8" ht="14.25" customHeight="1" x14ac:dyDescent="0.15">
      <c r="C31" s="6"/>
      <c r="D31" s="6"/>
      <c r="E31" s="6"/>
      <c r="F31" s="6"/>
      <c r="G31" s="6"/>
    </row>
    <row r="32" spans="3:8" ht="14.25" customHeight="1" x14ac:dyDescent="0.15">
      <c r="C32" s="6"/>
      <c r="D32" s="6"/>
      <c r="E32" s="6"/>
      <c r="F32" s="6"/>
      <c r="G32" s="6"/>
    </row>
    <row r="33" spans="3:9" ht="14.25" customHeight="1" x14ac:dyDescent="0.15">
      <c r="C33" s="6"/>
      <c r="D33" s="6"/>
      <c r="E33" s="6"/>
      <c r="F33" s="6"/>
      <c r="G33" s="6"/>
    </row>
    <row r="34" spans="3:9" ht="14.25" customHeight="1" x14ac:dyDescent="0.15">
      <c r="C34" s="6"/>
      <c r="D34" s="6"/>
      <c r="E34" s="6"/>
      <c r="F34" s="6"/>
      <c r="G34" s="6"/>
    </row>
    <row r="35" spans="3:9" ht="14.25" customHeight="1" x14ac:dyDescent="0.15">
      <c r="C35" s="6"/>
      <c r="D35" s="6"/>
      <c r="E35" s="6"/>
      <c r="F35" s="6"/>
      <c r="G35" s="6"/>
    </row>
    <row r="36" spans="3:9" s="48" customFormat="1" ht="20" x14ac:dyDescent="0.2">
      <c r="C36" s="2"/>
      <c r="D36" s="2"/>
      <c r="E36" s="6"/>
      <c r="F36" s="6"/>
      <c r="G36" s="6"/>
    </row>
    <row r="37" spans="3:9" ht="14.25" customHeight="1" x14ac:dyDescent="0.15">
      <c r="C37" s="6"/>
      <c r="D37" s="6"/>
      <c r="E37" s="6"/>
      <c r="F37" s="6"/>
      <c r="G37" s="6"/>
    </row>
    <row r="38" spans="3:9" s="48" customFormat="1" ht="21" thickBot="1" x14ac:dyDescent="0.25">
      <c r="C38" s="2"/>
      <c r="D38" s="2"/>
      <c r="E38" s="6"/>
      <c r="F38" s="6"/>
      <c r="G38" s="6"/>
    </row>
    <row r="39" spans="3:9" s="48" customFormat="1" ht="21" customHeight="1" x14ac:dyDescent="0.15">
      <c r="C39" s="473" t="str">
        <f>Tekstnøgler!C328</f>
        <v>OVERSIGT OVER UDLEDNINGEN I TON CO₂-E FORDELT PÅ POSTER</v>
      </c>
      <c r="D39" s="474"/>
      <c r="E39" s="474"/>
      <c r="F39" s="475"/>
      <c r="G39" s="212"/>
      <c r="H39" s="213"/>
      <c r="I39" s="213"/>
    </row>
    <row r="40" spans="3:9" s="48" customFormat="1" ht="43" thickBot="1" x14ac:dyDescent="0.2">
      <c r="C40" s="231" t="str">
        <f>Tekstnøgler!C329</f>
        <v>Beskrivelse</v>
      </c>
      <c r="D40" s="232" t="str">
        <f>Tekstnøgler!C330</f>
        <v>Placering</v>
      </c>
      <c r="E40" s="231" t="str">
        <f>Tekstnøgler!C203</f>
        <v>Scope 1</v>
      </c>
      <c r="F40" s="231" t="str">
        <f>Tekstnøgler!C204</f>
        <v>Scope 2</v>
      </c>
      <c r="G40" s="231" t="str">
        <f>Tekstnøgler!C205</f>
        <v>Scope 3</v>
      </c>
      <c r="H40" s="231" t="str">
        <f>Tekstnøgler!C580</f>
        <v>Scope 1, 2 og 3 udledning</v>
      </c>
      <c r="I40" s="231" t="str">
        <f>Tekstnøgler!C581</f>
        <v>Procentdel af udledning i scope 1, 2 og 3</v>
      </c>
    </row>
    <row r="41" spans="3:9" s="48" customFormat="1" ht="14" x14ac:dyDescent="0.15">
      <c r="C41" s="405" t="str">
        <f>Tekstnøgler!C374&amp;" &gt; "&amp;Tekstnøgler!C557&amp;" &gt; "&amp;Tekstnøgler!C135</f>
        <v>Indkøb &gt; Materialer &gt; Indkøb af materialer i fysiske enheder</v>
      </c>
      <c r="D41" s="405" t="s">
        <v>2405</v>
      </c>
      <c r="E41" s="404">
        <v>0</v>
      </c>
      <c r="F41" s="404">
        <v>0</v>
      </c>
      <c r="G41" s="406">
        <v>3311.849181739</v>
      </c>
      <c r="H41" s="236">
        <f>SUM(E41:G41)</f>
        <v>3311.849181739</v>
      </c>
      <c r="I41" s="357">
        <f>IF(ISBLANK($H41),,$H41/Hovedresultater!$D$29)</f>
        <v>0.32371966563678717</v>
      </c>
    </row>
    <row r="42" spans="3:9" s="48" customFormat="1" ht="14" x14ac:dyDescent="0.15">
      <c r="C42" s="405" t="str">
        <f>Tekstnøgler!C374&amp;" &gt; "&amp;Tekstnøgler!C557&amp;" &gt; "&amp;Tekstnøgler!C135</f>
        <v>Indkøb &gt; Materialer &gt; Indkøb af materialer i fysiske enheder</v>
      </c>
      <c r="D42" s="405" t="s">
        <v>2452</v>
      </c>
      <c r="E42" s="404">
        <v>0</v>
      </c>
      <c r="F42" s="404">
        <v>0</v>
      </c>
      <c r="G42" s="406">
        <v>2500.1329999999998</v>
      </c>
      <c r="H42" s="236">
        <f t="shared" ref="H42:H47" si="0">SUM(E42:G42)</f>
        <v>2500.1329999999998</v>
      </c>
      <c r="I42" s="357">
        <f>IF(ISBLANK($H42),,$H42/Hovedresultater!$D$29)</f>
        <v>0.24437774016705816</v>
      </c>
    </row>
    <row r="43" spans="3:9" s="48" customFormat="1" ht="14" x14ac:dyDescent="0.15">
      <c r="C43" s="405" t="str">
        <f>Tekstnøgler!C373&amp;" &gt; "&amp;Tekstnøgler!C553&amp;" &gt; "&amp;Tekstnøgler!C122</f>
        <v>Energi og processer &gt; Elektricitet &gt; Forbrug af elektricitet</v>
      </c>
      <c r="D43" s="405" t="s">
        <v>41</v>
      </c>
      <c r="E43" s="404">
        <v>0</v>
      </c>
      <c r="F43" s="404">
        <v>1851.7950000000001</v>
      </c>
      <c r="G43" s="406">
        <v>331.10114552139999</v>
      </c>
      <c r="H43" s="236">
        <f t="shared" si="0"/>
        <v>2182.8961455214003</v>
      </c>
      <c r="I43" s="357">
        <f>IF(ISBLANK($H43),,$H43/Hovedresultater!$D$29)</f>
        <v>0.21336913958653464</v>
      </c>
    </row>
    <row r="44" spans="3:9" s="48" customFormat="1" ht="14" x14ac:dyDescent="0.15">
      <c r="C44" s="405" t="str">
        <f>Tekstnøgler!C374&amp;" &gt; "&amp;Tekstnøgler!C557&amp;" &gt; "&amp;Tekstnøgler!C135</f>
        <v>Indkøb &gt; Materialer &gt; Indkøb af materialer i fysiske enheder</v>
      </c>
      <c r="D44" s="405" t="s">
        <v>2218</v>
      </c>
      <c r="E44" s="404">
        <v>0</v>
      </c>
      <c r="F44" s="404">
        <v>0</v>
      </c>
      <c r="G44" s="406">
        <v>948.94802137399995</v>
      </c>
      <c r="H44" s="236">
        <f t="shared" si="0"/>
        <v>948.94802137399995</v>
      </c>
      <c r="I44" s="357">
        <f>IF(ISBLANK($H44),,$H44/Hovedresultater!$D$29)</f>
        <v>9.2755774592543416E-2</v>
      </c>
    </row>
    <row r="45" spans="3:9" s="48" customFormat="1" ht="14" x14ac:dyDescent="0.15">
      <c r="C45" s="405" t="str">
        <f>Tekstnøgler!C375&amp;" &gt; "&amp;Tekstnøgler!C566&amp;" &gt; "&amp;Tekstnøgler!C176</f>
        <v>Transport &gt; Varetransport til kunde &gt; Varetransport i fysiske enheder</v>
      </c>
      <c r="D45" s="405" t="s">
        <v>2453</v>
      </c>
      <c r="E45" s="404">
        <v>0</v>
      </c>
      <c r="F45" s="404">
        <v>0</v>
      </c>
      <c r="G45" s="406">
        <v>546.55999999999995</v>
      </c>
      <c r="H45" s="236">
        <f t="shared" si="0"/>
        <v>546.55999999999995</v>
      </c>
      <c r="I45" s="357">
        <f>IF(ISBLANK($H45),,$H45/Hovedresultater!$D$29)</f>
        <v>5.3423996909647331E-2</v>
      </c>
    </row>
    <row r="46" spans="3:9" s="48" customFormat="1" ht="14" x14ac:dyDescent="0.15">
      <c r="C46" s="405" t="str">
        <f>Tekstnøgler!C373&amp;" &gt; "&amp;Tekstnøgler!C554&amp;" &gt; "&amp;Tekstnøgler!C126</f>
        <v>Energi og processer &gt; Varme og procesenergi &gt; Brændsler</v>
      </c>
      <c r="D46" s="405" t="s">
        <v>51</v>
      </c>
      <c r="E46" s="404">
        <v>326.85819987560001</v>
      </c>
      <c r="F46" s="404">
        <v>0</v>
      </c>
      <c r="G46" s="406">
        <v>52.287801000000002</v>
      </c>
      <c r="H46" s="236">
        <f t="shared" si="0"/>
        <v>379.14600087560001</v>
      </c>
      <c r="I46" s="357">
        <f>IF(ISBLANK($H46),,$H46/Hovedresultater!$D$29)</f>
        <v>3.7059965564774588E-2</v>
      </c>
    </row>
    <row r="47" spans="3:9" s="48" customFormat="1" ht="14" x14ac:dyDescent="0.15">
      <c r="C47" s="405" t="str">
        <f>Tekstnøgler!C375&amp;" &gt; "&amp;Tekstnøgler!C565&amp;" &gt; "&amp;Tekstnøgler!C172</f>
        <v>Transport &gt; Varetransport til virksomhed &gt; Varetransport i fysiske enheder</v>
      </c>
      <c r="D47" s="405" t="s">
        <v>2454</v>
      </c>
      <c r="E47" s="404">
        <v>0</v>
      </c>
      <c r="F47" s="404">
        <v>0</v>
      </c>
      <c r="G47" s="406">
        <v>204.96</v>
      </c>
      <c r="H47" s="236">
        <f t="shared" si="0"/>
        <v>204.96</v>
      </c>
      <c r="I47" s="357">
        <f>IF(ISBLANK($H47),,$H47/Hovedresultater!$D$29)</f>
        <v>2.0033998841117753E-2</v>
      </c>
    </row>
    <row r="48" spans="3:9" s="48" customFormat="1" ht="14" x14ac:dyDescent="0.15">
      <c r="C48" s="405" t="str">
        <f>Tekstnøgler!C373&amp;" &gt; "&amp;Tekstnøgler!C554&amp;" &gt; "&amp;Tekstnøgler!C126</f>
        <v>Energi og processer &gt; Varme og procesenergi &gt; Brændsler</v>
      </c>
      <c r="D48" s="405" t="s">
        <v>70</v>
      </c>
      <c r="E48" s="404">
        <v>108.58750547779999</v>
      </c>
      <c r="F48" s="404">
        <v>0</v>
      </c>
      <c r="G48" s="406">
        <v>29.206460941300001</v>
      </c>
      <c r="H48" s="236">
        <f t="shared" ref="H48:H60" si="1">SUM(E48:G48)</f>
        <v>137.7939664191</v>
      </c>
      <c r="I48" s="357">
        <f>IF(ISBLANK($H48),,$H48/Hovedresultater!$D$29)</f>
        <v>1.3468794708983546E-2</v>
      </c>
    </row>
    <row r="49" spans="3:9" s="48" customFormat="1" ht="14" x14ac:dyDescent="0.15">
      <c r="C49" s="405" t="str">
        <f>Tekstnøgler!C375&amp;" &gt; "&amp;Tekstnøgler!C563&amp;" &gt; "&amp;Tekstnøgler!C163</f>
        <v>Transport &gt; Egne og leasede transportmidler &gt; Egne og leasede transportmidler</v>
      </c>
      <c r="D49" s="405" t="s">
        <v>2455</v>
      </c>
      <c r="E49" s="404">
        <v>7.9191353917000002</v>
      </c>
      <c r="F49" s="404">
        <v>0</v>
      </c>
      <c r="G49" s="406">
        <v>2.1299864794999999</v>
      </c>
      <c r="H49" s="236">
        <f t="shared" si="1"/>
        <v>10.049121871200001</v>
      </c>
      <c r="I49" s="357">
        <f>IF(ISBLANK($H49),,$H49/Hovedresultater!$D$29)</f>
        <v>9.8226042116448023E-4</v>
      </c>
    </row>
    <row r="50" spans="3:9" s="48" customFormat="1" ht="14" x14ac:dyDescent="0.15">
      <c r="C50" s="405" t="str">
        <f>Tekstnøgler!C374&amp;" &gt; "&amp;Tekstnøgler!C558&amp;" &gt; "&amp;Tekstnøgler!C140</f>
        <v>Indkøb &gt; Produkter og services &gt; Indkøb af produkter i fysiske enheder</v>
      </c>
      <c r="D50" s="405" t="s">
        <v>2456</v>
      </c>
      <c r="E50" s="404">
        <v>0</v>
      </c>
      <c r="F50" s="404">
        <v>0</v>
      </c>
      <c r="G50" s="406">
        <v>4.6554365806</v>
      </c>
      <c r="H50" s="236">
        <f t="shared" si="1"/>
        <v>4.6554365806</v>
      </c>
      <c r="I50" s="357">
        <f>IF(ISBLANK($H50),,$H50/Hovedresultater!$D$29)</f>
        <v>4.5504981977282196E-4</v>
      </c>
    </row>
    <row r="51" spans="3:9" s="48" customFormat="1" ht="14" x14ac:dyDescent="0.15">
      <c r="C51" s="405" t="str">
        <f>Tekstnøgler!C375&amp;" &gt; "&amp;Tekstnøgler!C564&amp;" &gt; "&amp;Tekstnøgler!C167</f>
        <v>Transport &gt; Medarbejdertransport &gt; Pendling</v>
      </c>
      <c r="D51" s="405" t="s">
        <v>75</v>
      </c>
      <c r="E51" s="404">
        <v>0</v>
      </c>
      <c r="F51" s="404">
        <v>0</v>
      </c>
      <c r="G51" s="406">
        <v>3.6176838735999999</v>
      </c>
      <c r="H51" s="236">
        <f t="shared" si="1"/>
        <v>3.6176838735999999</v>
      </c>
      <c r="I51" s="357">
        <f>IF(ISBLANK($H51),,$H51/Hovedresultater!$D$29)</f>
        <v>3.5361375161608498E-4</v>
      </c>
    </row>
    <row r="52" spans="3:9" s="48" customFormat="1" ht="14" x14ac:dyDescent="0.15">
      <c r="C52" s="405" t="str">
        <f>Tekstnøgler!C376&amp;" &gt; "&amp;Tekstnøgler!C568&amp;" &gt; "&amp;Tekstnøgler!C182</f>
        <v>Affald og genbrug &gt; Affald &gt; Affald</v>
      </c>
      <c r="D52" s="405" t="s">
        <v>2457</v>
      </c>
      <c r="E52" s="404">
        <v>0</v>
      </c>
      <c r="F52" s="404">
        <v>0</v>
      </c>
      <c r="G52" s="406">
        <v>0</v>
      </c>
      <c r="H52" s="236">
        <f t="shared" si="1"/>
        <v>0</v>
      </c>
      <c r="I52" s="357">
        <f>IF(ISBLANK($H52),,$H52/Hovedresultater!$D$29)</f>
        <v>0</v>
      </c>
    </row>
    <row r="53" spans="3:9" s="48" customFormat="1" ht="14" x14ac:dyDescent="0.15">
      <c r="C53" s="405" t="str">
        <f>Tekstnøgler!C376&amp;" &gt; "&amp;Tekstnøgler!C568&amp;" &gt; "&amp;Tekstnøgler!C182</f>
        <v>Affald og genbrug &gt; Affald &gt; Affald</v>
      </c>
      <c r="D53" s="405" t="s">
        <v>2218</v>
      </c>
      <c r="E53" s="404">
        <v>0</v>
      </c>
      <c r="F53" s="404">
        <v>0</v>
      </c>
      <c r="G53" s="406">
        <v>0</v>
      </c>
      <c r="H53" s="236">
        <f t="shared" si="1"/>
        <v>0</v>
      </c>
      <c r="I53" s="357">
        <f>IF(ISBLANK($H53),,$H53/Hovedresultater!$D$29)</f>
        <v>0</v>
      </c>
    </row>
    <row r="54" spans="3:9" s="48" customFormat="1" ht="14" x14ac:dyDescent="0.15">
      <c r="C54" s="405" t="str">
        <f>Tekstnøgler!C376&amp;" &gt; "&amp;Tekstnøgler!C568&amp;" &gt; "&amp;Tekstnøgler!C182</f>
        <v>Affald og genbrug &gt; Affald &gt; Affald</v>
      </c>
      <c r="D54" s="405" t="s">
        <v>2405</v>
      </c>
      <c r="E54" s="404">
        <v>0</v>
      </c>
      <c r="F54" s="404">
        <v>0</v>
      </c>
      <c r="G54" s="406">
        <v>0</v>
      </c>
      <c r="H54" s="236">
        <f t="shared" si="1"/>
        <v>0</v>
      </c>
      <c r="I54" s="357">
        <f>IF(ISBLANK($H54),,$H54/Hovedresultater!$D$29)</f>
        <v>0</v>
      </c>
    </row>
    <row r="55" spans="3:9" s="48" customFormat="1" ht="14" x14ac:dyDescent="0.15">
      <c r="C55" s="405" t="str">
        <f>Tekstnøgler!C377&amp;" &gt; "&amp;Tekstnøgler!C573&amp;" &gt; "&amp;Tekstnøgler!C191</f>
        <v>Solgte produkter &gt; End-of-life behandling &gt; Håndtering af affaldsprodukt</v>
      </c>
      <c r="D55" s="405" t="s">
        <v>2457</v>
      </c>
      <c r="E55" s="404">
        <v>0</v>
      </c>
      <c r="F55" s="404">
        <v>0</v>
      </c>
      <c r="G55" s="406">
        <v>0</v>
      </c>
      <c r="H55" s="236">
        <f t="shared" si="1"/>
        <v>0</v>
      </c>
      <c r="I55" s="357">
        <f>IF(ISBLANK($H55),,$H55/Hovedresultater!$D$29)</f>
        <v>0</v>
      </c>
    </row>
    <row r="56" spans="3:9" s="48" customFormat="1" ht="14" x14ac:dyDescent="0.15">
      <c r="C56" s="405" t="str">
        <f>Tekstnøgler!C377&amp;" &gt; "&amp;Tekstnøgler!C573&amp;" &gt; "&amp;Tekstnøgler!C191</f>
        <v>Solgte produkter &gt; End-of-life behandling &gt; Håndtering af affaldsprodukt</v>
      </c>
      <c r="D56" s="405" t="s">
        <v>2405</v>
      </c>
      <c r="E56" s="404">
        <v>0</v>
      </c>
      <c r="F56" s="404">
        <v>0</v>
      </c>
      <c r="G56" s="406">
        <v>0</v>
      </c>
      <c r="H56" s="236">
        <f t="shared" si="1"/>
        <v>0</v>
      </c>
      <c r="I56" s="357">
        <f>IF(ISBLANK($H56),,$H56/Hovedresultater!$D$29)</f>
        <v>0</v>
      </c>
    </row>
    <row r="57" spans="3:9" s="48" customFormat="1" ht="15" thickBot="1" x14ac:dyDescent="0.2">
      <c r="C57" s="405" t="str">
        <f>Tekstnøgler!C377&amp;" &gt; "&amp;Tekstnøgler!C573&amp;" &gt; "&amp;Tekstnøgler!C191</f>
        <v>Solgte produkter &gt; End-of-life behandling &gt; Håndtering af affaldsprodukt</v>
      </c>
      <c r="D57" s="405" t="s">
        <v>2218</v>
      </c>
      <c r="E57" s="404">
        <v>0</v>
      </c>
      <c r="F57" s="404">
        <v>0</v>
      </c>
      <c r="G57" s="406">
        <v>0</v>
      </c>
      <c r="H57" s="236">
        <f t="shared" si="1"/>
        <v>0</v>
      </c>
      <c r="I57" s="357">
        <f>IF(ISBLANK($H57),,$H57/Hovedresultater!$D$29)</f>
        <v>0</v>
      </c>
    </row>
    <row r="58" spans="3:9" s="48" customFormat="1" hidden="1" x14ac:dyDescent="0.15">
      <c r="C58" s="405"/>
      <c r="D58" s="405"/>
      <c r="E58" s="404"/>
      <c r="F58" s="404"/>
      <c r="G58" s="404"/>
      <c r="H58" s="236">
        <f t="shared" si="1"/>
        <v>0</v>
      </c>
      <c r="I58" s="357">
        <f>IF(ISBLANK($H58),,$H58/Hovedresultater!$D$29)</f>
        <v>0</v>
      </c>
    </row>
    <row r="59" spans="3:9" s="48" customFormat="1" hidden="1" x14ac:dyDescent="0.15">
      <c r="C59" s="405"/>
      <c r="D59" s="405"/>
      <c r="E59" s="404"/>
      <c r="F59" s="404"/>
      <c r="G59" s="404"/>
      <c r="H59" s="236">
        <f t="shared" si="1"/>
        <v>0</v>
      </c>
      <c r="I59" s="357">
        <f>IF(ISBLANK($H59),,$H59/Hovedresultater!$D$29)</f>
        <v>0</v>
      </c>
    </row>
    <row r="60" spans="3:9" s="48" customFormat="1" ht="14" hidden="1" thickBot="1" x14ac:dyDescent="0.2">
      <c r="C60" s="405"/>
      <c r="D60" s="405"/>
      <c r="E60" s="404"/>
      <c r="F60" s="404"/>
      <c r="G60" s="404"/>
      <c r="H60" s="236">
        <f t="shared" si="1"/>
        <v>0</v>
      </c>
      <c r="I60" s="357">
        <f>IF(ISBLANK($H60),,$H60/Hovedresultater!$D$29)</f>
        <v>0</v>
      </c>
    </row>
    <row r="61" spans="3:9" s="48" customFormat="1" ht="14.5" customHeight="1" thickTop="1" thickBot="1" x14ac:dyDescent="0.2">
      <c r="C61" s="233" t="str">
        <f>Tekstnøgler!C105</f>
        <v>Ton CO₂e</v>
      </c>
      <c r="D61" s="234"/>
      <c r="E61" s="235">
        <f>SUM(E41:E60)</f>
        <v>443.36484074510003</v>
      </c>
      <c r="F61" s="235">
        <f t="shared" ref="F61:G61" si="2">SUM(F41:F60)</f>
        <v>1851.7950000000001</v>
      </c>
      <c r="G61" s="235">
        <f t="shared" si="2"/>
        <v>7935.4487175094</v>
      </c>
      <c r="H61" s="235">
        <f>SUM(H41:H60)</f>
        <v>10230.608558254498</v>
      </c>
      <c r="I61" s="389">
        <f>SUM(I41:I60)</f>
        <v>0.99999999999999989</v>
      </c>
    </row>
    <row r="62" spans="3:9" s="48" customFormat="1" ht="14.5" customHeight="1" x14ac:dyDescent="0.15">
      <c r="C62" s="6"/>
      <c r="D62" s="6"/>
      <c r="E62" s="6"/>
      <c r="F62" s="6"/>
      <c r="G62" s="6"/>
      <c r="H62" s="237"/>
    </row>
    <row r="63" spans="3:9" s="48" customFormat="1" ht="14.5" customHeight="1" x14ac:dyDescent="0.15">
      <c r="C63" s="6"/>
      <c r="D63" s="6"/>
      <c r="E63" s="6"/>
      <c r="F63" s="6"/>
      <c r="G63" s="6"/>
    </row>
    <row r="64" spans="3:9" s="48" customFormat="1" ht="14.5" customHeight="1" x14ac:dyDescent="0.15">
      <c r="C64" s="6"/>
      <c r="D64" s="6"/>
    </row>
    <row r="65" spans="3:7" s="48" customFormat="1" ht="14.5" customHeight="1" x14ac:dyDescent="0.15">
      <c r="C65" s="6"/>
      <c r="D65" s="6"/>
      <c r="E65" s="6"/>
      <c r="F65" s="6"/>
      <c r="G65" s="6"/>
    </row>
    <row r="66" spans="3:7" s="48" customFormat="1" ht="14.5" customHeight="1" x14ac:dyDescent="0.15">
      <c r="C66" s="6"/>
      <c r="D66" s="6"/>
      <c r="E66" s="6"/>
      <c r="F66" s="6"/>
      <c r="G66" s="6"/>
    </row>
    <row r="67" spans="3:7" s="48" customFormat="1" ht="14.5" customHeight="1" x14ac:dyDescent="0.15">
      <c r="C67" s="6"/>
      <c r="D67" s="6"/>
      <c r="E67" s="6"/>
      <c r="F67" s="6"/>
      <c r="G67" s="6"/>
    </row>
    <row r="68" spans="3:7" s="48" customFormat="1" ht="14.5" customHeight="1" x14ac:dyDescent="0.15">
      <c r="C68" s="6"/>
      <c r="D68" s="6"/>
      <c r="E68" s="6"/>
      <c r="F68" s="6"/>
      <c r="G68" s="6"/>
    </row>
    <row r="69" spans="3:7" s="48" customFormat="1" ht="14.5" customHeight="1" x14ac:dyDescent="0.15">
      <c r="C69" s="6"/>
      <c r="D69" s="6"/>
      <c r="E69" s="6"/>
      <c r="F69" s="6"/>
      <c r="G69" s="6"/>
    </row>
    <row r="70" spans="3:7" s="48" customFormat="1" ht="14.5" customHeight="1" x14ac:dyDescent="0.15">
      <c r="C70" s="6"/>
      <c r="D70" s="6"/>
      <c r="E70" s="6"/>
      <c r="F70" s="6"/>
      <c r="G70" s="6"/>
    </row>
    <row r="71" spans="3:7" s="48" customFormat="1" ht="14.5" customHeight="1" x14ac:dyDescent="0.15">
      <c r="C71" s="6"/>
      <c r="D71" s="6"/>
      <c r="E71" s="6"/>
      <c r="F71" s="6"/>
      <c r="G71" s="6"/>
    </row>
    <row r="72" spans="3:7" s="48" customFormat="1" ht="14.5" customHeight="1" x14ac:dyDescent="0.15">
      <c r="C72" s="6"/>
      <c r="D72" s="6"/>
      <c r="E72" s="6"/>
      <c r="F72" s="6"/>
      <c r="G72" s="6"/>
    </row>
    <row r="73" spans="3:7" s="48" customFormat="1" ht="14.5" customHeight="1" x14ac:dyDescent="0.15">
      <c r="C73" s="6"/>
      <c r="D73" s="6"/>
      <c r="E73" s="6"/>
      <c r="F73" s="6"/>
      <c r="G73" s="6"/>
    </row>
    <row r="74" spans="3:7" s="48" customFormat="1" ht="14.5" customHeight="1" x14ac:dyDescent="0.15">
      <c r="C74" s="6"/>
      <c r="D74" s="6"/>
      <c r="E74" s="6"/>
      <c r="F74" s="6"/>
      <c r="G74" s="6"/>
    </row>
    <row r="75" spans="3:7" s="48" customFormat="1" ht="14.5" customHeight="1" x14ac:dyDescent="0.15">
      <c r="C75" s="6"/>
      <c r="D75" s="6"/>
      <c r="E75" s="6"/>
      <c r="F75" s="6"/>
      <c r="G75" s="6"/>
    </row>
    <row r="76" spans="3:7" s="48" customFormat="1" ht="14.5" customHeight="1" x14ac:dyDescent="0.15">
      <c r="C76" s="6"/>
      <c r="D76" s="6"/>
      <c r="E76" s="6"/>
      <c r="F76" s="6"/>
      <c r="G76" s="6"/>
    </row>
    <row r="77" spans="3:7" s="48" customFormat="1" ht="14.5" customHeight="1" x14ac:dyDescent="0.15">
      <c r="C77" s="6"/>
      <c r="D77" s="6"/>
      <c r="E77" s="6"/>
      <c r="F77" s="6"/>
      <c r="G77" s="6"/>
    </row>
    <row r="78" spans="3:7" s="48" customFormat="1" ht="14.5" customHeight="1" x14ac:dyDescent="0.15">
      <c r="C78" s="6"/>
      <c r="D78" s="6"/>
      <c r="E78" s="6"/>
      <c r="F78" s="6"/>
      <c r="G78" s="6"/>
    </row>
    <row r="79" spans="3:7" s="48" customFormat="1" ht="14.5" customHeight="1" x14ac:dyDescent="0.15">
      <c r="C79" s="6"/>
      <c r="D79" s="6"/>
      <c r="E79" s="6"/>
      <c r="F79" s="6"/>
      <c r="G79" s="6"/>
    </row>
    <row r="80" spans="3:7" s="48" customFormat="1" ht="14.5" customHeight="1" x14ac:dyDescent="0.15">
      <c r="C80" s="6"/>
      <c r="D80" s="6"/>
      <c r="E80" s="6"/>
      <c r="F80" s="6"/>
      <c r="G80" s="6"/>
    </row>
    <row r="81" spans="3:7" s="48" customFormat="1" ht="14.5" customHeight="1" x14ac:dyDescent="0.15">
      <c r="C81" s="6"/>
      <c r="D81" s="6"/>
      <c r="E81" s="6"/>
      <c r="F81" s="6"/>
      <c r="G81" s="6"/>
    </row>
    <row r="82" spans="3:7" s="48" customFormat="1" ht="14.5" customHeight="1" x14ac:dyDescent="0.15">
      <c r="C82" s="6"/>
      <c r="D82" s="6"/>
      <c r="E82" s="6"/>
      <c r="F82" s="6"/>
      <c r="G82" s="6"/>
    </row>
    <row r="83" spans="3:7" s="48" customFormat="1" ht="14.5" customHeight="1" x14ac:dyDescent="0.15">
      <c r="C83" s="6"/>
      <c r="D83" s="6"/>
      <c r="E83" s="6"/>
      <c r="F83" s="6"/>
      <c r="G83" s="6"/>
    </row>
    <row r="84" spans="3:7" s="48" customFormat="1" ht="14.5" customHeight="1" x14ac:dyDescent="0.15">
      <c r="C84" s="6"/>
      <c r="D84" s="6"/>
      <c r="E84" s="6"/>
      <c r="F84" s="6"/>
      <c r="G84" s="6"/>
    </row>
    <row r="85" spans="3:7" s="48" customFormat="1" ht="14.5" customHeight="1" x14ac:dyDescent="0.15">
      <c r="C85" s="6"/>
      <c r="D85" s="6"/>
      <c r="E85" s="6"/>
      <c r="F85" s="6"/>
      <c r="G85" s="6"/>
    </row>
    <row r="86" spans="3:7" s="48" customFormat="1" ht="14.5" customHeight="1" x14ac:dyDescent="0.15">
      <c r="C86" s="6"/>
      <c r="D86" s="6"/>
      <c r="E86" s="6"/>
      <c r="F86" s="6"/>
      <c r="G86" s="6"/>
    </row>
    <row r="87" spans="3:7" s="48" customFormat="1" ht="14.5" customHeight="1" x14ac:dyDescent="0.15">
      <c r="C87" s="6"/>
      <c r="D87" s="6"/>
      <c r="E87" s="6"/>
      <c r="F87" s="6"/>
      <c r="G87" s="6"/>
    </row>
    <row r="88" spans="3:7" s="48" customFormat="1" ht="14.5" customHeight="1" x14ac:dyDescent="0.15">
      <c r="C88" s="6"/>
      <c r="D88" s="6"/>
      <c r="E88" s="6"/>
      <c r="F88" s="6"/>
      <c r="G88" s="6"/>
    </row>
    <row r="89" spans="3:7" s="48" customFormat="1" ht="14.5" customHeight="1" x14ac:dyDescent="0.15">
      <c r="C89" s="6"/>
      <c r="D89" s="6"/>
      <c r="E89" s="6"/>
      <c r="F89" s="6"/>
      <c r="G89" s="6"/>
    </row>
    <row r="90" spans="3:7" s="48" customFormat="1" ht="14.5" customHeight="1" x14ac:dyDescent="0.15">
      <c r="C90" s="6"/>
      <c r="D90" s="6"/>
      <c r="E90" s="6"/>
      <c r="F90" s="6"/>
      <c r="G90" s="6"/>
    </row>
    <row r="91" spans="3:7" s="48" customFormat="1" ht="14.5" customHeight="1" x14ac:dyDescent="0.15">
      <c r="C91" s="6"/>
      <c r="D91" s="6"/>
      <c r="E91" s="6"/>
      <c r="F91" s="6"/>
      <c r="G91" s="6"/>
    </row>
    <row r="92" spans="3:7" s="48" customFormat="1" ht="14.5" customHeight="1" x14ac:dyDescent="0.15">
      <c r="C92" s="6"/>
      <c r="D92" s="6"/>
      <c r="E92" s="6"/>
      <c r="F92" s="6"/>
      <c r="G92" s="6"/>
    </row>
    <row r="93" spans="3:7" s="48" customFormat="1" ht="14.5" customHeight="1" x14ac:dyDescent="0.15">
      <c r="C93" s="6"/>
      <c r="D93" s="6"/>
      <c r="E93" s="6"/>
      <c r="F93" s="6"/>
      <c r="G93" s="6"/>
    </row>
    <row r="94" spans="3:7" s="48" customFormat="1" ht="14.5" customHeight="1" x14ac:dyDescent="0.15">
      <c r="C94" s="6"/>
      <c r="D94" s="6"/>
      <c r="E94" s="6"/>
      <c r="F94" s="6"/>
      <c r="G94" s="6"/>
    </row>
    <row r="95" spans="3:7" s="48" customFormat="1" ht="14.5" customHeight="1" x14ac:dyDescent="0.15">
      <c r="C95" s="6"/>
      <c r="D95" s="6"/>
      <c r="E95" s="6"/>
      <c r="F95" s="6"/>
      <c r="G95" s="6"/>
    </row>
    <row r="96" spans="3:7" s="48" customFormat="1" ht="14.5" customHeight="1" x14ac:dyDescent="0.15">
      <c r="C96" s="6"/>
      <c r="D96" s="6"/>
      <c r="E96" s="6"/>
      <c r="F96" s="6"/>
      <c r="G96" s="6"/>
    </row>
    <row r="97" spans="3:7" s="48" customFormat="1" ht="14.5" customHeight="1" x14ac:dyDescent="0.15">
      <c r="C97" s="6"/>
      <c r="D97" s="6"/>
      <c r="E97" s="6"/>
      <c r="F97" s="6"/>
      <c r="G97" s="6"/>
    </row>
    <row r="98" spans="3:7" s="48" customFormat="1" ht="14.5" customHeight="1" x14ac:dyDescent="0.15">
      <c r="C98" s="6"/>
      <c r="D98" s="6"/>
      <c r="E98" s="6"/>
      <c r="F98" s="6"/>
      <c r="G98" s="6"/>
    </row>
    <row r="99" spans="3:7" s="48" customFormat="1" ht="14.5" customHeight="1" x14ac:dyDescent="0.15">
      <c r="C99" s="6"/>
      <c r="D99" s="6"/>
      <c r="E99" s="6"/>
      <c r="F99" s="6"/>
      <c r="G99" s="6"/>
    </row>
    <row r="100" spans="3:7" s="48" customFormat="1" ht="14.5" customHeight="1" x14ac:dyDescent="0.15">
      <c r="C100" s="6"/>
      <c r="D100" s="6"/>
      <c r="E100" s="6"/>
      <c r="F100" s="6"/>
      <c r="G100" s="6"/>
    </row>
    <row r="101" spans="3:7" s="48" customFormat="1" ht="14.5" customHeight="1" x14ac:dyDescent="0.15">
      <c r="C101" s="6"/>
      <c r="D101" s="6"/>
      <c r="E101" s="6"/>
      <c r="F101" s="6"/>
      <c r="G101" s="6"/>
    </row>
    <row r="102" spans="3:7" s="48" customFormat="1" ht="14.5" customHeight="1" x14ac:dyDescent="0.15">
      <c r="C102" s="6"/>
      <c r="D102" s="6"/>
      <c r="E102" s="6"/>
      <c r="F102" s="6"/>
      <c r="G102" s="6"/>
    </row>
    <row r="103" spans="3:7" x14ac:dyDescent="0.15">
      <c r="C103" s="6"/>
      <c r="D103" s="6"/>
      <c r="E103" s="6"/>
    </row>
    <row r="104" spans="3:7" x14ac:dyDescent="0.15">
      <c r="C104" s="6"/>
      <c r="D104" s="6"/>
      <c r="E104" s="6"/>
    </row>
    <row r="105" spans="3:7" x14ac:dyDescent="0.15">
      <c r="C105" s="6"/>
      <c r="D105" s="6"/>
      <c r="E105" s="6"/>
    </row>
  </sheetData>
  <mergeCells count="4">
    <mergeCell ref="C6:D6"/>
    <mergeCell ref="C10:H10"/>
    <mergeCell ref="C19:H19"/>
    <mergeCell ref="C39:F39"/>
  </mergeCells>
  <hyperlinks>
    <hyperlink ref="E2" location="Forside!A1" display="Gå til forside" xr:uid="{6D97E74A-5DEA-47B2-B3C9-957AF9DFE99C}"/>
  </hyperlinks>
  <pageMargins left="0.7" right="0.7" top="0.75" bottom="0.75" header="0.3" footer="0.3"/>
  <pageSetup paperSize="9" orientation="portrait" r:id="rId1"/>
  <headerFooter>
    <oddHeader>&amp;R&amp;"Calibri"&amp;10&amp;K000000 INTERNAL&amp;1#_x000D_</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6B16E-C065-4112-8EDE-E36CC8445913}">
  <dimension ref="A1:T118"/>
  <sheetViews>
    <sheetView zoomScaleNormal="100" workbookViewId="0"/>
  </sheetViews>
  <sheetFormatPr baseColWidth="10" defaultColWidth="9.5" defaultRowHeight="13" x14ac:dyDescent="0.15"/>
  <cols>
    <col min="1" max="2" width="2.83203125" style="128" customWidth="1"/>
    <col min="3" max="3" width="27.1640625" style="128" customWidth="1"/>
    <col min="4" max="4" width="21.5" style="128" customWidth="1"/>
    <col min="5" max="6" width="24.5" style="128" customWidth="1"/>
    <col min="7" max="7" width="26.5" style="128" customWidth="1"/>
    <col min="8" max="8" width="23.83203125" style="128" customWidth="1"/>
    <col min="9" max="10" width="21.83203125" style="128" customWidth="1"/>
    <col min="11" max="11" width="2.6640625" style="128" customWidth="1"/>
    <col min="12" max="12" width="12.5" style="128" customWidth="1"/>
    <col min="13" max="16" width="21.83203125" style="128" customWidth="1"/>
    <col min="17" max="18" width="9.5" style="128" customWidth="1"/>
    <col min="19" max="16384" width="9.5" style="128"/>
  </cols>
  <sheetData>
    <row r="1" spans="3:11" ht="15" customHeight="1" x14ac:dyDescent="0.15"/>
    <row r="2" spans="3:11" ht="21" customHeight="1" x14ac:dyDescent="0.2">
      <c r="C2" s="142" t="str">
        <f>Tekstnøgler!C335</f>
        <v>Resultater for fremskrivning</v>
      </c>
      <c r="D2" s="143"/>
      <c r="E2" s="143"/>
      <c r="F2" s="143"/>
      <c r="G2" s="143"/>
      <c r="H2" s="290" t="str">
        <f>Tekstnøgler!C2</f>
        <v>&lt;-- Gå til forsiden</v>
      </c>
      <c r="I2" s="143"/>
      <c r="J2" s="143"/>
      <c r="K2" s="143"/>
    </row>
    <row r="3" spans="3:11" ht="15" customHeight="1" x14ac:dyDescent="0.2">
      <c r="C3" s="168"/>
    </row>
    <row r="4" spans="3:11" ht="15" customHeight="1" x14ac:dyDescent="0.2">
      <c r="C4" s="168"/>
    </row>
    <row r="5" spans="3:11" ht="21" customHeight="1" x14ac:dyDescent="0.2">
      <c r="C5" s="169" t="str">
        <f>Tekstnøgler!C336</f>
        <v>Fremskrivning for</v>
      </c>
      <c r="D5" s="168"/>
    </row>
    <row r="6" spans="3:11" ht="16.5" customHeight="1" thickBot="1" x14ac:dyDescent="0.25">
      <c r="C6" s="169"/>
      <c r="D6" s="168"/>
    </row>
    <row r="7" spans="3:11" ht="16.5" customHeight="1" x14ac:dyDescent="0.15">
      <c r="C7" s="478" t="str">
        <f>Tekstnøgler!C337</f>
        <v>Basisberegning</v>
      </c>
      <c r="D7" s="479"/>
    </row>
    <row r="8" spans="3:11" ht="16.5" customHeight="1" thickBot="1" x14ac:dyDescent="0.2">
      <c r="C8" s="480" t="s">
        <v>32</v>
      </c>
      <c r="D8" s="481"/>
    </row>
    <row r="9" spans="3:11" ht="16.5" customHeight="1" thickBot="1" x14ac:dyDescent="0.25">
      <c r="C9" s="169"/>
      <c r="D9" s="168"/>
    </row>
    <row r="10" spans="3:11" ht="16.5" customHeight="1" x14ac:dyDescent="0.15">
      <c r="C10" s="180" t="str">
        <f>Tekstnøgler!C339</f>
        <v>Basisår</v>
      </c>
      <c r="D10" s="181" t="str">
        <f>Tekstnøgler!C340</f>
        <v>Slutår</v>
      </c>
      <c r="E10" s="181" t="str">
        <f>Tekstnøgler!C588</f>
        <v>Emissionsfaktorår</v>
      </c>
    </row>
    <row r="11" spans="3:11" ht="14" thickBot="1" x14ac:dyDescent="0.2">
      <c r="C11" s="247">
        <v>2015</v>
      </c>
      <c r="D11" s="247">
        <v>2030</v>
      </c>
      <c r="E11" s="366">
        <f>Emissionsfaktorer!B5</f>
        <v>2021</v>
      </c>
    </row>
    <row r="12" spans="3:11" ht="14" thickBot="1" x14ac:dyDescent="0.2"/>
    <row r="13" spans="3:11" ht="15" customHeight="1" thickBot="1" x14ac:dyDescent="0.2">
      <c r="C13" s="482" t="str">
        <f>Tekstnøgler!C341</f>
        <v>Valg af årlig vækst</v>
      </c>
      <c r="D13" s="483"/>
    </row>
    <row r="14" spans="3:11" ht="15" customHeight="1" x14ac:dyDescent="0.15">
      <c r="C14" s="170" t="str">
        <f>Tekstnøgler!C342</f>
        <v>Årlig vækstrate</v>
      </c>
      <c r="D14" s="358">
        <v>0.03</v>
      </c>
    </row>
    <row r="15" spans="3:11" ht="15" customHeight="1" thickBot="1" x14ac:dyDescent="0.2">
      <c r="C15" s="170" t="str">
        <f>Tekstnøgler!C343</f>
        <v>Type af vækstrate</v>
      </c>
      <c r="D15" s="238" t="s">
        <v>18</v>
      </c>
    </row>
    <row r="18" spans="1:20" ht="20" x14ac:dyDescent="0.2">
      <c r="C18" s="142" t="str">
        <f>Tekstnøgler!C344</f>
        <v>Hovedresultater</v>
      </c>
      <c r="E18" s="143"/>
      <c r="J18" s="143"/>
    </row>
    <row r="19" spans="1:20" x14ac:dyDescent="0.15">
      <c r="D19" s="144"/>
      <c r="F19" s="144"/>
      <c r="G19" s="144"/>
      <c r="H19" s="144"/>
      <c r="I19" s="144"/>
      <c r="K19" s="144"/>
    </row>
    <row r="20" spans="1:20" ht="33" customHeight="1" x14ac:dyDescent="0.15">
      <c r="C20" s="477" t="str">
        <f>IF('Fremskrivning - Delresultater'!M28-'Fremskrivning - Delresultater'!H28&gt;=0,Tekstnøgler!C386&amp;'Fremskrivning - Hovedresultater'!D14*100&amp;"% ("&amp;'Fremskrivning - Hovedresultater'!D15&amp;Tekstnøgler!C387&amp;ROUND('Fremskrivning - Delresultater'!Z27*100,0)&amp;Tekstnøgler!C389&amp;'Fremskrivning - Hovedresultater'!D11&amp;".",Tekstnøgler!C386&amp;'Fremskrivning - Hovedresultater'!D14*100&amp;"% ("&amp;'Fremskrivning - Hovedresultater'!D15&amp;Tekstnøgler!C388&amp;ROUND('Fremskrivning - Delresultater'!Z26*100,0)&amp;Tekstnøgler!C389&amp;'Fremskrivning - Hovedresultater'!D11&amp;".")</f>
        <v>Med en årlig vækst på 3% (Ekspotentiel) estimeres det, at din virksomheds CO₂e-udledninger vil falde med -50% frem mod år2030.</v>
      </c>
      <c r="D20" s="477"/>
      <c r="E20" s="477"/>
      <c r="F20" s="477"/>
      <c r="G20" s="477"/>
    </row>
    <row r="21" spans="1:20" ht="14" thickBot="1" x14ac:dyDescent="0.2">
      <c r="C21" s="182"/>
      <c r="D21" s="182"/>
      <c r="E21" s="182"/>
      <c r="F21" s="182"/>
      <c r="G21" s="182"/>
    </row>
    <row r="22" spans="1:20" ht="19.25" customHeight="1" thickBot="1" x14ac:dyDescent="0.2">
      <c r="B22" s="183"/>
      <c r="C22" s="492" t="str">
        <f>Tekstnøgler!C346</f>
        <v>Tabel 1: Oversigt over virksomhedens CO₂e-udledninger fordelt på scopes</v>
      </c>
      <c r="D22" s="493"/>
      <c r="E22" s="493"/>
      <c r="F22" s="493"/>
      <c r="G22" s="494"/>
      <c r="N22" s="129"/>
      <c r="O22" s="130"/>
    </row>
    <row r="23" spans="1:20" ht="17.25" customHeight="1" thickBot="1" x14ac:dyDescent="0.2">
      <c r="C23" s="184" t="str">
        <f>Tekstnøgler!C347</f>
        <v>Titel</v>
      </c>
      <c r="D23" s="485" t="str">
        <f>Tekstnøgler!C348</f>
        <v>Ton CO₂e</v>
      </c>
      <c r="E23" s="486"/>
      <c r="F23" s="487" t="str">
        <f>Tekstnøgler!C349</f>
        <v>Fordeling i %</v>
      </c>
      <c r="G23" s="488"/>
    </row>
    <row r="24" spans="1:20" ht="14" thickBot="1" x14ac:dyDescent="0.2">
      <c r="C24" s="185"/>
      <c r="D24" s="214">
        <f>$C$11</f>
        <v>2015</v>
      </c>
      <c r="E24" s="214">
        <f>$D$11</f>
        <v>2030</v>
      </c>
      <c r="F24" s="214">
        <f>$C$11</f>
        <v>2015</v>
      </c>
      <c r="G24" s="375">
        <f>$D$11</f>
        <v>2030</v>
      </c>
      <c r="H24" s="377"/>
    </row>
    <row r="25" spans="1:20" ht="15" thickBot="1" x14ac:dyDescent="0.2">
      <c r="C25" s="171" t="str">
        <f>Tekstnøgler!C351</f>
        <v>Scope 1</v>
      </c>
      <c r="D25" s="246">
        <f>LOOKUP($C$11,'Fremskrivning - Delresultater'!$D$15:$X$15,'Fremskrivning - Delresultater'!D16:X16)</f>
        <v>11</v>
      </c>
      <c r="E25" s="246">
        <f>LOOKUP($D$11,'Fremskrivning - Delresultater'!$D$15:$X$15,'Fremskrivning - Delresultater'!D16:X16)</f>
        <v>4</v>
      </c>
      <c r="F25" s="359">
        <f>IF($D$28 = 0,"",D25/$D$28)</f>
        <v>0.42307692307692307</v>
      </c>
      <c r="G25" s="376">
        <f>IF($E$28 = 0,"",E25/$E$28)</f>
        <v>0.30769230769230771</v>
      </c>
      <c r="H25" s="374"/>
      <c r="I25" s="130"/>
    </row>
    <row r="26" spans="1:20" ht="14.5" customHeight="1" thickBot="1" x14ac:dyDescent="0.2">
      <c r="C26" s="172" t="str">
        <f>Tekstnøgler!C352</f>
        <v>Scope 2</v>
      </c>
      <c r="D26" s="246">
        <f>LOOKUP($C$11,'Fremskrivning - Delresultater'!$D$15:$X$15,'Fremskrivning - Delresultater'!D17:X17)</f>
        <v>7</v>
      </c>
      <c r="E26" s="246">
        <f>LOOKUP($D$11,'Fremskrivning - Delresultater'!$D$15:$X$15,'Fremskrivning - Delresultater'!D17:X17)</f>
        <v>4</v>
      </c>
      <c r="F26" s="359">
        <f t="shared" ref="F26:F27" si="0">IF($D$28 = 0,"",D26/$D$28)</f>
        <v>0.26923076923076922</v>
      </c>
      <c r="G26" s="376">
        <f t="shared" ref="G26:G27" si="1">IF($E$28 = 0,"",E26/$E$28)</f>
        <v>0.30769230769230771</v>
      </c>
      <c r="H26" s="374"/>
      <c r="I26" s="130"/>
    </row>
    <row r="27" spans="1:20" ht="14.5" customHeight="1" thickBot="1" x14ac:dyDescent="0.2">
      <c r="C27" s="172" t="str">
        <f>Tekstnøgler!C353</f>
        <v>Scope 3</v>
      </c>
      <c r="D27" s="246">
        <f>LOOKUP($C$11,'Fremskrivning - Delresultater'!$D$15:$X$15,'Fremskrivning - Delresultater'!D18:X18)</f>
        <v>8</v>
      </c>
      <c r="E27" s="246">
        <f>LOOKUP($D$11,'Fremskrivning - Delresultater'!$D$15:$X$15,'Fremskrivning - Delresultater'!D18:X18)</f>
        <v>5</v>
      </c>
      <c r="F27" s="359">
        <f t="shared" si="0"/>
        <v>0.30769230769230771</v>
      </c>
      <c r="G27" s="376">
        <f t="shared" si="1"/>
        <v>0.38461538461538464</v>
      </c>
      <c r="H27" s="374"/>
    </row>
    <row r="28" spans="1:20" ht="14.5" customHeight="1" thickBot="1" x14ac:dyDescent="0.2">
      <c r="C28" s="45" t="str">
        <f>Tekstnøgler!C95</f>
        <v>Total</v>
      </c>
      <c r="D28" s="46">
        <f>SUM(D25:D27)</f>
        <v>26</v>
      </c>
      <c r="E28" s="46">
        <f>SUM(E25:E27)</f>
        <v>13</v>
      </c>
      <c r="F28" s="353">
        <f t="shared" ref="F28:G28" si="2">SUM(F25:F27)</f>
        <v>1</v>
      </c>
      <c r="G28" s="353">
        <f t="shared" si="2"/>
        <v>1</v>
      </c>
    </row>
    <row r="29" spans="1:20" ht="14.5" customHeight="1" thickBot="1" x14ac:dyDescent="0.2">
      <c r="C29" s="172" t="str">
        <f>Tekstnøgler!C355</f>
        <v>Udenfor scopes</v>
      </c>
      <c r="D29" s="246">
        <f>LOOKUP($C$11,'Fremskrivning - Delresultater'!D117:X117,'Fremskrivning - Delresultater'!D193:X193)</f>
        <v>8</v>
      </c>
      <c r="E29" s="246">
        <f>LOOKUP($D$11,'Fremskrivning - Delresultater'!D117:X117,'Fremskrivning - Delresultater'!D193:X193)</f>
        <v>8</v>
      </c>
      <c r="H29" s="173"/>
    </row>
    <row r="30" spans="1:20" s="3" customFormat="1" ht="16" thickBot="1" x14ac:dyDescent="0.25">
      <c r="A30" s="198" t="s">
        <v>19</v>
      </c>
      <c r="C30" s="242" t="str">
        <f>IF(E25&gt;D25,"Målsætning for scope 1 fratrukket reduktionen","Målsætning for scope 1")</f>
        <v>Målsætning for scope 1</v>
      </c>
      <c r="D30" s="211"/>
      <c r="F30" s="204"/>
      <c r="G30" s="204"/>
      <c r="H30" s="199"/>
      <c r="I30" s="239">
        <f>MIN(E25,D25)</f>
        <v>4</v>
      </c>
      <c r="L30" s="198" t="s">
        <v>14</v>
      </c>
      <c r="M30" s="199"/>
      <c r="O30" s="199"/>
      <c r="P30" s="199"/>
      <c r="Q30" s="199"/>
      <c r="R30" s="199"/>
      <c r="S30" s="199"/>
      <c r="T30" s="199"/>
    </row>
    <row r="31" spans="1:20" s="3" customFormat="1" ht="16" thickBot="1" x14ac:dyDescent="0.25">
      <c r="A31" s="198" t="s">
        <v>19</v>
      </c>
      <c r="C31" s="243" t="str">
        <f>IF(D25&gt;E25,Tekstnøgler!C356,Tekstnøgler!C359)</f>
        <v>Reduktion opnået (scope 1)</v>
      </c>
      <c r="D31" s="211"/>
      <c r="F31" s="204"/>
      <c r="G31" s="204"/>
      <c r="H31" s="199"/>
      <c r="I31" s="239">
        <f>IF(-MIN(E25-D25,0)=0,"",-MIN(E25-D25,0))</f>
        <v>7</v>
      </c>
      <c r="L31" s="198" t="s">
        <v>14</v>
      </c>
      <c r="M31" s="199"/>
      <c r="O31" s="199"/>
      <c r="P31" s="199"/>
      <c r="Q31" s="199"/>
      <c r="R31" s="199"/>
      <c r="S31" s="199"/>
      <c r="T31" s="199"/>
    </row>
    <row r="32" spans="1:20" s="3" customFormat="1" ht="16" thickBot="1" x14ac:dyDescent="0.25">
      <c r="A32" s="198" t="s">
        <v>19</v>
      </c>
      <c r="C32" s="244" t="str">
        <f>IF(D25&lt;=E25,Tekstnøgler!C358,Tekstnøgler!C359)</f>
        <v>(ikke relevant)</v>
      </c>
      <c r="D32" s="211"/>
      <c r="F32" s="204"/>
      <c r="G32" s="204"/>
      <c r="H32" s="199"/>
      <c r="I32" s="239" t="str">
        <f>IF(MAX(E25-D25,0)=0,"",MAX(E25-D25,0))</f>
        <v/>
      </c>
      <c r="L32" s="198" t="s">
        <v>14</v>
      </c>
      <c r="M32" s="199"/>
      <c r="O32" s="199"/>
      <c r="P32" s="199"/>
      <c r="Q32" s="199"/>
      <c r="R32" s="199"/>
      <c r="S32" s="199"/>
      <c r="T32" s="199"/>
    </row>
    <row r="33" spans="1:20" s="3" customFormat="1" ht="16" thickBot="1" x14ac:dyDescent="0.25">
      <c r="A33" s="198" t="s">
        <v>19</v>
      </c>
      <c r="C33" s="242" t="str">
        <f>IF(E25&gt;D25,"Målsætning for scope 1 fratrukket reduktionen (visning)","Målsætning for scope 1 (visning)")</f>
        <v>Målsætning for scope 1 (visning)</v>
      </c>
      <c r="D33" s="211"/>
      <c r="F33" s="204"/>
      <c r="G33" s="204"/>
      <c r="H33" s="199"/>
      <c r="I33" s="82"/>
      <c r="J33" s="240">
        <f>I30</f>
        <v>4</v>
      </c>
      <c r="L33" s="198" t="s">
        <v>14</v>
      </c>
      <c r="M33" s="199"/>
      <c r="O33" s="199"/>
      <c r="P33" s="199"/>
      <c r="Q33" s="199"/>
      <c r="R33" s="199"/>
      <c r="S33" s="199"/>
      <c r="T33" s="199"/>
    </row>
    <row r="34" spans="1:20" s="3" customFormat="1" ht="16" thickBot="1" x14ac:dyDescent="0.25">
      <c r="A34" s="198" t="s">
        <v>19</v>
      </c>
      <c r="C34" s="243" t="str">
        <f>IF(D25&gt;E25,"Reduktion opnået for scope 1 (visning)","")</f>
        <v>Reduktion opnået for scope 1 (visning)</v>
      </c>
      <c r="D34" s="211"/>
      <c r="F34" s="204"/>
      <c r="G34" s="204"/>
      <c r="H34" s="199"/>
      <c r="J34" s="240">
        <f>I31</f>
        <v>7</v>
      </c>
      <c r="L34" s="198" t="s">
        <v>14</v>
      </c>
      <c r="M34" s="199"/>
      <c r="O34" s="199"/>
      <c r="P34" s="199"/>
      <c r="Q34" s="199"/>
      <c r="R34" s="199"/>
      <c r="S34" s="199"/>
      <c r="T34" s="199"/>
    </row>
    <row r="35" spans="1:20" s="3" customFormat="1" ht="16" thickBot="1" x14ac:dyDescent="0.25">
      <c r="A35" s="198" t="s">
        <v>19</v>
      </c>
      <c r="C35" s="244" t="str">
        <f>IF(D25&lt;=E25,"Forskel til målet for scope 1 (visning)","")</f>
        <v/>
      </c>
      <c r="D35" s="211"/>
      <c r="F35" s="204"/>
      <c r="G35" s="204"/>
      <c r="H35" s="199"/>
      <c r="J35" s="240" t="str">
        <f>I32</f>
        <v/>
      </c>
      <c r="L35" s="198" t="s">
        <v>14</v>
      </c>
      <c r="M35" s="199"/>
      <c r="O35" s="199"/>
      <c r="P35" s="199"/>
      <c r="Q35" s="199"/>
      <c r="R35" s="199"/>
      <c r="S35" s="199"/>
      <c r="T35" s="199"/>
    </row>
    <row r="36" spans="1:20" s="3" customFormat="1" ht="16" thickBot="1" x14ac:dyDescent="0.25">
      <c r="A36" s="198" t="s">
        <v>19</v>
      </c>
      <c r="C36" s="244" t="s">
        <v>20</v>
      </c>
      <c r="D36" s="211"/>
      <c r="F36" s="204"/>
      <c r="G36" s="204"/>
      <c r="H36" s="199"/>
      <c r="I36" s="217"/>
      <c r="J36" s="387">
        <f>IF(E25-D25&lt;0,ROUND((E25-D25)/D25,3),"")</f>
        <v>-0.63600000000000001</v>
      </c>
      <c r="L36" s="198" t="s">
        <v>14</v>
      </c>
      <c r="M36" s="199"/>
      <c r="O36" s="199"/>
      <c r="P36" s="199"/>
      <c r="Q36" s="199"/>
      <c r="R36" s="199"/>
      <c r="S36" s="199"/>
    </row>
    <row r="37" spans="1:20" s="3" customFormat="1" ht="16" thickBot="1" x14ac:dyDescent="0.25">
      <c r="A37" s="198" t="s">
        <v>19</v>
      </c>
      <c r="C37" s="244" t="s">
        <v>21</v>
      </c>
      <c r="D37" s="211"/>
      <c r="F37" s="204"/>
      <c r="G37" s="204"/>
      <c r="H37" s="199"/>
      <c r="I37" s="217"/>
      <c r="J37" s="241" t="str">
        <f>IF(E25-D25&gt;=0,ROUND((E25-D25)/D25,3),"")</f>
        <v/>
      </c>
      <c r="L37" s="198" t="s">
        <v>14</v>
      </c>
      <c r="M37" s="199"/>
      <c r="O37" s="199"/>
      <c r="P37" s="199"/>
      <c r="Q37" s="199"/>
      <c r="R37" s="199"/>
      <c r="S37" s="199"/>
    </row>
    <row r="38" spans="1:20" s="3" customFormat="1" ht="15" x14ac:dyDescent="0.2">
      <c r="A38" s="198" t="s">
        <v>19</v>
      </c>
      <c r="C38" s="215"/>
      <c r="D38" s="216"/>
      <c r="F38" s="204"/>
      <c r="G38" s="204"/>
      <c r="H38" s="217"/>
      <c r="I38" s="217"/>
      <c r="J38" s="82"/>
      <c r="L38" s="198" t="s">
        <v>14</v>
      </c>
      <c r="M38" s="199"/>
      <c r="O38" s="199"/>
      <c r="P38" s="217"/>
      <c r="Q38" s="217"/>
      <c r="R38" s="217"/>
      <c r="S38" s="217"/>
    </row>
    <row r="39" spans="1:20" s="3" customFormat="1" ht="15" x14ac:dyDescent="0.2">
      <c r="A39" s="198" t="s">
        <v>19</v>
      </c>
      <c r="C39" s="215"/>
      <c r="D39" s="220">
        <f>$D$24</f>
        <v>2015</v>
      </c>
      <c r="E39" s="220">
        <f>$E$24</f>
        <v>2030</v>
      </c>
      <c r="F39" s="204"/>
      <c r="G39" s="204"/>
      <c r="H39" s="199"/>
      <c r="I39" s="217"/>
      <c r="J39" s="82"/>
      <c r="L39" s="198" t="s">
        <v>14</v>
      </c>
      <c r="M39" s="199"/>
      <c r="O39" s="199"/>
      <c r="P39" s="199"/>
      <c r="Q39" s="199"/>
      <c r="R39" s="199"/>
      <c r="S39" s="199"/>
    </row>
    <row r="40" spans="1:20" s="3" customFormat="1" ht="16" thickBot="1" x14ac:dyDescent="0.25">
      <c r="A40" s="198" t="s">
        <v>19</v>
      </c>
      <c r="C40" s="219" t="str">
        <f>$C$26</f>
        <v>Scope 2</v>
      </c>
      <c r="D40" s="218">
        <f>$D26</f>
        <v>7</v>
      </c>
      <c r="E40" s="218">
        <f>$E26</f>
        <v>4</v>
      </c>
      <c r="F40" s="204"/>
      <c r="G40" s="204"/>
      <c r="H40" s="199"/>
      <c r="I40" s="217"/>
      <c r="J40" s="82"/>
      <c r="L40" s="198" t="s">
        <v>14</v>
      </c>
      <c r="M40" s="199"/>
      <c r="O40" s="199"/>
      <c r="P40" s="199"/>
      <c r="Q40" s="199"/>
      <c r="R40" s="199"/>
      <c r="S40" s="199"/>
    </row>
    <row r="41" spans="1:20" s="3" customFormat="1" ht="16" thickBot="1" x14ac:dyDescent="0.25">
      <c r="A41" s="198" t="s">
        <v>19</v>
      </c>
      <c r="C41" s="245" t="str">
        <f>IF(E26&gt;D26,"Målsætning for scope 2 fratrukket reduktionen","Målsætning for scope 2")</f>
        <v>Målsætning for scope 2</v>
      </c>
      <c r="D41" s="211"/>
      <c r="F41" s="204"/>
      <c r="G41" s="204"/>
      <c r="H41" s="199"/>
      <c r="I41" s="239">
        <f>MIN(E26,D26)</f>
        <v>4</v>
      </c>
      <c r="L41" s="198" t="s">
        <v>14</v>
      </c>
      <c r="M41" s="199"/>
      <c r="O41" s="199"/>
      <c r="P41" s="199"/>
      <c r="Q41" s="199"/>
      <c r="R41" s="199"/>
      <c r="S41" s="199"/>
      <c r="T41" s="199"/>
    </row>
    <row r="42" spans="1:20" s="3" customFormat="1" ht="16" thickBot="1" x14ac:dyDescent="0.25">
      <c r="A42" s="198" t="s">
        <v>19</v>
      </c>
      <c r="C42" s="243" t="str">
        <f>IF(D26&gt;E26,Tekstnøgler!C360,Tekstnøgler!C363)</f>
        <v>Reduktion opnået (scope 2)</v>
      </c>
      <c r="D42" s="211"/>
      <c r="F42" s="204"/>
      <c r="G42" s="204"/>
      <c r="H42" s="199"/>
      <c r="I42" s="239">
        <f>IF(-MIN(E26-D26,0)=0,"",-MIN(E26-D26,0))</f>
        <v>3</v>
      </c>
      <c r="L42" s="198" t="s">
        <v>14</v>
      </c>
      <c r="M42" s="199"/>
      <c r="O42" s="199"/>
      <c r="P42" s="199"/>
      <c r="Q42" s="199"/>
      <c r="R42" s="199"/>
      <c r="S42" s="199"/>
      <c r="T42" s="199"/>
    </row>
    <row r="43" spans="1:20" s="3" customFormat="1" ht="16" thickBot="1" x14ac:dyDescent="0.25">
      <c r="A43" s="198" t="s">
        <v>19</v>
      </c>
      <c r="C43" s="244" t="str">
        <f>IF(D26&lt;=E26,Tekstnøgler!C362,Tekstnøgler!C363)</f>
        <v>(ikke relevant)</v>
      </c>
      <c r="D43" s="211"/>
      <c r="F43" s="204"/>
      <c r="G43" s="204"/>
      <c r="H43" s="199"/>
      <c r="I43" s="239" t="str">
        <f>IF(MAX(E26-D26,0)=0,"",MAX(E26-D26,0))</f>
        <v/>
      </c>
      <c r="L43" s="198" t="s">
        <v>14</v>
      </c>
      <c r="M43" s="199"/>
      <c r="O43" s="199"/>
      <c r="P43" s="199"/>
      <c r="Q43" s="199"/>
      <c r="R43" s="199"/>
      <c r="S43" s="199"/>
      <c r="T43" s="199"/>
    </row>
    <row r="44" spans="1:20" s="3" customFormat="1" ht="16" thickBot="1" x14ac:dyDescent="0.25">
      <c r="A44" s="198" t="s">
        <v>19</v>
      </c>
      <c r="C44" s="242" t="str">
        <f>IF(E26&gt;D26,"Målsætning for scope 2 fratrukket reduktionen (visning)","Målsætning for scope 2 (visning)")</f>
        <v>Målsætning for scope 2 (visning)</v>
      </c>
      <c r="D44" s="211"/>
      <c r="F44" s="204"/>
      <c r="G44" s="204"/>
      <c r="H44" s="199"/>
      <c r="I44" s="82"/>
      <c r="J44" s="240">
        <f>I41</f>
        <v>4</v>
      </c>
      <c r="L44" s="198" t="s">
        <v>14</v>
      </c>
      <c r="M44" s="199"/>
      <c r="O44" s="199"/>
      <c r="P44" s="199"/>
      <c r="Q44" s="199"/>
      <c r="R44" s="199"/>
      <c r="S44" s="199"/>
      <c r="T44" s="199"/>
    </row>
    <row r="45" spans="1:20" s="3" customFormat="1" ht="16" thickBot="1" x14ac:dyDescent="0.25">
      <c r="A45" s="198" t="s">
        <v>19</v>
      </c>
      <c r="C45" s="243" t="str">
        <f>IF(D26&gt;E26,"Reduktion opnået for scope 2 (visning)","")</f>
        <v>Reduktion opnået for scope 2 (visning)</v>
      </c>
      <c r="D45" s="211"/>
      <c r="F45" s="204"/>
      <c r="G45" s="204"/>
      <c r="H45" s="199"/>
      <c r="J45" s="240">
        <f>I42</f>
        <v>3</v>
      </c>
      <c r="L45" s="198" t="s">
        <v>14</v>
      </c>
      <c r="M45" s="199"/>
      <c r="O45" s="199"/>
      <c r="P45" s="199"/>
      <c r="Q45" s="199"/>
      <c r="R45" s="199"/>
      <c r="S45" s="199"/>
      <c r="T45" s="199"/>
    </row>
    <row r="46" spans="1:20" s="3" customFormat="1" ht="16" thickBot="1" x14ac:dyDescent="0.25">
      <c r="A46" s="198" t="s">
        <v>19</v>
      </c>
      <c r="C46" s="244" t="str">
        <f>IF(D26&lt;=E26,"Stigning af scope 2 udledninger (visning)","")</f>
        <v/>
      </c>
      <c r="D46" s="211"/>
      <c r="F46" s="204"/>
      <c r="G46" s="204"/>
      <c r="H46" s="199"/>
      <c r="J46" s="240" t="str">
        <f>I43</f>
        <v/>
      </c>
      <c r="L46" s="198" t="s">
        <v>14</v>
      </c>
      <c r="M46" s="199"/>
      <c r="O46" s="199"/>
      <c r="P46" s="199"/>
      <c r="Q46" s="199"/>
      <c r="R46" s="199"/>
      <c r="S46" s="199"/>
      <c r="T46" s="199"/>
    </row>
    <row r="47" spans="1:20" s="3" customFormat="1" ht="16" thickBot="1" x14ac:dyDescent="0.25">
      <c r="A47" s="198" t="s">
        <v>19</v>
      </c>
      <c r="C47" s="244" t="s">
        <v>22</v>
      </c>
      <c r="D47" s="211"/>
      <c r="F47" s="204"/>
      <c r="G47" s="204"/>
      <c r="H47" s="199"/>
      <c r="I47" s="217"/>
      <c r="J47" s="387">
        <f>IF(E26-D26&lt;0,ROUND((E26-D26)/D26,3),"")</f>
        <v>-0.42899999999999999</v>
      </c>
      <c r="L47" s="198" t="s">
        <v>14</v>
      </c>
      <c r="M47" s="199"/>
      <c r="O47" s="199"/>
      <c r="P47" s="199"/>
      <c r="Q47" s="199"/>
      <c r="R47" s="199"/>
      <c r="S47" s="199"/>
    </row>
    <row r="48" spans="1:20" s="3" customFormat="1" ht="16" thickBot="1" x14ac:dyDescent="0.25">
      <c r="A48" s="198" t="s">
        <v>19</v>
      </c>
      <c r="C48" s="244" t="s">
        <v>23</v>
      </c>
      <c r="D48" s="211"/>
      <c r="F48" s="204"/>
      <c r="G48" s="204"/>
      <c r="H48" s="199"/>
      <c r="I48" s="217"/>
      <c r="J48" s="241" t="str">
        <f>IF(E26-D26&gt;=0,ROUND((E26-D26)/D26,3),"")</f>
        <v/>
      </c>
      <c r="L48" s="198" t="s">
        <v>14</v>
      </c>
      <c r="M48" s="199"/>
      <c r="O48" s="199"/>
      <c r="P48" s="199"/>
      <c r="Q48" s="199"/>
      <c r="R48" s="199"/>
      <c r="S48" s="199"/>
    </row>
    <row r="49" spans="1:19" s="3" customFormat="1" ht="15" x14ac:dyDescent="0.2">
      <c r="A49" s="198" t="s">
        <v>19</v>
      </c>
      <c r="C49" s="215"/>
      <c r="D49" s="216"/>
      <c r="F49" s="204"/>
      <c r="G49" s="204"/>
      <c r="H49" s="217"/>
      <c r="I49" s="217"/>
      <c r="J49" s="82"/>
      <c r="L49" s="198" t="s">
        <v>14</v>
      </c>
      <c r="M49" s="199"/>
      <c r="O49" s="199"/>
      <c r="P49" s="199"/>
      <c r="Q49" s="199"/>
      <c r="R49" s="199"/>
      <c r="S49" s="199"/>
    </row>
    <row r="50" spans="1:19" s="3" customFormat="1" ht="15" x14ac:dyDescent="0.2">
      <c r="A50" s="198" t="s">
        <v>19</v>
      </c>
      <c r="C50" s="215"/>
      <c r="D50" s="220">
        <f>$D$24</f>
        <v>2015</v>
      </c>
      <c r="E50" s="220">
        <f>$E$24</f>
        <v>2030</v>
      </c>
      <c r="F50" s="204"/>
      <c r="G50" s="204"/>
      <c r="H50" s="199"/>
      <c r="I50" s="217"/>
      <c r="J50" s="82"/>
      <c r="L50" s="198" t="s">
        <v>14</v>
      </c>
      <c r="M50" s="199"/>
      <c r="O50" s="199"/>
      <c r="P50" s="199"/>
      <c r="Q50" s="199"/>
      <c r="R50" s="199"/>
      <c r="S50" s="199"/>
    </row>
    <row r="51" spans="1:19" s="3" customFormat="1" ht="16" thickBot="1" x14ac:dyDescent="0.25">
      <c r="A51" s="198" t="s">
        <v>19</v>
      </c>
      <c r="C51" s="219" t="str">
        <f>$C$27</f>
        <v>Scope 3</v>
      </c>
      <c r="D51" s="218">
        <f>$D27</f>
        <v>8</v>
      </c>
      <c r="E51" s="218">
        <f>$E27</f>
        <v>5</v>
      </c>
      <c r="F51" s="204"/>
      <c r="G51" s="204"/>
      <c r="H51" s="199"/>
      <c r="I51" s="217"/>
      <c r="J51" s="82"/>
      <c r="L51" s="198" t="s">
        <v>14</v>
      </c>
      <c r="M51" s="199"/>
      <c r="O51" s="199"/>
      <c r="P51" s="199"/>
      <c r="Q51" s="199"/>
      <c r="R51" s="199"/>
      <c r="S51" s="199"/>
    </row>
    <row r="52" spans="1:19" s="3" customFormat="1" ht="16" thickBot="1" x14ac:dyDescent="0.25">
      <c r="A52" s="198" t="s">
        <v>19</v>
      </c>
      <c r="C52" s="245" t="str">
        <f>IF(E27&gt;D27,"Målsætning for scope 3 fratrukket reduktionen","Målsætning for scope 3")</f>
        <v>Målsætning for scope 3</v>
      </c>
      <c r="D52" s="211"/>
      <c r="F52" s="204"/>
      <c r="G52" s="204"/>
      <c r="H52" s="199"/>
      <c r="I52" s="239">
        <f>MIN(E27,D27)</f>
        <v>5</v>
      </c>
      <c r="L52" s="198" t="s">
        <v>14</v>
      </c>
      <c r="M52" s="199"/>
      <c r="O52" s="199"/>
      <c r="P52" s="199"/>
      <c r="Q52" s="199"/>
      <c r="R52" s="199"/>
      <c r="S52" s="199"/>
    </row>
    <row r="53" spans="1:19" s="3" customFormat="1" ht="16" thickBot="1" x14ac:dyDescent="0.25">
      <c r="A53" s="198" t="s">
        <v>19</v>
      </c>
      <c r="C53" s="243" t="str">
        <f>IF(D27&gt;E27,Tekstnøgler!C364,Tekstnøgler!C367)</f>
        <v>Reduktion opnået (scope 3)</v>
      </c>
      <c r="D53" s="211"/>
      <c r="F53" s="204"/>
      <c r="G53" s="204"/>
      <c r="H53" s="199"/>
      <c r="I53" s="239">
        <f>IF(-MIN(E27-D27,0)=0,"",-MIN(E27-D27,0))</f>
        <v>3</v>
      </c>
      <c r="L53" s="198" t="s">
        <v>14</v>
      </c>
      <c r="M53" s="199"/>
      <c r="O53" s="199"/>
      <c r="P53" s="199"/>
      <c r="Q53" s="199"/>
      <c r="R53" s="199"/>
      <c r="S53" s="199"/>
    </row>
    <row r="54" spans="1:19" s="3" customFormat="1" ht="16" thickBot="1" x14ac:dyDescent="0.25">
      <c r="A54" s="198" t="s">
        <v>19</v>
      </c>
      <c r="C54" s="244" t="str">
        <f>IF(D27&lt;=E27,Tekstnøgler!C366,Tekstnøgler!C367)</f>
        <v>(ikke relevant)</v>
      </c>
      <c r="D54" s="211"/>
      <c r="F54" s="204"/>
      <c r="G54" s="204"/>
      <c r="H54" s="199"/>
      <c r="I54" s="239" t="str">
        <f>IF(MAX(E27-D27,0)=0,"",MAX(E27-D27,0))</f>
        <v/>
      </c>
      <c r="L54" s="198" t="s">
        <v>14</v>
      </c>
      <c r="M54" s="199"/>
      <c r="O54" s="199"/>
      <c r="P54" s="199"/>
      <c r="Q54" s="199"/>
      <c r="R54" s="199"/>
      <c r="S54" s="199"/>
    </row>
    <row r="55" spans="1:19" s="3" customFormat="1" ht="16" thickBot="1" x14ac:dyDescent="0.25">
      <c r="A55" s="198" t="s">
        <v>19</v>
      </c>
      <c r="C55" s="242" t="str">
        <f>IF(E27&gt;D27,"Målsætning for scope 3 fratrukket reduktionen (visning)","Målsætning for scope 3 (visning)")</f>
        <v>Målsætning for scope 3 (visning)</v>
      </c>
      <c r="D55" s="211"/>
      <c r="F55" s="204"/>
      <c r="G55" s="204"/>
      <c r="H55" s="199"/>
      <c r="I55" s="82"/>
      <c r="J55" s="240">
        <f>I52</f>
        <v>5</v>
      </c>
      <c r="L55" s="198" t="s">
        <v>14</v>
      </c>
      <c r="M55" s="199"/>
      <c r="O55" s="199"/>
      <c r="P55" s="199"/>
      <c r="Q55" s="199"/>
      <c r="R55" s="199"/>
      <c r="S55" s="199"/>
    </row>
    <row r="56" spans="1:19" s="3" customFormat="1" ht="16" thickBot="1" x14ac:dyDescent="0.25">
      <c r="A56" s="198" t="s">
        <v>19</v>
      </c>
      <c r="C56" s="243" t="str">
        <f>IF(D27&gt;E27,"Reduktion opnået for scope 3 (visning)","")</f>
        <v>Reduktion opnået for scope 3 (visning)</v>
      </c>
      <c r="D56" s="211"/>
      <c r="F56" s="204"/>
      <c r="G56" s="204"/>
      <c r="H56" s="199"/>
      <c r="J56" s="240">
        <f>I53</f>
        <v>3</v>
      </c>
      <c r="L56" s="198" t="s">
        <v>14</v>
      </c>
      <c r="M56" s="199"/>
      <c r="O56" s="199"/>
      <c r="P56" s="199"/>
      <c r="Q56" s="199"/>
      <c r="R56" s="199"/>
      <c r="S56" s="199"/>
    </row>
    <row r="57" spans="1:19" s="3" customFormat="1" ht="16" thickBot="1" x14ac:dyDescent="0.25">
      <c r="A57" s="198" t="s">
        <v>19</v>
      </c>
      <c r="C57" s="244" t="str">
        <f>IF(D27&lt;=E27,"Stigning af scope 3 udledninger (visning)","")</f>
        <v/>
      </c>
      <c r="D57" s="211"/>
      <c r="F57" s="204"/>
      <c r="G57" s="204"/>
      <c r="H57" s="199"/>
      <c r="J57" s="240" t="str">
        <f>I54</f>
        <v/>
      </c>
      <c r="L57" s="198" t="s">
        <v>14</v>
      </c>
      <c r="M57" s="199"/>
      <c r="O57" s="199"/>
      <c r="P57" s="199"/>
      <c r="Q57" s="199"/>
      <c r="R57" s="199"/>
      <c r="S57" s="199"/>
    </row>
    <row r="58" spans="1:19" s="3" customFormat="1" ht="16" thickBot="1" x14ac:dyDescent="0.25">
      <c r="A58" s="198" t="s">
        <v>19</v>
      </c>
      <c r="C58" s="244" t="s">
        <v>24</v>
      </c>
      <c r="D58" s="211"/>
      <c r="F58" s="204"/>
      <c r="G58" s="204"/>
      <c r="H58" s="199"/>
      <c r="I58" s="217"/>
      <c r="J58" s="387">
        <f>IF(E27-D27&lt;0,ROUND((E27-D27)/D27,3),"")</f>
        <v>-0.375</v>
      </c>
      <c r="L58" s="198" t="s">
        <v>14</v>
      </c>
      <c r="M58" s="199"/>
      <c r="O58" s="199"/>
      <c r="P58" s="199"/>
      <c r="Q58" s="199"/>
      <c r="R58" s="199"/>
      <c r="S58" s="199"/>
    </row>
    <row r="59" spans="1:19" s="3" customFormat="1" ht="16" thickBot="1" x14ac:dyDescent="0.25">
      <c r="A59" s="198" t="s">
        <v>19</v>
      </c>
      <c r="C59" s="244" t="s">
        <v>25</v>
      </c>
      <c r="D59" s="211"/>
      <c r="F59" s="204"/>
      <c r="G59" s="204"/>
      <c r="H59" s="199"/>
      <c r="I59" s="217"/>
      <c r="J59" s="241" t="str">
        <f>IF(E27-D27&gt;=0,ROUND((E27-D27)/D27,3),"")</f>
        <v/>
      </c>
      <c r="L59" s="198" t="s">
        <v>14</v>
      </c>
      <c r="M59" s="199"/>
      <c r="O59" s="199"/>
      <c r="P59" s="199"/>
      <c r="Q59" s="199"/>
      <c r="R59" s="199"/>
      <c r="S59" s="199"/>
    </row>
    <row r="60" spans="1:19" ht="14.5" customHeight="1" x14ac:dyDescent="0.15">
      <c r="I60" s="111"/>
    </row>
    <row r="61" spans="1:19" ht="11.5" customHeight="1" thickBot="1" x14ac:dyDescent="0.2">
      <c r="C61" s="111"/>
      <c r="D61" s="111"/>
      <c r="E61" s="111"/>
      <c r="F61" s="111"/>
      <c r="G61" s="111"/>
      <c r="H61" s="111"/>
      <c r="I61" s="111"/>
      <c r="J61" s="111"/>
      <c r="K61" s="111"/>
      <c r="L61" s="131"/>
      <c r="M61" s="131"/>
    </row>
    <row r="62" spans="1:19" ht="20.25" customHeight="1" thickBot="1" x14ac:dyDescent="0.2">
      <c r="C62" s="482" t="str">
        <f>Tekstnøgler!C368</f>
        <v>Tabel 2: Oversigt over virksomhedens CO₂e-udledninger fordelt på hovedkategorier</v>
      </c>
      <c r="D62" s="483"/>
      <c r="E62" s="483"/>
      <c r="F62" s="483"/>
      <c r="G62" s="489"/>
      <c r="H62" s="111"/>
      <c r="I62" s="111"/>
      <c r="J62" s="111"/>
      <c r="K62" s="131"/>
      <c r="L62" s="131"/>
    </row>
    <row r="63" spans="1:19" ht="18.75" customHeight="1" thickBot="1" x14ac:dyDescent="0.2">
      <c r="C63" s="174"/>
      <c r="D63" s="485" t="str">
        <f>Tekstnøgler!C370</f>
        <v>Ton CO₂e</v>
      </c>
      <c r="E63" s="486"/>
      <c r="F63" s="490" t="str">
        <f>Tekstnøgler!C371</f>
        <v>Fordeling i %</v>
      </c>
      <c r="G63" s="491"/>
      <c r="H63" s="111"/>
      <c r="I63" s="111"/>
      <c r="J63" s="111"/>
      <c r="K63" s="131"/>
      <c r="L63" s="131"/>
    </row>
    <row r="64" spans="1:19" ht="19.5" customHeight="1" thickBot="1" x14ac:dyDescent="0.2">
      <c r="C64" s="176" t="str">
        <f>Tekstnøgler!C372</f>
        <v>Hovedkategori</v>
      </c>
      <c r="D64" s="214">
        <f>$C$11</f>
        <v>2015</v>
      </c>
      <c r="E64" s="214">
        <f>$D$11</f>
        <v>2030</v>
      </c>
      <c r="F64" s="214">
        <f>$C$11</f>
        <v>2015</v>
      </c>
      <c r="G64" s="281">
        <f>$D$11</f>
        <v>2030</v>
      </c>
      <c r="H64" s="175"/>
      <c r="I64" s="111"/>
      <c r="J64" s="111"/>
      <c r="K64" s="111"/>
      <c r="L64" s="131"/>
      <c r="M64" s="131"/>
    </row>
    <row r="65" spans="3:13" ht="14" x14ac:dyDescent="0.15">
      <c r="C65" s="172" t="str">
        <f>Tekstnøgler!C373</f>
        <v>Energi og processer</v>
      </c>
      <c r="D65" s="248">
        <v>1000</v>
      </c>
      <c r="E65" s="248">
        <v>2000</v>
      </c>
      <c r="F65" s="359">
        <f>IF(ISBLANK(D65),,D65/$D$70)</f>
        <v>0.16666666666666666</v>
      </c>
      <c r="G65" s="359">
        <f>IF(ISBLANK(E65),,E65/$E$70)</f>
        <v>0.16666666666666666</v>
      </c>
      <c r="H65" s="177"/>
      <c r="I65" s="111"/>
      <c r="J65" s="111"/>
      <c r="K65" s="111"/>
      <c r="L65" s="131"/>
      <c r="M65" s="131"/>
    </row>
    <row r="66" spans="3:13" ht="14" x14ac:dyDescent="0.15">
      <c r="C66" s="172" t="str">
        <f>Tekstnøgler!C374</f>
        <v>Indkøb</v>
      </c>
      <c r="D66" s="248">
        <v>1500</v>
      </c>
      <c r="E66" s="248">
        <v>2000</v>
      </c>
      <c r="F66" s="359">
        <f t="shared" ref="F66:F69" si="3">IF(ISBLANK(D66),,D66/$D$70)</f>
        <v>0.25</v>
      </c>
      <c r="G66" s="359">
        <f t="shared" ref="G66:G69" si="4">IF(ISBLANK(E66),,E66/$E$70)</f>
        <v>0.16666666666666666</v>
      </c>
      <c r="H66" s="177"/>
      <c r="I66" s="111"/>
      <c r="J66" s="111"/>
      <c r="K66" s="111"/>
      <c r="L66" s="131"/>
      <c r="M66" s="131"/>
    </row>
    <row r="67" spans="3:13" ht="14" x14ac:dyDescent="0.15">
      <c r="C67" s="172" t="str">
        <f>Tekstnøgler!C375</f>
        <v>Transport</v>
      </c>
      <c r="D67" s="248"/>
      <c r="E67" s="248">
        <v>2000</v>
      </c>
      <c r="F67" s="359">
        <f t="shared" si="3"/>
        <v>0</v>
      </c>
      <c r="G67" s="359">
        <f t="shared" si="4"/>
        <v>0.16666666666666666</v>
      </c>
      <c r="H67" s="177"/>
      <c r="I67" s="111"/>
      <c r="J67" s="111"/>
      <c r="K67" s="111"/>
      <c r="L67" s="131"/>
      <c r="M67" s="131"/>
    </row>
    <row r="68" spans="3:13" ht="14" x14ac:dyDescent="0.15">
      <c r="C68" s="172" t="str">
        <f>Tekstnøgler!C376</f>
        <v>Affald og genbrug</v>
      </c>
      <c r="D68" s="248">
        <v>500</v>
      </c>
      <c r="E68" s="248">
        <v>2000</v>
      </c>
      <c r="F68" s="359">
        <f t="shared" si="3"/>
        <v>8.3333333333333329E-2</v>
      </c>
      <c r="G68" s="359">
        <f t="shared" si="4"/>
        <v>0.16666666666666666</v>
      </c>
      <c r="H68" s="177"/>
      <c r="I68" s="111"/>
      <c r="J68" s="111"/>
      <c r="K68" s="111"/>
      <c r="L68" s="131"/>
      <c r="M68" s="131"/>
    </row>
    <row r="69" spans="3:13" ht="14" x14ac:dyDescent="0.15">
      <c r="C69" s="172" t="str">
        <f>Tekstnøgler!C377</f>
        <v>Solgte produkter</v>
      </c>
      <c r="D69" s="248">
        <v>3000</v>
      </c>
      <c r="E69" s="248">
        <v>4000</v>
      </c>
      <c r="F69" s="359">
        <f t="shared" si="3"/>
        <v>0.5</v>
      </c>
      <c r="G69" s="359">
        <f t="shared" si="4"/>
        <v>0.33333333333333331</v>
      </c>
      <c r="H69" s="177"/>
      <c r="I69" s="111"/>
      <c r="J69" s="111"/>
      <c r="K69" s="111"/>
      <c r="L69" s="131"/>
      <c r="M69" s="131"/>
    </row>
    <row r="70" spans="3:13" ht="15" thickBot="1" x14ac:dyDescent="0.2">
      <c r="C70" s="45" t="str">
        <f>Tekstnøgler!C378</f>
        <v>Total</v>
      </c>
      <c r="D70" s="197">
        <f>SUM(D65:D69)</f>
        <v>6000</v>
      </c>
      <c r="E70" s="197">
        <f>SUM(E65:E69)</f>
        <v>12000</v>
      </c>
      <c r="F70" s="388">
        <f>SUM(F65:F69)</f>
        <v>1</v>
      </c>
      <c r="G70" s="388">
        <f>SUM(G65:G69)</f>
        <v>1</v>
      </c>
      <c r="H70" s="177"/>
      <c r="I70" s="111"/>
      <c r="J70" s="111"/>
      <c r="K70" s="111"/>
      <c r="L70" s="131"/>
      <c r="M70" s="131"/>
    </row>
    <row r="71" spans="3:13" ht="11.5" customHeight="1" x14ac:dyDescent="0.15">
      <c r="C71" s="111"/>
      <c r="D71" s="111"/>
      <c r="E71" s="111"/>
      <c r="F71" s="111"/>
      <c r="G71" s="111"/>
      <c r="H71" s="111"/>
      <c r="I71" s="111"/>
      <c r="J71" s="111"/>
      <c r="K71" s="111"/>
      <c r="L71" s="131"/>
      <c r="M71" s="131"/>
    </row>
    <row r="72" spans="3:13" ht="11.5" customHeight="1" x14ac:dyDescent="0.15">
      <c r="C72" s="111"/>
      <c r="D72" s="111"/>
      <c r="E72" s="111"/>
      <c r="F72" s="111"/>
      <c r="G72" s="111"/>
      <c r="H72" s="111"/>
      <c r="I72" s="111"/>
      <c r="J72" s="111"/>
      <c r="K72" s="111"/>
      <c r="L72" s="131"/>
      <c r="M72" s="131"/>
    </row>
    <row r="73" spans="3:13" ht="11.5" customHeight="1" x14ac:dyDescent="0.15">
      <c r="C73" s="111"/>
      <c r="D73" s="111"/>
      <c r="E73" s="111"/>
      <c r="F73" s="111"/>
      <c r="G73" s="111"/>
      <c r="H73" s="111"/>
      <c r="I73" s="111"/>
      <c r="J73" s="111"/>
      <c r="K73" s="111"/>
      <c r="L73" s="131"/>
      <c r="M73" s="131"/>
    </row>
    <row r="74" spans="3:13" ht="29.5" customHeight="1" x14ac:dyDescent="0.2">
      <c r="C74" s="168" t="str">
        <f>Tekstnøgler!C379</f>
        <v>Opsummering af virksomhedens estimerede fremskrivning på scopes og hovedkategorier</v>
      </c>
      <c r="D74" s="168"/>
      <c r="E74" s="111"/>
      <c r="F74" s="111"/>
      <c r="G74" s="111"/>
      <c r="H74" s="178"/>
      <c r="I74" s="111"/>
      <c r="J74" s="178"/>
      <c r="K74" s="111"/>
      <c r="L74" s="131"/>
      <c r="M74" s="131"/>
    </row>
    <row r="75" spans="3:13" ht="11.5" customHeight="1" x14ac:dyDescent="0.15">
      <c r="E75" s="146"/>
      <c r="F75" s="146"/>
      <c r="G75" s="145"/>
      <c r="H75" s="111"/>
      <c r="I75" s="111"/>
      <c r="J75" s="111"/>
      <c r="K75" s="111"/>
      <c r="L75" s="131"/>
      <c r="M75" s="131"/>
    </row>
    <row r="76" spans="3:13" ht="43.5" customHeight="1" x14ac:dyDescent="0.15">
      <c r="C76" s="484" t="str">
        <f>Tekstnøgler!C380</f>
        <v>Nedenstående figurer opsummerer virksomhedens estimerede udledninger i de kommende 10 år. Figur 1 angiver virksomhedens estimerede CO₂e-udledning i ton CO₂e-ækvivalenter fordelt på scopes for alle fremskrevne år. Figur 2 viser den fordeling af CO₂e-udledningen fordelt på hovedkategorier for slut- og basisår.</v>
      </c>
      <c r="D76" s="484"/>
      <c r="E76" s="484"/>
      <c r="F76" s="484"/>
      <c r="G76" s="484"/>
      <c r="H76" s="111"/>
      <c r="I76" s="111"/>
      <c r="J76" s="111"/>
      <c r="K76" s="111"/>
      <c r="L76" s="131"/>
      <c r="M76" s="131"/>
    </row>
    <row r="77" spans="3:13" ht="18.75" customHeight="1" x14ac:dyDescent="0.15">
      <c r="C77" s="476" t="str">
        <f>Tekstnøgler!C381</f>
        <v>Figur 1: Fremskrevne CO₂e-udledninger fordelt på scopes (ton)</v>
      </c>
      <c r="D77" s="476"/>
      <c r="E77" s="476"/>
      <c r="F77" s="476"/>
      <c r="G77" s="476"/>
      <c r="H77" s="476"/>
      <c r="I77" s="476"/>
      <c r="J77" s="476"/>
      <c r="K77" s="111"/>
      <c r="L77" s="131"/>
      <c r="M77" s="131"/>
    </row>
    <row r="78" spans="3:13" ht="7.5" customHeight="1" x14ac:dyDescent="0.15">
      <c r="C78" s="111"/>
      <c r="D78" s="111"/>
      <c r="E78" s="111"/>
      <c r="F78" s="111"/>
      <c r="G78" s="111"/>
      <c r="H78" s="111"/>
      <c r="I78" s="111"/>
      <c r="J78" s="111"/>
      <c r="K78" s="111"/>
      <c r="L78" s="131"/>
      <c r="M78" s="131"/>
    </row>
    <row r="79" spans="3:13" ht="11.5" customHeight="1" x14ac:dyDescent="0.15">
      <c r="C79" s="111"/>
      <c r="D79" s="111"/>
      <c r="E79" s="111"/>
      <c r="F79" s="111"/>
      <c r="G79" s="111"/>
      <c r="H79" s="111"/>
      <c r="I79" s="131"/>
      <c r="J79" s="111"/>
      <c r="K79" s="111"/>
      <c r="L79" s="131"/>
      <c r="M79" s="131"/>
    </row>
    <row r="80" spans="3:13" ht="11.5" customHeight="1" x14ac:dyDescent="0.15">
      <c r="C80" s="111"/>
      <c r="D80" s="111"/>
      <c r="E80" s="111"/>
      <c r="F80" s="111"/>
      <c r="H80" s="111"/>
      <c r="I80" s="131"/>
      <c r="J80" s="111"/>
      <c r="K80" s="111"/>
      <c r="L80" s="131"/>
      <c r="M80" s="131"/>
    </row>
    <row r="81" spans="3:13" ht="11.5" customHeight="1" x14ac:dyDescent="0.15">
      <c r="C81" s="111"/>
      <c r="D81" s="111"/>
      <c r="E81" s="111"/>
      <c r="F81" s="111"/>
      <c r="G81" s="111"/>
      <c r="H81" s="111"/>
      <c r="I81" s="111"/>
      <c r="J81" s="111"/>
      <c r="K81" s="111"/>
      <c r="L81" s="131"/>
      <c r="M81" s="131"/>
    </row>
    <row r="82" spans="3:13" ht="11.5" customHeight="1" x14ac:dyDescent="0.15">
      <c r="C82" s="111"/>
      <c r="D82" s="111"/>
      <c r="E82" s="111"/>
      <c r="F82" s="111"/>
      <c r="G82" s="111"/>
      <c r="H82" s="111"/>
      <c r="I82" s="111"/>
      <c r="K82" s="210"/>
      <c r="L82" s="202"/>
      <c r="M82" s="131"/>
    </row>
    <row r="83" spans="3:13" ht="11.5" customHeight="1" x14ac:dyDescent="0.2">
      <c r="C83" s="111"/>
      <c r="D83" s="111"/>
      <c r="E83" s="111"/>
      <c r="F83" s="111"/>
      <c r="G83" s="179"/>
      <c r="H83" s="111"/>
      <c r="I83" s="111"/>
      <c r="J83" s="131"/>
      <c r="K83" s="131"/>
      <c r="L83" s="131"/>
      <c r="M83" s="131"/>
    </row>
    <row r="84" spans="3:13" ht="11.5" customHeight="1" x14ac:dyDescent="0.15">
      <c r="C84" s="111"/>
      <c r="D84" s="111"/>
      <c r="E84" s="111"/>
      <c r="F84" s="111"/>
      <c r="G84" s="111"/>
      <c r="H84" s="111"/>
      <c r="I84" s="111"/>
      <c r="J84" s="131"/>
      <c r="K84" s="131"/>
      <c r="L84" s="131"/>
      <c r="M84" s="131"/>
    </row>
    <row r="85" spans="3:13" ht="11.5" customHeight="1" x14ac:dyDescent="0.15">
      <c r="C85" s="111"/>
      <c r="D85" s="111"/>
      <c r="E85" s="111"/>
      <c r="F85" s="111"/>
      <c r="G85" s="111"/>
      <c r="I85" s="111"/>
      <c r="J85" s="131"/>
      <c r="K85" s="131"/>
      <c r="L85" s="131"/>
      <c r="M85" s="131"/>
    </row>
    <row r="86" spans="3:13" ht="11.5" customHeight="1" x14ac:dyDescent="0.15">
      <c r="C86" s="111"/>
      <c r="D86" s="111"/>
      <c r="E86" s="111"/>
      <c r="F86" s="111"/>
      <c r="G86" s="111"/>
      <c r="H86" s="111"/>
      <c r="I86" s="111"/>
      <c r="J86" s="111"/>
      <c r="K86" s="111"/>
      <c r="L86" s="131"/>
      <c r="M86" s="131"/>
    </row>
    <row r="87" spans="3:13" ht="11.5" customHeight="1" x14ac:dyDescent="0.15">
      <c r="C87" s="111"/>
      <c r="D87" s="111"/>
      <c r="E87" s="111"/>
      <c r="F87" s="111"/>
      <c r="G87" s="111"/>
      <c r="H87" s="111"/>
      <c r="J87" s="111"/>
      <c r="K87" s="111"/>
      <c r="L87" s="131"/>
      <c r="M87" s="131"/>
    </row>
    <row r="88" spans="3:13" ht="11.5" customHeight="1" x14ac:dyDescent="0.15">
      <c r="C88" s="111"/>
      <c r="D88" s="111"/>
      <c r="E88" s="111"/>
      <c r="F88" s="111"/>
      <c r="J88" s="111"/>
      <c r="K88" s="111"/>
      <c r="L88" s="131"/>
      <c r="M88" s="131"/>
    </row>
    <row r="89" spans="3:13" ht="11.5" customHeight="1" x14ac:dyDescent="0.15">
      <c r="C89" s="111"/>
      <c r="D89" s="111"/>
      <c r="E89" s="111"/>
      <c r="F89" s="111"/>
      <c r="J89" s="111"/>
      <c r="K89" s="111"/>
      <c r="L89" s="131"/>
      <c r="M89" s="131"/>
    </row>
    <row r="90" spans="3:13" ht="11.5" customHeight="1" x14ac:dyDescent="0.15">
      <c r="C90" s="111"/>
      <c r="D90" s="111"/>
      <c r="E90" s="111"/>
      <c r="F90" s="111"/>
      <c r="J90" s="111"/>
      <c r="K90" s="111"/>
      <c r="L90" s="131"/>
      <c r="M90" s="131"/>
    </row>
    <row r="91" spans="3:13" ht="11.5" customHeight="1" x14ac:dyDescent="0.15">
      <c r="C91" s="111"/>
      <c r="D91" s="111"/>
      <c r="E91" s="111"/>
      <c r="F91" s="111"/>
      <c r="J91" s="111"/>
      <c r="K91" s="111"/>
      <c r="L91" s="131"/>
      <c r="M91" s="131"/>
    </row>
    <row r="92" spans="3:13" ht="11.5" customHeight="1" x14ac:dyDescent="0.15">
      <c r="C92" s="111"/>
      <c r="D92" s="111"/>
      <c r="E92" s="111"/>
      <c r="F92" s="111"/>
      <c r="J92" s="111"/>
      <c r="K92" s="111"/>
      <c r="L92" s="131"/>
      <c r="M92" s="131"/>
    </row>
    <row r="93" spans="3:13" ht="11.5" customHeight="1" x14ac:dyDescent="0.15">
      <c r="C93" s="111"/>
      <c r="D93" s="111"/>
      <c r="E93" s="111"/>
      <c r="F93" s="111"/>
      <c r="G93" s="111"/>
      <c r="H93" s="111"/>
      <c r="I93" s="111"/>
      <c r="J93" s="111"/>
      <c r="K93" s="111"/>
      <c r="L93" s="131"/>
      <c r="M93" s="131"/>
    </row>
    <row r="94" spans="3:13" ht="11.5" customHeight="1" x14ac:dyDescent="0.15">
      <c r="C94" s="111"/>
      <c r="D94" s="111"/>
      <c r="E94" s="111"/>
      <c r="F94" s="111"/>
      <c r="G94" s="111"/>
      <c r="H94" s="111"/>
      <c r="J94" s="111"/>
      <c r="K94" s="111"/>
      <c r="L94" s="131"/>
      <c r="M94" s="131"/>
    </row>
    <row r="98" spans="3:9" ht="17.25" customHeight="1" x14ac:dyDescent="0.15">
      <c r="C98" s="476" t="str">
        <f>Tekstnøgler!C382</f>
        <v>Figur 2: Fremskrevne CO₂e-udledninger fordelt på hovedkategorier (ton)</v>
      </c>
      <c r="D98" s="476"/>
      <c r="E98" s="476"/>
      <c r="F98" s="476" t="str">
        <f>Tekstnøgler!C383</f>
        <v>Figur 3: Fremskrevne CO₂e-udledninger fordelt på hovedkategorier - Scope 1 (ton)</v>
      </c>
      <c r="G98" s="476"/>
      <c r="H98" s="476"/>
      <c r="I98" s="476"/>
    </row>
    <row r="118" spans="3:9" ht="13" customHeight="1" x14ac:dyDescent="0.15">
      <c r="C118" s="476" t="str">
        <f>Tekstnøgler!C384</f>
        <v>Figur 4: Fremskrevne CO₂e-udledninger fordelt på hovedkategorier - Scope 2 (ton)</v>
      </c>
      <c r="D118" s="476"/>
      <c r="E118" s="476"/>
      <c r="F118" s="476" t="str">
        <f>Tekstnøgler!C385</f>
        <v>Figur 5: Fremskrevne CO₂e-udledninger fordelt på hovedkategorier - Scope 3 (ton)</v>
      </c>
      <c r="G118" s="476"/>
      <c r="H118" s="476"/>
      <c r="I118" s="167"/>
    </row>
  </sheetData>
  <sheetProtection password="D2FD" sheet="1" objects="1" scenarios="1"/>
  <mergeCells count="17">
    <mergeCell ref="C7:D7"/>
    <mergeCell ref="C8:D8"/>
    <mergeCell ref="C13:D13"/>
    <mergeCell ref="C77:F77"/>
    <mergeCell ref="G77:J77"/>
    <mergeCell ref="C76:G76"/>
    <mergeCell ref="D23:E23"/>
    <mergeCell ref="F23:G23"/>
    <mergeCell ref="C62:G62"/>
    <mergeCell ref="D63:E63"/>
    <mergeCell ref="F63:G63"/>
    <mergeCell ref="C22:G22"/>
    <mergeCell ref="C98:E98"/>
    <mergeCell ref="F98:I98"/>
    <mergeCell ref="C20:G20"/>
    <mergeCell ref="C118:E118"/>
    <mergeCell ref="F118:H118"/>
  </mergeCells>
  <hyperlinks>
    <hyperlink ref="H2" location="Forside!A1" display="Gå til forside" xr:uid="{B27E4D50-7AF1-407C-9631-644B26FF7DDE}"/>
  </hyperlinks>
  <pageMargins left="0.7" right="0.7" top="0.75" bottom="0.75" header="0.3" footer="0.3"/>
  <pageSetup paperSize="9" orientation="portrait" r:id="rId1"/>
  <headerFooter>
    <oddHeader>&amp;R&amp;"Calibri"&amp;10&amp;K000000 INTERNAL&amp;1#_x000D_</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679B4-934D-4BA9-8F0C-ED5C3C348794}">
  <dimension ref="A1:CI193"/>
  <sheetViews>
    <sheetView zoomScaleNormal="100" workbookViewId="0"/>
  </sheetViews>
  <sheetFormatPr baseColWidth="10" defaultColWidth="9.5" defaultRowHeight="13" x14ac:dyDescent="0.15"/>
  <cols>
    <col min="1" max="2" width="2.83203125" style="3" customWidth="1"/>
    <col min="3" max="3" width="63" style="3" customWidth="1"/>
    <col min="4" max="87" width="13.33203125" style="3" customWidth="1"/>
    <col min="88" max="16384" width="9.5" style="3"/>
  </cols>
  <sheetData>
    <row r="1" spans="3:24" ht="15" customHeight="1" x14ac:dyDescent="0.15"/>
    <row r="2" spans="3:24" ht="21" customHeight="1" x14ac:dyDescent="0.2">
      <c r="C2" s="26" t="str">
        <f>Tekstnøgler!C392</f>
        <v>Resultat</v>
      </c>
      <c r="D2" s="27"/>
      <c r="E2" s="27"/>
      <c r="F2" s="27"/>
      <c r="G2" s="27"/>
      <c r="H2" s="27"/>
      <c r="I2" s="27"/>
      <c r="J2" s="290" t="str">
        <f>Tekstnøgler!C2</f>
        <v>&lt;-- Gå til forsiden</v>
      </c>
      <c r="K2" s="27"/>
    </row>
    <row r="3" spans="3:24" ht="15" customHeight="1" x14ac:dyDescent="0.2">
      <c r="C3" s="2"/>
    </row>
    <row r="4" spans="3:24" ht="15" customHeight="1" x14ac:dyDescent="0.2">
      <c r="C4" s="2"/>
    </row>
    <row r="5" spans="3:24" ht="21" customHeight="1" x14ac:dyDescent="0.2">
      <c r="C5" s="29" t="str">
        <f>Tekstnøgler!C393</f>
        <v>Delresultat for fremskrivning</v>
      </c>
      <c r="D5" s="2"/>
    </row>
    <row r="6" spans="3:24" ht="21" customHeight="1" x14ac:dyDescent="0.2">
      <c r="C6" s="501" t="str">
        <f>Tekstnøgler!C394</f>
        <v>Delresultat for fremskrivning</v>
      </c>
      <c r="D6" s="501"/>
      <c r="E6" s="2"/>
    </row>
    <row r="7" spans="3:24" ht="16.5" customHeight="1" x14ac:dyDescent="0.2">
      <c r="C7" s="30"/>
      <c r="D7" s="30"/>
      <c r="E7" s="2"/>
    </row>
    <row r="8" spans="3:24" x14ac:dyDescent="0.15">
      <c r="C8" s="54"/>
      <c r="D8" s="54"/>
    </row>
    <row r="10" spans="3:24" ht="20" x14ac:dyDescent="0.2">
      <c r="C10" s="26" t="str">
        <f>Tekstnøgler!C395</f>
        <v>Delresultatet</v>
      </c>
      <c r="E10" s="27"/>
      <c r="J10" s="27"/>
    </row>
    <row r="11" spans="3:24" x14ac:dyDescent="0.15">
      <c r="D11" s="31"/>
      <c r="F11" s="31"/>
      <c r="G11" s="31"/>
      <c r="H11" s="31"/>
      <c r="I11" s="31"/>
      <c r="K11" s="31"/>
    </row>
    <row r="12" spans="3:24" ht="34.5" customHeight="1" thickBot="1" x14ac:dyDescent="0.2">
      <c r="C12" s="422" t="str">
        <f>Tekstnøgler!C396</f>
        <v>Her ses en mere detaljeret resultatvisning for fremskrivning. Tabellen viser den tilhørende udledning i ton CO₂e for alle underkategorierne, som der er indtastet data for.</v>
      </c>
      <c r="D12" s="422"/>
      <c r="E12" s="422"/>
      <c r="F12" s="422"/>
      <c r="G12" s="422"/>
      <c r="H12" s="422"/>
      <c r="I12" s="422"/>
      <c r="J12" s="422"/>
      <c r="K12" s="422"/>
    </row>
    <row r="13" spans="3:24" ht="21.75" customHeight="1" thickBot="1" x14ac:dyDescent="0.2">
      <c r="C13" s="102" t="str">
        <f>Tekstnøgler!C397</f>
        <v>Tabel 1: Oversigt over virksomhedens CO₂e-udledninger fordelt på scopes</v>
      </c>
      <c r="D13" s="102"/>
      <c r="E13" s="101"/>
      <c r="F13" s="101"/>
      <c r="G13" s="101"/>
      <c r="H13" s="101"/>
      <c r="I13" s="101"/>
      <c r="J13" s="101"/>
      <c r="K13" s="101"/>
      <c r="L13" s="101"/>
      <c r="M13" s="101"/>
      <c r="N13" s="101"/>
      <c r="O13" s="101"/>
      <c r="P13" s="101"/>
      <c r="Q13" s="101"/>
      <c r="R13" s="101"/>
      <c r="S13" s="100"/>
      <c r="T13" s="100"/>
      <c r="U13" s="100"/>
      <c r="V13" s="100"/>
      <c r="W13" s="100"/>
      <c r="X13" s="100"/>
    </row>
    <row r="14" spans="3:24" ht="15.75" customHeight="1" thickBot="1" x14ac:dyDescent="0.2">
      <c r="C14" s="99" t="str">
        <f>Tekstnøgler!C200</f>
        <v>Scope</v>
      </c>
      <c r="D14" s="498" t="str">
        <f>Tekstnøgler!C105</f>
        <v>Ton CO₂e</v>
      </c>
      <c r="E14" s="499"/>
      <c r="F14" s="499"/>
      <c r="G14" s="499"/>
      <c r="H14" s="499"/>
      <c r="I14" s="499"/>
      <c r="J14" s="499"/>
      <c r="K14" s="499"/>
      <c r="L14" s="499"/>
      <c r="M14" s="499"/>
      <c r="N14" s="499"/>
      <c r="O14" s="499"/>
      <c r="P14" s="499"/>
      <c r="Q14" s="499"/>
      <c r="R14" s="499"/>
      <c r="S14" s="499"/>
      <c r="T14" s="499"/>
      <c r="U14" s="499"/>
      <c r="V14" s="499"/>
      <c r="W14" s="499"/>
      <c r="X14" s="500"/>
    </row>
    <row r="15" spans="3:24" ht="14" thickBot="1" x14ac:dyDescent="0.2">
      <c r="C15" s="98"/>
      <c r="D15" s="97">
        <v>2015</v>
      </c>
      <c r="E15" s="97">
        <v>2016</v>
      </c>
      <c r="F15" s="97">
        <v>2017</v>
      </c>
      <c r="G15" s="97">
        <v>2018</v>
      </c>
      <c r="H15" s="97">
        <v>2019</v>
      </c>
      <c r="I15" s="97">
        <v>2020</v>
      </c>
      <c r="J15" s="97">
        <v>2021</v>
      </c>
      <c r="K15" s="97">
        <v>2022</v>
      </c>
      <c r="L15" s="97">
        <v>2023</v>
      </c>
      <c r="M15" s="97">
        <v>2024</v>
      </c>
      <c r="N15" s="97">
        <v>2025</v>
      </c>
      <c r="O15" s="97">
        <v>2026</v>
      </c>
      <c r="P15" s="97">
        <v>2027</v>
      </c>
      <c r="Q15" s="97">
        <v>2028</v>
      </c>
      <c r="R15" s="97">
        <v>2029</v>
      </c>
      <c r="S15" s="97">
        <v>2030</v>
      </c>
      <c r="T15" s="97">
        <v>2031</v>
      </c>
      <c r="U15" s="97">
        <v>2032</v>
      </c>
      <c r="V15" s="97">
        <v>2033</v>
      </c>
      <c r="W15" s="314">
        <v>2034</v>
      </c>
      <c r="X15" s="286">
        <v>2035</v>
      </c>
    </row>
    <row r="16" spans="3:24" ht="13.5" customHeight="1" thickBot="1" x14ac:dyDescent="0.2">
      <c r="C16" s="88" t="str">
        <f>Tekstnøgler!C203</f>
        <v>Scope 1</v>
      </c>
      <c r="D16" s="252">
        <f>D109</f>
        <v>11</v>
      </c>
      <c r="E16" s="252">
        <f>H109</f>
        <v>8</v>
      </c>
      <c r="F16" s="252">
        <f>L109</f>
        <v>8</v>
      </c>
      <c r="G16" s="252">
        <f>P109</f>
        <v>8</v>
      </c>
      <c r="H16" s="252">
        <f>T109</f>
        <v>8</v>
      </c>
      <c r="I16" s="252">
        <f>X109</f>
        <v>8</v>
      </c>
      <c r="J16" s="252">
        <f>AB109</f>
        <v>8</v>
      </c>
      <c r="K16" s="252">
        <f>AF109</f>
        <v>8</v>
      </c>
      <c r="L16" s="252">
        <f>AJ109</f>
        <v>8</v>
      </c>
      <c r="M16" s="252">
        <f>AN109</f>
        <v>8</v>
      </c>
      <c r="N16" s="252">
        <f>AR109</f>
        <v>8</v>
      </c>
      <c r="O16" s="252">
        <f>AV109</f>
        <v>8</v>
      </c>
      <c r="P16" s="252">
        <f>AZ109</f>
        <v>8</v>
      </c>
      <c r="Q16" s="252">
        <f>BD109</f>
        <v>8</v>
      </c>
      <c r="R16" s="252">
        <f>BH109</f>
        <v>8</v>
      </c>
      <c r="S16" s="252">
        <f>BL109</f>
        <v>4</v>
      </c>
      <c r="T16" s="252">
        <f>BP109</f>
        <v>8</v>
      </c>
      <c r="U16" s="252">
        <f>BT109</f>
        <v>8</v>
      </c>
      <c r="V16" s="252">
        <f>BX109</f>
        <v>8</v>
      </c>
      <c r="W16" s="252">
        <f>CB109</f>
        <v>8</v>
      </c>
      <c r="X16" s="313">
        <f>CF109</f>
        <v>8</v>
      </c>
    </row>
    <row r="17" spans="1:87" ht="13.5" customHeight="1" thickBot="1" x14ac:dyDescent="0.2">
      <c r="C17" s="75" t="str">
        <f>Tekstnøgler!C204</f>
        <v>Scope 2</v>
      </c>
      <c r="D17" s="253">
        <f>E109</f>
        <v>7</v>
      </c>
      <c r="E17" s="253">
        <f>I109</f>
        <v>8</v>
      </c>
      <c r="F17" s="253">
        <f>M109</f>
        <v>8</v>
      </c>
      <c r="G17" s="253">
        <f>Q109</f>
        <v>8</v>
      </c>
      <c r="H17" s="253">
        <f>U109</f>
        <v>8</v>
      </c>
      <c r="I17" s="253">
        <f>Y109</f>
        <v>20</v>
      </c>
      <c r="J17" s="253">
        <f>AC109</f>
        <v>8</v>
      </c>
      <c r="K17" s="253">
        <f>AG109</f>
        <v>8</v>
      </c>
      <c r="L17" s="253">
        <f>AK109</f>
        <v>8</v>
      </c>
      <c r="M17" s="253">
        <f>AO109</f>
        <v>8</v>
      </c>
      <c r="N17" s="260">
        <f>AS109</f>
        <v>8</v>
      </c>
      <c r="O17" s="253">
        <f>AW109</f>
        <v>8</v>
      </c>
      <c r="P17" s="260">
        <f>BA109</f>
        <v>8</v>
      </c>
      <c r="Q17" s="253">
        <f>BE109</f>
        <v>8</v>
      </c>
      <c r="R17" s="253">
        <f>BI109</f>
        <v>21</v>
      </c>
      <c r="S17" s="253">
        <f>BM109</f>
        <v>4</v>
      </c>
      <c r="T17" s="253">
        <f>BQ109</f>
        <v>8</v>
      </c>
      <c r="U17" s="260">
        <f>BU109</f>
        <v>8</v>
      </c>
      <c r="V17" s="253">
        <f>BY109</f>
        <v>8</v>
      </c>
      <c r="W17" s="253">
        <f>CC109</f>
        <v>8</v>
      </c>
      <c r="X17" s="253">
        <f>CG109</f>
        <v>8</v>
      </c>
    </row>
    <row r="18" spans="1:87" ht="13.5" customHeight="1" thickBot="1" x14ac:dyDescent="0.2">
      <c r="C18" s="75" t="str">
        <f>Tekstnøgler!C205</f>
        <v>Scope 3</v>
      </c>
      <c r="D18" s="253">
        <f>F109</f>
        <v>8</v>
      </c>
      <c r="E18" s="253">
        <f>J109</f>
        <v>8</v>
      </c>
      <c r="F18" s="253">
        <f>N109</f>
        <v>8</v>
      </c>
      <c r="G18" s="253">
        <f>R109</f>
        <v>8</v>
      </c>
      <c r="H18" s="253">
        <f>V109</f>
        <v>8</v>
      </c>
      <c r="I18" s="253">
        <f>Z109</f>
        <v>8</v>
      </c>
      <c r="J18" s="253">
        <f>AD109</f>
        <v>8</v>
      </c>
      <c r="K18" s="253">
        <f>AH109</f>
        <v>8</v>
      </c>
      <c r="L18" s="253">
        <f>AL109</f>
        <v>8</v>
      </c>
      <c r="M18" s="253">
        <f>AP109</f>
        <v>8</v>
      </c>
      <c r="N18" s="253">
        <f>AT109</f>
        <v>8</v>
      </c>
      <c r="O18" s="253">
        <f>AX109</f>
        <v>8</v>
      </c>
      <c r="P18" s="253">
        <f>BB109</f>
        <v>8</v>
      </c>
      <c r="Q18" s="253">
        <f>BF109</f>
        <v>20</v>
      </c>
      <c r="R18" s="253">
        <f>BJ109</f>
        <v>8</v>
      </c>
      <c r="S18" s="253">
        <f>BN109</f>
        <v>5</v>
      </c>
      <c r="T18" s="253">
        <f>BR109</f>
        <v>8</v>
      </c>
      <c r="U18" s="253">
        <f>BV109</f>
        <v>8</v>
      </c>
      <c r="V18" s="253">
        <f>BZ109</f>
        <v>8</v>
      </c>
      <c r="W18" s="253">
        <f>CD109</f>
        <v>8</v>
      </c>
      <c r="X18" s="253">
        <f>CH109</f>
        <v>8</v>
      </c>
    </row>
    <row r="19" spans="1:87" ht="15" thickBot="1" x14ac:dyDescent="0.2">
      <c r="C19" s="96" t="str">
        <f>Tekstnøgler!C402</f>
        <v>Total</v>
      </c>
      <c r="D19" s="116">
        <f t="shared" ref="D19:X19" si="0">SUM(D16:D18)</f>
        <v>26</v>
      </c>
      <c r="E19" s="116">
        <f t="shared" si="0"/>
        <v>24</v>
      </c>
      <c r="F19" s="116">
        <f t="shared" si="0"/>
        <v>24</v>
      </c>
      <c r="G19" s="116">
        <f t="shared" si="0"/>
        <v>24</v>
      </c>
      <c r="H19" s="116">
        <f t="shared" si="0"/>
        <v>24</v>
      </c>
      <c r="I19" s="116">
        <f t="shared" si="0"/>
        <v>36</v>
      </c>
      <c r="J19" s="116">
        <f t="shared" si="0"/>
        <v>24</v>
      </c>
      <c r="K19" s="116">
        <f t="shared" si="0"/>
        <v>24</v>
      </c>
      <c r="L19" s="116">
        <f t="shared" si="0"/>
        <v>24</v>
      </c>
      <c r="M19" s="116">
        <f t="shared" si="0"/>
        <v>24</v>
      </c>
      <c r="N19" s="116">
        <f t="shared" si="0"/>
        <v>24</v>
      </c>
      <c r="O19" s="116">
        <f t="shared" si="0"/>
        <v>24</v>
      </c>
      <c r="P19" s="116">
        <f t="shared" si="0"/>
        <v>24</v>
      </c>
      <c r="Q19" s="116">
        <f t="shared" si="0"/>
        <v>36</v>
      </c>
      <c r="R19" s="116">
        <f t="shared" si="0"/>
        <v>37</v>
      </c>
      <c r="S19" s="116">
        <f t="shared" si="0"/>
        <v>13</v>
      </c>
      <c r="T19" s="116">
        <f t="shared" si="0"/>
        <v>24</v>
      </c>
      <c r="U19" s="116">
        <f t="shared" si="0"/>
        <v>24</v>
      </c>
      <c r="V19" s="116">
        <f t="shared" si="0"/>
        <v>24</v>
      </c>
      <c r="W19" s="116">
        <f t="shared" si="0"/>
        <v>24</v>
      </c>
      <c r="X19" s="116">
        <f t="shared" si="0"/>
        <v>24</v>
      </c>
    </row>
    <row r="20" spans="1:87" ht="16" thickBot="1" x14ac:dyDescent="0.25">
      <c r="A20" s="198" t="s">
        <v>19</v>
      </c>
      <c r="C20" s="265" t="str">
        <f>IF(M28&gt;H28,"Scopes 1+2+3 i basis år","Scopes 1+2+3 i målår")</f>
        <v>Scopes 1+2+3 i målår</v>
      </c>
      <c r="D20" s="199"/>
      <c r="G20" s="199"/>
      <c r="H20" s="199"/>
      <c r="I20" s="199"/>
      <c r="M20" s="199"/>
      <c r="N20" s="199"/>
      <c r="O20" s="199"/>
      <c r="P20" s="199"/>
      <c r="Q20" s="199"/>
      <c r="R20" s="199"/>
      <c r="S20" s="199"/>
      <c r="Y20" s="239">
        <f>MIN(M28,H28)</f>
        <v>13</v>
      </c>
      <c r="AA20" s="198" t="s">
        <v>26</v>
      </c>
      <c r="AB20" s="198"/>
      <c r="AI20" s="199"/>
    </row>
    <row r="21" spans="1:87" ht="16" thickBot="1" x14ac:dyDescent="0.25">
      <c r="A21" s="198" t="s">
        <v>19</v>
      </c>
      <c r="C21" s="265" t="str">
        <f>IF(M28&lt;H28,Tekstnøgler!C403,Tekstnøgler!C404)</f>
        <v>Reduktion opnået (scope 1+2+3)</v>
      </c>
      <c r="D21" s="199"/>
      <c r="G21" s="199"/>
      <c r="H21" s="199"/>
      <c r="I21" s="199"/>
      <c r="J21" s="199"/>
      <c r="K21" s="199"/>
      <c r="L21" s="199"/>
      <c r="M21" s="199"/>
      <c r="N21" s="199"/>
      <c r="O21" s="199"/>
      <c r="P21" s="199"/>
      <c r="Q21" s="199"/>
      <c r="R21" s="199"/>
      <c r="T21" s="199"/>
      <c r="U21" s="199"/>
      <c r="Y21" s="239">
        <f>-MIN(M28-H28,0)</f>
        <v>13</v>
      </c>
      <c r="AA21" s="198" t="s">
        <v>26</v>
      </c>
      <c r="AB21" s="198"/>
      <c r="AI21" s="199"/>
    </row>
    <row r="22" spans="1:87" ht="16" thickBot="1" x14ac:dyDescent="0.25">
      <c r="A22" s="198" t="s">
        <v>19</v>
      </c>
      <c r="C22" s="266" t="str">
        <f>IF(M28&gt;=H28,Tekstnøgler!C405,Tekstnøgler!C406)</f>
        <v>(ikke relevant)</v>
      </c>
      <c r="D22" s="199"/>
      <c r="G22" s="199"/>
      <c r="H22" s="199"/>
      <c r="I22" s="199"/>
      <c r="J22" s="199"/>
      <c r="K22" s="199"/>
      <c r="L22" s="199"/>
      <c r="M22" s="199"/>
      <c r="N22" s="199"/>
      <c r="O22" s="199"/>
      <c r="P22" s="199"/>
      <c r="Q22" s="199"/>
      <c r="R22" s="199"/>
      <c r="T22" s="199"/>
      <c r="U22" s="199"/>
      <c r="Y22" s="239">
        <f>MAX(M28-H28,0)</f>
        <v>0</v>
      </c>
      <c r="AA22" s="198" t="s">
        <v>26</v>
      </c>
      <c r="AB22" s="198"/>
      <c r="AI22" s="199"/>
    </row>
    <row r="23" spans="1:87" ht="16" thickBot="1" x14ac:dyDescent="0.25">
      <c r="A23" s="198" t="s">
        <v>19</v>
      </c>
      <c r="C23" s="265" t="str">
        <f>IF(M28&gt;H28,"Scopes 1+2+3 i basis år (visning)","Scopes 1+2+3 i målår (visning)")</f>
        <v>Scopes 1+2+3 i målår (visning)</v>
      </c>
      <c r="D23" s="199"/>
      <c r="G23" s="199"/>
      <c r="H23" s="199"/>
      <c r="I23" s="199"/>
      <c r="J23" s="199"/>
      <c r="K23" s="199"/>
      <c r="L23" s="199"/>
      <c r="M23" s="199"/>
      <c r="N23" s="199"/>
      <c r="O23" s="199"/>
      <c r="P23" s="199"/>
      <c r="Q23" s="199"/>
      <c r="R23" s="199"/>
      <c r="S23" s="199"/>
      <c r="T23" s="199"/>
      <c r="Z23" s="251">
        <f>Y20</f>
        <v>13</v>
      </c>
      <c r="AA23" s="198" t="s">
        <v>26</v>
      </c>
      <c r="AB23" s="198"/>
    </row>
    <row r="24" spans="1:87" ht="16" thickBot="1" x14ac:dyDescent="0.25">
      <c r="A24" s="198" t="s">
        <v>19</v>
      </c>
      <c r="C24" s="265" t="str">
        <f>IF(M28&lt;H28,"Reduktion opnået for alle scopes (visning)","")</f>
        <v>Reduktion opnået for alle scopes (visning)</v>
      </c>
      <c r="D24" s="199"/>
      <c r="G24" s="199"/>
      <c r="H24" s="199"/>
      <c r="I24" s="199"/>
      <c r="J24" s="199"/>
      <c r="K24" s="199"/>
      <c r="L24" s="199"/>
      <c r="M24" s="199"/>
      <c r="N24" s="199"/>
      <c r="O24" s="199"/>
      <c r="P24" s="199"/>
      <c r="Q24" s="199"/>
      <c r="R24" s="199"/>
      <c r="S24" s="199"/>
      <c r="T24" s="199"/>
      <c r="Z24" s="251">
        <f>Y21</f>
        <v>13</v>
      </c>
      <c r="AA24" s="198" t="s">
        <v>26</v>
      </c>
      <c r="AB24" s="198"/>
    </row>
    <row r="25" spans="1:87" ht="16" thickBot="1" x14ac:dyDescent="0.25">
      <c r="A25" s="198" t="s">
        <v>19</v>
      </c>
      <c r="C25" s="265" t="str">
        <f>IF(M28&gt;=H28,"Manglende reduktion for alle scopes (visning)","")</f>
        <v/>
      </c>
      <c r="D25" s="199"/>
      <c r="G25" s="199"/>
      <c r="H25" s="199"/>
      <c r="I25" s="199"/>
      <c r="J25" s="199"/>
      <c r="K25" s="199"/>
      <c r="L25" s="199"/>
      <c r="M25" s="199"/>
      <c r="N25" s="199"/>
      <c r="O25" s="199"/>
      <c r="P25" s="199"/>
      <c r="Q25" s="199"/>
      <c r="R25" s="199"/>
      <c r="S25" s="199"/>
      <c r="T25" s="199"/>
      <c r="Z25" s="251">
        <f>Y22</f>
        <v>0</v>
      </c>
      <c r="AA25" s="198" t="s">
        <v>26</v>
      </c>
      <c r="AB25" s="198"/>
    </row>
    <row r="26" spans="1:87" ht="16" thickBot="1" x14ac:dyDescent="0.25">
      <c r="A26" s="198" t="s">
        <v>19</v>
      </c>
      <c r="C26" s="244" t="s">
        <v>27</v>
      </c>
      <c r="D26" s="199"/>
      <c r="H26" s="199"/>
      <c r="I26" s="199"/>
      <c r="J26" s="199"/>
      <c r="K26" s="199"/>
      <c r="L26" s="199"/>
      <c r="M26" s="199"/>
      <c r="N26" s="199"/>
      <c r="O26" s="199"/>
      <c r="P26" s="199"/>
      <c r="Q26" s="199"/>
      <c r="R26" s="199"/>
      <c r="S26" s="199"/>
      <c r="T26" s="199"/>
      <c r="Z26" s="268">
        <f>IF(M28-H28&lt;0,ROUND((M28-H28)/H28,3),"")</f>
        <v>-0.5</v>
      </c>
      <c r="AA26" s="198" t="s">
        <v>26</v>
      </c>
      <c r="AB26" s="198"/>
    </row>
    <row r="27" spans="1:87" ht="16" thickBot="1" x14ac:dyDescent="0.25">
      <c r="A27" s="198" t="s">
        <v>19</v>
      </c>
      <c r="C27" s="244" t="s">
        <v>28</v>
      </c>
      <c r="D27" s="199"/>
      <c r="G27" s="199"/>
      <c r="H27" s="199"/>
      <c r="I27" s="199"/>
      <c r="J27" s="199"/>
      <c r="K27" s="199"/>
      <c r="L27" s="199"/>
      <c r="M27" s="199"/>
      <c r="N27" s="199"/>
      <c r="O27" s="199"/>
      <c r="P27" s="199"/>
      <c r="Q27" s="199"/>
      <c r="R27" s="199"/>
      <c r="S27" s="199"/>
      <c r="T27" s="199"/>
      <c r="Z27" s="268" t="str">
        <f>IF(M28-H28&gt;=0,ROUND((M28-H28)/H28,3),"")</f>
        <v/>
      </c>
      <c r="AA27" s="198" t="s">
        <v>26</v>
      </c>
      <c r="AB27" s="198"/>
    </row>
    <row r="28" spans="1:87" ht="15" x14ac:dyDescent="0.2">
      <c r="A28" s="198" t="s">
        <v>19</v>
      </c>
      <c r="C28" s="215"/>
      <c r="D28" s="199"/>
      <c r="E28" s="273" t="s">
        <v>29</v>
      </c>
      <c r="F28" s="274"/>
      <c r="G28" s="275"/>
      <c r="H28" s="267">
        <f>LOOKUP('Fremskrivning - Hovedresultater'!C11,'Fremskrivning - Delresultater'!D15:X15,'Fremskrivning - Delresultater'!D19:X19)</f>
        <v>26</v>
      </c>
      <c r="J28" s="273" t="s">
        <v>30</v>
      </c>
      <c r="K28" s="274"/>
      <c r="L28" s="275"/>
      <c r="M28" s="267">
        <f>LOOKUP('Fremskrivning - Hovedresultater'!D11,'Fremskrivning - Delresultater'!D15:X15,'Fremskrivning - Delresultater'!D19:X19)</f>
        <v>13</v>
      </c>
      <c r="N28" s="199"/>
      <c r="O28" s="199"/>
      <c r="P28" s="199"/>
      <c r="Q28" s="199"/>
      <c r="R28" s="199"/>
      <c r="S28" s="199"/>
      <c r="T28" s="199"/>
      <c r="Z28" s="269"/>
      <c r="AA28" s="198" t="s">
        <v>26</v>
      </c>
      <c r="AB28" s="198"/>
    </row>
    <row r="29" spans="1:87" ht="34.5" customHeight="1" x14ac:dyDescent="0.15">
      <c r="C29" s="6"/>
      <c r="D29" s="6"/>
      <c r="E29" s="262"/>
      <c r="F29" s="6"/>
      <c r="G29" s="6"/>
      <c r="H29" s="18"/>
      <c r="I29" s="18"/>
      <c r="J29" s="18"/>
      <c r="K29" s="18"/>
      <c r="O29" s="112"/>
      <c r="P29" s="113"/>
      <c r="Q29" s="113"/>
      <c r="R29" s="7"/>
    </row>
    <row r="30" spans="1:87" ht="12" customHeight="1" thickBot="1" x14ac:dyDescent="0.2">
      <c r="C30" s="6"/>
      <c r="D30" s="6"/>
      <c r="E30" s="6"/>
      <c r="F30" s="6"/>
      <c r="G30" s="6"/>
      <c r="H30" s="18"/>
      <c r="I30" s="18"/>
      <c r="J30" s="18"/>
      <c r="K30" s="18"/>
    </row>
    <row r="31" spans="1:87" s="48" customFormat="1" ht="19.25" customHeight="1" thickBot="1" x14ac:dyDescent="0.2">
      <c r="C31" s="443" t="str">
        <f>Tekstnøgler!C408</f>
        <v>Tabel 2. Oversigt over CO₂e-udledningen fordelt på hoved- og underkategorier</v>
      </c>
      <c r="D31" s="444"/>
      <c r="E31" s="444"/>
      <c r="F31" s="444"/>
      <c r="G31" s="444"/>
      <c r="H31" s="444"/>
      <c r="I31" s="444"/>
      <c r="J31" s="444"/>
      <c r="K31" s="453"/>
      <c r="L31" s="95"/>
      <c r="M31" s="95"/>
      <c r="N31" s="95"/>
      <c r="O31" s="94"/>
      <c r="P31" s="95"/>
      <c r="Q31" s="95"/>
      <c r="R31" s="95"/>
      <c r="S31" s="94"/>
      <c r="T31" s="95"/>
      <c r="U31" s="95"/>
      <c r="V31" s="95"/>
      <c r="W31" s="94"/>
      <c r="X31" s="95"/>
      <c r="Y31" s="95"/>
      <c r="Z31" s="95"/>
      <c r="AA31" s="94"/>
      <c r="AB31" s="95"/>
      <c r="AC31" s="95"/>
      <c r="AD31" s="95"/>
      <c r="AE31" s="94"/>
      <c r="AF31" s="95"/>
      <c r="AG31" s="95"/>
      <c r="AH31" s="95"/>
      <c r="AI31" s="94"/>
      <c r="AJ31" s="95"/>
      <c r="AK31" s="95"/>
      <c r="AL31" s="95"/>
      <c r="AM31" s="94"/>
      <c r="AN31" s="95"/>
      <c r="AO31" s="95"/>
      <c r="AP31" s="95"/>
      <c r="AQ31" s="94"/>
      <c r="AR31" s="95"/>
      <c r="AS31" s="95"/>
      <c r="AT31" s="95"/>
      <c r="AU31" s="94"/>
      <c r="AV31" s="95"/>
      <c r="AW31" s="95"/>
      <c r="AX31" s="95"/>
      <c r="AY31" s="94"/>
      <c r="AZ31" s="95"/>
      <c r="BA31" s="95"/>
      <c r="BB31" s="95"/>
      <c r="BC31" s="94"/>
      <c r="BD31" s="95"/>
      <c r="BE31" s="95"/>
      <c r="BF31" s="95"/>
      <c r="BG31" s="94"/>
      <c r="BH31" s="95"/>
      <c r="BI31" s="95"/>
      <c r="BJ31" s="95"/>
      <c r="BK31" s="94"/>
      <c r="BL31" s="95"/>
      <c r="BM31" s="95"/>
      <c r="BN31" s="95"/>
      <c r="BO31" s="94"/>
      <c r="BP31" s="94"/>
      <c r="BQ31" s="94"/>
      <c r="BR31" s="94"/>
      <c r="BS31" s="94"/>
      <c r="BT31" s="94"/>
      <c r="BU31" s="94"/>
      <c r="BV31" s="94"/>
      <c r="BW31" s="94"/>
      <c r="BX31" s="94"/>
      <c r="BY31" s="94"/>
      <c r="BZ31" s="94"/>
      <c r="CA31" s="94"/>
      <c r="CB31" s="94"/>
      <c r="CC31" s="94"/>
      <c r="CD31" s="94"/>
      <c r="CE31" s="94"/>
      <c r="CF31" s="94"/>
      <c r="CG31" s="94"/>
      <c r="CH31" s="94"/>
      <c r="CI31" s="93"/>
    </row>
    <row r="32" spans="1:87" s="48" customFormat="1" ht="19.25" customHeight="1" thickBot="1" x14ac:dyDescent="0.2">
      <c r="C32" s="92" t="s">
        <v>31</v>
      </c>
      <c r="D32" s="504">
        <v>2015</v>
      </c>
      <c r="E32" s="505"/>
      <c r="F32" s="505"/>
      <c r="G32" s="506"/>
      <c r="H32" s="495">
        <v>2016</v>
      </c>
      <c r="I32" s="496"/>
      <c r="J32" s="496"/>
      <c r="K32" s="497"/>
      <c r="L32" s="495">
        <v>2017</v>
      </c>
      <c r="M32" s="496"/>
      <c r="N32" s="496"/>
      <c r="O32" s="497"/>
      <c r="P32" s="495">
        <v>2018</v>
      </c>
      <c r="Q32" s="496"/>
      <c r="R32" s="496"/>
      <c r="S32" s="497"/>
      <c r="T32" s="495">
        <v>2019</v>
      </c>
      <c r="U32" s="496"/>
      <c r="V32" s="496"/>
      <c r="W32" s="497"/>
      <c r="X32" s="495">
        <v>2020</v>
      </c>
      <c r="Y32" s="496"/>
      <c r="Z32" s="496"/>
      <c r="AA32" s="497"/>
      <c r="AB32" s="495">
        <v>2021</v>
      </c>
      <c r="AC32" s="496"/>
      <c r="AD32" s="496"/>
      <c r="AE32" s="497"/>
      <c r="AF32" s="495">
        <v>2022</v>
      </c>
      <c r="AG32" s="496"/>
      <c r="AH32" s="496"/>
      <c r="AI32" s="497"/>
      <c r="AJ32" s="495">
        <v>2023</v>
      </c>
      <c r="AK32" s="496"/>
      <c r="AL32" s="496"/>
      <c r="AM32" s="497"/>
      <c r="AN32" s="495">
        <v>2024</v>
      </c>
      <c r="AO32" s="496"/>
      <c r="AP32" s="496"/>
      <c r="AQ32" s="497"/>
      <c r="AR32" s="495">
        <v>2025</v>
      </c>
      <c r="AS32" s="496"/>
      <c r="AT32" s="496"/>
      <c r="AU32" s="497"/>
      <c r="AV32" s="495">
        <v>2026</v>
      </c>
      <c r="AW32" s="496"/>
      <c r="AX32" s="496"/>
      <c r="AY32" s="497"/>
      <c r="AZ32" s="495">
        <v>2027</v>
      </c>
      <c r="BA32" s="496"/>
      <c r="BB32" s="496"/>
      <c r="BC32" s="497"/>
      <c r="BD32" s="495">
        <v>2028</v>
      </c>
      <c r="BE32" s="496"/>
      <c r="BF32" s="496"/>
      <c r="BG32" s="497"/>
      <c r="BH32" s="495">
        <v>2029</v>
      </c>
      <c r="BI32" s="496"/>
      <c r="BJ32" s="496"/>
      <c r="BK32" s="497"/>
      <c r="BL32" s="495">
        <v>2030</v>
      </c>
      <c r="BM32" s="496"/>
      <c r="BN32" s="496"/>
      <c r="BO32" s="497"/>
      <c r="BP32" s="495">
        <v>2031</v>
      </c>
      <c r="BQ32" s="496"/>
      <c r="BR32" s="496"/>
      <c r="BS32" s="497"/>
      <c r="BT32" s="495">
        <v>2032</v>
      </c>
      <c r="BU32" s="496"/>
      <c r="BV32" s="496"/>
      <c r="BW32" s="497"/>
      <c r="BX32" s="495">
        <v>2033</v>
      </c>
      <c r="BY32" s="496"/>
      <c r="BZ32" s="496"/>
      <c r="CA32" s="497"/>
      <c r="CB32" s="495">
        <v>2034</v>
      </c>
      <c r="CC32" s="496"/>
      <c r="CD32" s="496"/>
      <c r="CE32" s="497"/>
      <c r="CF32" s="495">
        <v>2035</v>
      </c>
      <c r="CG32" s="496"/>
      <c r="CH32" s="496"/>
      <c r="CI32" s="497"/>
    </row>
    <row r="33" spans="3:87" s="48" customFormat="1" ht="14.5" customHeight="1" x14ac:dyDescent="0.15">
      <c r="C33" s="91" t="str">
        <f>Tekstnøgler!C115</f>
        <v>Hovedkategori</v>
      </c>
      <c r="D33" s="15" t="str">
        <f>Tekstnøgler!$C$409</f>
        <v>Scope 1 - faktor</v>
      </c>
      <c r="E33" s="15" t="str">
        <f>Tekstnøgler!$C$410</f>
        <v>Scope 2 - faktor</v>
      </c>
      <c r="F33" s="15" t="str">
        <f>Tekstnøgler!$C$411</f>
        <v>Scope 3 - faktor</v>
      </c>
      <c r="G33" s="90" t="str">
        <f>Tekstnøgler!$C$412</f>
        <v>Samlede CO₂e udledning</v>
      </c>
      <c r="H33" s="15" t="str">
        <f>Tekstnøgler!$C$409</f>
        <v>Scope 1 - faktor</v>
      </c>
      <c r="I33" s="15" t="str">
        <f>Tekstnøgler!$C$410</f>
        <v>Scope 2 - faktor</v>
      </c>
      <c r="J33" s="15" t="str">
        <f>Tekstnøgler!$C$411</f>
        <v>Scope 3 - faktor</v>
      </c>
      <c r="K33" s="90" t="str">
        <f>Tekstnøgler!$C$412</f>
        <v>Samlede CO₂e udledning</v>
      </c>
      <c r="L33" s="15" t="str">
        <f>Tekstnøgler!$C$409</f>
        <v>Scope 1 - faktor</v>
      </c>
      <c r="M33" s="15" t="str">
        <f>Tekstnøgler!$C$410</f>
        <v>Scope 2 - faktor</v>
      </c>
      <c r="N33" s="15" t="str">
        <f>Tekstnøgler!$C$411</f>
        <v>Scope 3 - faktor</v>
      </c>
      <c r="O33" s="90" t="str">
        <f>Tekstnøgler!$C$412</f>
        <v>Samlede CO₂e udledning</v>
      </c>
      <c r="P33" s="15" t="str">
        <f>Tekstnøgler!$C$409</f>
        <v>Scope 1 - faktor</v>
      </c>
      <c r="Q33" s="15" t="str">
        <f>Tekstnøgler!$C$410</f>
        <v>Scope 2 - faktor</v>
      </c>
      <c r="R33" s="15" t="str">
        <f>Tekstnøgler!$C$411</f>
        <v>Scope 3 - faktor</v>
      </c>
      <c r="S33" s="90" t="str">
        <f>Tekstnøgler!$C$412</f>
        <v>Samlede CO₂e udledning</v>
      </c>
      <c r="T33" s="15" t="str">
        <f>Tekstnøgler!$C$409</f>
        <v>Scope 1 - faktor</v>
      </c>
      <c r="U33" s="15" t="str">
        <f>Tekstnøgler!$C$410</f>
        <v>Scope 2 - faktor</v>
      </c>
      <c r="V33" s="15" t="str">
        <f>Tekstnøgler!$C$411</f>
        <v>Scope 3 - faktor</v>
      </c>
      <c r="W33" s="90" t="str">
        <f>Tekstnøgler!$C$412</f>
        <v>Samlede CO₂e udledning</v>
      </c>
      <c r="X33" s="15" t="str">
        <f>Tekstnøgler!$C$409</f>
        <v>Scope 1 - faktor</v>
      </c>
      <c r="Y33" s="15" t="str">
        <f>Tekstnøgler!$C$410</f>
        <v>Scope 2 - faktor</v>
      </c>
      <c r="Z33" s="15" t="str">
        <f>Tekstnøgler!$C$411</f>
        <v>Scope 3 - faktor</v>
      </c>
      <c r="AA33" s="90" t="str">
        <f>Tekstnøgler!$C$412</f>
        <v>Samlede CO₂e udledning</v>
      </c>
      <c r="AB33" s="15" t="str">
        <f>Tekstnøgler!$C$409</f>
        <v>Scope 1 - faktor</v>
      </c>
      <c r="AC33" s="15" t="str">
        <f>Tekstnøgler!$C$410</f>
        <v>Scope 2 - faktor</v>
      </c>
      <c r="AD33" s="15" t="str">
        <f>Tekstnøgler!$C$411</f>
        <v>Scope 3 - faktor</v>
      </c>
      <c r="AE33" s="90" t="str">
        <f>Tekstnøgler!$C$412</f>
        <v>Samlede CO₂e udledning</v>
      </c>
      <c r="AF33" s="15" t="str">
        <f>Tekstnøgler!$C$409</f>
        <v>Scope 1 - faktor</v>
      </c>
      <c r="AG33" s="15" t="str">
        <f>Tekstnøgler!$C$410</f>
        <v>Scope 2 - faktor</v>
      </c>
      <c r="AH33" s="15" t="str">
        <f>Tekstnøgler!$C$411</f>
        <v>Scope 3 - faktor</v>
      </c>
      <c r="AI33" s="90" t="str">
        <f>Tekstnøgler!$C$412</f>
        <v>Samlede CO₂e udledning</v>
      </c>
      <c r="AJ33" s="15" t="str">
        <f>Tekstnøgler!$C$409</f>
        <v>Scope 1 - faktor</v>
      </c>
      <c r="AK33" s="15" t="str">
        <f>Tekstnøgler!$C$410</f>
        <v>Scope 2 - faktor</v>
      </c>
      <c r="AL33" s="15" t="str">
        <f>Tekstnøgler!$C$411</f>
        <v>Scope 3 - faktor</v>
      </c>
      <c r="AM33" s="90" t="str">
        <f>Tekstnøgler!$C$412</f>
        <v>Samlede CO₂e udledning</v>
      </c>
      <c r="AN33" s="15" t="str">
        <f>Tekstnøgler!$C$409</f>
        <v>Scope 1 - faktor</v>
      </c>
      <c r="AO33" s="15" t="str">
        <f>Tekstnøgler!$C$410</f>
        <v>Scope 2 - faktor</v>
      </c>
      <c r="AP33" s="15" t="str">
        <f>Tekstnøgler!$C$411</f>
        <v>Scope 3 - faktor</v>
      </c>
      <c r="AQ33" s="90" t="str">
        <f>Tekstnøgler!$C$412</f>
        <v>Samlede CO₂e udledning</v>
      </c>
      <c r="AR33" s="15" t="str">
        <f>Tekstnøgler!$C$409</f>
        <v>Scope 1 - faktor</v>
      </c>
      <c r="AS33" s="15" t="str">
        <f>Tekstnøgler!$C$410</f>
        <v>Scope 2 - faktor</v>
      </c>
      <c r="AT33" s="15" t="str">
        <f>Tekstnøgler!$C$411</f>
        <v>Scope 3 - faktor</v>
      </c>
      <c r="AU33" s="90" t="str">
        <f>Tekstnøgler!$C$412</f>
        <v>Samlede CO₂e udledning</v>
      </c>
      <c r="AV33" s="15" t="str">
        <f>Tekstnøgler!$C$409</f>
        <v>Scope 1 - faktor</v>
      </c>
      <c r="AW33" s="15" t="str">
        <f>Tekstnøgler!$C$410</f>
        <v>Scope 2 - faktor</v>
      </c>
      <c r="AX33" s="15" t="str">
        <f>Tekstnøgler!$C$411</f>
        <v>Scope 3 - faktor</v>
      </c>
      <c r="AY33" s="90" t="str">
        <f>Tekstnøgler!$C$412</f>
        <v>Samlede CO₂e udledning</v>
      </c>
      <c r="AZ33" s="15" t="str">
        <f>Tekstnøgler!$C$409</f>
        <v>Scope 1 - faktor</v>
      </c>
      <c r="BA33" s="15" t="str">
        <f>Tekstnøgler!$C$410</f>
        <v>Scope 2 - faktor</v>
      </c>
      <c r="BB33" s="15" t="str">
        <f>Tekstnøgler!$C$411</f>
        <v>Scope 3 - faktor</v>
      </c>
      <c r="BC33" s="90" t="str">
        <f>Tekstnøgler!$C$412</f>
        <v>Samlede CO₂e udledning</v>
      </c>
      <c r="BD33" s="15" t="str">
        <f>Tekstnøgler!$C$409</f>
        <v>Scope 1 - faktor</v>
      </c>
      <c r="BE33" s="15" t="str">
        <f>Tekstnøgler!$C$410</f>
        <v>Scope 2 - faktor</v>
      </c>
      <c r="BF33" s="15" t="str">
        <f>Tekstnøgler!$C$411</f>
        <v>Scope 3 - faktor</v>
      </c>
      <c r="BG33" s="90" t="str">
        <f>Tekstnøgler!$C$412</f>
        <v>Samlede CO₂e udledning</v>
      </c>
      <c r="BH33" s="15" t="str">
        <f>Tekstnøgler!$C$409</f>
        <v>Scope 1 - faktor</v>
      </c>
      <c r="BI33" s="15" t="str">
        <f>Tekstnøgler!$C$410</f>
        <v>Scope 2 - faktor</v>
      </c>
      <c r="BJ33" s="15" t="str">
        <f>Tekstnøgler!$C$411</f>
        <v>Scope 3 - faktor</v>
      </c>
      <c r="BK33" s="90" t="str">
        <f>Tekstnøgler!$C$412</f>
        <v>Samlede CO₂e udledning</v>
      </c>
      <c r="BL33" s="15" t="str">
        <f>Tekstnøgler!$C$409</f>
        <v>Scope 1 - faktor</v>
      </c>
      <c r="BM33" s="15" t="str">
        <f>Tekstnøgler!$C$410</f>
        <v>Scope 2 - faktor</v>
      </c>
      <c r="BN33" s="15" t="str">
        <f>Tekstnøgler!$C$411</f>
        <v>Scope 3 - faktor</v>
      </c>
      <c r="BO33" s="90" t="str">
        <f>Tekstnøgler!$C$412</f>
        <v>Samlede CO₂e udledning</v>
      </c>
      <c r="BP33" s="15" t="str">
        <f>Tekstnøgler!$C$409</f>
        <v>Scope 1 - faktor</v>
      </c>
      <c r="BQ33" s="15" t="str">
        <f>Tekstnøgler!$C$410</f>
        <v>Scope 2 - faktor</v>
      </c>
      <c r="BR33" s="15" t="str">
        <f>Tekstnøgler!$C$411</f>
        <v>Scope 3 - faktor</v>
      </c>
      <c r="BS33" s="90" t="str">
        <f>Tekstnøgler!$C$412</f>
        <v>Samlede CO₂e udledning</v>
      </c>
      <c r="BT33" s="15" t="str">
        <f>Tekstnøgler!$C$409</f>
        <v>Scope 1 - faktor</v>
      </c>
      <c r="BU33" s="15" t="str">
        <f>Tekstnøgler!$C$410</f>
        <v>Scope 2 - faktor</v>
      </c>
      <c r="BV33" s="15" t="str">
        <f>Tekstnøgler!$C$411</f>
        <v>Scope 3 - faktor</v>
      </c>
      <c r="BW33" s="90" t="str">
        <f>Tekstnøgler!$C$412</f>
        <v>Samlede CO₂e udledning</v>
      </c>
      <c r="BX33" s="15" t="str">
        <f>Tekstnøgler!$C$409</f>
        <v>Scope 1 - faktor</v>
      </c>
      <c r="BY33" s="15" t="str">
        <f>Tekstnøgler!$C$410</f>
        <v>Scope 2 - faktor</v>
      </c>
      <c r="BZ33" s="15" t="str">
        <f>Tekstnøgler!$C$411</f>
        <v>Scope 3 - faktor</v>
      </c>
      <c r="CA33" s="90" t="str">
        <f>Tekstnøgler!$C$412</f>
        <v>Samlede CO₂e udledning</v>
      </c>
      <c r="CB33" s="15" t="str">
        <f>Tekstnøgler!$C$409</f>
        <v>Scope 1 - faktor</v>
      </c>
      <c r="CC33" s="15" t="str">
        <f>Tekstnøgler!$C$410</f>
        <v>Scope 2 - faktor</v>
      </c>
      <c r="CD33" s="15" t="str">
        <f>Tekstnøgler!$C$411</f>
        <v>Scope 3 - faktor</v>
      </c>
      <c r="CE33" s="90" t="str">
        <f>Tekstnøgler!$C$412</f>
        <v>Samlede CO₂e udledning</v>
      </c>
      <c r="CF33" s="15" t="str">
        <f>Tekstnøgler!$C$409</f>
        <v>Scope 1 - faktor</v>
      </c>
      <c r="CG33" s="15" t="str">
        <f>Tekstnøgler!$C$410</f>
        <v>Scope 2 - faktor</v>
      </c>
      <c r="CH33" s="15" t="str">
        <f>Tekstnøgler!$C$411</f>
        <v>Scope 3 - faktor</v>
      </c>
      <c r="CI33" s="90" t="str">
        <f>Tekstnøgler!$C$412</f>
        <v>Samlede CO₂e udledning</v>
      </c>
    </row>
    <row r="34" spans="3:87" s="48" customFormat="1" ht="21.5" customHeight="1" thickBot="1" x14ac:dyDescent="0.2">
      <c r="C34" s="89"/>
      <c r="D34" s="16" t="str">
        <f>Tekstnøgler!$C$413</f>
        <v>(ton CO₂e)</v>
      </c>
      <c r="E34" s="16" t="str">
        <f>Tekstnøgler!$C$413</f>
        <v>(ton CO₂e)</v>
      </c>
      <c r="F34" s="16" t="str">
        <f>Tekstnøgler!$C$413</f>
        <v>(ton CO₂e)</v>
      </c>
      <c r="G34" s="16" t="str">
        <f>Tekstnøgler!$C$413</f>
        <v>(ton CO₂e)</v>
      </c>
      <c r="H34" s="16" t="str">
        <f>Tekstnøgler!$C$413</f>
        <v>(ton CO₂e)</v>
      </c>
      <c r="I34" s="16" t="str">
        <f>Tekstnøgler!$C$413</f>
        <v>(ton CO₂e)</v>
      </c>
      <c r="J34" s="16" t="str">
        <f>Tekstnøgler!$C$413</f>
        <v>(ton CO₂e)</v>
      </c>
      <c r="K34" s="16" t="str">
        <f>Tekstnøgler!$C$413</f>
        <v>(ton CO₂e)</v>
      </c>
      <c r="L34" s="16" t="str">
        <f>Tekstnøgler!$C$413</f>
        <v>(ton CO₂e)</v>
      </c>
      <c r="M34" s="16" t="str">
        <f>Tekstnøgler!$C$413</f>
        <v>(ton CO₂e)</v>
      </c>
      <c r="N34" s="16" t="str">
        <f>Tekstnøgler!$C$413</f>
        <v>(ton CO₂e)</v>
      </c>
      <c r="O34" s="16" t="str">
        <f>Tekstnøgler!$C$413</f>
        <v>(ton CO₂e)</v>
      </c>
      <c r="P34" s="16" t="str">
        <f>Tekstnøgler!$C$413</f>
        <v>(ton CO₂e)</v>
      </c>
      <c r="Q34" s="16" t="str">
        <f>Tekstnøgler!$C$413</f>
        <v>(ton CO₂e)</v>
      </c>
      <c r="R34" s="16" t="str">
        <f>Tekstnøgler!$C$413</f>
        <v>(ton CO₂e)</v>
      </c>
      <c r="S34" s="16" t="str">
        <f>Tekstnøgler!$C$413</f>
        <v>(ton CO₂e)</v>
      </c>
      <c r="T34" s="16" t="str">
        <f>Tekstnøgler!$C$413</f>
        <v>(ton CO₂e)</v>
      </c>
      <c r="U34" s="16" t="str">
        <f>Tekstnøgler!$C$413</f>
        <v>(ton CO₂e)</v>
      </c>
      <c r="V34" s="16" t="str">
        <f>Tekstnøgler!$C$413</f>
        <v>(ton CO₂e)</v>
      </c>
      <c r="W34" s="16" t="str">
        <f>Tekstnøgler!$C$413</f>
        <v>(ton CO₂e)</v>
      </c>
      <c r="X34" s="16" t="str">
        <f>Tekstnøgler!$C$413</f>
        <v>(ton CO₂e)</v>
      </c>
      <c r="Y34" s="16" t="str">
        <f>Tekstnøgler!$C$413</f>
        <v>(ton CO₂e)</v>
      </c>
      <c r="Z34" s="16" t="str">
        <f>Tekstnøgler!$C$413</f>
        <v>(ton CO₂e)</v>
      </c>
      <c r="AA34" s="16" t="str">
        <f>Tekstnøgler!$C$413</f>
        <v>(ton CO₂e)</v>
      </c>
      <c r="AB34" s="16" t="str">
        <f>Tekstnøgler!$C$413</f>
        <v>(ton CO₂e)</v>
      </c>
      <c r="AC34" s="16" t="str">
        <f>Tekstnøgler!$C$413</f>
        <v>(ton CO₂e)</v>
      </c>
      <c r="AD34" s="16" t="str">
        <f>Tekstnøgler!$C$413</f>
        <v>(ton CO₂e)</v>
      </c>
      <c r="AE34" s="16" t="str">
        <f>Tekstnøgler!$C$413</f>
        <v>(ton CO₂e)</v>
      </c>
      <c r="AF34" s="16" t="str">
        <f>Tekstnøgler!$C$413</f>
        <v>(ton CO₂e)</v>
      </c>
      <c r="AG34" s="16" t="str">
        <f>Tekstnøgler!$C$413</f>
        <v>(ton CO₂e)</v>
      </c>
      <c r="AH34" s="16" t="str">
        <f>Tekstnøgler!$C$413</f>
        <v>(ton CO₂e)</v>
      </c>
      <c r="AI34" s="16" t="str">
        <f>Tekstnøgler!$C$413</f>
        <v>(ton CO₂e)</v>
      </c>
      <c r="AJ34" s="16" t="str">
        <f>Tekstnøgler!$C$413</f>
        <v>(ton CO₂e)</v>
      </c>
      <c r="AK34" s="16" t="str">
        <f>Tekstnøgler!$C$413</f>
        <v>(ton CO₂e)</v>
      </c>
      <c r="AL34" s="16" t="str">
        <f>Tekstnøgler!$C$413</f>
        <v>(ton CO₂e)</v>
      </c>
      <c r="AM34" s="16" t="str">
        <f>Tekstnøgler!$C$413</f>
        <v>(ton CO₂e)</v>
      </c>
      <c r="AN34" s="16" t="str">
        <f>Tekstnøgler!$C$413</f>
        <v>(ton CO₂e)</v>
      </c>
      <c r="AO34" s="16" t="str">
        <f>Tekstnøgler!$C$413</f>
        <v>(ton CO₂e)</v>
      </c>
      <c r="AP34" s="16" t="str">
        <f>Tekstnøgler!$C$413</f>
        <v>(ton CO₂e)</v>
      </c>
      <c r="AQ34" s="16" t="str">
        <f>Tekstnøgler!$C$413</f>
        <v>(ton CO₂e)</v>
      </c>
      <c r="AR34" s="16" t="str">
        <f>Tekstnøgler!$C$413</f>
        <v>(ton CO₂e)</v>
      </c>
      <c r="AS34" s="16" t="str">
        <f>Tekstnøgler!$C$413</f>
        <v>(ton CO₂e)</v>
      </c>
      <c r="AT34" s="16" t="str">
        <f>Tekstnøgler!$C$413</f>
        <v>(ton CO₂e)</v>
      </c>
      <c r="AU34" s="16" t="str">
        <f>Tekstnøgler!$C$413</f>
        <v>(ton CO₂e)</v>
      </c>
      <c r="AV34" s="16" t="str">
        <f>Tekstnøgler!$C$413</f>
        <v>(ton CO₂e)</v>
      </c>
      <c r="AW34" s="16" t="str">
        <f>Tekstnøgler!$C$413</f>
        <v>(ton CO₂e)</v>
      </c>
      <c r="AX34" s="16" t="str">
        <f>Tekstnøgler!$C$413</f>
        <v>(ton CO₂e)</v>
      </c>
      <c r="AY34" s="16" t="str">
        <f>Tekstnøgler!$C$413</f>
        <v>(ton CO₂e)</v>
      </c>
      <c r="AZ34" s="16" t="str">
        <f>Tekstnøgler!$C$413</f>
        <v>(ton CO₂e)</v>
      </c>
      <c r="BA34" s="16" t="str">
        <f>Tekstnøgler!$C$413</f>
        <v>(ton CO₂e)</v>
      </c>
      <c r="BB34" s="16" t="str">
        <f>Tekstnøgler!$C$413</f>
        <v>(ton CO₂e)</v>
      </c>
      <c r="BC34" s="16" t="str">
        <f>Tekstnøgler!$C$413</f>
        <v>(ton CO₂e)</v>
      </c>
      <c r="BD34" s="16" t="str">
        <f>Tekstnøgler!$C$413</f>
        <v>(ton CO₂e)</v>
      </c>
      <c r="BE34" s="16" t="str">
        <f>Tekstnøgler!$C$413</f>
        <v>(ton CO₂e)</v>
      </c>
      <c r="BF34" s="16" t="str">
        <f>Tekstnøgler!$C$413</f>
        <v>(ton CO₂e)</v>
      </c>
      <c r="BG34" s="16" t="str">
        <f>Tekstnøgler!$C$413</f>
        <v>(ton CO₂e)</v>
      </c>
      <c r="BH34" s="16" t="str">
        <f>Tekstnøgler!$C$413</f>
        <v>(ton CO₂e)</v>
      </c>
      <c r="BI34" s="16" t="str">
        <f>Tekstnøgler!$C$413</f>
        <v>(ton CO₂e)</v>
      </c>
      <c r="BJ34" s="16" t="str">
        <f>Tekstnøgler!$C$413</f>
        <v>(ton CO₂e)</v>
      </c>
      <c r="BK34" s="16" t="str">
        <f>Tekstnøgler!$C$413</f>
        <v>(ton CO₂e)</v>
      </c>
      <c r="BL34" s="16" t="str">
        <f>Tekstnøgler!$C$413</f>
        <v>(ton CO₂e)</v>
      </c>
      <c r="BM34" s="16" t="str">
        <f>Tekstnøgler!$C$413</f>
        <v>(ton CO₂e)</v>
      </c>
      <c r="BN34" s="16" t="str">
        <f>Tekstnøgler!$C$413</f>
        <v>(ton CO₂e)</v>
      </c>
      <c r="BO34" s="16" t="str">
        <f>Tekstnøgler!$C$413</f>
        <v>(ton CO₂e)</v>
      </c>
      <c r="BP34" s="16" t="str">
        <f>Tekstnøgler!$C$413</f>
        <v>(ton CO₂e)</v>
      </c>
      <c r="BQ34" s="16" t="str">
        <f>Tekstnøgler!$C$413</f>
        <v>(ton CO₂e)</v>
      </c>
      <c r="BR34" s="16" t="str">
        <f>Tekstnøgler!$C$413</f>
        <v>(ton CO₂e)</v>
      </c>
      <c r="BS34" s="16" t="str">
        <f>Tekstnøgler!$C$413</f>
        <v>(ton CO₂e)</v>
      </c>
      <c r="BT34" s="16" t="str">
        <f>Tekstnøgler!$C$413</f>
        <v>(ton CO₂e)</v>
      </c>
      <c r="BU34" s="16" t="str">
        <f>Tekstnøgler!$C$413</f>
        <v>(ton CO₂e)</v>
      </c>
      <c r="BV34" s="16" t="str">
        <f>Tekstnøgler!$C$413</f>
        <v>(ton CO₂e)</v>
      </c>
      <c r="BW34" s="16" t="str">
        <f>Tekstnøgler!$C$413</f>
        <v>(ton CO₂e)</v>
      </c>
      <c r="BX34" s="16" t="str">
        <f>Tekstnøgler!$C$413</f>
        <v>(ton CO₂e)</v>
      </c>
      <c r="BY34" s="16" t="str">
        <f>Tekstnøgler!$C$413</f>
        <v>(ton CO₂e)</v>
      </c>
      <c r="BZ34" s="16" t="str">
        <f>Tekstnøgler!$C$413</f>
        <v>(ton CO₂e)</v>
      </c>
      <c r="CA34" s="16" t="str">
        <f>Tekstnøgler!$C$413</f>
        <v>(ton CO₂e)</v>
      </c>
      <c r="CB34" s="16" t="str">
        <f>Tekstnøgler!$C$413</f>
        <v>(ton CO₂e)</v>
      </c>
      <c r="CC34" s="16" t="str">
        <f>Tekstnøgler!$C$413</f>
        <v>(ton CO₂e)</v>
      </c>
      <c r="CD34" s="16" t="str">
        <f>Tekstnøgler!$C$413</f>
        <v>(ton CO₂e)</v>
      </c>
      <c r="CE34" s="16" t="str">
        <f>Tekstnøgler!$C$413</f>
        <v>(ton CO₂e)</v>
      </c>
      <c r="CF34" s="16" t="str">
        <f>Tekstnøgler!$C$413</f>
        <v>(ton CO₂e)</v>
      </c>
      <c r="CG34" s="16" t="str">
        <f>Tekstnøgler!$C$413</f>
        <v>(ton CO₂e)</v>
      </c>
      <c r="CH34" s="16" t="str">
        <f>Tekstnøgler!$C$413</f>
        <v>(ton CO₂e)</v>
      </c>
      <c r="CI34" s="16" t="str">
        <f>Tekstnøgler!$C$413</f>
        <v>(ton CO₂e)</v>
      </c>
    </row>
    <row r="35" spans="3:87" s="48" customFormat="1" ht="14.5" customHeight="1" thickBot="1" x14ac:dyDescent="0.2">
      <c r="C35" s="117" t="str">
        <f>Tekstnøgler!C120</f>
        <v>Energi og processer</v>
      </c>
      <c r="D35" s="46">
        <f t="shared" ref="D35:AH35" si="1">D36+D39+D43+D46</f>
        <v>8</v>
      </c>
      <c r="E35" s="46">
        <f t="shared" si="1"/>
        <v>4</v>
      </c>
      <c r="F35" s="46">
        <f t="shared" si="1"/>
        <v>5</v>
      </c>
      <c r="G35" s="46">
        <f>G36+G39+G43+G46</f>
        <v>17</v>
      </c>
      <c r="H35" s="46">
        <f t="shared" si="1"/>
        <v>5</v>
      </c>
      <c r="I35" s="46">
        <f t="shared" si="1"/>
        <v>5</v>
      </c>
      <c r="J35" s="46">
        <f t="shared" si="1"/>
        <v>5</v>
      </c>
      <c r="K35" s="46">
        <f>K36+K39+K43+K46</f>
        <v>15</v>
      </c>
      <c r="L35" s="46">
        <f t="shared" si="1"/>
        <v>5</v>
      </c>
      <c r="M35" s="46">
        <f t="shared" si="1"/>
        <v>5</v>
      </c>
      <c r="N35" s="46">
        <f t="shared" si="1"/>
        <v>5</v>
      </c>
      <c r="O35" s="46">
        <f>O36+O39+O43+O46</f>
        <v>15</v>
      </c>
      <c r="P35" s="46">
        <f t="shared" si="1"/>
        <v>5</v>
      </c>
      <c r="Q35" s="46">
        <f t="shared" si="1"/>
        <v>5</v>
      </c>
      <c r="R35" s="46">
        <f t="shared" si="1"/>
        <v>5</v>
      </c>
      <c r="S35" s="46">
        <f>S36+S39+S43+S46</f>
        <v>15</v>
      </c>
      <c r="T35" s="46">
        <f t="shared" si="1"/>
        <v>5</v>
      </c>
      <c r="U35" s="46">
        <f t="shared" si="1"/>
        <v>5</v>
      </c>
      <c r="V35" s="46">
        <f t="shared" si="1"/>
        <v>5</v>
      </c>
      <c r="W35" s="46">
        <f>W36+W39+W43+W46</f>
        <v>15</v>
      </c>
      <c r="X35" s="46">
        <f t="shared" si="1"/>
        <v>5</v>
      </c>
      <c r="Y35" s="46">
        <f t="shared" si="1"/>
        <v>5</v>
      </c>
      <c r="Z35" s="46">
        <f t="shared" si="1"/>
        <v>5</v>
      </c>
      <c r="AA35" s="46">
        <f>AA36+AA39+AA43+AA46</f>
        <v>15</v>
      </c>
      <c r="AB35" s="46">
        <f t="shared" si="1"/>
        <v>5</v>
      </c>
      <c r="AC35" s="46">
        <f t="shared" si="1"/>
        <v>5</v>
      </c>
      <c r="AD35" s="46">
        <f t="shared" si="1"/>
        <v>5</v>
      </c>
      <c r="AE35" s="46">
        <f>AE36+AE39+AE43+AE46</f>
        <v>15</v>
      </c>
      <c r="AF35" s="46">
        <f t="shared" si="1"/>
        <v>5</v>
      </c>
      <c r="AG35" s="46">
        <f t="shared" si="1"/>
        <v>5</v>
      </c>
      <c r="AH35" s="46">
        <f t="shared" si="1"/>
        <v>5</v>
      </c>
      <c r="AI35" s="46">
        <f>AI36+AI39+AI43+AI46</f>
        <v>15</v>
      </c>
      <c r="AJ35" s="46">
        <f t="shared" ref="AJ35:BN35" si="2">AJ36+AJ39+AJ43+AJ46</f>
        <v>5</v>
      </c>
      <c r="AK35" s="46">
        <f t="shared" si="2"/>
        <v>5</v>
      </c>
      <c r="AL35" s="46">
        <f t="shared" si="2"/>
        <v>5</v>
      </c>
      <c r="AM35" s="46">
        <f>AM36+AM39+AM43+AM46</f>
        <v>15</v>
      </c>
      <c r="AN35" s="46">
        <f t="shared" si="2"/>
        <v>5</v>
      </c>
      <c r="AO35" s="46">
        <f t="shared" si="2"/>
        <v>5</v>
      </c>
      <c r="AP35" s="46">
        <f t="shared" si="2"/>
        <v>5</v>
      </c>
      <c r="AQ35" s="46">
        <f>AQ36+AQ39+AQ43+AQ46</f>
        <v>15</v>
      </c>
      <c r="AR35" s="46">
        <f t="shared" si="2"/>
        <v>5</v>
      </c>
      <c r="AS35" s="46">
        <f t="shared" si="2"/>
        <v>5</v>
      </c>
      <c r="AT35" s="46">
        <f t="shared" si="2"/>
        <v>5</v>
      </c>
      <c r="AU35" s="46">
        <f>AU36+AU39+AU43+AU46</f>
        <v>15</v>
      </c>
      <c r="AV35" s="46">
        <f t="shared" si="2"/>
        <v>5</v>
      </c>
      <c r="AW35" s="46">
        <f t="shared" si="2"/>
        <v>5</v>
      </c>
      <c r="AX35" s="46">
        <f t="shared" si="2"/>
        <v>5</v>
      </c>
      <c r="AY35" s="46">
        <f>AY36+AY39+AY43+AY46</f>
        <v>15</v>
      </c>
      <c r="AZ35" s="46">
        <f t="shared" si="2"/>
        <v>5</v>
      </c>
      <c r="BA35" s="46">
        <f t="shared" si="2"/>
        <v>5</v>
      </c>
      <c r="BB35" s="46">
        <f t="shared" si="2"/>
        <v>5</v>
      </c>
      <c r="BC35" s="46">
        <f>BC36+BC39+BC43+BC46</f>
        <v>15</v>
      </c>
      <c r="BD35" s="46">
        <f t="shared" si="2"/>
        <v>5</v>
      </c>
      <c r="BE35" s="46">
        <f t="shared" si="2"/>
        <v>5</v>
      </c>
      <c r="BF35" s="46">
        <f t="shared" si="2"/>
        <v>5</v>
      </c>
      <c r="BG35" s="46">
        <f>BG36+BG39+BG43+BG46</f>
        <v>15</v>
      </c>
      <c r="BH35" s="46">
        <f t="shared" si="2"/>
        <v>5</v>
      </c>
      <c r="BI35" s="46">
        <f t="shared" si="2"/>
        <v>5</v>
      </c>
      <c r="BJ35" s="46">
        <f t="shared" si="2"/>
        <v>5</v>
      </c>
      <c r="BK35" s="46">
        <f>BK36+BK39+BK43+BK46</f>
        <v>15</v>
      </c>
      <c r="BL35" s="46">
        <f t="shared" si="2"/>
        <v>1</v>
      </c>
      <c r="BM35" s="46">
        <f t="shared" si="2"/>
        <v>1</v>
      </c>
      <c r="BN35" s="46">
        <f t="shared" si="2"/>
        <v>2</v>
      </c>
      <c r="BO35" s="46">
        <f>BO36+BO39+BO43+BO46</f>
        <v>4</v>
      </c>
      <c r="BP35" s="46">
        <f t="shared" ref="BP35:CH35" si="3">BP36+BP39+BP43+BP46</f>
        <v>5</v>
      </c>
      <c r="BQ35" s="46">
        <f t="shared" si="3"/>
        <v>5</v>
      </c>
      <c r="BR35" s="46">
        <f t="shared" si="3"/>
        <v>5</v>
      </c>
      <c r="BS35" s="46">
        <f>BS36+BS39+BS43+BS46</f>
        <v>15</v>
      </c>
      <c r="BT35" s="46">
        <f t="shared" si="3"/>
        <v>5</v>
      </c>
      <c r="BU35" s="46">
        <f t="shared" si="3"/>
        <v>5</v>
      </c>
      <c r="BV35" s="46">
        <f t="shared" si="3"/>
        <v>5</v>
      </c>
      <c r="BW35" s="46">
        <f>BW36+BW39+BW43+BW46</f>
        <v>15</v>
      </c>
      <c r="BX35" s="46">
        <f t="shared" si="3"/>
        <v>5</v>
      </c>
      <c r="BY35" s="46">
        <f t="shared" si="3"/>
        <v>5</v>
      </c>
      <c r="BZ35" s="46">
        <f t="shared" si="3"/>
        <v>5</v>
      </c>
      <c r="CA35" s="46">
        <f>CA36+CA39+CA43+CA46</f>
        <v>15</v>
      </c>
      <c r="CB35" s="46">
        <f t="shared" si="3"/>
        <v>5</v>
      </c>
      <c r="CC35" s="46">
        <f t="shared" si="3"/>
        <v>5</v>
      </c>
      <c r="CD35" s="46">
        <f t="shared" si="3"/>
        <v>5</v>
      </c>
      <c r="CE35" s="46">
        <f>CE36+CE39+CE43+CE46</f>
        <v>15</v>
      </c>
      <c r="CF35" s="46">
        <f t="shared" si="3"/>
        <v>5</v>
      </c>
      <c r="CG35" s="46">
        <f t="shared" si="3"/>
        <v>5</v>
      </c>
      <c r="CH35" s="46">
        <f t="shared" si="3"/>
        <v>5</v>
      </c>
      <c r="CI35" s="46">
        <f>CI36+CI39+CI43+CI46</f>
        <v>15</v>
      </c>
    </row>
    <row r="36" spans="3:87" s="48" customFormat="1" ht="14.5" customHeight="1" thickBot="1" x14ac:dyDescent="0.2">
      <c r="C36" s="118" t="str">
        <f>Tekstnøgler!C121</f>
        <v>Elektricitet</v>
      </c>
      <c r="D36" s="344">
        <f t="shared" ref="D36:AH36" si="4">SUM(D37:D38)</f>
        <v>5</v>
      </c>
      <c r="E36" s="344">
        <f t="shared" si="4"/>
        <v>4</v>
      </c>
      <c r="F36" s="344">
        <f t="shared" si="4"/>
        <v>5</v>
      </c>
      <c r="G36" s="344">
        <f>SUM(G37:G38)</f>
        <v>14</v>
      </c>
      <c r="H36" s="344">
        <f t="shared" si="4"/>
        <v>5</v>
      </c>
      <c r="I36" s="344">
        <f t="shared" si="4"/>
        <v>5</v>
      </c>
      <c r="J36" s="344">
        <f t="shared" si="4"/>
        <v>5</v>
      </c>
      <c r="K36" s="344">
        <f>SUM(K37:K38)</f>
        <v>15</v>
      </c>
      <c r="L36" s="344">
        <f t="shared" si="4"/>
        <v>5</v>
      </c>
      <c r="M36" s="344">
        <f t="shared" si="4"/>
        <v>5</v>
      </c>
      <c r="N36" s="344">
        <f t="shared" si="4"/>
        <v>5</v>
      </c>
      <c r="O36" s="344">
        <f>SUM(O37:O38)</f>
        <v>15</v>
      </c>
      <c r="P36" s="344">
        <f t="shared" si="4"/>
        <v>5</v>
      </c>
      <c r="Q36" s="344">
        <f t="shared" si="4"/>
        <v>5</v>
      </c>
      <c r="R36" s="344">
        <f t="shared" si="4"/>
        <v>5</v>
      </c>
      <c r="S36" s="344">
        <f>SUM(S37:S38)</f>
        <v>15</v>
      </c>
      <c r="T36" s="344">
        <f t="shared" si="4"/>
        <v>5</v>
      </c>
      <c r="U36" s="344">
        <f t="shared" si="4"/>
        <v>5</v>
      </c>
      <c r="V36" s="344">
        <f t="shared" si="4"/>
        <v>5</v>
      </c>
      <c r="W36" s="344">
        <f>SUM(W37:W38)</f>
        <v>15</v>
      </c>
      <c r="X36" s="344">
        <f t="shared" si="4"/>
        <v>5</v>
      </c>
      <c r="Y36" s="344">
        <f t="shared" si="4"/>
        <v>5</v>
      </c>
      <c r="Z36" s="344">
        <f t="shared" si="4"/>
        <v>5</v>
      </c>
      <c r="AA36" s="344">
        <f>SUM(AA37:AA38)</f>
        <v>15</v>
      </c>
      <c r="AB36" s="344">
        <f t="shared" si="4"/>
        <v>5</v>
      </c>
      <c r="AC36" s="344">
        <f t="shared" si="4"/>
        <v>5</v>
      </c>
      <c r="AD36" s="344">
        <f t="shared" si="4"/>
        <v>5</v>
      </c>
      <c r="AE36" s="344">
        <f>SUM(AE37:AE38)</f>
        <v>15</v>
      </c>
      <c r="AF36" s="344">
        <f t="shared" si="4"/>
        <v>5</v>
      </c>
      <c r="AG36" s="344">
        <f t="shared" si="4"/>
        <v>5</v>
      </c>
      <c r="AH36" s="344">
        <f t="shared" si="4"/>
        <v>5</v>
      </c>
      <c r="AI36" s="344">
        <f>SUM(AI37:AI38)</f>
        <v>15</v>
      </c>
      <c r="AJ36" s="344">
        <f t="shared" ref="AJ36:BN36" si="5">SUM(AJ37:AJ38)</f>
        <v>5</v>
      </c>
      <c r="AK36" s="344">
        <f t="shared" si="5"/>
        <v>5</v>
      </c>
      <c r="AL36" s="344">
        <f t="shared" si="5"/>
        <v>5</v>
      </c>
      <c r="AM36" s="344">
        <f>SUM(AM37:AM38)</f>
        <v>15</v>
      </c>
      <c r="AN36" s="344">
        <f t="shared" si="5"/>
        <v>5</v>
      </c>
      <c r="AO36" s="344">
        <f t="shared" si="5"/>
        <v>5</v>
      </c>
      <c r="AP36" s="344">
        <f t="shared" si="5"/>
        <v>5</v>
      </c>
      <c r="AQ36" s="344">
        <f>SUM(AQ37:AQ38)</f>
        <v>15</v>
      </c>
      <c r="AR36" s="344">
        <f t="shared" si="5"/>
        <v>5</v>
      </c>
      <c r="AS36" s="344">
        <f t="shared" si="5"/>
        <v>5</v>
      </c>
      <c r="AT36" s="344">
        <f t="shared" si="5"/>
        <v>5</v>
      </c>
      <c r="AU36" s="344">
        <f>SUM(AU37:AU38)</f>
        <v>15</v>
      </c>
      <c r="AV36" s="344">
        <f t="shared" si="5"/>
        <v>5</v>
      </c>
      <c r="AW36" s="344">
        <f t="shared" si="5"/>
        <v>5</v>
      </c>
      <c r="AX36" s="344">
        <f t="shared" si="5"/>
        <v>5</v>
      </c>
      <c r="AY36" s="344">
        <f>SUM(AY37:AY38)</f>
        <v>15</v>
      </c>
      <c r="AZ36" s="344">
        <f t="shared" si="5"/>
        <v>5</v>
      </c>
      <c r="BA36" s="344">
        <f t="shared" si="5"/>
        <v>5</v>
      </c>
      <c r="BB36" s="344">
        <f t="shared" si="5"/>
        <v>5</v>
      </c>
      <c r="BC36" s="344">
        <f>SUM(BC37:BC38)</f>
        <v>15</v>
      </c>
      <c r="BD36" s="344">
        <f t="shared" si="5"/>
        <v>5</v>
      </c>
      <c r="BE36" s="344">
        <f t="shared" si="5"/>
        <v>5</v>
      </c>
      <c r="BF36" s="344">
        <f t="shared" si="5"/>
        <v>5</v>
      </c>
      <c r="BG36" s="344">
        <f>SUM(BG37:BG38)</f>
        <v>15</v>
      </c>
      <c r="BH36" s="344">
        <f t="shared" si="5"/>
        <v>5</v>
      </c>
      <c r="BI36" s="344">
        <f t="shared" si="5"/>
        <v>5</v>
      </c>
      <c r="BJ36" s="344">
        <f t="shared" si="5"/>
        <v>5</v>
      </c>
      <c r="BK36" s="344">
        <f>SUM(BK37:BK38)</f>
        <v>15</v>
      </c>
      <c r="BL36" s="344">
        <f t="shared" si="5"/>
        <v>1</v>
      </c>
      <c r="BM36" s="344">
        <f t="shared" si="5"/>
        <v>1</v>
      </c>
      <c r="BN36" s="344">
        <f t="shared" si="5"/>
        <v>1</v>
      </c>
      <c r="BO36" s="344">
        <f>SUM(BO37:BO38)</f>
        <v>3</v>
      </c>
      <c r="BP36" s="344">
        <f t="shared" ref="BP36:CH36" si="6">SUM(BP37:BP38)</f>
        <v>5</v>
      </c>
      <c r="BQ36" s="344">
        <f t="shared" si="6"/>
        <v>5</v>
      </c>
      <c r="BR36" s="344">
        <f t="shared" si="6"/>
        <v>5</v>
      </c>
      <c r="BS36" s="344">
        <f>SUM(BS37:BS38)</f>
        <v>15</v>
      </c>
      <c r="BT36" s="344">
        <f t="shared" si="6"/>
        <v>5</v>
      </c>
      <c r="BU36" s="344">
        <f t="shared" si="6"/>
        <v>5</v>
      </c>
      <c r="BV36" s="344">
        <f t="shared" si="6"/>
        <v>5</v>
      </c>
      <c r="BW36" s="344">
        <f>SUM(BW37:BW38)</f>
        <v>15</v>
      </c>
      <c r="BX36" s="344">
        <f t="shared" si="6"/>
        <v>5</v>
      </c>
      <c r="BY36" s="344">
        <f t="shared" si="6"/>
        <v>5</v>
      </c>
      <c r="BZ36" s="344">
        <f t="shared" si="6"/>
        <v>5</v>
      </c>
      <c r="CA36" s="344">
        <f>SUM(CA37:CA38)</f>
        <v>15</v>
      </c>
      <c r="CB36" s="344">
        <f t="shared" si="6"/>
        <v>5</v>
      </c>
      <c r="CC36" s="344">
        <f t="shared" si="6"/>
        <v>5</v>
      </c>
      <c r="CD36" s="344">
        <f t="shared" si="6"/>
        <v>5</v>
      </c>
      <c r="CE36" s="344">
        <f>SUM(CE37:CE38)</f>
        <v>15</v>
      </c>
      <c r="CF36" s="344">
        <f t="shared" si="6"/>
        <v>5</v>
      </c>
      <c r="CG36" s="344">
        <f t="shared" si="6"/>
        <v>5</v>
      </c>
      <c r="CH36" s="344">
        <f t="shared" si="6"/>
        <v>5</v>
      </c>
      <c r="CI36" s="344">
        <f>SUM(CI37:CI38)</f>
        <v>15</v>
      </c>
    </row>
    <row r="37" spans="3:87" s="48" customFormat="1" ht="14.5" customHeight="1" thickBot="1" x14ac:dyDescent="0.2">
      <c r="C37" s="119" t="str">
        <f>Tekstnøgler!C122</f>
        <v>Forbrug af elektricitet</v>
      </c>
      <c r="D37" s="347"/>
      <c r="E37" s="347"/>
      <c r="F37" s="347"/>
      <c r="G37" s="343">
        <f>D37+E37+F37</f>
        <v>0</v>
      </c>
      <c r="H37" s="347"/>
      <c r="I37" s="347"/>
      <c r="J37" s="347"/>
      <c r="K37" s="343">
        <f>H37+I37+J37</f>
        <v>0</v>
      </c>
      <c r="L37" s="347"/>
      <c r="M37" s="347"/>
      <c r="N37" s="347"/>
      <c r="O37" s="343">
        <f>L37+M37+N37</f>
        <v>0</v>
      </c>
      <c r="P37" s="347"/>
      <c r="Q37" s="347"/>
      <c r="R37" s="347"/>
      <c r="S37" s="343">
        <f>P37+Q37+R37</f>
        <v>0</v>
      </c>
      <c r="T37" s="347"/>
      <c r="U37" s="347"/>
      <c r="V37" s="347"/>
      <c r="W37" s="343">
        <f>T37+U37+V37</f>
        <v>0</v>
      </c>
      <c r="X37" s="347"/>
      <c r="Y37" s="347"/>
      <c r="Z37" s="347"/>
      <c r="AA37" s="343">
        <f>X37+Y37+Z37</f>
        <v>0</v>
      </c>
      <c r="AB37" s="347"/>
      <c r="AC37" s="347"/>
      <c r="AD37" s="347"/>
      <c r="AE37" s="343">
        <f>AB37+AC37+AD37</f>
        <v>0</v>
      </c>
      <c r="AF37" s="347"/>
      <c r="AG37" s="347"/>
      <c r="AH37" s="347"/>
      <c r="AI37" s="343">
        <f>AF37+AG37+AH37</f>
        <v>0</v>
      </c>
      <c r="AJ37" s="347"/>
      <c r="AK37" s="347"/>
      <c r="AL37" s="347"/>
      <c r="AM37" s="343">
        <f>AJ37+AK37+AL37</f>
        <v>0</v>
      </c>
      <c r="AN37" s="347"/>
      <c r="AO37" s="347"/>
      <c r="AP37" s="347"/>
      <c r="AQ37" s="343">
        <f>AN37+AO37+AP37</f>
        <v>0</v>
      </c>
      <c r="AR37" s="347"/>
      <c r="AS37" s="347"/>
      <c r="AT37" s="347"/>
      <c r="AU37" s="343">
        <f>AR37+AS37+AT37</f>
        <v>0</v>
      </c>
      <c r="AV37" s="347"/>
      <c r="AW37" s="347"/>
      <c r="AX37" s="347"/>
      <c r="AY37" s="343">
        <f>AV37+AW37+AX37</f>
        <v>0</v>
      </c>
      <c r="AZ37" s="347"/>
      <c r="BA37" s="347"/>
      <c r="BB37" s="347"/>
      <c r="BC37" s="343">
        <f>AZ37+BA37+BB37</f>
        <v>0</v>
      </c>
      <c r="BD37" s="347"/>
      <c r="BE37" s="347"/>
      <c r="BF37" s="347"/>
      <c r="BG37" s="343">
        <f>BD37+BE37+BF37</f>
        <v>0</v>
      </c>
      <c r="BH37" s="347"/>
      <c r="BI37" s="347"/>
      <c r="BJ37" s="347"/>
      <c r="BK37" s="343">
        <f>BH37+BI37+BJ37</f>
        <v>0</v>
      </c>
      <c r="BL37" s="347"/>
      <c r="BM37" s="347"/>
      <c r="BN37" s="347"/>
      <c r="BO37" s="343">
        <f>BL37+BM37+BN37</f>
        <v>0</v>
      </c>
      <c r="BP37" s="347"/>
      <c r="BQ37" s="347"/>
      <c r="BR37" s="347"/>
      <c r="BS37" s="343">
        <f>BP37+BQ37+BR37</f>
        <v>0</v>
      </c>
      <c r="BT37" s="347"/>
      <c r="BU37" s="347"/>
      <c r="BV37" s="347"/>
      <c r="BW37" s="343">
        <f>BT37+BU37+BV37</f>
        <v>0</v>
      </c>
      <c r="BX37" s="347"/>
      <c r="BY37" s="347"/>
      <c r="BZ37" s="347"/>
      <c r="CA37" s="343">
        <f>BX37+BY37+BZ37</f>
        <v>0</v>
      </c>
      <c r="CB37" s="347"/>
      <c r="CC37" s="347"/>
      <c r="CD37" s="347"/>
      <c r="CE37" s="343">
        <f>CB37+CC37+CD37</f>
        <v>0</v>
      </c>
      <c r="CF37" s="347"/>
      <c r="CG37" s="347"/>
      <c r="CH37" s="347"/>
      <c r="CI37" s="343">
        <f>CF37+CG37+CH37</f>
        <v>0</v>
      </c>
    </row>
    <row r="38" spans="3:87" s="48" customFormat="1" ht="15" thickBot="1" x14ac:dyDescent="0.2">
      <c r="C38" s="119" t="str">
        <f>Tekstnøgler!C123</f>
        <v>Forbrug af elektricitet med egne emissionsfaktorer</v>
      </c>
      <c r="D38" s="347">
        <v>5</v>
      </c>
      <c r="E38" s="347">
        <v>4</v>
      </c>
      <c r="F38" s="347">
        <v>5</v>
      </c>
      <c r="G38" s="343">
        <f>D38+E38+F38</f>
        <v>14</v>
      </c>
      <c r="H38" s="347">
        <v>5</v>
      </c>
      <c r="I38" s="347">
        <v>5</v>
      </c>
      <c r="J38" s="347">
        <v>5</v>
      </c>
      <c r="K38" s="343">
        <f>H38+I38+J38</f>
        <v>15</v>
      </c>
      <c r="L38" s="347">
        <v>5</v>
      </c>
      <c r="M38" s="347">
        <v>5</v>
      </c>
      <c r="N38" s="347">
        <v>5</v>
      </c>
      <c r="O38" s="343">
        <f>L38+M38+N38</f>
        <v>15</v>
      </c>
      <c r="P38" s="347">
        <v>5</v>
      </c>
      <c r="Q38" s="347">
        <v>5</v>
      </c>
      <c r="R38" s="347">
        <v>5</v>
      </c>
      <c r="S38" s="343">
        <f>P38+Q38+R38</f>
        <v>15</v>
      </c>
      <c r="T38" s="347">
        <v>5</v>
      </c>
      <c r="U38" s="347">
        <v>5</v>
      </c>
      <c r="V38" s="347">
        <v>5</v>
      </c>
      <c r="W38" s="343">
        <f>T38+U38+V38</f>
        <v>15</v>
      </c>
      <c r="X38" s="347">
        <v>5</v>
      </c>
      <c r="Y38" s="347">
        <v>5</v>
      </c>
      <c r="Z38" s="347">
        <v>5</v>
      </c>
      <c r="AA38" s="343">
        <f>X38+Y38+Z38</f>
        <v>15</v>
      </c>
      <c r="AB38" s="347">
        <v>5</v>
      </c>
      <c r="AC38" s="347">
        <v>5</v>
      </c>
      <c r="AD38" s="347">
        <v>5</v>
      </c>
      <c r="AE38" s="343">
        <f>AB38+AC38+AD38</f>
        <v>15</v>
      </c>
      <c r="AF38" s="347">
        <v>5</v>
      </c>
      <c r="AG38" s="347">
        <v>5</v>
      </c>
      <c r="AH38" s="347">
        <v>5</v>
      </c>
      <c r="AI38" s="343">
        <f>AF38+AG38+AH38</f>
        <v>15</v>
      </c>
      <c r="AJ38" s="347">
        <v>5</v>
      </c>
      <c r="AK38" s="347">
        <v>5</v>
      </c>
      <c r="AL38" s="347">
        <v>5</v>
      </c>
      <c r="AM38" s="343">
        <f>AJ38+AK38+AL38</f>
        <v>15</v>
      </c>
      <c r="AN38" s="347">
        <v>5</v>
      </c>
      <c r="AO38" s="347">
        <v>5</v>
      </c>
      <c r="AP38" s="347">
        <v>5</v>
      </c>
      <c r="AQ38" s="343">
        <f>AN38+AO38+AP38</f>
        <v>15</v>
      </c>
      <c r="AR38" s="347">
        <v>5</v>
      </c>
      <c r="AS38" s="347">
        <v>5</v>
      </c>
      <c r="AT38" s="347">
        <v>5</v>
      </c>
      <c r="AU38" s="343">
        <f>AR38+AS38+AT38</f>
        <v>15</v>
      </c>
      <c r="AV38" s="347">
        <v>5</v>
      </c>
      <c r="AW38" s="347">
        <v>5</v>
      </c>
      <c r="AX38" s="347">
        <v>5</v>
      </c>
      <c r="AY38" s="343">
        <f>AV38+AW38+AX38</f>
        <v>15</v>
      </c>
      <c r="AZ38" s="347">
        <v>5</v>
      </c>
      <c r="BA38" s="347">
        <v>5</v>
      </c>
      <c r="BB38" s="347">
        <v>5</v>
      </c>
      <c r="BC38" s="343">
        <f>AZ38+BA38+BB38</f>
        <v>15</v>
      </c>
      <c r="BD38" s="347">
        <v>5</v>
      </c>
      <c r="BE38" s="347">
        <v>5</v>
      </c>
      <c r="BF38" s="347">
        <v>5</v>
      </c>
      <c r="BG38" s="343">
        <f>BD38+BE38+BF38</f>
        <v>15</v>
      </c>
      <c r="BH38" s="347">
        <v>5</v>
      </c>
      <c r="BI38" s="347">
        <v>5</v>
      </c>
      <c r="BJ38" s="347">
        <v>5</v>
      </c>
      <c r="BK38" s="343">
        <f>BH38+BI38+BJ38</f>
        <v>15</v>
      </c>
      <c r="BL38" s="347">
        <v>1</v>
      </c>
      <c r="BM38" s="347">
        <v>1</v>
      </c>
      <c r="BN38" s="347">
        <v>1</v>
      </c>
      <c r="BO38" s="343">
        <f>BL38+BM38+BN38</f>
        <v>3</v>
      </c>
      <c r="BP38" s="347">
        <v>5</v>
      </c>
      <c r="BQ38" s="347">
        <v>5</v>
      </c>
      <c r="BR38" s="347">
        <v>5</v>
      </c>
      <c r="BS38" s="343">
        <f>BP38+BQ38+BR38</f>
        <v>15</v>
      </c>
      <c r="BT38" s="347">
        <v>5</v>
      </c>
      <c r="BU38" s="347">
        <v>5</v>
      </c>
      <c r="BV38" s="347">
        <v>5</v>
      </c>
      <c r="BW38" s="343">
        <f>BT38+BU38+BV38</f>
        <v>15</v>
      </c>
      <c r="BX38" s="347">
        <v>5</v>
      </c>
      <c r="BY38" s="347">
        <v>5</v>
      </c>
      <c r="BZ38" s="347">
        <v>5</v>
      </c>
      <c r="CA38" s="343">
        <f>BX38+BY38+BZ38</f>
        <v>15</v>
      </c>
      <c r="CB38" s="347">
        <v>5</v>
      </c>
      <c r="CC38" s="347">
        <v>5</v>
      </c>
      <c r="CD38" s="347">
        <v>5</v>
      </c>
      <c r="CE38" s="343">
        <f>CB38+CC38+CD38</f>
        <v>15</v>
      </c>
      <c r="CF38" s="347">
        <v>5</v>
      </c>
      <c r="CG38" s="347">
        <v>5</v>
      </c>
      <c r="CH38" s="347">
        <v>5</v>
      </c>
      <c r="CI38" s="343">
        <f>CF38+CG38+CH38</f>
        <v>15</v>
      </c>
    </row>
    <row r="39" spans="3:87" s="48" customFormat="1" ht="14.5" customHeight="1" thickBot="1" x14ac:dyDescent="0.2">
      <c r="C39" s="118" t="str">
        <f>Tekstnøgler!C124</f>
        <v>Varme og procesenergi</v>
      </c>
      <c r="D39" s="344">
        <f t="shared" ref="D39:G39" si="7">SUM(D40:D42)</f>
        <v>3</v>
      </c>
      <c r="E39" s="344">
        <f t="shared" si="7"/>
        <v>0</v>
      </c>
      <c r="F39" s="344">
        <f t="shared" si="7"/>
        <v>0</v>
      </c>
      <c r="G39" s="344">
        <f t="shared" si="7"/>
        <v>3</v>
      </c>
      <c r="H39" s="344">
        <f t="shared" ref="H39" si="8">SUM(H40:H42)</f>
        <v>0</v>
      </c>
      <c r="I39" s="344">
        <f t="shared" ref="I39" si="9">SUM(I40:I42)</f>
        <v>0</v>
      </c>
      <c r="J39" s="344">
        <f t="shared" ref="J39" si="10">SUM(J40:J42)</f>
        <v>0</v>
      </c>
      <c r="K39" s="344">
        <f t="shared" ref="K39" si="11">SUM(K40:K42)</f>
        <v>0</v>
      </c>
      <c r="L39" s="344">
        <f t="shared" ref="L39" si="12">SUM(L40:L42)</f>
        <v>0</v>
      </c>
      <c r="M39" s="344">
        <f t="shared" ref="M39" si="13">SUM(M40:M42)</f>
        <v>0</v>
      </c>
      <c r="N39" s="344">
        <f t="shared" ref="N39" si="14">SUM(N40:N42)</f>
        <v>0</v>
      </c>
      <c r="O39" s="344">
        <f t="shared" ref="O39" si="15">SUM(O40:O42)</f>
        <v>0</v>
      </c>
      <c r="P39" s="344">
        <f t="shared" ref="P39" si="16">SUM(P40:P42)</f>
        <v>0</v>
      </c>
      <c r="Q39" s="344">
        <f t="shared" ref="Q39" si="17">SUM(Q40:Q42)</f>
        <v>0</v>
      </c>
      <c r="R39" s="344">
        <f t="shared" ref="R39" si="18">SUM(R40:R42)</f>
        <v>0</v>
      </c>
      <c r="S39" s="344">
        <f t="shared" ref="S39" si="19">SUM(S40:S42)</f>
        <v>0</v>
      </c>
      <c r="T39" s="344">
        <f t="shared" ref="T39" si="20">SUM(T40:T42)</f>
        <v>0</v>
      </c>
      <c r="U39" s="344">
        <f t="shared" ref="U39" si="21">SUM(U40:U42)</f>
        <v>0</v>
      </c>
      <c r="V39" s="344">
        <f t="shared" ref="V39" si="22">SUM(V40:V42)</f>
        <v>0</v>
      </c>
      <c r="W39" s="344">
        <f t="shared" ref="W39" si="23">SUM(W40:W42)</f>
        <v>0</v>
      </c>
      <c r="X39" s="344">
        <f t="shared" ref="X39" si="24">SUM(X40:X42)</f>
        <v>0</v>
      </c>
      <c r="Y39" s="344">
        <f t="shared" ref="Y39" si="25">SUM(Y40:Y42)</f>
        <v>0</v>
      </c>
      <c r="Z39" s="344">
        <f t="shared" ref="Z39" si="26">SUM(Z40:Z42)</f>
        <v>0</v>
      </c>
      <c r="AA39" s="344">
        <f t="shared" ref="AA39" si="27">SUM(AA40:AA42)</f>
        <v>0</v>
      </c>
      <c r="AB39" s="344">
        <f t="shared" ref="AB39" si="28">SUM(AB40:AB42)</f>
        <v>0</v>
      </c>
      <c r="AC39" s="344">
        <f t="shared" ref="AC39" si="29">SUM(AC40:AC42)</f>
        <v>0</v>
      </c>
      <c r="AD39" s="344">
        <f t="shared" ref="AD39" si="30">SUM(AD40:AD42)</f>
        <v>0</v>
      </c>
      <c r="AE39" s="344">
        <f t="shared" ref="AE39" si="31">SUM(AE40:AE42)</f>
        <v>0</v>
      </c>
      <c r="AF39" s="344">
        <f t="shared" ref="AF39" si="32">SUM(AF40:AF42)</f>
        <v>0</v>
      </c>
      <c r="AG39" s="344">
        <f t="shared" ref="AG39" si="33">SUM(AG40:AG42)</f>
        <v>0</v>
      </c>
      <c r="AH39" s="344">
        <f t="shared" ref="AH39" si="34">SUM(AH40:AH42)</f>
        <v>0</v>
      </c>
      <c r="AI39" s="344">
        <f t="shared" ref="AI39" si="35">SUM(AI40:AI42)</f>
        <v>0</v>
      </c>
      <c r="AJ39" s="344">
        <f t="shared" ref="AJ39" si="36">SUM(AJ40:AJ42)</f>
        <v>0</v>
      </c>
      <c r="AK39" s="344">
        <f t="shared" ref="AK39" si="37">SUM(AK40:AK42)</f>
        <v>0</v>
      </c>
      <c r="AL39" s="344">
        <f t="shared" ref="AL39" si="38">SUM(AL40:AL42)</f>
        <v>0</v>
      </c>
      <c r="AM39" s="344">
        <f t="shared" ref="AM39" si="39">SUM(AM40:AM42)</f>
        <v>0</v>
      </c>
      <c r="AN39" s="344">
        <f t="shared" ref="AN39" si="40">SUM(AN40:AN42)</f>
        <v>0</v>
      </c>
      <c r="AO39" s="344">
        <f t="shared" ref="AO39" si="41">SUM(AO40:AO42)</f>
        <v>0</v>
      </c>
      <c r="AP39" s="344">
        <f t="shared" ref="AP39" si="42">SUM(AP40:AP42)</f>
        <v>0</v>
      </c>
      <c r="AQ39" s="344">
        <f t="shared" ref="AQ39" si="43">SUM(AQ40:AQ42)</f>
        <v>0</v>
      </c>
      <c r="AR39" s="344">
        <f t="shared" ref="AR39" si="44">SUM(AR40:AR42)</f>
        <v>0</v>
      </c>
      <c r="AS39" s="344">
        <f t="shared" ref="AS39" si="45">SUM(AS40:AS42)</f>
        <v>0</v>
      </c>
      <c r="AT39" s="344">
        <f t="shared" ref="AT39" si="46">SUM(AT40:AT42)</f>
        <v>0</v>
      </c>
      <c r="AU39" s="344">
        <f t="shared" ref="AU39" si="47">SUM(AU40:AU42)</f>
        <v>0</v>
      </c>
      <c r="AV39" s="344">
        <f t="shared" ref="AV39" si="48">SUM(AV40:AV42)</f>
        <v>0</v>
      </c>
      <c r="AW39" s="344">
        <f t="shared" ref="AW39" si="49">SUM(AW40:AW42)</f>
        <v>0</v>
      </c>
      <c r="AX39" s="344">
        <f t="shared" ref="AX39" si="50">SUM(AX40:AX42)</f>
        <v>0</v>
      </c>
      <c r="AY39" s="344">
        <f t="shared" ref="AY39" si="51">SUM(AY40:AY42)</f>
        <v>0</v>
      </c>
      <c r="AZ39" s="344">
        <f t="shared" ref="AZ39" si="52">SUM(AZ40:AZ42)</f>
        <v>0</v>
      </c>
      <c r="BA39" s="344">
        <f t="shared" ref="BA39" si="53">SUM(BA40:BA42)</f>
        <v>0</v>
      </c>
      <c r="BB39" s="344">
        <f t="shared" ref="BB39" si="54">SUM(BB40:BB42)</f>
        <v>0</v>
      </c>
      <c r="BC39" s="344">
        <f t="shared" ref="BC39" si="55">SUM(BC40:BC42)</f>
        <v>0</v>
      </c>
      <c r="BD39" s="344">
        <f t="shared" ref="BD39" si="56">SUM(BD40:BD42)</f>
        <v>0</v>
      </c>
      <c r="BE39" s="344">
        <f t="shared" ref="BE39" si="57">SUM(BE40:BE42)</f>
        <v>0</v>
      </c>
      <c r="BF39" s="344">
        <f t="shared" ref="BF39" si="58">SUM(BF40:BF42)</f>
        <v>0</v>
      </c>
      <c r="BG39" s="344">
        <f t="shared" ref="BG39" si="59">SUM(BG40:BG42)</f>
        <v>0</v>
      </c>
      <c r="BH39" s="344">
        <f t="shared" ref="BH39" si="60">SUM(BH40:BH42)</f>
        <v>0</v>
      </c>
      <c r="BI39" s="344">
        <f t="shared" ref="BI39" si="61">SUM(BI40:BI42)</f>
        <v>0</v>
      </c>
      <c r="BJ39" s="344">
        <f t="shared" ref="BJ39" si="62">SUM(BJ40:BJ42)</f>
        <v>0</v>
      </c>
      <c r="BK39" s="344">
        <f t="shared" ref="BK39" si="63">SUM(BK40:BK42)</f>
        <v>0</v>
      </c>
      <c r="BL39" s="344">
        <f t="shared" ref="BL39" si="64">SUM(BL40:BL42)</f>
        <v>0</v>
      </c>
      <c r="BM39" s="344">
        <f t="shared" ref="BM39" si="65">SUM(BM40:BM42)</f>
        <v>0</v>
      </c>
      <c r="BN39" s="344">
        <f t="shared" ref="BN39" si="66">SUM(BN40:BN42)</f>
        <v>0</v>
      </c>
      <c r="BO39" s="344">
        <f t="shared" ref="BO39" si="67">SUM(BO40:BO42)</f>
        <v>0</v>
      </c>
      <c r="BP39" s="344">
        <f t="shared" ref="BP39" si="68">SUM(BP40:BP42)</f>
        <v>0</v>
      </c>
      <c r="BQ39" s="344">
        <f t="shared" ref="BQ39" si="69">SUM(BQ40:BQ42)</f>
        <v>0</v>
      </c>
      <c r="BR39" s="344">
        <f t="shared" ref="BR39" si="70">SUM(BR40:BR42)</f>
        <v>0</v>
      </c>
      <c r="BS39" s="344">
        <f t="shared" ref="BS39" si="71">SUM(BS40:BS42)</f>
        <v>0</v>
      </c>
      <c r="BT39" s="344">
        <f t="shared" ref="BT39" si="72">SUM(BT40:BT42)</f>
        <v>0</v>
      </c>
      <c r="BU39" s="344">
        <f t="shared" ref="BU39" si="73">SUM(BU40:BU42)</f>
        <v>0</v>
      </c>
      <c r="BV39" s="344">
        <f t="shared" ref="BV39" si="74">SUM(BV40:BV42)</f>
        <v>0</v>
      </c>
      <c r="BW39" s="344">
        <f t="shared" ref="BW39" si="75">SUM(BW40:BW42)</f>
        <v>0</v>
      </c>
      <c r="BX39" s="344">
        <f t="shared" ref="BX39" si="76">SUM(BX40:BX42)</f>
        <v>0</v>
      </c>
      <c r="BY39" s="344">
        <f t="shared" ref="BY39" si="77">SUM(BY40:BY42)</f>
        <v>0</v>
      </c>
      <c r="BZ39" s="344">
        <f t="shared" ref="BZ39" si="78">SUM(BZ40:BZ42)</f>
        <v>0</v>
      </c>
      <c r="CA39" s="344">
        <f t="shared" ref="CA39" si="79">SUM(CA40:CA42)</f>
        <v>0</v>
      </c>
      <c r="CB39" s="344">
        <f t="shared" ref="CB39" si="80">SUM(CB40:CB42)</f>
        <v>0</v>
      </c>
      <c r="CC39" s="344">
        <f t="shared" ref="CC39" si="81">SUM(CC40:CC42)</f>
        <v>0</v>
      </c>
      <c r="CD39" s="344">
        <f t="shared" ref="CD39" si="82">SUM(CD40:CD42)</f>
        <v>0</v>
      </c>
      <c r="CE39" s="344">
        <f t="shared" ref="CE39" si="83">SUM(CE40:CE42)</f>
        <v>0</v>
      </c>
      <c r="CF39" s="344">
        <f t="shared" ref="CF39" si="84">SUM(CF40:CF42)</f>
        <v>0</v>
      </c>
      <c r="CG39" s="344">
        <f t="shared" ref="CG39" si="85">SUM(CG40:CG42)</f>
        <v>0</v>
      </c>
      <c r="CH39" s="344">
        <f t="shared" ref="CH39" si="86">SUM(CH40:CH42)</f>
        <v>0</v>
      </c>
      <c r="CI39" s="344">
        <f t="shared" ref="CI39" si="87">SUM(CI40:CI42)</f>
        <v>0</v>
      </c>
    </row>
    <row r="40" spans="3:87" s="48" customFormat="1" ht="14.5" customHeight="1" thickBot="1" x14ac:dyDescent="0.2">
      <c r="C40" s="119" t="str">
        <f>Tekstnøgler!C125</f>
        <v>Fjernvarme</v>
      </c>
      <c r="D40" s="347"/>
      <c r="E40" s="347"/>
      <c r="F40" s="347"/>
      <c r="G40" s="343">
        <f t="shared" ref="G40:G42" si="88">D40+E40+F40</f>
        <v>0</v>
      </c>
      <c r="H40" s="347"/>
      <c r="I40" s="347"/>
      <c r="J40" s="347"/>
      <c r="K40" s="343">
        <f t="shared" ref="K40:K42" si="89">H40+I40+J40</f>
        <v>0</v>
      </c>
      <c r="L40" s="347"/>
      <c r="M40" s="347"/>
      <c r="N40" s="347"/>
      <c r="O40" s="343">
        <f t="shared" ref="O40:O42" si="90">L40+M40+N40</f>
        <v>0</v>
      </c>
      <c r="P40" s="347"/>
      <c r="Q40" s="347"/>
      <c r="R40" s="347"/>
      <c r="S40" s="343">
        <f t="shared" ref="S40:S42" si="91">P40+Q40+R40</f>
        <v>0</v>
      </c>
      <c r="T40" s="347"/>
      <c r="U40" s="347"/>
      <c r="V40" s="347"/>
      <c r="W40" s="343">
        <f t="shared" ref="W40:W42" si="92">T40+U40+V40</f>
        <v>0</v>
      </c>
      <c r="X40" s="347"/>
      <c r="Y40" s="347"/>
      <c r="Z40" s="347"/>
      <c r="AA40" s="343">
        <f t="shared" ref="AA40:AA42" si="93">X40+Y40+Z40</f>
        <v>0</v>
      </c>
      <c r="AB40" s="347"/>
      <c r="AC40" s="347"/>
      <c r="AD40" s="347"/>
      <c r="AE40" s="343">
        <f t="shared" ref="AE40:AE42" si="94">AB40+AC40+AD40</f>
        <v>0</v>
      </c>
      <c r="AF40" s="347"/>
      <c r="AG40" s="347"/>
      <c r="AH40" s="347"/>
      <c r="AI40" s="343">
        <f t="shared" ref="AI40:AI42" si="95">AF40+AG40+AH40</f>
        <v>0</v>
      </c>
      <c r="AJ40" s="347"/>
      <c r="AK40" s="347"/>
      <c r="AL40" s="347"/>
      <c r="AM40" s="343">
        <f t="shared" ref="AM40:AM42" si="96">AJ40+AK40+AL40</f>
        <v>0</v>
      </c>
      <c r="AN40" s="347"/>
      <c r="AO40" s="347"/>
      <c r="AP40" s="347"/>
      <c r="AQ40" s="343">
        <f t="shared" ref="AQ40:AQ42" si="97">AN40+AO40+AP40</f>
        <v>0</v>
      </c>
      <c r="AR40" s="347"/>
      <c r="AS40" s="347"/>
      <c r="AT40" s="347"/>
      <c r="AU40" s="343">
        <f t="shared" ref="AU40:AU42" si="98">AR40+AS40+AT40</f>
        <v>0</v>
      </c>
      <c r="AV40" s="347"/>
      <c r="AW40" s="347"/>
      <c r="AX40" s="347"/>
      <c r="AY40" s="343">
        <f t="shared" ref="AY40:AY42" si="99">AV40+AW40+AX40</f>
        <v>0</v>
      </c>
      <c r="AZ40" s="347"/>
      <c r="BA40" s="347"/>
      <c r="BB40" s="347"/>
      <c r="BC40" s="343">
        <f t="shared" ref="BC40:BC42" si="100">AZ40+BA40+BB40</f>
        <v>0</v>
      </c>
      <c r="BD40" s="347"/>
      <c r="BE40" s="347"/>
      <c r="BF40" s="347"/>
      <c r="BG40" s="343">
        <f t="shared" ref="BG40:BG42" si="101">BD40+BE40+BF40</f>
        <v>0</v>
      </c>
      <c r="BH40" s="347"/>
      <c r="BI40" s="347"/>
      <c r="BJ40" s="347"/>
      <c r="BK40" s="343">
        <f t="shared" ref="BK40:BK42" si="102">BH40+BI40+BJ40</f>
        <v>0</v>
      </c>
      <c r="BL40" s="347"/>
      <c r="BM40" s="347"/>
      <c r="BN40" s="347"/>
      <c r="BO40" s="343">
        <f t="shared" ref="BO40:BO42" si="103">BL40+BM40+BN40</f>
        <v>0</v>
      </c>
      <c r="BP40" s="347"/>
      <c r="BQ40" s="347"/>
      <c r="BR40" s="347"/>
      <c r="BS40" s="343">
        <f t="shared" ref="BS40:BS42" si="104">BP40+BQ40+BR40</f>
        <v>0</v>
      </c>
      <c r="BT40" s="347"/>
      <c r="BU40" s="347"/>
      <c r="BV40" s="347"/>
      <c r="BW40" s="343">
        <f t="shared" ref="BW40:BW42" si="105">BT40+BU40+BV40</f>
        <v>0</v>
      </c>
      <c r="BX40" s="347"/>
      <c r="BY40" s="347"/>
      <c r="BZ40" s="347"/>
      <c r="CA40" s="343">
        <f t="shared" ref="CA40:CA42" si="106">BX40+BY40+BZ40</f>
        <v>0</v>
      </c>
      <c r="CB40" s="347"/>
      <c r="CC40" s="347"/>
      <c r="CD40" s="347"/>
      <c r="CE40" s="343">
        <f t="shared" ref="CE40:CE42" si="107">CB40+CC40+CD40</f>
        <v>0</v>
      </c>
      <c r="CF40" s="347"/>
      <c r="CG40" s="347"/>
      <c r="CH40" s="347"/>
      <c r="CI40" s="343">
        <f t="shared" ref="CI40:CI42" si="108">CF40+CG40+CH40</f>
        <v>0</v>
      </c>
    </row>
    <row r="41" spans="3:87" s="48" customFormat="1" ht="14.5" customHeight="1" thickBot="1" x14ac:dyDescent="0.2">
      <c r="C41" s="119" t="str">
        <f>Tekstnøgler!C126</f>
        <v>Brændsler</v>
      </c>
      <c r="D41" s="347">
        <v>3</v>
      </c>
      <c r="E41" s="347"/>
      <c r="F41" s="347"/>
      <c r="G41" s="343">
        <f t="shared" si="88"/>
        <v>3</v>
      </c>
      <c r="H41" s="347"/>
      <c r="I41" s="347"/>
      <c r="J41" s="347"/>
      <c r="K41" s="343">
        <f t="shared" si="89"/>
        <v>0</v>
      </c>
      <c r="L41" s="347"/>
      <c r="M41" s="347"/>
      <c r="N41" s="347"/>
      <c r="O41" s="343">
        <f t="shared" si="90"/>
        <v>0</v>
      </c>
      <c r="P41" s="347"/>
      <c r="Q41" s="347"/>
      <c r="R41" s="347"/>
      <c r="S41" s="343">
        <f t="shared" si="91"/>
        <v>0</v>
      </c>
      <c r="T41" s="347"/>
      <c r="U41" s="347"/>
      <c r="V41" s="347"/>
      <c r="W41" s="343">
        <f t="shared" si="92"/>
        <v>0</v>
      </c>
      <c r="X41" s="347"/>
      <c r="Y41" s="347"/>
      <c r="Z41" s="347"/>
      <c r="AA41" s="343">
        <f t="shared" si="93"/>
        <v>0</v>
      </c>
      <c r="AB41" s="347"/>
      <c r="AC41" s="347"/>
      <c r="AD41" s="347"/>
      <c r="AE41" s="343">
        <f t="shared" si="94"/>
        <v>0</v>
      </c>
      <c r="AF41" s="347"/>
      <c r="AG41" s="347"/>
      <c r="AH41" s="347"/>
      <c r="AI41" s="343">
        <f t="shared" si="95"/>
        <v>0</v>
      </c>
      <c r="AJ41" s="347"/>
      <c r="AK41" s="347"/>
      <c r="AL41" s="347"/>
      <c r="AM41" s="343">
        <f t="shared" si="96"/>
        <v>0</v>
      </c>
      <c r="AN41" s="347"/>
      <c r="AO41" s="347"/>
      <c r="AP41" s="347"/>
      <c r="AQ41" s="343">
        <f t="shared" si="97"/>
        <v>0</v>
      </c>
      <c r="AR41" s="347"/>
      <c r="AS41" s="347"/>
      <c r="AT41" s="347"/>
      <c r="AU41" s="343">
        <f t="shared" si="98"/>
        <v>0</v>
      </c>
      <c r="AV41" s="347"/>
      <c r="AW41" s="347"/>
      <c r="AX41" s="347"/>
      <c r="AY41" s="343">
        <f t="shared" si="99"/>
        <v>0</v>
      </c>
      <c r="AZ41" s="347"/>
      <c r="BA41" s="347"/>
      <c r="BB41" s="347"/>
      <c r="BC41" s="343">
        <f t="shared" si="100"/>
        <v>0</v>
      </c>
      <c r="BD41" s="347"/>
      <c r="BE41" s="347"/>
      <c r="BF41" s="347"/>
      <c r="BG41" s="343">
        <f t="shared" si="101"/>
        <v>0</v>
      </c>
      <c r="BH41" s="347"/>
      <c r="BI41" s="347"/>
      <c r="BJ41" s="347"/>
      <c r="BK41" s="343">
        <f t="shared" si="102"/>
        <v>0</v>
      </c>
      <c r="BL41" s="347"/>
      <c r="BM41" s="347"/>
      <c r="BN41" s="347"/>
      <c r="BO41" s="343">
        <f t="shared" si="103"/>
        <v>0</v>
      </c>
      <c r="BP41" s="347"/>
      <c r="BQ41" s="347"/>
      <c r="BR41" s="347"/>
      <c r="BS41" s="343">
        <f t="shared" si="104"/>
        <v>0</v>
      </c>
      <c r="BT41" s="347"/>
      <c r="BU41" s="347"/>
      <c r="BV41" s="347"/>
      <c r="BW41" s="343">
        <f t="shared" si="105"/>
        <v>0</v>
      </c>
      <c r="BX41" s="347"/>
      <c r="BY41" s="347"/>
      <c r="BZ41" s="347"/>
      <c r="CA41" s="343">
        <f t="shared" si="106"/>
        <v>0</v>
      </c>
      <c r="CB41" s="347"/>
      <c r="CC41" s="347"/>
      <c r="CD41" s="347"/>
      <c r="CE41" s="343">
        <f t="shared" si="107"/>
        <v>0</v>
      </c>
      <c r="CF41" s="347"/>
      <c r="CG41" s="347"/>
      <c r="CH41" s="347"/>
      <c r="CI41" s="343">
        <f t="shared" si="108"/>
        <v>0</v>
      </c>
    </row>
    <row r="42" spans="3:87" s="48" customFormat="1" ht="14.5" customHeight="1" thickBot="1" x14ac:dyDescent="0.2">
      <c r="C42" s="119" t="str">
        <f>Tekstnøgler!C127</f>
        <v>Varme og procesenergi med egne emissionsfaktorer</v>
      </c>
      <c r="D42" s="347"/>
      <c r="E42" s="347"/>
      <c r="F42" s="347"/>
      <c r="G42" s="343">
        <f t="shared" si="88"/>
        <v>0</v>
      </c>
      <c r="H42" s="347"/>
      <c r="I42" s="347"/>
      <c r="J42" s="347"/>
      <c r="K42" s="343">
        <f t="shared" si="89"/>
        <v>0</v>
      </c>
      <c r="L42" s="347"/>
      <c r="M42" s="347"/>
      <c r="N42" s="347"/>
      <c r="O42" s="343">
        <f t="shared" si="90"/>
        <v>0</v>
      </c>
      <c r="P42" s="347"/>
      <c r="Q42" s="347"/>
      <c r="R42" s="347"/>
      <c r="S42" s="343">
        <f t="shared" si="91"/>
        <v>0</v>
      </c>
      <c r="T42" s="347"/>
      <c r="U42" s="347"/>
      <c r="V42" s="347"/>
      <c r="W42" s="343">
        <f t="shared" si="92"/>
        <v>0</v>
      </c>
      <c r="X42" s="347"/>
      <c r="Y42" s="347"/>
      <c r="Z42" s="347"/>
      <c r="AA42" s="343">
        <f t="shared" si="93"/>
        <v>0</v>
      </c>
      <c r="AB42" s="347"/>
      <c r="AC42" s="347"/>
      <c r="AD42" s="347"/>
      <c r="AE42" s="343">
        <f t="shared" si="94"/>
        <v>0</v>
      </c>
      <c r="AF42" s="347"/>
      <c r="AG42" s="347"/>
      <c r="AH42" s="347"/>
      <c r="AI42" s="343">
        <f t="shared" si="95"/>
        <v>0</v>
      </c>
      <c r="AJ42" s="347"/>
      <c r="AK42" s="347"/>
      <c r="AL42" s="347"/>
      <c r="AM42" s="343">
        <f t="shared" si="96"/>
        <v>0</v>
      </c>
      <c r="AN42" s="347"/>
      <c r="AO42" s="347"/>
      <c r="AP42" s="347"/>
      <c r="AQ42" s="343">
        <f t="shared" si="97"/>
        <v>0</v>
      </c>
      <c r="AR42" s="347"/>
      <c r="AS42" s="347"/>
      <c r="AT42" s="347"/>
      <c r="AU42" s="343">
        <f t="shared" si="98"/>
        <v>0</v>
      </c>
      <c r="AV42" s="347"/>
      <c r="AW42" s="347"/>
      <c r="AX42" s="347"/>
      <c r="AY42" s="343">
        <f t="shared" si="99"/>
        <v>0</v>
      </c>
      <c r="AZ42" s="347"/>
      <c r="BA42" s="347"/>
      <c r="BB42" s="347"/>
      <c r="BC42" s="343">
        <f t="shared" si="100"/>
        <v>0</v>
      </c>
      <c r="BD42" s="347"/>
      <c r="BE42" s="347"/>
      <c r="BF42" s="347"/>
      <c r="BG42" s="343">
        <f t="shared" si="101"/>
        <v>0</v>
      </c>
      <c r="BH42" s="347"/>
      <c r="BI42" s="347"/>
      <c r="BJ42" s="347"/>
      <c r="BK42" s="343">
        <f t="shared" si="102"/>
        <v>0</v>
      </c>
      <c r="BL42" s="347"/>
      <c r="BM42" s="347"/>
      <c r="BN42" s="347"/>
      <c r="BO42" s="343">
        <f t="shared" si="103"/>
        <v>0</v>
      </c>
      <c r="BP42" s="347"/>
      <c r="BQ42" s="347"/>
      <c r="BR42" s="347"/>
      <c r="BS42" s="343">
        <f t="shared" si="104"/>
        <v>0</v>
      </c>
      <c r="BT42" s="347"/>
      <c r="BU42" s="347"/>
      <c r="BV42" s="347"/>
      <c r="BW42" s="343">
        <f t="shared" si="105"/>
        <v>0</v>
      </c>
      <c r="BX42" s="347"/>
      <c r="BY42" s="347"/>
      <c r="BZ42" s="347"/>
      <c r="CA42" s="343">
        <f t="shared" si="106"/>
        <v>0</v>
      </c>
      <c r="CB42" s="347"/>
      <c r="CC42" s="347"/>
      <c r="CD42" s="347"/>
      <c r="CE42" s="343">
        <f t="shared" si="107"/>
        <v>0</v>
      </c>
      <c r="CF42" s="347"/>
      <c r="CG42" s="347"/>
      <c r="CH42" s="347"/>
      <c r="CI42" s="343">
        <f t="shared" si="108"/>
        <v>0</v>
      </c>
    </row>
    <row r="43" spans="3:87" s="48" customFormat="1" ht="14.5" customHeight="1" thickBot="1" x14ac:dyDescent="0.2">
      <c r="C43" s="118" t="str">
        <f>Tekstnøgler!C128</f>
        <v>Procesudledning</v>
      </c>
      <c r="D43" s="344">
        <f t="shared" ref="D43:AH43" si="109">SUM(D44:D45)</f>
        <v>0</v>
      </c>
      <c r="E43" s="344">
        <f t="shared" si="109"/>
        <v>0</v>
      </c>
      <c r="F43" s="344">
        <f t="shared" si="109"/>
        <v>0</v>
      </c>
      <c r="G43" s="344">
        <f>SUM(G44:G45)</f>
        <v>0</v>
      </c>
      <c r="H43" s="344">
        <f t="shared" si="109"/>
        <v>0</v>
      </c>
      <c r="I43" s="344">
        <f t="shared" si="109"/>
        <v>0</v>
      </c>
      <c r="J43" s="344">
        <f t="shared" si="109"/>
        <v>0</v>
      </c>
      <c r="K43" s="344">
        <f>SUM(K44:K45)</f>
        <v>0</v>
      </c>
      <c r="L43" s="344">
        <f t="shared" si="109"/>
        <v>0</v>
      </c>
      <c r="M43" s="344">
        <f t="shared" si="109"/>
        <v>0</v>
      </c>
      <c r="N43" s="344">
        <f t="shared" si="109"/>
        <v>0</v>
      </c>
      <c r="O43" s="344">
        <f>SUM(O44:O45)</f>
        <v>0</v>
      </c>
      <c r="P43" s="344">
        <f t="shared" si="109"/>
        <v>0</v>
      </c>
      <c r="Q43" s="344">
        <f t="shared" si="109"/>
        <v>0</v>
      </c>
      <c r="R43" s="344">
        <f t="shared" si="109"/>
        <v>0</v>
      </c>
      <c r="S43" s="344">
        <f>SUM(S44:S45)</f>
        <v>0</v>
      </c>
      <c r="T43" s="344">
        <f t="shared" si="109"/>
        <v>0</v>
      </c>
      <c r="U43" s="344">
        <f t="shared" si="109"/>
        <v>0</v>
      </c>
      <c r="V43" s="344">
        <f t="shared" si="109"/>
        <v>0</v>
      </c>
      <c r="W43" s="344">
        <f>SUM(W44:W45)</f>
        <v>0</v>
      </c>
      <c r="X43" s="344">
        <f t="shared" si="109"/>
        <v>0</v>
      </c>
      <c r="Y43" s="344">
        <f t="shared" si="109"/>
        <v>0</v>
      </c>
      <c r="Z43" s="344">
        <f t="shared" si="109"/>
        <v>0</v>
      </c>
      <c r="AA43" s="344">
        <f>SUM(AA44:AA45)</f>
        <v>0</v>
      </c>
      <c r="AB43" s="344">
        <f t="shared" si="109"/>
        <v>0</v>
      </c>
      <c r="AC43" s="344">
        <f t="shared" si="109"/>
        <v>0</v>
      </c>
      <c r="AD43" s="344">
        <f t="shared" si="109"/>
        <v>0</v>
      </c>
      <c r="AE43" s="344">
        <f>SUM(AE44:AE45)</f>
        <v>0</v>
      </c>
      <c r="AF43" s="344">
        <f t="shared" si="109"/>
        <v>0</v>
      </c>
      <c r="AG43" s="344">
        <f t="shared" si="109"/>
        <v>0</v>
      </c>
      <c r="AH43" s="344">
        <f t="shared" si="109"/>
        <v>0</v>
      </c>
      <c r="AI43" s="344">
        <f>SUM(AI44:AI45)</f>
        <v>0</v>
      </c>
      <c r="AJ43" s="344">
        <f t="shared" ref="AJ43:BN43" si="110">SUM(AJ44:AJ45)</f>
        <v>0</v>
      </c>
      <c r="AK43" s="344">
        <f t="shared" si="110"/>
        <v>0</v>
      </c>
      <c r="AL43" s="344">
        <f t="shared" si="110"/>
        <v>0</v>
      </c>
      <c r="AM43" s="344">
        <f>SUM(AM44:AM45)</f>
        <v>0</v>
      </c>
      <c r="AN43" s="344">
        <f t="shared" si="110"/>
        <v>0</v>
      </c>
      <c r="AO43" s="344">
        <f t="shared" si="110"/>
        <v>0</v>
      </c>
      <c r="AP43" s="344">
        <f t="shared" si="110"/>
        <v>0</v>
      </c>
      <c r="AQ43" s="344">
        <f>SUM(AQ44:AQ45)</f>
        <v>0</v>
      </c>
      <c r="AR43" s="344">
        <f t="shared" si="110"/>
        <v>0</v>
      </c>
      <c r="AS43" s="344">
        <f t="shared" si="110"/>
        <v>0</v>
      </c>
      <c r="AT43" s="344">
        <f t="shared" si="110"/>
        <v>0</v>
      </c>
      <c r="AU43" s="344">
        <f>SUM(AU44:AU45)</f>
        <v>0</v>
      </c>
      <c r="AV43" s="344">
        <f t="shared" si="110"/>
        <v>0</v>
      </c>
      <c r="AW43" s="344">
        <f t="shared" si="110"/>
        <v>0</v>
      </c>
      <c r="AX43" s="344">
        <f t="shared" si="110"/>
        <v>0</v>
      </c>
      <c r="AY43" s="344">
        <f>SUM(AY44:AY45)</f>
        <v>0</v>
      </c>
      <c r="AZ43" s="344">
        <f t="shared" si="110"/>
        <v>0</v>
      </c>
      <c r="BA43" s="344">
        <f t="shared" si="110"/>
        <v>0</v>
      </c>
      <c r="BB43" s="344">
        <f t="shared" si="110"/>
        <v>0</v>
      </c>
      <c r="BC43" s="344">
        <f>SUM(BC44:BC45)</f>
        <v>0</v>
      </c>
      <c r="BD43" s="344">
        <f t="shared" si="110"/>
        <v>0</v>
      </c>
      <c r="BE43" s="344">
        <f t="shared" si="110"/>
        <v>0</v>
      </c>
      <c r="BF43" s="344">
        <f t="shared" si="110"/>
        <v>0</v>
      </c>
      <c r="BG43" s="344">
        <f>SUM(BG44:BG45)</f>
        <v>0</v>
      </c>
      <c r="BH43" s="344">
        <f t="shared" si="110"/>
        <v>0</v>
      </c>
      <c r="BI43" s="344">
        <f t="shared" si="110"/>
        <v>0</v>
      </c>
      <c r="BJ43" s="344">
        <f t="shared" si="110"/>
        <v>0</v>
      </c>
      <c r="BK43" s="344">
        <f>SUM(BK44:BK45)</f>
        <v>0</v>
      </c>
      <c r="BL43" s="344">
        <f t="shared" si="110"/>
        <v>0</v>
      </c>
      <c r="BM43" s="344">
        <f t="shared" si="110"/>
        <v>0</v>
      </c>
      <c r="BN43" s="344">
        <f t="shared" si="110"/>
        <v>1</v>
      </c>
      <c r="BO43" s="344">
        <f>SUM(BO44:BO45)</f>
        <v>1</v>
      </c>
      <c r="BP43" s="344">
        <f t="shared" ref="BP43:CH43" si="111">SUM(BP44:BP45)</f>
        <v>0</v>
      </c>
      <c r="BQ43" s="344">
        <f t="shared" si="111"/>
        <v>0</v>
      </c>
      <c r="BR43" s="344">
        <f t="shared" si="111"/>
        <v>0</v>
      </c>
      <c r="BS43" s="344">
        <f>SUM(BS44:BS45)</f>
        <v>0</v>
      </c>
      <c r="BT43" s="344">
        <f t="shared" si="111"/>
        <v>0</v>
      </c>
      <c r="BU43" s="344">
        <f t="shared" si="111"/>
        <v>0</v>
      </c>
      <c r="BV43" s="344">
        <f t="shared" si="111"/>
        <v>0</v>
      </c>
      <c r="BW43" s="344">
        <f>SUM(BW44:BW45)</f>
        <v>0</v>
      </c>
      <c r="BX43" s="344">
        <f t="shared" si="111"/>
        <v>0</v>
      </c>
      <c r="BY43" s="344">
        <f t="shared" si="111"/>
        <v>0</v>
      </c>
      <c r="BZ43" s="344">
        <f t="shared" si="111"/>
        <v>0</v>
      </c>
      <c r="CA43" s="344">
        <f>SUM(CA44:CA45)</f>
        <v>0</v>
      </c>
      <c r="CB43" s="344">
        <f t="shared" si="111"/>
        <v>0</v>
      </c>
      <c r="CC43" s="344">
        <f t="shared" si="111"/>
        <v>0</v>
      </c>
      <c r="CD43" s="344">
        <f t="shared" si="111"/>
        <v>0</v>
      </c>
      <c r="CE43" s="344">
        <f>SUM(CE44:CE45)</f>
        <v>0</v>
      </c>
      <c r="CF43" s="344">
        <f t="shared" si="111"/>
        <v>0</v>
      </c>
      <c r="CG43" s="344">
        <f t="shared" si="111"/>
        <v>0</v>
      </c>
      <c r="CH43" s="344">
        <f t="shared" si="111"/>
        <v>0</v>
      </c>
      <c r="CI43" s="344">
        <f>SUM(CI44:CI45)</f>
        <v>0</v>
      </c>
    </row>
    <row r="44" spans="3:87" s="48" customFormat="1" ht="14.5" customHeight="1" thickBot="1" x14ac:dyDescent="0.2">
      <c r="C44" s="119" t="str">
        <f>Tekstnøgler!C129</f>
        <v>Procesudledning</v>
      </c>
      <c r="D44" s="347"/>
      <c r="E44" s="347"/>
      <c r="F44" s="347"/>
      <c r="G44" s="343">
        <f t="shared" ref="G44:G45" si="112">D44+E44+F44</f>
        <v>0</v>
      </c>
      <c r="H44" s="347"/>
      <c r="I44" s="347"/>
      <c r="J44" s="347"/>
      <c r="K44" s="343">
        <f t="shared" ref="K44:K45" si="113">H44+I44+J44</f>
        <v>0</v>
      </c>
      <c r="L44" s="347"/>
      <c r="M44" s="347"/>
      <c r="N44" s="347"/>
      <c r="O44" s="343">
        <f t="shared" ref="O44:O45" si="114">L44+M44+N44</f>
        <v>0</v>
      </c>
      <c r="P44" s="347"/>
      <c r="Q44" s="347"/>
      <c r="R44" s="347"/>
      <c r="S44" s="343">
        <f t="shared" ref="S44:S45" si="115">P44+Q44+R44</f>
        <v>0</v>
      </c>
      <c r="T44" s="347"/>
      <c r="U44" s="347"/>
      <c r="V44" s="347"/>
      <c r="W44" s="343">
        <f t="shared" ref="W44:W45" si="116">T44+U44+V44</f>
        <v>0</v>
      </c>
      <c r="X44" s="347"/>
      <c r="Y44" s="347"/>
      <c r="Z44" s="347"/>
      <c r="AA44" s="343">
        <f t="shared" ref="AA44:AA45" si="117">X44+Y44+Z44</f>
        <v>0</v>
      </c>
      <c r="AB44" s="347"/>
      <c r="AC44" s="347"/>
      <c r="AD44" s="347"/>
      <c r="AE44" s="343">
        <f t="shared" ref="AE44:AE45" si="118">AB44+AC44+AD44</f>
        <v>0</v>
      </c>
      <c r="AF44" s="347"/>
      <c r="AG44" s="347"/>
      <c r="AH44" s="347"/>
      <c r="AI44" s="343">
        <f t="shared" ref="AI44:AI45" si="119">AF44+AG44+AH44</f>
        <v>0</v>
      </c>
      <c r="AJ44" s="347"/>
      <c r="AK44" s="347"/>
      <c r="AL44" s="347"/>
      <c r="AM44" s="343">
        <f t="shared" ref="AM44:AM45" si="120">AJ44+AK44+AL44</f>
        <v>0</v>
      </c>
      <c r="AN44" s="347"/>
      <c r="AO44" s="347"/>
      <c r="AP44" s="347"/>
      <c r="AQ44" s="343">
        <f t="shared" ref="AQ44:AQ45" si="121">AN44+AO44+AP44</f>
        <v>0</v>
      </c>
      <c r="AR44" s="347"/>
      <c r="AS44" s="347"/>
      <c r="AT44" s="347"/>
      <c r="AU44" s="343">
        <f t="shared" ref="AU44:AU45" si="122">AR44+AS44+AT44</f>
        <v>0</v>
      </c>
      <c r="AV44" s="347"/>
      <c r="AW44" s="347"/>
      <c r="AX44" s="347"/>
      <c r="AY44" s="343">
        <f t="shared" ref="AY44:AY45" si="123">AV44+AW44+AX44</f>
        <v>0</v>
      </c>
      <c r="AZ44" s="347"/>
      <c r="BA44" s="347"/>
      <c r="BB44" s="347"/>
      <c r="BC44" s="343">
        <f t="shared" ref="BC44:BC45" si="124">AZ44+BA44+BB44</f>
        <v>0</v>
      </c>
      <c r="BD44" s="347"/>
      <c r="BE44" s="347"/>
      <c r="BF44" s="347"/>
      <c r="BG44" s="343">
        <f t="shared" ref="BG44:BG45" si="125">BD44+BE44+BF44</f>
        <v>0</v>
      </c>
      <c r="BH44" s="347"/>
      <c r="BI44" s="347"/>
      <c r="BJ44" s="347"/>
      <c r="BK44" s="343">
        <f t="shared" ref="BK44:BK45" si="126">BH44+BI44+BJ44</f>
        <v>0</v>
      </c>
      <c r="BL44" s="347"/>
      <c r="BM44" s="347"/>
      <c r="BN44" s="347">
        <v>1</v>
      </c>
      <c r="BO44" s="343">
        <f t="shared" ref="BO44:BO45" si="127">BL44+BM44+BN44</f>
        <v>1</v>
      </c>
      <c r="BP44" s="347"/>
      <c r="BQ44" s="347"/>
      <c r="BR44" s="347"/>
      <c r="BS44" s="343">
        <f t="shared" ref="BS44:BS45" si="128">BP44+BQ44+BR44</f>
        <v>0</v>
      </c>
      <c r="BT44" s="347"/>
      <c r="BU44" s="347"/>
      <c r="BV44" s="347"/>
      <c r="BW44" s="343">
        <f t="shared" ref="BW44:BW45" si="129">BT44+BU44+BV44</f>
        <v>0</v>
      </c>
      <c r="BX44" s="347"/>
      <c r="BY44" s="347"/>
      <c r="BZ44" s="347"/>
      <c r="CA44" s="343">
        <f t="shared" ref="CA44:CA45" si="130">BX44+BY44+BZ44</f>
        <v>0</v>
      </c>
      <c r="CB44" s="347"/>
      <c r="CC44" s="347"/>
      <c r="CD44" s="347"/>
      <c r="CE44" s="343">
        <f t="shared" ref="CE44:CE45" si="131">CB44+CC44+CD44</f>
        <v>0</v>
      </c>
      <c r="CF44" s="347"/>
      <c r="CG44" s="347"/>
      <c r="CH44" s="347"/>
      <c r="CI44" s="343">
        <f t="shared" ref="CI44:CI45" si="132">CF44+CG44+CH44</f>
        <v>0</v>
      </c>
    </row>
    <row r="45" spans="3:87" s="48" customFormat="1" ht="14.5" customHeight="1" thickBot="1" x14ac:dyDescent="0.2">
      <c r="C45" s="119" t="str">
        <f>Tekstnøgler!C130</f>
        <v>Procesudledning med egne emissionsfaktorer</v>
      </c>
      <c r="D45" s="347"/>
      <c r="E45" s="347"/>
      <c r="F45" s="347"/>
      <c r="G45" s="343">
        <f t="shared" si="112"/>
        <v>0</v>
      </c>
      <c r="H45" s="347"/>
      <c r="I45" s="347"/>
      <c r="J45" s="347"/>
      <c r="K45" s="343">
        <f t="shared" si="113"/>
        <v>0</v>
      </c>
      <c r="L45" s="347"/>
      <c r="M45" s="347"/>
      <c r="N45" s="347"/>
      <c r="O45" s="343">
        <f t="shared" si="114"/>
        <v>0</v>
      </c>
      <c r="P45" s="347"/>
      <c r="Q45" s="347"/>
      <c r="R45" s="347"/>
      <c r="S45" s="343">
        <f t="shared" si="115"/>
        <v>0</v>
      </c>
      <c r="T45" s="347"/>
      <c r="U45" s="347"/>
      <c r="V45" s="347"/>
      <c r="W45" s="343">
        <f t="shared" si="116"/>
        <v>0</v>
      </c>
      <c r="X45" s="347"/>
      <c r="Y45" s="347"/>
      <c r="Z45" s="347"/>
      <c r="AA45" s="343">
        <f t="shared" si="117"/>
        <v>0</v>
      </c>
      <c r="AB45" s="347"/>
      <c r="AC45" s="347"/>
      <c r="AD45" s="347"/>
      <c r="AE45" s="343">
        <f t="shared" si="118"/>
        <v>0</v>
      </c>
      <c r="AF45" s="347"/>
      <c r="AG45" s="347"/>
      <c r="AH45" s="347"/>
      <c r="AI45" s="343">
        <f t="shared" si="119"/>
        <v>0</v>
      </c>
      <c r="AJ45" s="347"/>
      <c r="AK45" s="347"/>
      <c r="AL45" s="347"/>
      <c r="AM45" s="343">
        <f t="shared" si="120"/>
        <v>0</v>
      </c>
      <c r="AN45" s="347"/>
      <c r="AO45" s="347"/>
      <c r="AP45" s="347"/>
      <c r="AQ45" s="343">
        <f t="shared" si="121"/>
        <v>0</v>
      </c>
      <c r="AR45" s="347"/>
      <c r="AS45" s="347"/>
      <c r="AT45" s="347"/>
      <c r="AU45" s="343">
        <f t="shared" si="122"/>
        <v>0</v>
      </c>
      <c r="AV45" s="347"/>
      <c r="AW45" s="347"/>
      <c r="AX45" s="347"/>
      <c r="AY45" s="343">
        <f t="shared" si="123"/>
        <v>0</v>
      </c>
      <c r="AZ45" s="347"/>
      <c r="BA45" s="347"/>
      <c r="BB45" s="347"/>
      <c r="BC45" s="343">
        <f t="shared" si="124"/>
        <v>0</v>
      </c>
      <c r="BD45" s="347"/>
      <c r="BE45" s="347"/>
      <c r="BF45" s="347"/>
      <c r="BG45" s="343">
        <f t="shared" si="125"/>
        <v>0</v>
      </c>
      <c r="BH45" s="347"/>
      <c r="BI45" s="347"/>
      <c r="BJ45" s="347"/>
      <c r="BK45" s="343">
        <f t="shared" si="126"/>
        <v>0</v>
      </c>
      <c r="BL45" s="347"/>
      <c r="BM45" s="347"/>
      <c r="BN45" s="347"/>
      <c r="BO45" s="343">
        <f t="shared" si="127"/>
        <v>0</v>
      </c>
      <c r="BP45" s="347"/>
      <c r="BQ45" s="347"/>
      <c r="BR45" s="347"/>
      <c r="BS45" s="343">
        <f t="shared" si="128"/>
        <v>0</v>
      </c>
      <c r="BT45" s="347"/>
      <c r="BU45" s="347"/>
      <c r="BV45" s="347"/>
      <c r="BW45" s="343">
        <f t="shared" si="129"/>
        <v>0</v>
      </c>
      <c r="BX45" s="347"/>
      <c r="BY45" s="347"/>
      <c r="BZ45" s="347"/>
      <c r="CA45" s="343">
        <f t="shared" si="130"/>
        <v>0</v>
      </c>
      <c r="CB45" s="347"/>
      <c r="CC45" s="347"/>
      <c r="CD45" s="347"/>
      <c r="CE45" s="343">
        <f t="shared" si="131"/>
        <v>0</v>
      </c>
      <c r="CF45" s="347"/>
      <c r="CG45" s="347"/>
      <c r="CH45" s="347"/>
      <c r="CI45" s="343">
        <f t="shared" si="132"/>
        <v>0</v>
      </c>
    </row>
    <row r="46" spans="3:87" s="48" customFormat="1" ht="15" thickBot="1" x14ac:dyDescent="0.2">
      <c r="C46" s="118" t="str">
        <f>Tekstnøgler!C131</f>
        <v>Andet udledning ved energi og processer</v>
      </c>
      <c r="D46" s="348"/>
      <c r="E46" s="348"/>
      <c r="F46" s="348"/>
      <c r="G46" s="344">
        <f>D46+E46+F46</f>
        <v>0</v>
      </c>
      <c r="H46" s="348"/>
      <c r="I46" s="348"/>
      <c r="J46" s="348"/>
      <c r="K46" s="344">
        <f>H46+I46+J46</f>
        <v>0</v>
      </c>
      <c r="L46" s="348"/>
      <c r="M46" s="348"/>
      <c r="N46" s="348"/>
      <c r="O46" s="344">
        <f>L46+M46+N46</f>
        <v>0</v>
      </c>
      <c r="P46" s="348"/>
      <c r="Q46" s="348"/>
      <c r="R46" s="348"/>
      <c r="S46" s="344">
        <f>P46+Q46+R46</f>
        <v>0</v>
      </c>
      <c r="T46" s="348"/>
      <c r="U46" s="348"/>
      <c r="V46" s="348"/>
      <c r="W46" s="344">
        <f>T46+U46+V46</f>
        <v>0</v>
      </c>
      <c r="X46" s="348"/>
      <c r="Y46" s="348"/>
      <c r="Z46" s="348"/>
      <c r="AA46" s="344">
        <f>X46+Y46+Z46</f>
        <v>0</v>
      </c>
      <c r="AB46" s="348"/>
      <c r="AC46" s="348"/>
      <c r="AD46" s="348"/>
      <c r="AE46" s="344">
        <f>AB46+AC46+AD46</f>
        <v>0</v>
      </c>
      <c r="AF46" s="348"/>
      <c r="AG46" s="348"/>
      <c r="AH46" s="348"/>
      <c r="AI46" s="344">
        <f>AF46+AG46+AH46</f>
        <v>0</v>
      </c>
      <c r="AJ46" s="348"/>
      <c r="AK46" s="348"/>
      <c r="AL46" s="348"/>
      <c r="AM46" s="344">
        <f>AJ46+AK46+AL46</f>
        <v>0</v>
      </c>
      <c r="AN46" s="348"/>
      <c r="AO46" s="348"/>
      <c r="AP46" s="348"/>
      <c r="AQ46" s="344">
        <f>AN46+AO46+AP46</f>
        <v>0</v>
      </c>
      <c r="AR46" s="348"/>
      <c r="AS46" s="348"/>
      <c r="AT46" s="348"/>
      <c r="AU46" s="344">
        <f>AR46+AS46+AT46</f>
        <v>0</v>
      </c>
      <c r="AV46" s="348"/>
      <c r="AW46" s="348"/>
      <c r="AX46" s="348"/>
      <c r="AY46" s="344">
        <f>AV46+AW46+AX46</f>
        <v>0</v>
      </c>
      <c r="AZ46" s="348"/>
      <c r="BA46" s="348"/>
      <c r="BB46" s="348"/>
      <c r="BC46" s="344">
        <f>AZ46+BA46+BB46</f>
        <v>0</v>
      </c>
      <c r="BD46" s="348"/>
      <c r="BE46" s="348"/>
      <c r="BF46" s="348"/>
      <c r="BG46" s="344">
        <f>BD46+BE46+BF46</f>
        <v>0</v>
      </c>
      <c r="BH46" s="348"/>
      <c r="BI46" s="348"/>
      <c r="BJ46" s="348"/>
      <c r="BK46" s="344">
        <f>BH46+BI46+BJ46</f>
        <v>0</v>
      </c>
      <c r="BL46" s="348"/>
      <c r="BM46" s="348"/>
      <c r="BN46" s="348"/>
      <c r="BO46" s="344">
        <f>BL46+BM46+BN46</f>
        <v>0</v>
      </c>
      <c r="BP46" s="348"/>
      <c r="BQ46" s="348"/>
      <c r="BR46" s="348"/>
      <c r="BS46" s="344">
        <f>BP46+BQ46+BR46</f>
        <v>0</v>
      </c>
      <c r="BT46" s="348"/>
      <c r="BU46" s="348"/>
      <c r="BV46" s="348"/>
      <c r="BW46" s="344">
        <f>BT46+BU46+BV46</f>
        <v>0</v>
      </c>
      <c r="BX46" s="348"/>
      <c r="BY46" s="348"/>
      <c r="BZ46" s="348"/>
      <c r="CA46" s="344">
        <f>BX46+BY46+BZ46</f>
        <v>0</v>
      </c>
      <c r="CB46" s="348"/>
      <c r="CC46" s="348"/>
      <c r="CD46" s="348"/>
      <c r="CE46" s="344">
        <f>CB46+CC46+CD46</f>
        <v>0</v>
      </c>
      <c r="CF46" s="348"/>
      <c r="CG46" s="348"/>
      <c r="CH46" s="348"/>
      <c r="CI46" s="344">
        <f>CF46+CG46+CH46</f>
        <v>0</v>
      </c>
    </row>
    <row r="47" spans="3:87" s="48" customFormat="1" ht="14.5" customHeight="1" thickBot="1" x14ac:dyDescent="0.2">
      <c r="C47" s="117" t="str">
        <f>Tekstnøgler!C132</f>
        <v>Indkøb</v>
      </c>
      <c r="D47" s="46">
        <f t="shared" ref="D47:AH47" si="133">D48+D62</f>
        <v>0</v>
      </c>
      <c r="E47" s="46">
        <f t="shared" si="133"/>
        <v>0</v>
      </c>
      <c r="F47" s="46">
        <f t="shared" si="133"/>
        <v>0</v>
      </c>
      <c r="G47" s="46">
        <f>G48+G62</f>
        <v>0</v>
      </c>
      <c r="H47" s="46">
        <f t="shared" si="133"/>
        <v>0</v>
      </c>
      <c r="I47" s="46">
        <f t="shared" si="133"/>
        <v>0</v>
      </c>
      <c r="J47" s="46">
        <f t="shared" si="133"/>
        <v>0</v>
      </c>
      <c r="K47" s="46">
        <f>K48+K62</f>
        <v>0</v>
      </c>
      <c r="L47" s="46">
        <f t="shared" si="133"/>
        <v>0</v>
      </c>
      <c r="M47" s="46">
        <f t="shared" si="133"/>
        <v>0</v>
      </c>
      <c r="N47" s="46">
        <f t="shared" si="133"/>
        <v>0</v>
      </c>
      <c r="O47" s="46">
        <f>O48+O62</f>
        <v>0</v>
      </c>
      <c r="P47" s="46">
        <f t="shared" si="133"/>
        <v>0</v>
      </c>
      <c r="Q47" s="46">
        <f t="shared" si="133"/>
        <v>0</v>
      </c>
      <c r="R47" s="46">
        <f t="shared" si="133"/>
        <v>0</v>
      </c>
      <c r="S47" s="46">
        <f>S48+S62</f>
        <v>0</v>
      </c>
      <c r="T47" s="46">
        <f t="shared" si="133"/>
        <v>0</v>
      </c>
      <c r="U47" s="46">
        <f t="shared" si="133"/>
        <v>0</v>
      </c>
      <c r="V47" s="46">
        <f t="shared" si="133"/>
        <v>0</v>
      </c>
      <c r="W47" s="46">
        <f>W48+W62</f>
        <v>0</v>
      </c>
      <c r="X47" s="46">
        <f t="shared" si="133"/>
        <v>0</v>
      </c>
      <c r="Y47" s="46">
        <f t="shared" si="133"/>
        <v>12</v>
      </c>
      <c r="Z47" s="46">
        <f t="shared" si="133"/>
        <v>0</v>
      </c>
      <c r="AA47" s="46">
        <f>AA48+AA62</f>
        <v>12</v>
      </c>
      <c r="AB47" s="46">
        <f t="shared" si="133"/>
        <v>0</v>
      </c>
      <c r="AC47" s="46">
        <f t="shared" si="133"/>
        <v>0</v>
      </c>
      <c r="AD47" s="46">
        <f t="shared" si="133"/>
        <v>0</v>
      </c>
      <c r="AE47" s="46">
        <f>AE48+AE62</f>
        <v>0</v>
      </c>
      <c r="AF47" s="46">
        <f t="shared" si="133"/>
        <v>0</v>
      </c>
      <c r="AG47" s="46">
        <f t="shared" si="133"/>
        <v>0</v>
      </c>
      <c r="AH47" s="46">
        <f t="shared" si="133"/>
        <v>0</v>
      </c>
      <c r="AI47" s="46">
        <f>AI48+AI62</f>
        <v>0</v>
      </c>
      <c r="AJ47" s="46">
        <f t="shared" ref="AJ47:BN47" si="134">AJ48+AJ62</f>
        <v>0</v>
      </c>
      <c r="AK47" s="46">
        <f t="shared" si="134"/>
        <v>0</v>
      </c>
      <c r="AL47" s="46">
        <f t="shared" si="134"/>
        <v>0</v>
      </c>
      <c r="AM47" s="46">
        <f>AM48+AM62</f>
        <v>0</v>
      </c>
      <c r="AN47" s="46">
        <f t="shared" si="134"/>
        <v>0</v>
      </c>
      <c r="AO47" s="46">
        <f t="shared" si="134"/>
        <v>0</v>
      </c>
      <c r="AP47" s="46">
        <f t="shared" si="134"/>
        <v>0</v>
      </c>
      <c r="AQ47" s="46">
        <f>AQ48+AQ62</f>
        <v>0</v>
      </c>
      <c r="AR47" s="46">
        <f t="shared" si="134"/>
        <v>0</v>
      </c>
      <c r="AS47" s="46">
        <f t="shared" si="134"/>
        <v>0</v>
      </c>
      <c r="AT47" s="46">
        <f t="shared" si="134"/>
        <v>0</v>
      </c>
      <c r="AU47" s="46">
        <f>AU48+AU62</f>
        <v>0</v>
      </c>
      <c r="AV47" s="46">
        <f t="shared" si="134"/>
        <v>0</v>
      </c>
      <c r="AW47" s="46">
        <f t="shared" si="134"/>
        <v>0</v>
      </c>
      <c r="AX47" s="46">
        <f t="shared" si="134"/>
        <v>0</v>
      </c>
      <c r="AY47" s="46">
        <f>AY48+AY62</f>
        <v>0</v>
      </c>
      <c r="AZ47" s="46">
        <f t="shared" si="134"/>
        <v>0</v>
      </c>
      <c r="BA47" s="46">
        <f t="shared" si="134"/>
        <v>0</v>
      </c>
      <c r="BB47" s="46">
        <f t="shared" si="134"/>
        <v>0</v>
      </c>
      <c r="BC47" s="46">
        <f>BC48+BC62</f>
        <v>0</v>
      </c>
      <c r="BD47" s="46">
        <f t="shared" si="134"/>
        <v>0</v>
      </c>
      <c r="BE47" s="46">
        <f t="shared" si="134"/>
        <v>0</v>
      </c>
      <c r="BF47" s="46">
        <f t="shared" si="134"/>
        <v>12</v>
      </c>
      <c r="BG47" s="46">
        <f>BG48+BG62</f>
        <v>12</v>
      </c>
      <c r="BH47" s="46">
        <f t="shared" si="134"/>
        <v>0</v>
      </c>
      <c r="BI47" s="46">
        <f t="shared" si="134"/>
        <v>0</v>
      </c>
      <c r="BJ47" s="46">
        <f t="shared" si="134"/>
        <v>0</v>
      </c>
      <c r="BK47" s="46">
        <f>BK48+BK62</f>
        <v>0</v>
      </c>
      <c r="BL47" s="46">
        <f t="shared" si="134"/>
        <v>0</v>
      </c>
      <c r="BM47" s="46">
        <f t="shared" si="134"/>
        <v>0</v>
      </c>
      <c r="BN47" s="46">
        <f t="shared" si="134"/>
        <v>0</v>
      </c>
      <c r="BO47" s="46">
        <f>BO48+BO62</f>
        <v>0</v>
      </c>
      <c r="BP47" s="46">
        <f t="shared" ref="BP47:CH47" si="135">BP48+BP62</f>
        <v>0</v>
      </c>
      <c r="BQ47" s="46">
        <f t="shared" si="135"/>
        <v>0</v>
      </c>
      <c r="BR47" s="46">
        <f t="shared" si="135"/>
        <v>0</v>
      </c>
      <c r="BS47" s="46">
        <f>BS48+BS62</f>
        <v>0</v>
      </c>
      <c r="BT47" s="46">
        <f t="shared" si="135"/>
        <v>0</v>
      </c>
      <c r="BU47" s="46">
        <f t="shared" si="135"/>
        <v>0</v>
      </c>
      <c r="BV47" s="46">
        <f t="shared" si="135"/>
        <v>0</v>
      </c>
      <c r="BW47" s="46">
        <f>BW48+BW62</f>
        <v>0</v>
      </c>
      <c r="BX47" s="46">
        <f t="shared" si="135"/>
        <v>0</v>
      </c>
      <c r="BY47" s="46">
        <f t="shared" si="135"/>
        <v>0</v>
      </c>
      <c r="BZ47" s="46">
        <f t="shared" si="135"/>
        <v>0</v>
      </c>
      <c r="CA47" s="46">
        <f>CA48+CA62</f>
        <v>0</v>
      </c>
      <c r="CB47" s="46">
        <f t="shared" si="135"/>
        <v>0</v>
      </c>
      <c r="CC47" s="46">
        <f t="shared" si="135"/>
        <v>0</v>
      </c>
      <c r="CD47" s="46">
        <f t="shared" si="135"/>
        <v>0</v>
      </c>
      <c r="CE47" s="46">
        <f>CE48+CE62</f>
        <v>0</v>
      </c>
      <c r="CF47" s="46">
        <f t="shared" si="135"/>
        <v>0</v>
      </c>
      <c r="CG47" s="46">
        <f t="shared" si="135"/>
        <v>0</v>
      </c>
      <c r="CH47" s="46">
        <f t="shared" si="135"/>
        <v>0</v>
      </c>
      <c r="CI47" s="46">
        <f>CI48+CI62</f>
        <v>0</v>
      </c>
    </row>
    <row r="48" spans="3:87" s="48" customFormat="1" ht="14.5" customHeight="1" thickBot="1" x14ac:dyDescent="0.2">
      <c r="C48" s="118" t="str">
        <f>Tekstnøgler!C133</f>
        <v>Primære indkøb af råvarer til produktion</v>
      </c>
      <c r="D48" s="344">
        <f t="shared" ref="D48:AH48" si="136">D49+D54+D59</f>
        <v>0</v>
      </c>
      <c r="E48" s="344">
        <f t="shared" si="136"/>
        <v>0</v>
      </c>
      <c r="F48" s="344">
        <f t="shared" si="136"/>
        <v>0</v>
      </c>
      <c r="G48" s="344">
        <f>G49+G54+G59</f>
        <v>0</v>
      </c>
      <c r="H48" s="344">
        <f t="shared" si="136"/>
        <v>0</v>
      </c>
      <c r="I48" s="344">
        <f t="shared" si="136"/>
        <v>0</v>
      </c>
      <c r="J48" s="344">
        <f t="shared" si="136"/>
        <v>0</v>
      </c>
      <c r="K48" s="344">
        <f>K49+K54+K59</f>
        <v>0</v>
      </c>
      <c r="L48" s="344">
        <f t="shared" si="136"/>
        <v>0</v>
      </c>
      <c r="M48" s="344">
        <f t="shared" si="136"/>
        <v>0</v>
      </c>
      <c r="N48" s="344">
        <f t="shared" si="136"/>
        <v>0</v>
      </c>
      <c r="O48" s="344">
        <f>O49+O54+O59</f>
        <v>0</v>
      </c>
      <c r="P48" s="344">
        <f t="shared" si="136"/>
        <v>0</v>
      </c>
      <c r="Q48" s="344">
        <f t="shared" si="136"/>
        <v>0</v>
      </c>
      <c r="R48" s="344">
        <f t="shared" si="136"/>
        <v>0</v>
      </c>
      <c r="S48" s="344">
        <f>S49+S54+S59</f>
        <v>0</v>
      </c>
      <c r="T48" s="344">
        <f t="shared" si="136"/>
        <v>0</v>
      </c>
      <c r="U48" s="344">
        <f t="shared" si="136"/>
        <v>0</v>
      </c>
      <c r="V48" s="344">
        <f t="shared" si="136"/>
        <v>0</v>
      </c>
      <c r="W48" s="344">
        <f>W49+W54+W59</f>
        <v>0</v>
      </c>
      <c r="X48" s="344">
        <f t="shared" si="136"/>
        <v>0</v>
      </c>
      <c r="Y48" s="344">
        <f t="shared" si="136"/>
        <v>12</v>
      </c>
      <c r="Z48" s="344">
        <f t="shared" si="136"/>
        <v>0</v>
      </c>
      <c r="AA48" s="344">
        <f>AA49+AA54+AA59</f>
        <v>12</v>
      </c>
      <c r="AB48" s="344">
        <f t="shared" si="136"/>
        <v>0</v>
      </c>
      <c r="AC48" s="344">
        <f t="shared" si="136"/>
        <v>0</v>
      </c>
      <c r="AD48" s="344">
        <f t="shared" si="136"/>
        <v>0</v>
      </c>
      <c r="AE48" s="344">
        <f>AE49+AE54+AE59</f>
        <v>0</v>
      </c>
      <c r="AF48" s="344">
        <f t="shared" si="136"/>
        <v>0</v>
      </c>
      <c r="AG48" s="344">
        <f t="shared" si="136"/>
        <v>0</v>
      </c>
      <c r="AH48" s="344">
        <f t="shared" si="136"/>
        <v>0</v>
      </c>
      <c r="AI48" s="344">
        <f>AI49+AI54+AI59</f>
        <v>0</v>
      </c>
      <c r="AJ48" s="344">
        <f t="shared" ref="AJ48:BN48" si="137">AJ49+AJ54+AJ59</f>
        <v>0</v>
      </c>
      <c r="AK48" s="344">
        <f t="shared" si="137"/>
        <v>0</v>
      </c>
      <c r="AL48" s="344">
        <f t="shared" si="137"/>
        <v>0</v>
      </c>
      <c r="AM48" s="344">
        <f>AM49+AM54+AM59</f>
        <v>0</v>
      </c>
      <c r="AN48" s="344">
        <f t="shared" si="137"/>
        <v>0</v>
      </c>
      <c r="AO48" s="344">
        <f t="shared" si="137"/>
        <v>0</v>
      </c>
      <c r="AP48" s="344">
        <f t="shared" si="137"/>
        <v>0</v>
      </c>
      <c r="AQ48" s="344">
        <f>AQ49+AQ54+AQ59</f>
        <v>0</v>
      </c>
      <c r="AR48" s="344">
        <f t="shared" si="137"/>
        <v>0</v>
      </c>
      <c r="AS48" s="344">
        <f t="shared" si="137"/>
        <v>0</v>
      </c>
      <c r="AT48" s="344">
        <f t="shared" si="137"/>
        <v>0</v>
      </c>
      <c r="AU48" s="344">
        <f>AU49+AU54+AU59</f>
        <v>0</v>
      </c>
      <c r="AV48" s="344">
        <f t="shared" si="137"/>
        <v>0</v>
      </c>
      <c r="AW48" s="344">
        <f t="shared" si="137"/>
        <v>0</v>
      </c>
      <c r="AX48" s="344">
        <f t="shared" si="137"/>
        <v>0</v>
      </c>
      <c r="AY48" s="344">
        <f>AY49+AY54+AY59</f>
        <v>0</v>
      </c>
      <c r="AZ48" s="344">
        <f t="shared" si="137"/>
        <v>0</v>
      </c>
      <c r="BA48" s="344">
        <f t="shared" si="137"/>
        <v>0</v>
      </c>
      <c r="BB48" s="344">
        <f t="shared" si="137"/>
        <v>0</v>
      </c>
      <c r="BC48" s="344">
        <f>BC49+BC54+BC59</f>
        <v>0</v>
      </c>
      <c r="BD48" s="344">
        <f t="shared" si="137"/>
        <v>0</v>
      </c>
      <c r="BE48" s="344">
        <f t="shared" si="137"/>
        <v>0</v>
      </c>
      <c r="BF48" s="344">
        <f t="shared" si="137"/>
        <v>12</v>
      </c>
      <c r="BG48" s="344">
        <f>BG49+BG54+BG59</f>
        <v>12</v>
      </c>
      <c r="BH48" s="344">
        <f t="shared" si="137"/>
        <v>0</v>
      </c>
      <c r="BI48" s="344">
        <f t="shared" si="137"/>
        <v>0</v>
      </c>
      <c r="BJ48" s="344">
        <f t="shared" si="137"/>
        <v>0</v>
      </c>
      <c r="BK48" s="344">
        <f>BK49+BK54+BK59</f>
        <v>0</v>
      </c>
      <c r="BL48" s="344">
        <f t="shared" si="137"/>
        <v>0</v>
      </c>
      <c r="BM48" s="344">
        <f t="shared" si="137"/>
        <v>0</v>
      </c>
      <c r="BN48" s="344">
        <f t="shared" si="137"/>
        <v>0</v>
      </c>
      <c r="BO48" s="344">
        <f>BO49+BO54+BO59</f>
        <v>0</v>
      </c>
      <c r="BP48" s="344">
        <f t="shared" ref="BP48:CH48" si="138">BP49+BP54+BP59</f>
        <v>0</v>
      </c>
      <c r="BQ48" s="344">
        <f t="shared" si="138"/>
        <v>0</v>
      </c>
      <c r="BR48" s="344">
        <f t="shared" si="138"/>
        <v>0</v>
      </c>
      <c r="BS48" s="344">
        <f>BS49+BS54+BS59</f>
        <v>0</v>
      </c>
      <c r="BT48" s="344">
        <f t="shared" si="138"/>
        <v>0</v>
      </c>
      <c r="BU48" s="344">
        <f t="shared" si="138"/>
        <v>0</v>
      </c>
      <c r="BV48" s="344">
        <f t="shared" si="138"/>
        <v>0</v>
      </c>
      <c r="BW48" s="344">
        <f>BW49+BW54+BW59</f>
        <v>0</v>
      </c>
      <c r="BX48" s="344">
        <f t="shared" si="138"/>
        <v>0</v>
      </c>
      <c r="BY48" s="344">
        <f t="shared" si="138"/>
        <v>0</v>
      </c>
      <c r="BZ48" s="344">
        <f t="shared" si="138"/>
        <v>0</v>
      </c>
      <c r="CA48" s="344">
        <f>CA49+CA54+CA59</f>
        <v>0</v>
      </c>
      <c r="CB48" s="344">
        <f t="shared" si="138"/>
        <v>0</v>
      </c>
      <c r="CC48" s="344">
        <f t="shared" si="138"/>
        <v>0</v>
      </c>
      <c r="CD48" s="344">
        <f t="shared" si="138"/>
        <v>0</v>
      </c>
      <c r="CE48" s="344">
        <f>CE49+CE54+CE59</f>
        <v>0</v>
      </c>
      <c r="CF48" s="344">
        <f t="shared" si="138"/>
        <v>0</v>
      </c>
      <c r="CG48" s="344">
        <f t="shared" si="138"/>
        <v>0</v>
      </c>
      <c r="CH48" s="344">
        <f t="shared" si="138"/>
        <v>0</v>
      </c>
      <c r="CI48" s="344">
        <f>CI49+CI54+CI59</f>
        <v>0</v>
      </c>
    </row>
    <row r="49" spans="3:87" s="48" customFormat="1" ht="14.5" customHeight="1" thickBot="1" x14ac:dyDescent="0.2">
      <c r="C49" s="118" t="str">
        <f>Tekstnøgler!C134</f>
        <v>Materialer (primære indkøb)</v>
      </c>
      <c r="D49" s="344">
        <f t="shared" ref="D49:AH49" si="139">SUM(D50:D53)</f>
        <v>0</v>
      </c>
      <c r="E49" s="344">
        <f t="shared" si="139"/>
        <v>0</v>
      </c>
      <c r="F49" s="344">
        <f t="shared" si="139"/>
        <v>0</v>
      </c>
      <c r="G49" s="344">
        <f>SUM(G50:G53)</f>
        <v>0</v>
      </c>
      <c r="H49" s="344">
        <f t="shared" si="139"/>
        <v>0</v>
      </c>
      <c r="I49" s="344">
        <f t="shared" si="139"/>
        <v>0</v>
      </c>
      <c r="J49" s="344">
        <f t="shared" si="139"/>
        <v>0</v>
      </c>
      <c r="K49" s="344">
        <f>SUM(K50:K53)</f>
        <v>0</v>
      </c>
      <c r="L49" s="344">
        <f t="shared" si="139"/>
        <v>0</v>
      </c>
      <c r="M49" s="344">
        <f t="shared" si="139"/>
        <v>0</v>
      </c>
      <c r="N49" s="344">
        <f t="shared" si="139"/>
        <v>0</v>
      </c>
      <c r="O49" s="344">
        <f>SUM(O50:O53)</f>
        <v>0</v>
      </c>
      <c r="P49" s="344">
        <f t="shared" si="139"/>
        <v>0</v>
      </c>
      <c r="Q49" s="344">
        <f t="shared" si="139"/>
        <v>0</v>
      </c>
      <c r="R49" s="344">
        <f t="shared" si="139"/>
        <v>0</v>
      </c>
      <c r="S49" s="344">
        <f>SUM(S50:S53)</f>
        <v>0</v>
      </c>
      <c r="T49" s="344">
        <f t="shared" si="139"/>
        <v>0</v>
      </c>
      <c r="U49" s="344">
        <f t="shared" si="139"/>
        <v>0</v>
      </c>
      <c r="V49" s="344">
        <f t="shared" si="139"/>
        <v>0</v>
      </c>
      <c r="W49" s="344">
        <f>SUM(W50:W53)</f>
        <v>0</v>
      </c>
      <c r="X49" s="344">
        <f t="shared" si="139"/>
        <v>0</v>
      </c>
      <c r="Y49" s="344">
        <f t="shared" si="139"/>
        <v>12</v>
      </c>
      <c r="Z49" s="344">
        <f t="shared" si="139"/>
        <v>0</v>
      </c>
      <c r="AA49" s="344">
        <f>SUM(AA50:AA53)</f>
        <v>12</v>
      </c>
      <c r="AB49" s="344">
        <f t="shared" si="139"/>
        <v>0</v>
      </c>
      <c r="AC49" s="344">
        <f t="shared" si="139"/>
        <v>0</v>
      </c>
      <c r="AD49" s="344">
        <f t="shared" si="139"/>
        <v>0</v>
      </c>
      <c r="AE49" s="344">
        <f>SUM(AE50:AE53)</f>
        <v>0</v>
      </c>
      <c r="AF49" s="344">
        <f t="shared" si="139"/>
        <v>0</v>
      </c>
      <c r="AG49" s="344">
        <f t="shared" si="139"/>
        <v>0</v>
      </c>
      <c r="AH49" s="344">
        <f t="shared" si="139"/>
        <v>0</v>
      </c>
      <c r="AI49" s="344">
        <f>SUM(AI50:AI53)</f>
        <v>0</v>
      </c>
      <c r="AJ49" s="344">
        <f t="shared" ref="AJ49:BN49" si="140">SUM(AJ50:AJ53)</f>
        <v>0</v>
      </c>
      <c r="AK49" s="344">
        <f t="shared" si="140"/>
        <v>0</v>
      </c>
      <c r="AL49" s="344">
        <f t="shared" si="140"/>
        <v>0</v>
      </c>
      <c r="AM49" s="344">
        <f>SUM(AM50:AM53)</f>
        <v>0</v>
      </c>
      <c r="AN49" s="344">
        <f t="shared" si="140"/>
        <v>0</v>
      </c>
      <c r="AO49" s="344">
        <f t="shared" si="140"/>
        <v>0</v>
      </c>
      <c r="AP49" s="344">
        <f t="shared" si="140"/>
        <v>0</v>
      </c>
      <c r="AQ49" s="344">
        <f>SUM(AQ50:AQ53)</f>
        <v>0</v>
      </c>
      <c r="AR49" s="344">
        <f t="shared" si="140"/>
        <v>0</v>
      </c>
      <c r="AS49" s="344">
        <f t="shared" si="140"/>
        <v>0</v>
      </c>
      <c r="AT49" s="344">
        <f t="shared" si="140"/>
        <v>0</v>
      </c>
      <c r="AU49" s="344">
        <f>SUM(AU50:AU53)</f>
        <v>0</v>
      </c>
      <c r="AV49" s="344">
        <f t="shared" si="140"/>
        <v>0</v>
      </c>
      <c r="AW49" s="344">
        <f t="shared" si="140"/>
        <v>0</v>
      </c>
      <c r="AX49" s="344">
        <f t="shared" si="140"/>
        <v>0</v>
      </c>
      <c r="AY49" s="344">
        <f>SUM(AY50:AY53)</f>
        <v>0</v>
      </c>
      <c r="AZ49" s="344">
        <f t="shared" si="140"/>
        <v>0</v>
      </c>
      <c r="BA49" s="344">
        <f t="shared" si="140"/>
        <v>0</v>
      </c>
      <c r="BB49" s="344">
        <f t="shared" si="140"/>
        <v>0</v>
      </c>
      <c r="BC49" s="344">
        <f>SUM(BC50:BC53)</f>
        <v>0</v>
      </c>
      <c r="BD49" s="344">
        <f t="shared" si="140"/>
        <v>0</v>
      </c>
      <c r="BE49" s="344">
        <f t="shared" si="140"/>
        <v>0</v>
      </c>
      <c r="BF49" s="344">
        <f t="shared" si="140"/>
        <v>12</v>
      </c>
      <c r="BG49" s="344">
        <f>SUM(BG50:BG53)</f>
        <v>12</v>
      </c>
      <c r="BH49" s="344">
        <f t="shared" si="140"/>
        <v>0</v>
      </c>
      <c r="BI49" s="344">
        <f t="shared" si="140"/>
        <v>0</v>
      </c>
      <c r="BJ49" s="344">
        <f t="shared" si="140"/>
        <v>0</v>
      </c>
      <c r="BK49" s="344">
        <f>SUM(BK50:BK53)</f>
        <v>0</v>
      </c>
      <c r="BL49" s="344">
        <f t="shared" si="140"/>
        <v>0</v>
      </c>
      <c r="BM49" s="344">
        <f t="shared" si="140"/>
        <v>0</v>
      </c>
      <c r="BN49" s="344">
        <f t="shared" si="140"/>
        <v>0</v>
      </c>
      <c r="BO49" s="344">
        <f>SUM(BO50:BO53)</f>
        <v>0</v>
      </c>
      <c r="BP49" s="344">
        <f t="shared" ref="BP49:CH49" si="141">SUM(BP50:BP53)</f>
        <v>0</v>
      </c>
      <c r="BQ49" s="344">
        <f t="shared" si="141"/>
        <v>0</v>
      </c>
      <c r="BR49" s="344">
        <f t="shared" si="141"/>
        <v>0</v>
      </c>
      <c r="BS49" s="344">
        <f>SUM(BS50:BS53)</f>
        <v>0</v>
      </c>
      <c r="BT49" s="344">
        <f t="shared" si="141"/>
        <v>0</v>
      </c>
      <c r="BU49" s="344">
        <f t="shared" si="141"/>
        <v>0</v>
      </c>
      <c r="BV49" s="344">
        <f t="shared" si="141"/>
        <v>0</v>
      </c>
      <c r="BW49" s="344">
        <f>SUM(BW50:BW53)</f>
        <v>0</v>
      </c>
      <c r="BX49" s="344">
        <f t="shared" si="141"/>
        <v>0</v>
      </c>
      <c r="BY49" s="344">
        <f t="shared" si="141"/>
        <v>0</v>
      </c>
      <c r="BZ49" s="344">
        <f t="shared" si="141"/>
        <v>0</v>
      </c>
      <c r="CA49" s="344">
        <f>SUM(CA50:CA53)</f>
        <v>0</v>
      </c>
      <c r="CB49" s="344">
        <f t="shared" si="141"/>
        <v>0</v>
      </c>
      <c r="CC49" s="344">
        <f t="shared" si="141"/>
        <v>0</v>
      </c>
      <c r="CD49" s="344">
        <f t="shared" si="141"/>
        <v>0</v>
      </c>
      <c r="CE49" s="344">
        <f>SUM(CE50:CE53)</f>
        <v>0</v>
      </c>
      <c r="CF49" s="344">
        <f t="shared" si="141"/>
        <v>0</v>
      </c>
      <c r="CG49" s="344">
        <f t="shared" si="141"/>
        <v>0</v>
      </c>
      <c r="CH49" s="344">
        <f t="shared" si="141"/>
        <v>0</v>
      </c>
      <c r="CI49" s="344">
        <f>SUM(CI50:CI53)</f>
        <v>0</v>
      </c>
    </row>
    <row r="50" spans="3:87" s="48" customFormat="1" ht="14.5" customHeight="1" thickBot="1" x14ac:dyDescent="0.2">
      <c r="C50" s="119" t="str">
        <f>Tekstnøgler!C135</f>
        <v>Indkøb af materialer i fysiske enheder</v>
      </c>
      <c r="D50" s="347"/>
      <c r="E50" s="347"/>
      <c r="F50" s="347"/>
      <c r="G50" s="343">
        <f t="shared" ref="G50:G53" si="142">D50+E50+F50</f>
        <v>0</v>
      </c>
      <c r="H50" s="347"/>
      <c r="I50" s="347"/>
      <c r="J50" s="347"/>
      <c r="K50" s="343">
        <f t="shared" ref="K50:K53" si="143">H50+I50+J50</f>
        <v>0</v>
      </c>
      <c r="L50" s="347"/>
      <c r="M50" s="347"/>
      <c r="N50" s="347"/>
      <c r="O50" s="343">
        <f t="shared" ref="O50:O53" si="144">L50+M50+N50</f>
        <v>0</v>
      </c>
      <c r="P50" s="347"/>
      <c r="Q50" s="347"/>
      <c r="R50" s="347"/>
      <c r="S50" s="343">
        <f t="shared" ref="S50:S53" si="145">P50+Q50+R50</f>
        <v>0</v>
      </c>
      <c r="T50" s="347"/>
      <c r="U50" s="347"/>
      <c r="V50" s="347"/>
      <c r="W50" s="343">
        <f t="shared" ref="W50:W53" si="146">T50+U50+V50</f>
        <v>0</v>
      </c>
      <c r="X50" s="347"/>
      <c r="Y50" s="347"/>
      <c r="Z50" s="347"/>
      <c r="AA50" s="343">
        <f t="shared" ref="AA50:AA53" si="147">X50+Y50+Z50</f>
        <v>0</v>
      </c>
      <c r="AB50" s="347"/>
      <c r="AC50" s="347"/>
      <c r="AD50" s="347"/>
      <c r="AE50" s="343">
        <f t="shared" ref="AE50:AE53" si="148">AB50+AC50+AD50</f>
        <v>0</v>
      </c>
      <c r="AF50" s="347"/>
      <c r="AG50" s="347"/>
      <c r="AH50" s="347"/>
      <c r="AI50" s="343">
        <f t="shared" ref="AI50:AI53" si="149">AF50+AG50+AH50</f>
        <v>0</v>
      </c>
      <c r="AJ50" s="347"/>
      <c r="AK50" s="347"/>
      <c r="AL50" s="347"/>
      <c r="AM50" s="343">
        <f t="shared" ref="AM50:AM53" si="150">AJ50+AK50+AL50</f>
        <v>0</v>
      </c>
      <c r="AN50" s="347"/>
      <c r="AO50" s="347"/>
      <c r="AP50" s="347"/>
      <c r="AQ50" s="343">
        <f t="shared" ref="AQ50:AQ53" si="151">AN50+AO50+AP50</f>
        <v>0</v>
      </c>
      <c r="AR50" s="347"/>
      <c r="AS50" s="347"/>
      <c r="AT50" s="347"/>
      <c r="AU50" s="343">
        <f t="shared" ref="AU50:AU53" si="152">AR50+AS50+AT50</f>
        <v>0</v>
      </c>
      <c r="AV50" s="347"/>
      <c r="AW50" s="347"/>
      <c r="AX50" s="347"/>
      <c r="AY50" s="343">
        <f t="shared" ref="AY50:AY53" si="153">AV50+AW50+AX50</f>
        <v>0</v>
      </c>
      <c r="AZ50" s="347"/>
      <c r="BA50" s="347"/>
      <c r="BB50" s="347"/>
      <c r="BC50" s="343">
        <f t="shared" ref="BC50:BC53" si="154">AZ50+BA50+BB50</f>
        <v>0</v>
      </c>
      <c r="BD50" s="347"/>
      <c r="BE50" s="347"/>
      <c r="BF50" s="347"/>
      <c r="BG50" s="343">
        <f t="shared" ref="BG50:BG53" si="155">BD50+BE50+BF50</f>
        <v>0</v>
      </c>
      <c r="BH50" s="347"/>
      <c r="BI50" s="347"/>
      <c r="BJ50" s="347"/>
      <c r="BK50" s="343">
        <f t="shared" ref="BK50:BK53" si="156">BH50+BI50+BJ50</f>
        <v>0</v>
      </c>
      <c r="BL50" s="347"/>
      <c r="BM50" s="347"/>
      <c r="BN50" s="347"/>
      <c r="BO50" s="343">
        <f t="shared" ref="BO50:BO53" si="157">BL50+BM50+BN50</f>
        <v>0</v>
      </c>
      <c r="BP50" s="347"/>
      <c r="BQ50" s="347"/>
      <c r="BR50" s="347"/>
      <c r="BS50" s="343">
        <f t="shared" ref="BS50:BS53" si="158">BP50+BQ50+BR50</f>
        <v>0</v>
      </c>
      <c r="BT50" s="347"/>
      <c r="BU50" s="347"/>
      <c r="BV50" s="347"/>
      <c r="BW50" s="343">
        <f t="shared" ref="BW50:BW53" si="159">BT50+BU50+BV50</f>
        <v>0</v>
      </c>
      <c r="BX50" s="347"/>
      <c r="BY50" s="347"/>
      <c r="BZ50" s="347"/>
      <c r="CA50" s="343">
        <f t="shared" ref="CA50:CA53" si="160">BX50+BY50+BZ50</f>
        <v>0</v>
      </c>
      <c r="CB50" s="347"/>
      <c r="CC50" s="347"/>
      <c r="CD50" s="347"/>
      <c r="CE50" s="343">
        <f t="shared" ref="CE50:CE53" si="161">CB50+CC50+CD50</f>
        <v>0</v>
      </c>
      <c r="CF50" s="347"/>
      <c r="CG50" s="347"/>
      <c r="CH50" s="347"/>
      <c r="CI50" s="343">
        <f t="shared" ref="CI50:CI53" si="162">CF50+CG50+CH50</f>
        <v>0</v>
      </c>
    </row>
    <row r="51" spans="3:87" s="48" customFormat="1" ht="14.5" customHeight="1" thickBot="1" x14ac:dyDescent="0.2">
      <c r="C51" s="119" t="str">
        <f>Tekstnøgler!C136</f>
        <v>Indkøb af materialer i monetære enheder (beløb i DKK)</v>
      </c>
      <c r="D51" s="347"/>
      <c r="E51" s="347"/>
      <c r="F51" s="347"/>
      <c r="G51" s="343">
        <f t="shared" si="142"/>
        <v>0</v>
      </c>
      <c r="H51" s="347"/>
      <c r="I51" s="347"/>
      <c r="J51" s="347"/>
      <c r="K51" s="343">
        <f t="shared" si="143"/>
        <v>0</v>
      </c>
      <c r="L51" s="347"/>
      <c r="M51" s="347"/>
      <c r="N51" s="347"/>
      <c r="O51" s="343">
        <f t="shared" si="144"/>
        <v>0</v>
      </c>
      <c r="P51" s="347"/>
      <c r="Q51" s="347"/>
      <c r="R51" s="347"/>
      <c r="S51" s="343">
        <f t="shared" si="145"/>
        <v>0</v>
      </c>
      <c r="T51" s="347"/>
      <c r="U51" s="347"/>
      <c r="V51" s="347"/>
      <c r="W51" s="343">
        <f t="shared" si="146"/>
        <v>0</v>
      </c>
      <c r="X51" s="347"/>
      <c r="Y51" s="347">
        <v>12</v>
      </c>
      <c r="Z51" s="347"/>
      <c r="AA51" s="343">
        <f t="shared" si="147"/>
        <v>12</v>
      </c>
      <c r="AB51" s="347"/>
      <c r="AC51" s="347"/>
      <c r="AD51" s="347"/>
      <c r="AE51" s="343">
        <f t="shared" si="148"/>
        <v>0</v>
      </c>
      <c r="AF51" s="347"/>
      <c r="AG51" s="347"/>
      <c r="AH51" s="347"/>
      <c r="AI51" s="343">
        <f t="shared" si="149"/>
        <v>0</v>
      </c>
      <c r="AJ51" s="347"/>
      <c r="AK51" s="347"/>
      <c r="AL51" s="347"/>
      <c r="AM51" s="343">
        <f t="shared" si="150"/>
        <v>0</v>
      </c>
      <c r="AN51" s="347"/>
      <c r="AO51" s="347"/>
      <c r="AP51" s="347"/>
      <c r="AQ51" s="343">
        <f t="shared" si="151"/>
        <v>0</v>
      </c>
      <c r="AR51" s="347"/>
      <c r="AS51" s="347"/>
      <c r="AT51" s="347"/>
      <c r="AU51" s="343">
        <f t="shared" si="152"/>
        <v>0</v>
      </c>
      <c r="AV51" s="347"/>
      <c r="AW51" s="347"/>
      <c r="AX51" s="347"/>
      <c r="AY51" s="343">
        <f t="shared" si="153"/>
        <v>0</v>
      </c>
      <c r="AZ51" s="347"/>
      <c r="BA51" s="347"/>
      <c r="BB51" s="347"/>
      <c r="BC51" s="343">
        <f t="shared" si="154"/>
        <v>0</v>
      </c>
      <c r="BD51" s="347"/>
      <c r="BE51" s="347"/>
      <c r="BF51" s="347"/>
      <c r="BG51" s="343">
        <f t="shared" si="155"/>
        <v>0</v>
      </c>
      <c r="BH51" s="347"/>
      <c r="BI51" s="347"/>
      <c r="BJ51" s="347"/>
      <c r="BK51" s="343">
        <f t="shared" si="156"/>
        <v>0</v>
      </c>
      <c r="BL51" s="347"/>
      <c r="BM51" s="347"/>
      <c r="BN51" s="347"/>
      <c r="BO51" s="343">
        <f t="shared" si="157"/>
        <v>0</v>
      </c>
      <c r="BP51" s="347"/>
      <c r="BQ51" s="347"/>
      <c r="BR51" s="347"/>
      <c r="BS51" s="343">
        <f t="shared" si="158"/>
        <v>0</v>
      </c>
      <c r="BT51" s="347"/>
      <c r="BU51" s="347"/>
      <c r="BV51" s="347"/>
      <c r="BW51" s="343">
        <f t="shared" si="159"/>
        <v>0</v>
      </c>
      <c r="BX51" s="347"/>
      <c r="BY51" s="347"/>
      <c r="BZ51" s="347"/>
      <c r="CA51" s="343">
        <f t="shared" si="160"/>
        <v>0</v>
      </c>
      <c r="CB51" s="347"/>
      <c r="CC51" s="347"/>
      <c r="CD51" s="347"/>
      <c r="CE51" s="343">
        <f t="shared" si="161"/>
        <v>0</v>
      </c>
      <c r="CF51" s="347"/>
      <c r="CG51" s="347"/>
      <c r="CH51" s="347"/>
      <c r="CI51" s="343">
        <f t="shared" si="162"/>
        <v>0</v>
      </c>
    </row>
    <row r="52" spans="3:87" s="48" customFormat="1" ht="14.5" customHeight="1" thickBot="1" x14ac:dyDescent="0.2">
      <c r="C52" s="119" t="str">
        <f>Tekstnøgler!C137</f>
        <v>Fysiske enheder med egne emissionsfaktorer</v>
      </c>
      <c r="D52" s="347"/>
      <c r="E52" s="347"/>
      <c r="F52" s="347"/>
      <c r="G52" s="343">
        <f t="shared" si="142"/>
        <v>0</v>
      </c>
      <c r="H52" s="347"/>
      <c r="I52" s="347"/>
      <c r="J52" s="347"/>
      <c r="K52" s="343">
        <f t="shared" si="143"/>
        <v>0</v>
      </c>
      <c r="L52" s="347"/>
      <c r="M52" s="347"/>
      <c r="N52" s="347"/>
      <c r="O52" s="343">
        <f t="shared" si="144"/>
        <v>0</v>
      </c>
      <c r="P52" s="347"/>
      <c r="Q52" s="347"/>
      <c r="R52" s="347"/>
      <c r="S52" s="343">
        <f t="shared" si="145"/>
        <v>0</v>
      </c>
      <c r="T52" s="347"/>
      <c r="U52" s="347"/>
      <c r="V52" s="347"/>
      <c r="W52" s="343">
        <f t="shared" si="146"/>
        <v>0</v>
      </c>
      <c r="X52" s="347"/>
      <c r="Y52" s="347"/>
      <c r="Z52" s="347"/>
      <c r="AA52" s="343">
        <f t="shared" si="147"/>
        <v>0</v>
      </c>
      <c r="AB52" s="347"/>
      <c r="AC52" s="347"/>
      <c r="AD52" s="347"/>
      <c r="AE52" s="343">
        <f t="shared" si="148"/>
        <v>0</v>
      </c>
      <c r="AF52" s="347"/>
      <c r="AG52" s="347"/>
      <c r="AH52" s="347"/>
      <c r="AI52" s="343">
        <f t="shared" si="149"/>
        <v>0</v>
      </c>
      <c r="AJ52" s="347"/>
      <c r="AK52" s="347"/>
      <c r="AL52" s="347"/>
      <c r="AM52" s="343">
        <f t="shared" si="150"/>
        <v>0</v>
      </c>
      <c r="AN52" s="347"/>
      <c r="AO52" s="347"/>
      <c r="AP52" s="347"/>
      <c r="AQ52" s="343">
        <f t="shared" si="151"/>
        <v>0</v>
      </c>
      <c r="AR52" s="347"/>
      <c r="AS52" s="347"/>
      <c r="AT52" s="347"/>
      <c r="AU52" s="343">
        <f t="shared" si="152"/>
        <v>0</v>
      </c>
      <c r="AV52" s="347"/>
      <c r="AW52" s="347"/>
      <c r="AX52" s="347"/>
      <c r="AY52" s="343">
        <f t="shared" si="153"/>
        <v>0</v>
      </c>
      <c r="AZ52" s="347"/>
      <c r="BA52" s="347"/>
      <c r="BB52" s="347"/>
      <c r="BC52" s="343">
        <f t="shared" si="154"/>
        <v>0</v>
      </c>
      <c r="BD52" s="347"/>
      <c r="BE52" s="347"/>
      <c r="BF52" s="347">
        <v>12</v>
      </c>
      <c r="BG52" s="343">
        <f t="shared" si="155"/>
        <v>12</v>
      </c>
      <c r="BH52" s="347"/>
      <c r="BI52" s="347"/>
      <c r="BJ52" s="347"/>
      <c r="BK52" s="343">
        <f t="shared" si="156"/>
        <v>0</v>
      </c>
      <c r="BL52" s="347"/>
      <c r="BM52" s="347"/>
      <c r="BN52" s="347"/>
      <c r="BO52" s="343">
        <f t="shared" si="157"/>
        <v>0</v>
      </c>
      <c r="BP52" s="347"/>
      <c r="BQ52" s="347"/>
      <c r="BR52" s="347"/>
      <c r="BS52" s="343">
        <f t="shared" si="158"/>
        <v>0</v>
      </c>
      <c r="BT52" s="347"/>
      <c r="BU52" s="347"/>
      <c r="BV52" s="347"/>
      <c r="BW52" s="343">
        <f t="shared" si="159"/>
        <v>0</v>
      </c>
      <c r="BX52" s="347"/>
      <c r="BY52" s="347"/>
      <c r="BZ52" s="347"/>
      <c r="CA52" s="343">
        <f t="shared" si="160"/>
        <v>0</v>
      </c>
      <c r="CB52" s="347"/>
      <c r="CC52" s="347"/>
      <c r="CD52" s="347"/>
      <c r="CE52" s="343">
        <f t="shared" si="161"/>
        <v>0</v>
      </c>
      <c r="CF52" s="347"/>
      <c r="CG52" s="347"/>
      <c r="CH52" s="347"/>
      <c r="CI52" s="343">
        <f t="shared" si="162"/>
        <v>0</v>
      </c>
    </row>
    <row r="53" spans="3:87" s="48" customFormat="1" ht="14.5" customHeight="1" thickBot="1" x14ac:dyDescent="0.2">
      <c r="C53" s="119" t="str">
        <f>Tekstnøgler!C138</f>
        <v>Monetære enheder (beløb i DKK) med egne emissionsfaktorer</v>
      </c>
      <c r="D53" s="347"/>
      <c r="E53" s="347"/>
      <c r="F53" s="347"/>
      <c r="G53" s="343">
        <f t="shared" si="142"/>
        <v>0</v>
      </c>
      <c r="H53" s="347"/>
      <c r="I53" s="347"/>
      <c r="J53" s="347"/>
      <c r="K53" s="343">
        <f t="shared" si="143"/>
        <v>0</v>
      </c>
      <c r="L53" s="347"/>
      <c r="M53" s="347"/>
      <c r="N53" s="347"/>
      <c r="O53" s="343">
        <f t="shared" si="144"/>
        <v>0</v>
      </c>
      <c r="P53" s="347"/>
      <c r="Q53" s="347"/>
      <c r="R53" s="347"/>
      <c r="S53" s="343">
        <f t="shared" si="145"/>
        <v>0</v>
      </c>
      <c r="T53" s="347"/>
      <c r="U53" s="347"/>
      <c r="V53" s="347"/>
      <c r="W53" s="343">
        <f t="shared" si="146"/>
        <v>0</v>
      </c>
      <c r="X53" s="347"/>
      <c r="Y53" s="347"/>
      <c r="Z53" s="347"/>
      <c r="AA53" s="343">
        <f t="shared" si="147"/>
        <v>0</v>
      </c>
      <c r="AB53" s="347"/>
      <c r="AC53" s="347"/>
      <c r="AD53" s="347"/>
      <c r="AE53" s="343">
        <f t="shared" si="148"/>
        <v>0</v>
      </c>
      <c r="AF53" s="347"/>
      <c r="AG53" s="347"/>
      <c r="AH53" s="347"/>
      <c r="AI53" s="343">
        <f t="shared" si="149"/>
        <v>0</v>
      </c>
      <c r="AJ53" s="347"/>
      <c r="AK53" s="347"/>
      <c r="AL53" s="347"/>
      <c r="AM53" s="343">
        <f t="shared" si="150"/>
        <v>0</v>
      </c>
      <c r="AN53" s="347"/>
      <c r="AO53" s="347"/>
      <c r="AP53" s="347"/>
      <c r="AQ53" s="343">
        <f t="shared" si="151"/>
        <v>0</v>
      </c>
      <c r="AR53" s="347"/>
      <c r="AS53" s="347"/>
      <c r="AT53" s="347"/>
      <c r="AU53" s="343">
        <f t="shared" si="152"/>
        <v>0</v>
      </c>
      <c r="AV53" s="347"/>
      <c r="AW53" s="347"/>
      <c r="AX53" s="347"/>
      <c r="AY53" s="343">
        <f t="shared" si="153"/>
        <v>0</v>
      </c>
      <c r="AZ53" s="347"/>
      <c r="BA53" s="347"/>
      <c r="BB53" s="347"/>
      <c r="BC53" s="343">
        <f t="shared" si="154"/>
        <v>0</v>
      </c>
      <c r="BD53" s="347"/>
      <c r="BE53" s="347"/>
      <c r="BF53" s="347"/>
      <c r="BG53" s="343">
        <f t="shared" si="155"/>
        <v>0</v>
      </c>
      <c r="BH53" s="347"/>
      <c r="BI53" s="347"/>
      <c r="BJ53" s="347"/>
      <c r="BK53" s="343">
        <f t="shared" si="156"/>
        <v>0</v>
      </c>
      <c r="BL53" s="347"/>
      <c r="BM53" s="347"/>
      <c r="BN53" s="347"/>
      <c r="BO53" s="343">
        <f t="shared" si="157"/>
        <v>0</v>
      </c>
      <c r="BP53" s="347"/>
      <c r="BQ53" s="347"/>
      <c r="BR53" s="347"/>
      <c r="BS53" s="343">
        <f t="shared" si="158"/>
        <v>0</v>
      </c>
      <c r="BT53" s="347"/>
      <c r="BU53" s="347"/>
      <c r="BV53" s="347"/>
      <c r="BW53" s="343">
        <f t="shared" si="159"/>
        <v>0</v>
      </c>
      <c r="BX53" s="347"/>
      <c r="BY53" s="347"/>
      <c r="BZ53" s="347"/>
      <c r="CA53" s="343">
        <f t="shared" si="160"/>
        <v>0</v>
      </c>
      <c r="CB53" s="347"/>
      <c r="CC53" s="347"/>
      <c r="CD53" s="347"/>
      <c r="CE53" s="343">
        <f t="shared" si="161"/>
        <v>0</v>
      </c>
      <c r="CF53" s="347"/>
      <c r="CG53" s="347"/>
      <c r="CH53" s="347"/>
      <c r="CI53" s="343">
        <f t="shared" si="162"/>
        <v>0</v>
      </c>
    </row>
    <row r="54" spans="3:87" s="48" customFormat="1" ht="14.5" customHeight="1" thickBot="1" x14ac:dyDescent="0.2">
      <c r="C54" s="118" t="str">
        <f>Tekstnøgler!C139</f>
        <v>Produkter og services (primære indkøb)</v>
      </c>
      <c r="D54" s="344">
        <f t="shared" ref="D54:AH54" si="163">SUM(D55:D58)</f>
        <v>0</v>
      </c>
      <c r="E54" s="344">
        <f t="shared" si="163"/>
        <v>0</v>
      </c>
      <c r="F54" s="344">
        <f t="shared" si="163"/>
        <v>0</v>
      </c>
      <c r="G54" s="344">
        <f>SUM(G55:G58)</f>
        <v>0</v>
      </c>
      <c r="H54" s="344">
        <f t="shared" si="163"/>
        <v>0</v>
      </c>
      <c r="I54" s="344">
        <f t="shared" si="163"/>
        <v>0</v>
      </c>
      <c r="J54" s="344">
        <f t="shared" si="163"/>
        <v>0</v>
      </c>
      <c r="K54" s="344">
        <f>SUM(K55:K58)</f>
        <v>0</v>
      </c>
      <c r="L54" s="344">
        <f t="shared" si="163"/>
        <v>0</v>
      </c>
      <c r="M54" s="344">
        <f t="shared" si="163"/>
        <v>0</v>
      </c>
      <c r="N54" s="344">
        <f t="shared" si="163"/>
        <v>0</v>
      </c>
      <c r="O54" s="344">
        <f>SUM(O55:O58)</f>
        <v>0</v>
      </c>
      <c r="P54" s="344">
        <f t="shared" si="163"/>
        <v>0</v>
      </c>
      <c r="Q54" s="344">
        <f t="shared" si="163"/>
        <v>0</v>
      </c>
      <c r="R54" s="344">
        <f t="shared" si="163"/>
        <v>0</v>
      </c>
      <c r="S54" s="344">
        <f>SUM(S55:S58)</f>
        <v>0</v>
      </c>
      <c r="T54" s="344">
        <f t="shared" si="163"/>
        <v>0</v>
      </c>
      <c r="U54" s="344">
        <f t="shared" si="163"/>
        <v>0</v>
      </c>
      <c r="V54" s="344">
        <f t="shared" si="163"/>
        <v>0</v>
      </c>
      <c r="W54" s="344">
        <f>SUM(W55:W58)</f>
        <v>0</v>
      </c>
      <c r="X54" s="344">
        <f t="shared" si="163"/>
        <v>0</v>
      </c>
      <c r="Y54" s="344">
        <f t="shared" si="163"/>
        <v>0</v>
      </c>
      <c r="Z54" s="344">
        <f t="shared" si="163"/>
        <v>0</v>
      </c>
      <c r="AA54" s="344">
        <f>SUM(AA55:AA58)</f>
        <v>0</v>
      </c>
      <c r="AB54" s="344">
        <f t="shared" si="163"/>
        <v>0</v>
      </c>
      <c r="AC54" s="344">
        <f t="shared" si="163"/>
        <v>0</v>
      </c>
      <c r="AD54" s="344">
        <f t="shared" si="163"/>
        <v>0</v>
      </c>
      <c r="AE54" s="344">
        <f>SUM(AE55:AE58)</f>
        <v>0</v>
      </c>
      <c r="AF54" s="344">
        <f t="shared" si="163"/>
        <v>0</v>
      </c>
      <c r="AG54" s="344">
        <f t="shared" si="163"/>
        <v>0</v>
      </c>
      <c r="AH54" s="344">
        <f t="shared" si="163"/>
        <v>0</v>
      </c>
      <c r="AI54" s="344">
        <f>SUM(AI55:AI58)</f>
        <v>0</v>
      </c>
      <c r="AJ54" s="344">
        <f t="shared" ref="AJ54:BN54" si="164">SUM(AJ55:AJ58)</f>
        <v>0</v>
      </c>
      <c r="AK54" s="344">
        <f t="shared" si="164"/>
        <v>0</v>
      </c>
      <c r="AL54" s="344">
        <f t="shared" si="164"/>
        <v>0</v>
      </c>
      <c r="AM54" s="344">
        <f>SUM(AM55:AM58)</f>
        <v>0</v>
      </c>
      <c r="AN54" s="344">
        <f t="shared" si="164"/>
        <v>0</v>
      </c>
      <c r="AO54" s="344">
        <f t="shared" si="164"/>
        <v>0</v>
      </c>
      <c r="AP54" s="344">
        <f t="shared" si="164"/>
        <v>0</v>
      </c>
      <c r="AQ54" s="344">
        <f>SUM(AQ55:AQ58)</f>
        <v>0</v>
      </c>
      <c r="AR54" s="344">
        <f t="shared" si="164"/>
        <v>0</v>
      </c>
      <c r="AS54" s="344">
        <f t="shared" si="164"/>
        <v>0</v>
      </c>
      <c r="AT54" s="344">
        <f t="shared" si="164"/>
        <v>0</v>
      </c>
      <c r="AU54" s="344">
        <f>SUM(AU55:AU58)</f>
        <v>0</v>
      </c>
      <c r="AV54" s="344">
        <f t="shared" si="164"/>
        <v>0</v>
      </c>
      <c r="AW54" s="344">
        <f t="shared" si="164"/>
        <v>0</v>
      </c>
      <c r="AX54" s="344">
        <f t="shared" si="164"/>
        <v>0</v>
      </c>
      <c r="AY54" s="344">
        <f>SUM(AY55:AY58)</f>
        <v>0</v>
      </c>
      <c r="AZ54" s="344">
        <f t="shared" si="164"/>
        <v>0</v>
      </c>
      <c r="BA54" s="344">
        <f t="shared" si="164"/>
        <v>0</v>
      </c>
      <c r="BB54" s="344">
        <f t="shared" si="164"/>
        <v>0</v>
      </c>
      <c r="BC54" s="344">
        <f>SUM(BC55:BC58)</f>
        <v>0</v>
      </c>
      <c r="BD54" s="344">
        <f t="shared" si="164"/>
        <v>0</v>
      </c>
      <c r="BE54" s="344">
        <f t="shared" si="164"/>
        <v>0</v>
      </c>
      <c r="BF54" s="344">
        <f t="shared" si="164"/>
        <v>0</v>
      </c>
      <c r="BG54" s="344">
        <f>SUM(BG55:BG58)</f>
        <v>0</v>
      </c>
      <c r="BH54" s="344">
        <f t="shared" si="164"/>
        <v>0</v>
      </c>
      <c r="BI54" s="344">
        <f t="shared" si="164"/>
        <v>0</v>
      </c>
      <c r="BJ54" s="344">
        <f t="shared" si="164"/>
        <v>0</v>
      </c>
      <c r="BK54" s="344">
        <f>SUM(BK55:BK58)</f>
        <v>0</v>
      </c>
      <c r="BL54" s="344">
        <f t="shared" si="164"/>
        <v>0</v>
      </c>
      <c r="BM54" s="344">
        <f t="shared" si="164"/>
        <v>0</v>
      </c>
      <c r="BN54" s="344">
        <f t="shared" si="164"/>
        <v>0</v>
      </c>
      <c r="BO54" s="344">
        <f>SUM(BO55:BO58)</f>
        <v>0</v>
      </c>
      <c r="BP54" s="344">
        <f t="shared" ref="BP54:CH54" si="165">SUM(BP55:BP58)</f>
        <v>0</v>
      </c>
      <c r="BQ54" s="344">
        <f t="shared" si="165"/>
        <v>0</v>
      </c>
      <c r="BR54" s="344">
        <f t="shared" si="165"/>
        <v>0</v>
      </c>
      <c r="BS54" s="344">
        <f>SUM(BS55:BS58)</f>
        <v>0</v>
      </c>
      <c r="BT54" s="344">
        <f t="shared" si="165"/>
        <v>0</v>
      </c>
      <c r="BU54" s="344">
        <f t="shared" si="165"/>
        <v>0</v>
      </c>
      <c r="BV54" s="344">
        <f t="shared" si="165"/>
        <v>0</v>
      </c>
      <c r="BW54" s="344">
        <f>SUM(BW55:BW58)</f>
        <v>0</v>
      </c>
      <c r="BX54" s="344">
        <f t="shared" si="165"/>
        <v>0</v>
      </c>
      <c r="BY54" s="344">
        <f t="shared" si="165"/>
        <v>0</v>
      </c>
      <c r="BZ54" s="344">
        <f t="shared" si="165"/>
        <v>0</v>
      </c>
      <c r="CA54" s="344">
        <f>SUM(CA55:CA58)</f>
        <v>0</v>
      </c>
      <c r="CB54" s="344">
        <f t="shared" si="165"/>
        <v>0</v>
      </c>
      <c r="CC54" s="344">
        <f t="shared" si="165"/>
        <v>0</v>
      </c>
      <c r="CD54" s="344">
        <f t="shared" si="165"/>
        <v>0</v>
      </c>
      <c r="CE54" s="344">
        <f>SUM(CE55:CE58)</f>
        <v>0</v>
      </c>
      <c r="CF54" s="344">
        <f t="shared" si="165"/>
        <v>0</v>
      </c>
      <c r="CG54" s="344">
        <f t="shared" si="165"/>
        <v>0</v>
      </c>
      <c r="CH54" s="344">
        <f t="shared" si="165"/>
        <v>0</v>
      </c>
      <c r="CI54" s="344">
        <f>SUM(CI55:CI58)</f>
        <v>0</v>
      </c>
    </row>
    <row r="55" spans="3:87" s="48" customFormat="1" ht="14.5" customHeight="1" thickBot="1" x14ac:dyDescent="0.2">
      <c r="C55" s="119" t="str">
        <f>Tekstnøgler!C140</f>
        <v>Indkøb af produkter i fysiske enheder</v>
      </c>
      <c r="D55" s="347"/>
      <c r="E55" s="347"/>
      <c r="F55" s="347"/>
      <c r="G55" s="343">
        <f t="shared" ref="G55:G58" si="166">D55+E55+F55</f>
        <v>0</v>
      </c>
      <c r="H55" s="347"/>
      <c r="I55" s="347"/>
      <c r="J55" s="347"/>
      <c r="K55" s="343">
        <f t="shared" ref="K55:K58" si="167">H55+I55+J55</f>
        <v>0</v>
      </c>
      <c r="L55" s="347"/>
      <c r="M55" s="347"/>
      <c r="N55" s="347"/>
      <c r="O55" s="343">
        <f t="shared" ref="O55:O58" si="168">L55+M55+N55</f>
        <v>0</v>
      </c>
      <c r="P55" s="347"/>
      <c r="Q55" s="347"/>
      <c r="R55" s="347"/>
      <c r="S55" s="343">
        <f t="shared" ref="S55:S58" si="169">P55+Q55+R55</f>
        <v>0</v>
      </c>
      <c r="T55" s="347"/>
      <c r="U55" s="347"/>
      <c r="V55" s="347"/>
      <c r="W55" s="343">
        <f t="shared" ref="W55:W58" si="170">T55+U55+V55</f>
        <v>0</v>
      </c>
      <c r="X55" s="347"/>
      <c r="Y55" s="347"/>
      <c r="Z55" s="347"/>
      <c r="AA55" s="343">
        <f t="shared" ref="AA55:AA58" si="171">X55+Y55+Z55</f>
        <v>0</v>
      </c>
      <c r="AB55" s="347"/>
      <c r="AC55" s="347"/>
      <c r="AD55" s="347"/>
      <c r="AE55" s="343">
        <f t="shared" ref="AE55:AE58" si="172">AB55+AC55+AD55</f>
        <v>0</v>
      </c>
      <c r="AF55" s="347"/>
      <c r="AG55" s="347"/>
      <c r="AH55" s="347"/>
      <c r="AI55" s="343">
        <f t="shared" ref="AI55:AI58" si="173">AF55+AG55+AH55</f>
        <v>0</v>
      </c>
      <c r="AJ55" s="347"/>
      <c r="AK55" s="347"/>
      <c r="AL55" s="347"/>
      <c r="AM55" s="343">
        <f t="shared" ref="AM55:AM58" si="174">AJ55+AK55+AL55</f>
        <v>0</v>
      </c>
      <c r="AN55" s="347"/>
      <c r="AO55" s="347"/>
      <c r="AP55" s="347"/>
      <c r="AQ55" s="343">
        <f t="shared" ref="AQ55:AQ58" si="175">AN55+AO55+AP55</f>
        <v>0</v>
      </c>
      <c r="AR55" s="347"/>
      <c r="AS55" s="347"/>
      <c r="AT55" s="347"/>
      <c r="AU55" s="343">
        <f t="shared" ref="AU55:AU58" si="176">AR55+AS55+AT55</f>
        <v>0</v>
      </c>
      <c r="AV55" s="347"/>
      <c r="AW55" s="347"/>
      <c r="AX55" s="347"/>
      <c r="AY55" s="343">
        <f t="shared" ref="AY55:AY58" si="177">AV55+AW55+AX55</f>
        <v>0</v>
      </c>
      <c r="AZ55" s="347"/>
      <c r="BA55" s="347"/>
      <c r="BB55" s="347"/>
      <c r="BC55" s="343">
        <f t="shared" ref="BC55:BC58" si="178">AZ55+BA55+BB55</f>
        <v>0</v>
      </c>
      <c r="BD55" s="347"/>
      <c r="BE55" s="347"/>
      <c r="BF55" s="347"/>
      <c r="BG55" s="343">
        <f t="shared" ref="BG55:BG58" si="179">BD55+BE55+BF55</f>
        <v>0</v>
      </c>
      <c r="BH55" s="347"/>
      <c r="BI55" s="347"/>
      <c r="BJ55" s="347"/>
      <c r="BK55" s="343">
        <f t="shared" ref="BK55:BK58" si="180">BH55+BI55+BJ55</f>
        <v>0</v>
      </c>
      <c r="BL55" s="347"/>
      <c r="BM55" s="347"/>
      <c r="BN55" s="347"/>
      <c r="BO55" s="343">
        <f t="shared" ref="BO55:BO58" si="181">BL55+BM55+BN55</f>
        <v>0</v>
      </c>
      <c r="BP55" s="347"/>
      <c r="BQ55" s="347"/>
      <c r="BR55" s="347"/>
      <c r="BS55" s="343">
        <f t="shared" ref="BS55:BS58" si="182">BP55+BQ55+BR55</f>
        <v>0</v>
      </c>
      <c r="BT55" s="347"/>
      <c r="BU55" s="347"/>
      <c r="BV55" s="347"/>
      <c r="BW55" s="343">
        <f t="shared" ref="BW55:BW58" si="183">BT55+BU55+BV55</f>
        <v>0</v>
      </c>
      <c r="BX55" s="347"/>
      <c r="BY55" s="347"/>
      <c r="BZ55" s="347"/>
      <c r="CA55" s="343">
        <f t="shared" ref="CA55:CA58" si="184">BX55+BY55+BZ55</f>
        <v>0</v>
      </c>
      <c r="CB55" s="347"/>
      <c r="CC55" s="347"/>
      <c r="CD55" s="347"/>
      <c r="CE55" s="343">
        <f t="shared" ref="CE55:CE58" si="185">CB55+CC55+CD55</f>
        <v>0</v>
      </c>
      <c r="CF55" s="347"/>
      <c r="CG55" s="347"/>
      <c r="CH55" s="347"/>
      <c r="CI55" s="343">
        <f t="shared" ref="CI55:CI58" si="186">CF55+CG55+CH55</f>
        <v>0</v>
      </c>
    </row>
    <row r="56" spans="3:87" s="48" customFormat="1" ht="14.5" customHeight="1" thickBot="1" x14ac:dyDescent="0.2">
      <c r="C56" s="119" t="str">
        <f>Tekstnøgler!C141</f>
        <v>Indkøb af produkter i monetære enheder (beløb i DKK)</v>
      </c>
      <c r="D56" s="347"/>
      <c r="E56" s="347"/>
      <c r="F56" s="347"/>
      <c r="G56" s="343">
        <f t="shared" si="166"/>
        <v>0</v>
      </c>
      <c r="H56" s="347"/>
      <c r="I56" s="347"/>
      <c r="J56" s="347"/>
      <c r="K56" s="343">
        <f t="shared" si="167"/>
        <v>0</v>
      </c>
      <c r="L56" s="347"/>
      <c r="M56" s="347"/>
      <c r="N56" s="347"/>
      <c r="O56" s="343">
        <f t="shared" si="168"/>
        <v>0</v>
      </c>
      <c r="P56" s="347"/>
      <c r="Q56" s="347"/>
      <c r="R56" s="347"/>
      <c r="S56" s="343">
        <f t="shared" si="169"/>
        <v>0</v>
      </c>
      <c r="T56" s="347"/>
      <c r="U56" s="347"/>
      <c r="V56" s="347"/>
      <c r="W56" s="343">
        <f t="shared" si="170"/>
        <v>0</v>
      </c>
      <c r="X56" s="347"/>
      <c r="Y56" s="347"/>
      <c r="Z56" s="347"/>
      <c r="AA56" s="343">
        <f t="shared" si="171"/>
        <v>0</v>
      </c>
      <c r="AB56" s="347"/>
      <c r="AC56" s="347"/>
      <c r="AD56" s="347"/>
      <c r="AE56" s="343">
        <f t="shared" si="172"/>
        <v>0</v>
      </c>
      <c r="AF56" s="347"/>
      <c r="AG56" s="347"/>
      <c r="AH56" s="347"/>
      <c r="AI56" s="343">
        <f t="shared" si="173"/>
        <v>0</v>
      </c>
      <c r="AJ56" s="347"/>
      <c r="AK56" s="347"/>
      <c r="AL56" s="347"/>
      <c r="AM56" s="343">
        <f t="shared" si="174"/>
        <v>0</v>
      </c>
      <c r="AN56" s="347"/>
      <c r="AO56" s="347"/>
      <c r="AP56" s="347"/>
      <c r="AQ56" s="343">
        <f t="shared" si="175"/>
        <v>0</v>
      </c>
      <c r="AR56" s="347"/>
      <c r="AS56" s="347"/>
      <c r="AT56" s="347"/>
      <c r="AU56" s="343">
        <f t="shared" si="176"/>
        <v>0</v>
      </c>
      <c r="AV56" s="347"/>
      <c r="AW56" s="347"/>
      <c r="AX56" s="347"/>
      <c r="AY56" s="343">
        <f t="shared" si="177"/>
        <v>0</v>
      </c>
      <c r="AZ56" s="347"/>
      <c r="BA56" s="347"/>
      <c r="BB56" s="347"/>
      <c r="BC56" s="343">
        <f t="shared" si="178"/>
        <v>0</v>
      </c>
      <c r="BD56" s="347"/>
      <c r="BE56" s="347"/>
      <c r="BF56" s="347"/>
      <c r="BG56" s="343">
        <f t="shared" si="179"/>
        <v>0</v>
      </c>
      <c r="BH56" s="347"/>
      <c r="BI56" s="347"/>
      <c r="BJ56" s="347"/>
      <c r="BK56" s="343">
        <f t="shared" si="180"/>
        <v>0</v>
      </c>
      <c r="BL56" s="347"/>
      <c r="BM56" s="347"/>
      <c r="BN56" s="347"/>
      <c r="BO56" s="343">
        <f t="shared" si="181"/>
        <v>0</v>
      </c>
      <c r="BP56" s="347"/>
      <c r="BQ56" s="347"/>
      <c r="BR56" s="347"/>
      <c r="BS56" s="343">
        <f t="shared" si="182"/>
        <v>0</v>
      </c>
      <c r="BT56" s="347"/>
      <c r="BU56" s="347"/>
      <c r="BV56" s="347"/>
      <c r="BW56" s="343">
        <f t="shared" si="183"/>
        <v>0</v>
      </c>
      <c r="BX56" s="347"/>
      <c r="BY56" s="347"/>
      <c r="BZ56" s="347"/>
      <c r="CA56" s="343">
        <f t="shared" si="184"/>
        <v>0</v>
      </c>
      <c r="CB56" s="347"/>
      <c r="CC56" s="347"/>
      <c r="CD56" s="347"/>
      <c r="CE56" s="343">
        <f t="shared" si="185"/>
        <v>0</v>
      </c>
      <c r="CF56" s="347"/>
      <c r="CG56" s="347"/>
      <c r="CH56" s="347"/>
      <c r="CI56" s="343">
        <f t="shared" si="186"/>
        <v>0</v>
      </c>
    </row>
    <row r="57" spans="3:87" s="48" customFormat="1" ht="14.5" customHeight="1" thickBot="1" x14ac:dyDescent="0.2">
      <c r="C57" s="119" t="str">
        <f>Tekstnøgler!C142</f>
        <v>Fysiske enheder med egne emissionsfaktorer</v>
      </c>
      <c r="D57" s="347"/>
      <c r="E57" s="347"/>
      <c r="F57" s="347"/>
      <c r="G57" s="343">
        <f t="shared" si="166"/>
        <v>0</v>
      </c>
      <c r="H57" s="347"/>
      <c r="I57" s="347"/>
      <c r="J57" s="347"/>
      <c r="K57" s="343">
        <f t="shared" si="167"/>
        <v>0</v>
      </c>
      <c r="L57" s="347"/>
      <c r="M57" s="347"/>
      <c r="N57" s="347"/>
      <c r="O57" s="343">
        <f t="shared" si="168"/>
        <v>0</v>
      </c>
      <c r="P57" s="347"/>
      <c r="Q57" s="347"/>
      <c r="R57" s="347"/>
      <c r="S57" s="343">
        <f t="shared" si="169"/>
        <v>0</v>
      </c>
      <c r="T57" s="347"/>
      <c r="U57" s="347"/>
      <c r="V57" s="347"/>
      <c r="W57" s="343">
        <f t="shared" si="170"/>
        <v>0</v>
      </c>
      <c r="X57" s="347"/>
      <c r="Y57" s="347"/>
      <c r="Z57" s="347"/>
      <c r="AA57" s="343">
        <f t="shared" si="171"/>
        <v>0</v>
      </c>
      <c r="AB57" s="347"/>
      <c r="AC57" s="347"/>
      <c r="AD57" s="347"/>
      <c r="AE57" s="343">
        <f t="shared" si="172"/>
        <v>0</v>
      </c>
      <c r="AF57" s="347"/>
      <c r="AG57" s="347"/>
      <c r="AH57" s="347"/>
      <c r="AI57" s="343">
        <f t="shared" si="173"/>
        <v>0</v>
      </c>
      <c r="AJ57" s="347"/>
      <c r="AK57" s="347"/>
      <c r="AL57" s="347"/>
      <c r="AM57" s="343">
        <f t="shared" si="174"/>
        <v>0</v>
      </c>
      <c r="AN57" s="347"/>
      <c r="AO57" s="347"/>
      <c r="AP57" s="347"/>
      <c r="AQ57" s="343">
        <f t="shared" si="175"/>
        <v>0</v>
      </c>
      <c r="AR57" s="347"/>
      <c r="AS57" s="347"/>
      <c r="AT57" s="347"/>
      <c r="AU57" s="343">
        <f t="shared" si="176"/>
        <v>0</v>
      </c>
      <c r="AV57" s="347"/>
      <c r="AW57" s="347"/>
      <c r="AX57" s="347"/>
      <c r="AY57" s="343">
        <f t="shared" si="177"/>
        <v>0</v>
      </c>
      <c r="AZ57" s="347"/>
      <c r="BA57" s="347"/>
      <c r="BB57" s="347"/>
      <c r="BC57" s="343">
        <f t="shared" si="178"/>
        <v>0</v>
      </c>
      <c r="BD57" s="347"/>
      <c r="BE57" s="347"/>
      <c r="BF57" s="347"/>
      <c r="BG57" s="343">
        <f t="shared" si="179"/>
        <v>0</v>
      </c>
      <c r="BH57" s="347"/>
      <c r="BI57" s="347"/>
      <c r="BJ57" s="347"/>
      <c r="BK57" s="343">
        <f t="shared" si="180"/>
        <v>0</v>
      </c>
      <c r="BL57" s="347"/>
      <c r="BM57" s="347"/>
      <c r="BN57" s="347"/>
      <c r="BO57" s="343">
        <f t="shared" si="181"/>
        <v>0</v>
      </c>
      <c r="BP57" s="347"/>
      <c r="BQ57" s="347"/>
      <c r="BR57" s="347"/>
      <c r="BS57" s="343">
        <f t="shared" si="182"/>
        <v>0</v>
      </c>
      <c r="BT57" s="347"/>
      <c r="BU57" s="347"/>
      <c r="BV57" s="347"/>
      <c r="BW57" s="343">
        <f t="shared" si="183"/>
        <v>0</v>
      </c>
      <c r="BX57" s="347"/>
      <c r="BY57" s="347"/>
      <c r="BZ57" s="347"/>
      <c r="CA57" s="343">
        <f t="shared" si="184"/>
        <v>0</v>
      </c>
      <c r="CB57" s="347"/>
      <c r="CC57" s="347"/>
      <c r="CD57" s="347"/>
      <c r="CE57" s="343">
        <f t="shared" si="185"/>
        <v>0</v>
      </c>
      <c r="CF57" s="347"/>
      <c r="CG57" s="347"/>
      <c r="CH57" s="347"/>
      <c r="CI57" s="343">
        <f t="shared" si="186"/>
        <v>0</v>
      </c>
    </row>
    <row r="58" spans="3:87" s="48" customFormat="1" ht="14.5" customHeight="1" thickBot="1" x14ac:dyDescent="0.2">
      <c r="C58" s="119" t="str">
        <f>Tekstnøgler!C143</f>
        <v>Monetære enheder (beløb i DKK) med egne emissionsfaktorer</v>
      </c>
      <c r="D58" s="347"/>
      <c r="E58" s="347"/>
      <c r="F58" s="347"/>
      <c r="G58" s="343">
        <f t="shared" si="166"/>
        <v>0</v>
      </c>
      <c r="H58" s="347"/>
      <c r="I58" s="347"/>
      <c r="J58" s="347"/>
      <c r="K58" s="343">
        <f t="shared" si="167"/>
        <v>0</v>
      </c>
      <c r="L58" s="347"/>
      <c r="M58" s="347"/>
      <c r="N58" s="347"/>
      <c r="O58" s="343">
        <f t="shared" si="168"/>
        <v>0</v>
      </c>
      <c r="P58" s="347"/>
      <c r="Q58" s="347"/>
      <c r="R58" s="347"/>
      <c r="S58" s="343">
        <f t="shared" si="169"/>
        <v>0</v>
      </c>
      <c r="T58" s="347"/>
      <c r="U58" s="347"/>
      <c r="V58" s="347"/>
      <c r="W58" s="343">
        <f t="shared" si="170"/>
        <v>0</v>
      </c>
      <c r="X58" s="347"/>
      <c r="Y58" s="347"/>
      <c r="Z58" s="347"/>
      <c r="AA58" s="343">
        <f t="shared" si="171"/>
        <v>0</v>
      </c>
      <c r="AB58" s="347"/>
      <c r="AC58" s="347"/>
      <c r="AD58" s="347"/>
      <c r="AE58" s="343">
        <f t="shared" si="172"/>
        <v>0</v>
      </c>
      <c r="AF58" s="347"/>
      <c r="AG58" s="347"/>
      <c r="AH58" s="347"/>
      <c r="AI58" s="343">
        <f t="shared" si="173"/>
        <v>0</v>
      </c>
      <c r="AJ58" s="347"/>
      <c r="AK58" s="347"/>
      <c r="AL58" s="347"/>
      <c r="AM58" s="343">
        <f t="shared" si="174"/>
        <v>0</v>
      </c>
      <c r="AN58" s="347"/>
      <c r="AO58" s="347"/>
      <c r="AP58" s="347"/>
      <c r="AQ58" s="343">
        <f t="shared" si="175"/>
        <v>0</v>
      </c>
      <c r="AR58" s="347"/>
      <c r="AS58" s="347"/>
      <c r="AT58" s="347"/>
      <c r="AU58" s="343">
        <f t="shared" si="176"/>
        <v>0</v>
      </c>
      <c r="AV58" s="347"/>
      <c r="AW58" s="347"/>
      <c r="AX58" s="347"/>
      <c r="AY58" s="343">
        <f t="shared" si="177"/>
        <v>0</v>
      </c>
      <c r="AZ58" s="347"/>
      <c r="BA58" s="347"/>
      <c r="BB58" s="347"/>
      <c r="BC58" s="343">
        <f t="shared" si="178"/>
        <v>0</v>
      </c>
      <c r="BD58" s="347"/>
      <c r="BE58" s="347"/>
      <c r="BF58" s="347"/>
      <c r="BG58" s="343">
        <f t="shared" si="179"/>
        <v>0</v>
      </c>
      <c r="BH58" s="347"/>
      <c r="BI58" s="347"/>
      <c r="BJ58" s="347"/>
      <c r="BK58" s="343">
        <f t="shared" si="180"/>
        <v>0</v>
      </c>
      <c r="BL58" s="347"/>
      <c r="BM58" s="347"/>
      <c r="BN58" s="347"/>
      <c r="BO58" s="343">
        <f t="shared" si="181"/>
        <v>0</v>
      </c>
      <c r="BP58" s="347"/>
      <c r="BQ58" s="347"/>
      <c r="BR58" s="347"/>
      <c r="BS58" s="343">
        <f t="shared" si="182"/>
        <v>0</v>
      </c>
      <c r="BT58" s="347"/>
      <c r="BU58" s="347"/>
      <c r="BV58" s="347"/>
      <c r="BW58" s="343">
        <f t="shared" si="183"/>
        <v>0</v>
      </c>
      <c r="BX58" s="347"/>
      <c r="BY58" s="347"/>
      <c r="BZ58" s="347"/>
      <c r="CA58" s="343">
        <f t="shared" si="184"/>
        <v>0</v>
      </c>
      <c r="CB58" s="347"/>
      <c r="CC58" s="347"/>
      <c r="CD58" s="347"/>
      <c r="CE58" s="343">
        <f t="shared" si="185"/>
        <v>0</v>
      </c>
      <c r="CF58" s="347"/>
      <c r="CG58" s="347"/>
      <c r="CH58" s="347"/>
      <c r="CI58" s="343">
        <f t="shared" si="186"/>
        <v>0</v>
      </c>
    </row>
    <row r="59" spans="3:87" s="48" customFormat="1" ht="14.5" customHeight="1" thickBot="1" x14ac:dyDescent="0.2">
      <c r="C59" s="118" t="str">
        <f>Tekstnøgler!C144</f>
        <v>Andet udledning ved primære indkøb</v>
      </c>
      <c r="D59" s="344">
        <f t="shared" ref="D59:AH59" si="187">SUM(D60:D61)</f>
        <v>0</v>
      </c>
      <c r="E59" s="344">
        <f t="shared" si="187"/>
        <v>0</v>
      </c>
      <c r="F59" s="344">
        <f t="shared" si="187"/>
        <v>0</v>
      </c>
      <c r="G59" s="344">
        <f>SUM(G60:G61)</f>
        <v>0</v>
      </c>
      <c r="H59" s="344">
        <f t="shared" si="187"/>
        <v>0</v>
      </c>
      <c r="I59" s="344">
        <f t="shared" si="187"/>
        <v>0</v>
      </c>
      <c r="J59" s="344">
        <f t="shared" si="187"/>
        <v>0</v>
      </c>
      <c r="K59" s="344">
        <f>SUM(K60:K61)</f>
        <v>0</v>
      </c>
      <c r="L59" s="344">
        <f t="shared" si="187"/>
        <v>0</v>
      </c>
      <c r="M59" s="344">
        <f t="shared" si="187"/>
        <v>0</v>
      </c>
      <c r="N59" s="344">
        <f t="shared" si="187"/>
        <v>0</v>
      </c>
      <c r="O59" s="344">
        <f>SUM(O60:O61)</f>
        <v>0</v>
      </c>
      <c r="P59" s="344">
        <f t="shared" si="187"/>
        <v>0</v>
      </c>
      <c r="Q59" s="344">
        <f t="shared" si="187"/>
        <v>0</v>
      </c>
      <c r="R59" s="344">
        <f t="shared" si="187"/>
        <v>0</v>
      </c>
      <c r="S59" s="344">
        <f>SUM(S60:S61)</f>
        <v>0</v>
      </c>
      <c r="T59" s="344">
        <f t="shared" si="187"/>
        <v>0</v>
      </c>
      <c r="U59" s="344">
        <f t="shared" si="187"/>
        <v>0</v>
      </c>
      <c r="V59" s="344">
        <f t="shared" si="187"/>
        <v>0</v>
      </c>
      <c r="W59" s="344">
        <f>SUM(W60:W61)</f>
        <v>0</v>
      </c>
      <c r="X59" s="344">
        <f t="shared" si="187"/>
        <v>0</v>
      </c>
      <c r="Y59" s="344">
        <f t="shared" si="187"/>
        <v>0</v>
      </c>
      <c r="Z59" s="344">
        <f t="shared" si="187"/>
        <v>0</v>
      </c>
      <c r="AA59" s="344">
        <f>SUM(AA60:AA61)</f>
        <v>0</v>
      </c>
      <c r="AB59" s="344">
        <f t="shared" si="187"/>
        <v>0</v>
      </c>
      <c r="AC59" s="344">
        <f t="shared" si="187"/>
        <v>0</v>
      </c>
      <c r="AD59" s="344">
        <f t="shared" si="187"/>
        <v>0</v>
      </c>
      <c r="AE59" s="344">
        <f>SUM(AE60:AE61)</f>
        <v>0</v>
      </c>
      <c r="AF59" s="344">
        <f t="shared" si="187"/>
        <v>0</v>
      </c>
      <c r="AG59" s="344">
        <f t="shared" si="187"/>
        <v>0</v>
      </c>
      <c r="AH59" s="344">
        <f t="shared" si="187"/>
        <v>0</v>
      </c>
      <c r="AI59" s="344">
        <f>SUM(AI60:AI61)</f>
        <v>0</v>
      </c>
      <c r="AJ59" s="344">
        <f t="shared" ref="AJ59:BN59" si="188">SUM(AJ60:AJ61)</f>
        <v>0</v>
      </c>
      <c r="AK59" s="344">
        <f t="shared" si="188"/>
        <v>0</v>
      </c>
      <c r="AL59" s="344">
        <f t="shared" si="188"/>
        <v>0</v>
      </c>
      <c r="AM59" s="344">
        <f>SUM(AM60:AM61)</f>
        <v>0</v>
      </c>
      <c r="AN59" s="344">
        <f t="shared" si="188"/>
        <v>0</v>
      </c>
      <c r="AO59" s="344">
        <f t="shared" si="188"/>
        <v>0</v>
      </c>
      <c r="AP59" s="344">
        <f t="shared" si="188"/>
        <v>0</v>
      </c>
      <c r="AQ59" s="344">
        <f>SUM(AQ60:AQ61)</f>
        <v>0</v>
      </c>
      <c r="AR59" s="344">
        <f t="shared" si="188"/>
        <v>0</v>
      </c>
      <c r="AS59" s="344">
        <f t="shared" si="188"/>
        <v>0</v>
      </c>
      <c r="AT59" s="344">
        <f t="shared" si="188"/>
        <v>0</v>
      </c>
      <c r="AU59" s="344">
        <f>SUM(AU60:AU61)</f>
        <v>0</v>
      </c>
      <c r="AV59" s="344">
        <f t="shared" si="188"/>
        <v>0</v>
      </c>
      <c r="AW59" s="344">
        <f t="shared" si="188"/>
        <v>0</v>
      </c>
      <c r="AX59" s="344">
        <f t="shared" si="188"/>
        <v>0</v>
      </c>
      <c r="AY59" s="344">
        <f>SUM(AY60:AY61)</f>
        <v>0</v>
      </c>
      <c r="AZ59" s="344">
        <f t="shared" si="188"/>
        <v>0</v>
      </c>
      <c r="BA59" s="344">
        <f t="shared" si="188"/>
        <v>0</v>
      </c>
      <c r="BB59" s="344">
        <f t="shared" si="188"/>
        <v>0</v>
      </c>
      <c r="BC59" s="344">
        <f>SUM(BC60:BC61)</f>
        <v>0</v>
      </c>
      <c r="BD59" s="344">
        <f t="shared" si="188"/>
        <v>0</v>
      </c>
      <c r="BE59" s="344">
        <f t="shared" si="188"/>
        <v>0</v>
      </c>
      <c r="BF59" s="344">
        <f t="shared" si="188"/>
        <v>0</v>
      </c>
      <c r="BG59" s="344">
        <f>SUM(BG60:BG61)</f>
        <v>0</v>
      </c>
      <c r="BH59" s="344">
        <f t="shared" si="188"/>
        <v>0</v>
      </c>
      <c r="BI59" s="344">
        <f t="shared" si="188"/>
        <v>0</v>
      </c>
      <c r="BJ59" s="344">
        <f t="shared" si="188"/>
        <v>0</v>
      </c>
      <c r="BK59" s="344">
        <f>SUM(BK60:BK61)</f>
        <v>0</v>
      </c>
      <c r="BL59" s="344">
        <f t="shared" si="188"/>
        <v>0</v>
      </c>
      <c r="BM59" s="344">
        <f t="shared" si="188"/>
        <v>0</v>
      </c>
      <c r="BN59" s="344">
        <f t="shared" si="188"/>
        <v>0</v>
      </c>
      <c r="BO59" s="344">
        <f>SUM(BO60:BO61)</f>
        <v>0</v>
      </c>
      <c r="BP59" s="344">
        <f t="shared" ref="BP59:CH59" si="189">SUM(BP60:BP61)</f>
        <v>0</v>
      </c>
      <c r="BQ59" s="344">
        <f t="shared" si="189"/>
        <v>0</v>
      </c>
      <c r="BR59" s="344">
        <f t="shared" si="189"/>
        <v>0</v>
      </c>
      <c r="BS59" s="344">
        <f>SUM(BS60:BS61)</f>
        <v>0</v>
      </c>
      <c r="BT59" s="344">
        <f t="shared" si="189"/>
        <v>0</v>
      </c>
      <c r="BU59" s="344">
        <f t="shared" si="189"/>
        <v>0</v>
      </c>
      <c r="BV59" s="344">
        <f t="shared" si="189"/>
        <v>0</v>
      </c>
      <c r="BW59" s="344">
        <f>SUM(BW60:BW61)</f>
        <v>0</v>
      </c>
      <c r="BX59" s="344">
        <f t="shared" si="189"/>
        <v>0</v>
      </c>
      <c r="BY59" s="344">
        <f t="shared" si="189"/>
        <v>0</v>
      </c>
      <c r="BZ59" s="344">
        <f t="shared" si="189"/>
        <v>0</v>
      </c>
      <c r="CA59" s="344">
        <f>SUM(CA60:CA61)</f>
        <v>0</v>
      </c>
      <c r="CB59" s="344">
        <f t="shared" si="189"/>
        <v>0</v>
      </c>
      <c r="CC59" s="344">
        <f t="shared" si="189"/>
        <v>0</v>
      </c>
      <c r="CD59" s="344">
        <f t="shared" si="189"/>
        <v>0</v>
      </c>
      <c r="CE59" s="344">
        <f>SUM(CE60:CE61)</f>
        <v>0</v>
      </c>
      <c r="CF59" s="344">
        <f t="shared" si="189"/>
        <v>0</v>
      </c>
      <c r="CG59" s="344">
        <f t="shared" si="189"/>
        <v>0</v>
      </c>
      <c r="CH59" s="344">
        <f t="shared" si="189"/>
        <v>0</v>
      </c>
      <c r="CI59" s="344">
        <f>SUM(CI60:CI61)</f>
        <v>0</v>
      </c>
    </row>
    <row r="60" spans="3:87" s="48" customFormat="1" ht="14.5" customHeight="1" thickBot="1" x14ac:dyDescent="0.2">
      <c r="C60" s="119" t="str">
        <f>Tekstnøgler!C145</f>
        <v>Fysiske enheder med egne emissionsfaktorer</v>
      </c>
      <c r="D60" s="347"/>
      <c r="E60" s="347"/>
      <c r="F60" s="347"/>
      <c r="G60" s="343">
        <f t="shared" ref="G60:G61" si="190">D60+E60+F60</f>
        <v>0</v>
      </c>
      <c r="H60" s="347"/>
      <c r="I60" s="347"/>
      <c r="J60" s="347"/>
      <c r="K60" s="343">
        <f t="shared" ref="K60:K61" si="191">H60+I60+J60</f>
        <v>0</v>
      </c>
      <c r="L60" s="347"/>
      <c r="M60" s="347"/>
      <c r="N60" s="347"/>
      <c r="O60" s="343">
        <f t="shared" ref="O60:O61" si="192">L60+M60+N60</f>
        <v>0</v>
      </c>
      <c r="P60" s="347"/>
      <c r="Q60" s="347"/>
      <c r="R60" s="347"/>
      <c r="S60" s="343">
        <f t="shared" ref="S60:S61" si="193">P60+Q60+R60</f>
        <v>0</v>
      </c>
      <c r="T60" s="347"/>
      <c r="U60" s="347"/>
      <c r="V60" s="347"/>
      <c r="W60" s="343">
        <f t="shared" ref="W60:W61" si="194">T60+U60+V60</f>
        <v>0</v>
      </c>
      <c r="X60" s="347"/>
      <c r="Y60" s="347"/>
      <c r="Z60" s="347"/>
      <c r="AA60" s="343">
        <f t="shared" ref="AA60:AA61" si="195">X60+Y60+Z60</f>
        <v>0</v>
      </c>
      <c r="AB60" s="347"/>
      <c r="AC60" s="347"/>
      <c r="AD60" s="347"/>
      <c r="AE60" s="343">
        <f t="shared" ref="AE60:AE61" si="196">AB60+AC60+AD60</f>
        <v>0</v>
      </c>
      <c r="AF60" s="347"/>
      <c r="AG60" s="347"/>
      <c r="AH60" s="347"/>
      <c r="AI60" s="343">
        <f t="shared" ref="AI60:AI61" si="197">AF60+AG60+AH60</f>
        <v>0</v>
      </c>
      <c r="AJ60" s="347"/>
      <c r="AK60" s="347"/>
      <c r="AL60" s="347"/>
      <c r="AM60" s="343">
        <f t="shared" ref="AM60:AM61" si="198">AJ60+AK60+AL60</f>
        <v>0</v>
      </c>
      <c r="AN60" s="347"/>
      <c r="AO60" s="347"/>
      <c r="AP60" s="347"/>
      <c r="AQ60" s="343">
        <f t="shared" ref="AQ60:AQ61" si="199">AN60+AO60+AP60</f>
        <v>0</v>
      </c>
      <c r="AR60" s="347"/>
      <c r="AS60" s="347"/>
      <c r="AT60" s="347"/>
      <c r="AU60" s="343">
        <f t="shared" ref="AU60:AU61" si="200">AR60+AS60+AT60</f>
        <v>0</v>
      </c>
      <c r="AV60" s="347"/>
      <c r="AW60" s="347"/>
      <c r="AX60" s="347"/>
      <c r="AY60" s="343">
        <f t="shared" ref="AY60:AY61" si="201">AV60+AW60+AX60</f>
        <v>0</v>
      </c>
      <c r="AZ60" s="347"/>
      <c r="BA60" s="347"/>
      <c r="BB60" s="347"/>
      <c r="BC60" s="343">
        <f t="shared" ref="BC60:BC61" si="202">AZ60+BA60+BB60</f>
        <v>0</v>
      </c>
      <c r="BD60" s="347"/>
      <c r="BE60" s="347"/>
      <c r="BF60" s="347"/>
      <c r="BG60" s="343">
        <f t="shared" ref="BG60:BG61" si="203">BD60+BE60+BF60</f>
        <v>0</v>
      </c>
      <c r="BH60" s="347"/>
      <c r="BI60" s="347"/>
      <c r="BJ60" s="347"/>
      <c r="BK60" s="343">
        <f t="shared" ref="BK60:BK61" si="204">BH60+BI60+BJ60</f>
        <v>0</v>
      </c>
      <c r="BL60" s="347"/>
      <c r="BM60" s="347"/>
      <c r="BN60" s="347"/>
      <c r="BO60" s="343">
        <f t="shared" ref="BO60:BO61" si="205">BL60+BM60+BN60</f>
        <v>0</v>
      </c>
      <c r="BP60" s="347"/>
      <c r="BQ60" s="347"/>
      <c r="BR60" s="347"/>
      <c r="BS60" s="343">
        <f t="shared" ref="BS60:BS61" si="206">BP60+BQ60+BR60</f>
        <v>0</v>
      </c>
      <c r="BT60" s="347"/>
      <c r="BU60" s="347"/>
      <c r="BV60" s="347"/>
      <c r="BW60" s="343">
        <f t="shared" ref="BW60:BW61" si="207">BT60+BU60+BV60</f>
        <v>0</v>
      </c>
      <c r="BX60" s="347"/>
      <c r="BY60" s="347"/>
      <c r="BZ60" s="347"/>
      <c r="CA60" s="343">
        <f t="shared" ref="CA60:CA61" si="208">BX60+BY60+BZ60</f>
        <v>0</v>
      </c>
      <c r="CB60" s="347"/>
      <c r="CC60" s="347"/>
      <c r="CD60" s="347"/>
      <c r="CE60" s="343">
        <f t="shared" ref="CE60:CE61" si="209">CB60+CC60+CD60</f>
        <v>0</v>
      </c>
      <c r="CF60" s="347"/>
      <c r="CG60" s="347"/>
      <c r="CH60" s="347"/>
      <c r="CI60" s="343">
        <f t="shared" ref="CI60:CI61" si="210">CF60+CG60+CH60</f>
        <v>0</v>
      </c>
    </row>
    <row r="61" spans="3:87" s="48" customFormat="1" ht="14.5" customHeight="1" thickBot="1" x14ac:dyDescent="0.2">
      <c r="C61" s="119" t="str">
        <f>Tekstnøgler!C146</f>
        <v>Monetære enheder (beløb i DKK) med egne emissionsfaktorer</v>
      </c>
      <c r="D61" s="347"/>
      <c r="E61" s="347"/>
      <c r="F61" s="347"/>
      <c r="G61" s="343">
        <f t="shared" si="190"/>
        <v>0</v>
      </c>
      <c r="H61" s="347"/>
      <c r="I61" s="347"/>
      <c r="J61" s="347"/>
      <c r="K61" s="343">
        <f t="shared" si="191"/>
        <v>0</v>
      </c>
      <c r="L61" s="347"/>
      <c r="M61" s="347"/>
      <c r="N61" s="347"/>
      <c r="O61" s="343">
        <f t="shared" si="192"/>
        <v>0</v>
      </c>
      <c r="P61" s="347"/>
      <c r="Q61" s="347"/>
      <c r="R61" s="347"/>
      <c r="S61" s="343">
        <f t="shared" si="193"/>
        <v>0</v>
      </c>
      <c r="T61" s="347"/>
      <c r="U61" s="347"/>
      <c r="V61" s="347"/>
      <c r="W61" s="343">
        <f t="shared" si="194"/>
        <v>0</v>
      </c>
      <c r="X61" s="347"/>
      <c r="Y61" s="347"/>
      <c r="Z61" s="347"/>
      <c r="AA61" s="343">
        <f t="shared" si="195"/>
        <v>0</v>
      </c>
      <c r="AB61" s="347"/>
      <c r="AC61" s="347"/>
      <c r="AD61" s="347"/>
      <c r="AE61" s="343">
        <f t="shared" si="196"/>
        <v>0</v>
      </c>
      <c r="AF61" s="347"/>
      <c r="AG61" s="347"/>
      <c r="AH61" s="347"/>
      <c r="AI61" s="343">
        <f t="shared" si="197"/>
        <v>0</v>
      </c>
      <c r="AJ61" s="347"/>
      <c r="AK61" s="347"/>
      <c r="AL61" s="347"/>
      <c r="AM61" s="343">
        <f t="shared" si="198"/>
        <v>0</v>
      </c>
      <c r="AN61" s="347"/>
      <c r="AO61" s="347"/>
      <c r="AP61" s="347"/>
      <c r="AQ61" s="343">
        <f t="shared" si="199"/>
        <v>0</v>
      </c>
      <c r="AR61" s="347"/>
      <c r="AS61" s="347"/>
      <c r="AT61" s="347"/>
      <c r="AU61" s="343">
        <f t="shared" si="200"/>
        <v>0</v>
      </c>
      <c r="AV61" s="347"/>
      <c r="AW61" s="347"/>
      <c r="AX61" s="347"/>
      <c r="AY61" s="343">
        <f t="shared" si="201"/>
        <v>0</v>
      </c>
      <c r="AZ61" s="347"/>
      <c r="BA61" s="347"/>
      <c r="BB61" s="347"/>
      <c r="BC61" s="343">
        <f t="shared" si="202"/>
        <v>0</v>
      </c>
      <c r="BD61" s="347"/>
      <c r="BE61" s="347"/>
      <c r="BF61" s="347"/>
      <c r="BG61" s="343">
        <f t="shared" si="203"/>
        <v>0</v>
      </c>
      <c r="BH61" s="347"/>
      <c r="BI61" s="347"/>
      <c r="BJ61" s="347"/>
      <c r="BK61" s="343">
        <f t="shared" si="204"/>
        <v>0</v>
      </c>
      <c r="BL61" s="347"/>
      <c r="BM61" s="347"/>
      <c r="BN61" s="347"/>
      <c r="BO61" s="343">
        <f t="shared" si="205"/>
        <v>0</v>
      </c>
      <c r="BP61" s="347"/>
      <c r="BQ61" s="347"/>
      <c r="BR61" s="347"/>
      <c r="BS61" s="343">
        <f t="shared" si="206"/>
        <v>0</v>
      </c>
      <c r="BT61" s="347"/>
      <c r="BU61" s="347"/>
      <c r="BV61" s="347"/>
      <c r="BW61" s="343">
        <f t="shared" si="207"/>
        <v>0</v>
      </c>
      <c r="BX61" s="347"/>
      <c r="BY61" s="347"/>
      <c r="BZ61" s="347"/>
      <c r="CA61" s="343">
        <f t="shared" si="208"/>
        <v>0</v>
      </c>
      <c r="CB61" s="347"/>
      <c r="CC61" s="347"/>
      <c r="CD61" s="347"/>
      <c r="CE61" s="343">
        <f t="shared" si="209"/>
        <v>0</v>
      </c>
      <c r="CF61" s="347"/>
      <c r="CG61" s="347"/>
      <c r="CH61" s="347"/>
      <c r="CI61" s="343">
        <f t="shared" si="210"/>
        <v>0</v>
      </c>
    </row>
    <row r="62" spans="3:87" s="48" customFormat="1" ht="14.5" customHeight="1" thickBot="1" x14ac:dyDescent="0.2">
      <c r="C62" s="120" t="str">
        <f>Tekstnøgler!C147</f>
        <v>Sekundære indkøb af hjælpematerialer og serviceydelser</v>
      </c>
      <c r="D62" s="345">
        <f t="shared" ref="D62:AH62" si="211">D63+D68+D73</f>
        <v>0</v>
      </c>
      <c r="E62" s="345">
        <f t="shared" si="211"/>
        <v>0</v>
      </c>
      <c r="F62" s="345">
        <f t="shared" si="211"/>
        <v>0</v>
      </c>
      <c r="G62" s="345">
        <f>G63+G68+G73</f>
        <v>0</v>
      </c>
      <c r="H62" s="345">
        <f t="shared" si="211"/>
        <v>0</v>
      </c>
      <c r="I62" s="345">
        <f t="shared" si="211"/>
        <v>0</v>
      </c>
      <c r="J62" s="345">
        <f t="shared" si="211"/>
        <v>0</v>
      </c>
      <c r="K62" s="345">
        <f>K63+K68+K73</f>
        <v>0</v>
      </c>
      <c r="L62" s="345">
        <f t="shared" si="211"/>
        <v>0</v>
      </c>
      <c r="M62" s="345">
        <f t="shared" si="211"/>
        <v>0</v>
      </c>
      <c r="N62" s="345">
        <f t="shared" si="211"/>
        <v>0</v>
      </c>
      <c r="O62" s="345">
        <f>O63+O68+O73</f>
        <v>0</v>
      </c>
      <c r="P62" s="345">
        <f t="shared" si="211"/>
        <v>0</v>
      </c>
      <c r="Q62" s="345">
        <f t="shared" si="211"/>
        <v>0</v>
      </c>
      <c r="R62" s="345">
        <f t="shared" si="211"/>
        <v>0</v>
      </c>
      <c r="S62" s="345">
        <f>S63+S68+S73</f>
        <v>0</v>
      </c>
      <c r="T62" s="345">
        <f t="shared" si="211"/>
        <v>0</v>
      </c>
      <c r="U62" s="345">
        <f t="shared" si="211"/>
        <v>0</v>
      </c>
      <c r="V62" s="345">
        <f t="shared" si="211"/>
        <v>0</v>
      </c>
      <c r="W62" s="345">
        <f>W63+W68+W73</f>
        <v>0</v>
      </c>
      <c r="X62" s="345">
        <f t="shared" si="211"/>
        <v>0</v>
      </c>
      <c r="Y62" s="345">
        <f t="shared" si="211"/>
        <v>0</v>
      </c>
      <c r="Z62" s="345">
        <f t="shared" si="211"/>
        <v>0</v>
      </c>
      <c r="AA62" s="345">
        <f>AA63+AA68+AA73</f>
        <v>0</v>
      </c>
      <c r="AB62" s="345">
        <f t="shared" si="211"/>
        <v>0</v>
      </c>
      <c r="AC62" s="345">
        <f t="shared" si="211"/>
        <v>0</v>
      </c>
      <c r="AD62" s="345">
        <f t="shared" si="211"/>
        <v>0</v>
      </c>
      <c r="AE62" s="345">
        <f>AE63+AE68+AE73</f>
        <v>0</v>
      </c>
      <c r="AF62" s="345">
        <f t="shared" si="211"/>
        <v>0</v>
      </c>
      <c r="AG62" s="345">
        <f t="shared" si="211"/>
        <v>0</v>
      </c>
      <c r="AH62" s="345">
        <f t="shared" si="211"/>
        <v>0</v>
      </c>
      <c r="AI62" s="345">
        <f>AI63+AI68+AI73</f>
        <v>0</v>
      </c>
      <c r="AJ62" s="345">
        <f t="shared" ref="AJ62:BN62" si="212">AJ63+AJ68+AJ73</f>
        <v>0</v>
      </c>
      <c r="AK62" s="345">
        <f t="shared" si="212"/>
        <v>0</v>
      </c>
      <c r="AL62" s="345">
        <f t="shared" si="212"/>
        <v>0</v>
      </c>
      <c r="AM62" s="345">
        <f>AM63+AM68+AM73</f>
        <v>0</v>
      </c>
      <c r="AN62" s="345">
        <f t="shared" si="212"/>
        <v>0</v>
      </c>
      <c r="AO62" s="345">
        <f t="shared" si="212"/>
        <v>0</v>
      </c>
      <c r="AP62" s="345">
        <f t="shared" si="212"/>
        <v>0</v>
      </c>
      <c r="AQ62" s="345">
        <f>AQ63+AQ68+AQ73</f>
        <v>0</v>
      </c>
      <c r="AR62" s="345">
        <f t="shared" si="212"/>
        <v>0</v>
      </c>
      <c r="AS62" s="345">
        <f t="shared" si="212"/>
        <v>0</v>
      </c>
      <c r="AT62" s="345">
        <f t="shared" si="212"/>
        <v>0</v>
      </c>
      <c r="AU62" s="345">
        <f>AU63+AU68+AU73</f>
        <v>0</v>
      </c>
      <c r="AV62" s="345">
        <f t="shared" si="212"/>
        <v>0</v>
      </c>
      <c r="AW62" s="345">
        <f t="shared" si="212"/>
        <v>0</v>
      </c>
      <c r="AX62" s="345">
        <f t="shared" si="212"/>
        <v>0</v>
      </c>
      <c r="AY62" s="345">
        <f>AY63+AY68+AY73</f>
        <v>0</v>
      </c>
      <c r="AZ62" s="345">
        <f t="shared" si="212"/>
        <v>0</v>
      </c>
      <c r="BA62" s="345">
        <f t="shared" si="212"/>
        <v>0</v>
      </c>
      <c r="BB62" s="345">
        <f t="shared" si="212"/>
        <v>0</v>
      </c>
      <c r="BC62" s="345">
        <f>BC63+BC68+BC73</f>
        <v>0</v>
      </c>
      <c r="BD62" s="345">
        <f t="shared" si="212"/>
        <v>0</v>
      </c>
      <c r="BE62" s="345">
        <f t="shared" si="212"/>
        <v>0</v>
      </c>
      <c r="BF62" s="345">
        <f t="shared" si="212"/>
        <v>0</v>
      </c>
      <c r="BG62" s="345">
        <f>BG63+BG68+BG73</f>
        <v>0</v>
      </c>
      <c r="BH62" s="345">
        <f t="shared" si="212"/>
        <v>0</v>
      </c>
      <c r="BI62" s="345">
        <f t="shared" si="212"/>
        <v>0</v>
      </c>
      <c r="BJ62" s="345">
        <f t="shared" si="212"/>
        <v>0</v>
      </c>
      <c r="BK62" s="345">
        <f>BK63+BK68+BK73</f>
        <v>0</v>
      </c>
      <c r="BL62" s="345">
        <f t="shared" si="212"/>
        <v>0</v>
      </c>
      <c r="BM62" s="345">
        <f t="shared" si="212"/>
        <v>0</v>
      </c>
      <c r="BN62" s="345">
        <f t="shared" si="212"/>
        <v>0</v>
      </c>
      <c r="BO62" s="345">
        <f>BO63+BO68+BO73</f>
        <v>0</v>
      </c>
      <c r="BP62" s="345">
        <f t="shared" ref="BP62:CH62" si="213">BP63+BP68+BP73</f>
        <v>0</v>
      </c>
      <c r="BQ62" s="345">
        <f t="shared" si="213"/>
        <v>0</v>
      </c>
      <c r="BR62" s="345">
        <f t="shared" si="213"/>
        <v>0</v>
      </c>
      <c r="BS62" s="345">
        <f>BS63+BS68+BS73</f>
        <v>0</v>
      </c>
      <c r="BT62" s="345">
        <f t="shared" si="213"/>
        <v>0</v>
      </c>
      <c r="BU62" s="345">
        <f t="shared" si="213"/>
        <v>0</v>
      </c>
      <c r="BV62" s="345">
        <f t="shared" si="213"/>
        <v>0</v>
      </c>
      <c r="BW62" s="345">
        <f>BW63+BW68+BW73</f>
        <v>0</v>
      </c>
      <c r="BX62" s="345">
        <f t="shared" si="213"/>
        <v>0</v>
      </c>
      <c r="BY62" s="345">
        <f t="shared" si="213"/>
        <v>0</v>
      </c>
      <c r="BZ62" s="345">
        <f t="shared" si="213"/>
        <v>0</v>
      </c>
      <c r="CA62" s="345">
        <f>CA63+CA68+CA73</f>
        <v>0</v>
      </c>
      <c r="CB62" s="345">
        <f t="shared" si="213"/>
        <v>0</v>
      </c>
      <c r="CC62" s="345">
        <f t="shared" si="213"/>
        <v>0</v>
      </c>
      <c r="CD62" s="345">
        <f t="shared" si="213"/>
        <v>0</v>
      </c>
      <c r="CE62" s="345">
        <f>CE63+CE68+CE73</f>
        <v>0</v>
      </c>
      <c r="CF62" s="345">
        <f t="shared" si="213"/>
        <v>0</v>
      </c>
      <c r="CG62" s="345">
        <f t="shared" si="213"/>
        <v>0</v>
      </c>
      <c r="CH62" s="345">
        <f t="shared" si="213"/>
        <v>0</v>
      </c>
      <c r="CI62" s="345">
        <f>CI63+CI68+CI73</f>
        <v>0</v>
      </c>
    </row>
    <row r="63" spans="3:87" s="48" customFormat="1" ht="14.5" customHeight="1" thickBot="1" x14ac:dyDescent="0.2">
      <c r="C63" s="120" t="str">
        <f>Tekstnøgler!C148</f>
        <v>Materialer (sekundære indkøb)</v>
      </c>
      <c r="D63" s="345">
        <f t="shared" ref="D63:AH63" si="214">SUM(D64:D67)</f>
        <v>0</v>
      </c>
      <c r="E63" s="345">
        <f t="shared" si="214"/>
        <v>0</v>
      </c>
      <c r="F63" s="345">
        <f t="shared" si="214"/>
        <v>0</v>
      </c>
      <c r="G63" s="345">
        <f>SUM(G64:G67)</f>
        <v>0</v>
      </c>
      <c r="H63" s="345">
        <f t="shared" si="214"/>
        <v>0</v>
      </c>
      <c r="I63" s="345">
        <f t="shared" si="214"/>
        <v>0</v>
      </c>
      <c r="J63" s="345">
        <f t="shared" si="214"/>
        <v>0</v>
      </c>
      <c r="K63" s="345">
        <f>SUM(K64:K67)</f>
        <v>0</v>
      </c>
      <c r="L63" s="345">
        <f t="shared" si="214"/>
        <v>0</v>
      </c>
      <c r="M63" s="345">
        <f t="shared" si="214"/>
        <v>0</v>
      </c>
      <c r="N63" s="345">
        <f t="shared" si="214"/>
        <v>0</v>
      </c>
      <c r="O63" s="345">
        <f>SUM(O64:O67)</f>
        <v>0</v>
      </c>
      <c r="P63" s="345">
        <f t="shared" si="214"/>
        <v>0</v>
      </c>
      <c r="Q63" s="345">
        <f t="shared" si="214"/>
        <v>0</v>
      </c>
      <c r="R63" s="345">
        <f t="shared" si="214"/>
        <v>0</v>
      </c>
      <c r="S63" s="345">
        <f>SUM(S64:S67)</f>
        <v>0</v>
      </c>
      <c r="T63" s="345">
        <f t="shared" si="214"/>
        <v>0</v>
      </c>
      <c r="U63" s="345">
        <f t="shared" si="214"/>
        <v>0</v>
      </c>
      <c r="V63" s="345">
        <f t="shared" si="214"/>
        <v>0</v>
      </c>
      <c r="W63" s="345">
        <f>SUM(W64:W67)</f>
        <v>0</v>
      </c>
      <c r="X63" s="345">
        <f t="shared" si="214"/>
        <v>0</v>
      </c>
      <c r="Y63" s="345">
        <f t="shared" si="214"/>
        <v>0</v>
      </c>
      <c r="Z63" s="345">
        <f t="shared" si="214"/>
        <v>0</v>
      </c>
      <c r="AA63" s="345">
        <f>SUM(AA64:AA67)</f>
        <v>0</v>
      </c>
      <c r="AB63" s="345">
        <f t="shared" si="214"/>
        <v>0</v>
      </c>
      <c r="AC63" s="345">
        <f t="shared" si="214"/>
        <v>0</v>
      </c>
      <c r="AD63" s="345">
        <f t="shared" si="214"/>
        <v>0</v>
      </c>
      <c r="AE63" s="345">
        <f>SUM(AE64:AE67)</f>
        <v>0</v>
      </c>
      <c r="AF63" s="345">
        <f t="shared" si="214"/>
        <v>0</v>
      </c>
      <c r="AG63" s="345">
        <f t="shared" si="214"/>
        <v>0</v>
      </c>
      <c r="AH63" s="345">
        <f t="shared" si="214"/>
        <v>0</v>
      </c>
      <c r="AI63" s="345">
        <f>SUM(AI64:AI67)</f>
        <v>0</v>
      </c>
      <c r="AJ63" s="345">
        <f t="shared" ref="AJ63:BN63" si="215">SUM(AJ64:AJ67)</f>
        <v>0</v>
      </c>
      <c r="AK63" s="345">
        <f t="shared" si="215"/>
        <v>0</v>
      </c>
      <c r="AL63" s="345">
        <f t="shared" si="215"/>
        <v>0</v>
      </c>
      <c r="AM63" s="345">
        <f>SUM(AM64:AM67)</f>
        <v>0</v>
      </c>
      <c r="AN63" s="345">
        <f t="shared" si="215"/>
        <v>0</v>
      </c>
      <c r="AO63" s="345">
        <f t="shared" si="215"/>
        <v>0</v>
      </c>
      <c r="AP63" s="345">
        <f t="shared" si="215"/>
        <v>0</v>
      </c>
      <c r="AQ63" s="345">
        <f>SUM(AQ64:AQ67)</f>
        <v>0</v>
      </c>
      <c r="AR63" s="345">
        <f t="shared" si="215"/>
        <v>0</v>
      </c>
      <c r="AS63" s="345">
        <f t="shared" si="215"/>
        <v>0</v>
      </c>
      <c r="AT63" s="345">
        <f t="shared" si="215"/>
        <v>0</v>
      </c>
      <c r="AU63" s="345">
        <f>SUM(AU64:AU67)</f>
        <v>0</v>
      </c>
      <c r="AV63" s="345">
        <f t="shared" si="215"/>
        <v>0</v>
      </c>
      <c r="AW63" s="345">
        <f t="shared" si="215"/>
        <v>0</v>
      </c>
      <c r="AX63" s="345">
        <f t="shared" si="215"/>
        <v>0</v>
      </c>
      <c r="AY63" s="345">
        <f>SUM(AY64:AY67)</f>
        <v>0</v>
      </c>
      <c r="AZ63" s="345">
        <f t="shared" si="215"/>
        <v>0</v>
      </c>
      <c r="BA63" s="345">
        <f t="shared" si="215"/>
        <v>0</v>
      </c>
      <c r="BB63" s="345">
        <f t="shared" si="215"/>
        <v>0</v>
      </c>
      <c r="BC63" s="345">
        <f>SUM(BC64:BC67)</f>
        <v>0</v>
      </c>
      <c r="BD63" s="345">
        <f t="shared" si="215"/>
        <v>0</v>
      </c>
      <c r="BE63" s="345">
        <f t="shared" si="215"/>
        <v>0</v>
      </c>
      <c r="BF63" s="345">
        <f t="shared" si="215"/>
        <v>0</v>
      </c>
      <c r="BG63" s="345">
        <f>SUM(BG64:BG67)</f>
        <v>0</v>
      </c>
      <c r="BH63" s="345">
        <f t="shared" si="215"/>
        <v>0</v>
      </c>
      <c r="BI63" s="345">
        <f t="shared" si="215"/>
        <v>0</v>
      </c>
      <c r="BJ63" s="345">
        <f t="shared" si="215"/>
        <v>0</v>
      </c>
      <c r="BK63" s="345">
        <f>SUM(BK64:BK67)</f>
        <v>0</v>
      </c>
      <c r="BL63" s="345">
        <f t="shared" si="215"/>
        <v>0</v>
      </c>
      <c r="BM63" s="345">
        <f t="shared" si="215"/>
        <v>0</v>
      </c>
      <c r="BN63" s="345">
        <f t="shared" si="215"/>
        <v>0</v>
      </c>
      <c r="BO63" s="345">
        <f>SUM(BO64:BO67)</f>
        <v>0</v>
      </c>
      <c r="BP63" s="345">
        <f t="shared" ref="BP63:CH63" si="216">SUM(BP64:BP67)</f>
        <v>0</v>
      </c>
      <c r="BQ63" s="345">
        <f t="shared" si="216"/>
        <v>0</v>
      </c>
      <c r="BR63" s="345">
        <f t="shared" si="216"/>
        <v>0</v>
      </c>
      <c r="BS63" s="345">
        <f>SUM(BS64:BS67)</f>
        <v>0</v>
      </c>
      <c r="BT63" s="345">
        <f t="shared" si="216"/>
        <v>0</v>
      </c>
      <c r="BU63" s="345">
        <f t="shared" si="216"/>
        <v>0</v>
      </c>
      <c r="BV63" s="345">
        <f t="shared" si="216"/>
        <v>0</v>
      </c>
      <c r="BW63" s="345">
        <f>SUM(BW64:BW67)</f>
        <v>0</v>
      </c>
      <c r="BX63" s="345">
        <f t="shared" si="216"/>
        <v>0</v>
      </c>
      <c r="BY63" s="345">
        <f t="shared" si="216"/>
        <v>0</v>
      </c>
      <c r="BZ63" s="345">
        <f t="shared" si="216"/>
        <v>0</v>
      </c>
      <c r="CA63" s="345">
        <f>SUM(CA64:CA67)</f>
        <v>0</v>
      </c>
      <c r="CB63" s="345">
        <f t="shared" si="216"/>
        <v>0</v>
      </c>
      <c r="CC63" s="345">
        <f t="shared" si="216"/>
        <v>0</v>
      </c>
      <c r="CD63" s="345">
        <f t="shared" si="216"/>
        <v>0</v>
      </c>
      <c r="CE63" s="345">
        <f>SUM(CE64:CE67)</f>
        <v>0</v>
      </c>
      <c r="CF63" s="345">
        <f t="shared" si="216"/>
        <v>0</v>
      </c>
      <c r="CG63" s="345">
        <f t="shared" si="216"/>
        <v>0</v>
      </c>
      <c r="CH63" s="345">
        <f t="shared" si="216"/>
        <v>0</v>
      </c>
      <c r="CI63" s="345">
        <f>SUM(CI64:CI67)</f>
        <v>0</v>
      </c>
    </row>
    <row r="64" spans="3:87" s="48" customFormat="1" ht="14.5" customHeight="1" thickBot="1" x14ac:dyDescent="0.2">
      <c r="C64" s="119" t="str">
        <f>Tekstnøgler!C149</f>
        <v>Indkøb af materialer i fysiske enheder</v>
      </c>
      <c r="D64" s="347"/>
      <c r="E64" s="347"/>
      <c r="F64" s="347"/>
      <c r="G64" s="343">
        <f t="shared" ref="G64:G67" si="217">D64+E64+F64</f>
        <v>0</v>
      </c>
      <c r="H64" s="347"/>
      <c r="I64" s="347"/>
      <c r="J64" s="347"/>
      <c r="K64" s="343">
        <f t="shared" ref="K64:K67" si="218">H64+I64+J64</f>
        <v>0</v>
      </c>
      <c r="L64" s="347"/>
      <c r="M64" s="347"/>
      <c r="N64" s="347"/>
      <c r="O64" s="343">
        <f t="shared" ref="O64:O67" si="219">L64+M64+N64</f>
        <v>0</v>
      </c>
      <c r="P64" s="347"/>
      <c r="Q64" s="347"/>
      <c r="R64" s="347"/>
      <c r="S64" s="343">
        <f t="shared" ref="S64:S67" si="220">P64+Q64+R64</f>
        <v>0</v>
      </c>
      <c r="T64" s="347"/>
      <c r="U64" s="347"/>
      <c r="V64" s="347"/>
      <c r="W64" s="343">
        <f t="shared" ref="W64:W67" si="221">T64+U64+V64</f>
        <v>0</v>
      </c>
      <c r="X64" s="347"/>
      <c r="Y64" s="347"/>
      <c r="Z64" s="347"/>
      <c r="AA64" s="343">
        <f t="shared" ref="AA64:AA67" si="222">X64+Y64+Z64</f>
        <v>0</v>
      </c>
      <c r="AB64" s="347"/>
      <c r="AC64" s="347"/>
      <c r="AD64" s="347"/>
      <c r="AE64" s="343">
        <f t="shared" ref="AE64:AE67" si="223">AB64+AC64+AD64</f>
        <v>0</v>
      </c>
      <c r="AF64" s="347"/>
      <c r="AG64" s="347"/>
      <c r="AH64" s="347"/>
      <c r="AI64" s="343">
        <f t="shared" ref="AI64:AI67" si="224">AF64+AG64+AH64</f>
        <v>0</v>
      </c>
      <c r="AJ64" s="347"/>
      <c r="AK64" s="347"/>
      <c r="AL64" s="347"/>
      <c r="AM64" s="343">
        <f t="shared" ref="AM64:AM67" si="225">AJ64+AK64+AL64</f>
        <v>0</v>
      </c>
      <c r="AN64" s="347"/>
      <c r="AO64" s="347"/>
      <c r="AP64" s="347"/>
      <c r="AQ64" s="343">
        <f t="shared" ref="AQ64:AQ67" si="226">AN64+AO64+AP64</f>
        <v>0</v>
      </c>
      <c r="AR64" s="347"/>
      <c r="AS64" s="347"/>
      <c r="AT64" s="347"/>
      <c r="AU64" s="343">
        <f t="shared" ref="AU64:AU67" si="227">AR64+AS64+AT64</f>
        <v>0</v>
      </c>
      <c r="AV64" s="347"/>
      <c r="AW64" s="347"/>
      <c r="AX64" s="347"/>
      <c r="AY64" s="343">
        <f t="shared" ref="AY64:AY67" si="228">AV64+AW64+AX64</f>
        <v>0</v>
      </c>
      <c r="AZ64" s="347"/>
      <c r="BA64" s="347"/>
      <c r="BB64" s="347"/>
      <c r="BC64" s="343">
        <f t="shared" ref="BC64:BC67" si="229">AZ64+BA64+BB64</f>
        <v>0</v>
      </c>
      <c r="BD64" s="347"/>
      <c r="BE64" s="347"/>
      <c r="BF64" s="347"/>
      <c r="BG64" s="343">
        <f t="shared" ref="BG64:BG67" si="230">BD64+BE64+BF64</f>
        <v>0</v>
      </c>
      <c r="BH64" s="347"/>
      <c r="BI64" s="347"/>
      <c r="BJ64" s="347"/>
      <c r="BK64" s="343">
        <f t="shared" ref="BK64:BK67" si="231">BH64+BI64+BJ64</f>
        <v>0</v>
      </c>
      <c r="BL64" s="347"/>
      <c r="BM64" s="347"/>
      <c r="BN64" s="347"/>
      <c r="BO64" s="343">
        <f t="shared" ref="BO64:BO67" si="232">BL64+BM64+BN64</f>
        <v>0</v>
      </c>
      <c r="BP64" s="347"/>
      <c r="BQ64" s="347"/>
      <c r="BR64" s="347"/>
      <c r="BS64" s="343">
        <f t="shared" ref="BS64:BS67" si="233">BP64+BQ64+BR64</f>
        <v>0</v>
      </c>
      <c r="BT64" s="347"/>
      <c r="BU64" s="347"/>
      <c r="BV64" s="347"/>
      <c r="BW64" s="343">
        <f t="shared" ref="BW64:BW67" si="234">BT64+BU64+BV64</f>
        <v>0</v>
      </c>
      <c r="BX64" s="347"/>
      <c r="BY64" s="347"/>
      <c r="BZ64" s="347"/>
      <c r="CA64" s="343">
        <f t="shared" ref="CA64:CA67" si="235">BX64+BY64+BZ64</f>
        <v>0</v>
      </c>
      <c r="CB64" s="347"/>
      <c r="CC64" s="347"/>
      <c r="CD64" s="347"/>
      <c r="CE64" s="343">
        <f t="shared" ref="CE64:CE67" si="236">CB64+CC64+CD64</f>
        <v>0</v>
      </c>
      <c r="CF64" s="347"/>
      <c r="CG64" s="347"/>
      <c r="CH64" s="347"/>
      <c r="CI64" s="343">
        <f t="shared" ref="CI64:CI67" si="237">CF64+CG64+CH64</f>
        <v>0</v>
      </c>
    </row>
    <row r="65" spans="3:87" s="48" customFormat="1" ht="14.5" customHeight="1" thickBot="1" x14ac:dyDescent="0.2">
      <c r="C65" s="119" t="str">
        <f>Tekstnøgler!C150</f>
        <v>Indkøb af materialer i monetære enheder (beløb i DKK)</v>
      </c>
      <c r="D65" s="347"/>
      <c r="E65" s="347"/>
      <c r="F65" s="347"/>
      <c r="G65" s="343">
        <f t="shared" si="217"/>
        <v>0</v>
      </c>
      <c r="H65" s="347"/>
      <c r="I65" s="347"/>
      <c r="J65" s="347"/>
      <c r="K65" s="343">
        <f t="shared" si="218"/>
        <v>0</v>
      </c>
      <c r="L65" s="347"/>
      <c r="M65" s="347"/>
      <c r="N65" s="347"/>
      <c r="O65" s="343">
        <f t="shared" si="219"/>
        <v>0</v>
      </c>
      <c r="P65" s="347"/>
      <c r="Q65" s="347"/>
      <c r="R65" s="347"/>
      <c r="S65" s="343">
        <f t="shared" si="220"/>
        <v>0</v>
      </c>
      <c r="T65" s="347"/>
      <c r="U65" s="347"/>
      <c r="V65" s="347"/>
      <c r="W65" s="343">
        <f t="shared" si="221"/>
        <v>0</v>
      </c>
      <c r="X65" s="347"/>
      <c r="Y65" s="347"/>
      <c r="Z65" s="347"/>
      <c r="AA65" s="343">
        <f t="shared" si="222"/>
        <v>0</v>
      </c>
      <c r="AB65" s="347"/>
      <c r="AC65" s="347"/>
      <c r="AD65" s="347"/>
      <c r="AE65" s="343">
        <f t="shared" si="223"/>
        <v>0</v>
      </c>
      <c r="AF65" s="347"/>
      <c r="AG65" s="347"/>
      <c r="AH65" s="347"/>
      <c r="AI65" s="343">
        <f t="shared" si="224"/>
        <v>0</v>
      </c>
      <c r="AJ65" s="347"/>
      <c r="AK65" s="347"/>
      <c r="AL65" s="347"/>
      <c r="AM65" s="343">
        <f t="shared" si="225"/>
        <v>0</v>
      </c>
      <c r="AN65" s="347"/>
      <c r="AO65" s="347"/>
      <c r="AP65" s="347"/>
      <c r="AQ65" s="343">
        <f t="shared" si="226"/>
        <v>0</v>
      </c>
      <c r="AR65" s="347"/>
      <c r="AS65" s="347"/>
      <c r="AT65" s="347"/>
      <c r="AU65" s="343">
        <f t="shared" si="227"/>
        <v>0</v>
      </c>
      <c r="AV65" s="347"/>
      <c r="AW65" s="347"/>
      <c r="AX65" s="347"/>
      <c r="AY65" s="343">
        <f t="shared" si="228"/>
        <v>0</v>
      </c>
      <c r="AZ65" s="347"/>
      <c r="BA65" s="347"/>
      <c r="BB65" s="347"/>
      <c r="BC65" s="343">
        <f t="shared" si="229"/>
        <v>0</v>
      </c>
      <c r="BD65" s="347"/>
      <c r="BE65" s="347"/>
      <c r="BF65" s="347"/>
      <c r="BG65" s="343">
        <f t="shared" si="230"/>
        <v>0</v>
      </c>
      <c r="BH65" s="347"/>
      <c r="BI65" s="347"/>
      <c r="BJ65" s="347"/>
      <c r="BK65" s="343">
        <f t="shared" si="231"/>
        <v>0</v>
      </c>
      <c r="BL65" s="347"/>
      <c r="BM65" s="347"/>
      <c r="BN65" s="347"/>
      <c r="BO65" s="343">
        <f t="shared" si="232"/>
        <v>0</v>
      </c>
      <c r="BP65" s="347"/>
      <c r="BQ65" s="347"/>
      <c r="BR65" s="347"/>
      <c r="BS65" s="343">
        <f t="shared" si="233"/>
        <v>0</v>
      </c>
      <c r="BT65" s="347"/>
      <c r="BU65" s="347"/>
      <c r="BV65" s="347"/>
      <c r="BW65" s="343">
        <f t="shared" si="234"/>
        <v>0</v>
      </c>
      <c r="BX65" s="347"/>
      <c r="BY65" s="347"/>
      <c r="BZ65" s="347"/>
      <c r="CA65" s="343">
        <f t="shared" si="235"/>
        <v>0</v>
      </c>
      <c r="CB65" s="347"/>
      <c r="CC65" s="347"/>
      <c r="CD65" s="347"/>
      <c r="CE65" s="343">
        <f t="shared" si="236"/>
        <v>0</v>
      </c>
      <c r="CF65" s="347"/>
      <c r="CG65" s="347"/>
      <c r="CH65" s="347"/>
      <c r="CI65" s="343">
        <f t="shared" si="237"/>
        <v>0</v>
      </c>
    </row>
    <row r="66" spans="3:87" s="48" customFormat="1" ht="14.5" customHeight="1" thickBot="1" x14ac:dyDescent="0.2">
      <c r="C66" s="119" t="str">
        <f>Tekstnøgler!C151</f>
        <v>Fysiske enheder med egne emissionsfaktorer</v>
      </c>
      <c r="D66" s="347"/>
      <c r="E66" s="347"/>
      <c r="F66" s="347"/>
      <c r="G66" s="343">
        <f t="shared" si="217"/>
        <v>0</v>
      </c>
      <c r="H66" s="347"/>
      <c r="I66" s="347"/>
      <c r="J66" s="347"/>
      <c r="K66" s="343">
        <f t="shared" si="218"/>
        <v>0</v>
      </c>
      <c r="L66" s="347"/>
      <c r="M66" s="347"/>
      <c r="N66" s="347"/>
      <c r="O66" s="343">
        <f t="shared" si="219"/>
        <v>0</v>
      </c>
      <c r="P66" s="347"/>
      <c r="Q66" s="347"/>
      <c r="R66" s="347"/>
      <c r="S66" s="343">
        <f t="shared" si="220"/>
        <v>0</v>
      </c>
      <c r="T66" s="347"/>
      <c r="U66" s="347"/>
      <c r="V66" s="347"/>
      <c r="W66" s="343">
        <f t="shared" si="221"/>
        <v>0</v>
      </c>
      <c r="X66" s="347"/>
      <c r="Y66" s="347"/>
      <c r="Z66" s="347"/>
      <c r="AA66" s="343">
        <f t="shared" si="222"/>
        <v>0</v>
      </c>
      <c r="AB66" s="347"/>
      <c r="AC66" s="347"/>
      <c r="AD66" s="347"/>
      <c r="AE66" s="343">
        <f t="shared" si="223"/>
        <v>0</v>
      </c>
      <c r="AF66" s="347"/>
      <c r="AG66" s="347"/>
      <c r="AH66" s="347"/>
      <c r="AI66" s="343">
        <f t="shared" si="224"/>
        <v>0</v>
      </c>
      <c r="AJ66" s="347"/>
      <c r="AK66" s="347"/>
      <c r="AL66" s="347"/>
      <c r="AM66" s="343">
        <f t="shared" si="225"/>
        <v>0</v>
      </c>
      <c r="AN66" s="347"/>
      <c r="AO66" s="347"/>
      <c r="AP66" s="347"/>
      <c r="AQ66" s="343">
        <f t="shared" si="226"/>
        <v>0</v>
      </c>
      <c r="AR66" s="347"/>
      <c r="AS66" s="347"/>
      <c r="AT66" s="347"/>
      <c r="AU66" s="343">
        <f t="shared" si="227"/>
        <v>0</v>
      </c>
      <c r="AV66" s="347"/>
      <c r="AW66" s="347"/>
      <c r="AX66" s="347"/>
      <c r="AY66" s="343">
        <f t="shared" si="228"/>
        <v>0</v>
      </c>
      <c r="AZ66" s="347"/>
      <c r="BA66" s="347"/>
      <c r="BB66" s="347"/>
      <c r="BC66" s="343">
        <f t="shared" si="229"/>
        <v>0</v>
      </c>
      <c r="BD66" s="347"/>
      <c r="BE66" s="347"/>
      <c r="BF66" s="347"/>
      <c r="BG66" s="343">
        <f t="shared" si="230"/>
        <v>0</v>
      </c>
      <c r="BH66" s="347"/>
      <c r="BI66" s="347"/>
      <c r="BJ66" s="347"/>
      <c r="BK66" s="343">
        <f t="shared" si="231"/>
        <v>0</v>
      </c>
      <c r="BL66" s="347"/>
      <c r="BM66" s="347"/>
      <c r="BN66" s="347"/>
      <c r="BO66" s="343">
        <f t="shared" si="232"/>
        <v>0</v>
      </c>
      <c r="BP66" s="347"/>
      <c r="BQ66" s="347"/>
      <c r="BR66" s="347"/>
      <c r="BS66" s="343">
        <f t="shared" si="233"/>
        <v>0</v>
      </c>
      <c r="BT66" s="347"/>
      <c r="BU66" s="347"/>
      <c r="BV66" s="347"/>
      <c r="BW66" s="343">
        <f t="shared" si="234"/>
        <v>0</v>
      </c>
      <c r="BX66" s="347"/>
      <c r="BY66" s="347"/>
      <c r="BZ66" s="347"/>
      <c r="CA66" s="343">
        <f t="shared" si="235"/>
        <v>0</v>
      </c>
      <c r="CB66" s="347"/>
      <c r="CC66" s="347"/>
      <c r="CD66" s="347"/>
      <c r="CE66" s="343">
        <f t="shared" si="236"/>
        <v>0</v>
      </c>
      <c r="CF66" s="347"/>
      <c r="CG66" s="347"/>
      <c r="CH66" s="347"/>
      <c r="CI66" s="343">
        <f t="shared" si="237"/>
        <v>0</v>
      </c>
    </row>
    <row r="67" spans="3:87" s="48" customFormat="1" ht="14.5" customHeight="1" thickBot="1" x14ac:dyDescent="0.2">
      <c r="C67" s="119" t="str">
        <f>Tekstnøgler!C152</f>
        <v>Monetære enheder (beløb i DKK) med egne emissionsfaktorer</v>
      </c>
      <c r="D67" s="347"/>
      <c r="E67" s="347"/>
      <c r="F67" s="347"/>
      <c r="G67" s="343">
        <f t="shared" si="217"/>
        <v>0</v>
      </c>
      <c r="H67" s="347"/>
      <c r="I67" s="347"/>
      <c r="J67" s="347"/>
      <c r="K67" s="343">
        <f t="shared" si="218"/>
        <v>0</v>
      </c>
      <c r="L67" s="347"/>
      <c r="M67" s="347"/>
      <c r="N67" s="347"/>
      <c r="O67" s="343">
        <f t="shared" si="219"/>
        <v>0</v>
      </c>
      <c r="P67" s="347"/>
      <c r="Q67" s="347"/>
      <c r="R67" s="347"/>
      <c r="S67" s="343">
        <f t="shared" si="220"/>
        <v>0</v>
      </c>
      <c r="T67" s="347"/>
      <c r="U67" s="347"/>
      <c r="V67" s="347"/>
      <c r="W67" s="343">
        <f t="shared" si="221"/>
        <v>0</v>
      </c>
      <c r="X67" s="347"/>
      <c r="Y67" s="347"/>
      <c r="Z67" s="347"/>
      <c r="AA67" s="343">
        <f t="shared" si="222"/>
        <v>0</v>
      </c>
      <c r="AB67" s="347"/>
      <c r="AC67" s="347"/>
      <c r="AD67" s="347"/>
      <c r="AE67" s="343">
        <f t="shared" si="223"/>
        <v>0</v>
      </c>
      <c r="AF67" s="347"/>
      <c r="AG67" s="347"/>
      <c r="AH67" s="347"/>
      <c r="AI67" s="343">
        <f t="shared" si="224"/>
        <v>0</v>
      </c>
      <c r="AJ67" s="347"/>
      <c r="AK67" s="347"/>
      <c r="AL67" s="347"/>
      <c r="AM67" s="343">
        <f t="shared" si="225"/>
        <v>0</v>
      </c>
      <c r="AN67" s="347"/>
      <c r="AO67" s="347"/>
      <c r="AP67" s="347"/>
      <c r="AQ67" s="343">
        <f t="shared" si="226"/>
        <v>0</v>
      </c>
      <c r="AR67" s="347"/>
      <c r="AS67" s="347"/>
      <c r="AT67" s="347"/>
      <c r="AU67" s="343">
        <f t="shared" si="227"/>
        <v>0</v>
      </c>
      <c r="AV67" s="347"/>
      <c r="AW67" s="347"/>
      <c r="AX67" s="347"/>
      <c r="AY67" s="343">
        <f t="shared" si="228"/>
        <v>0</v>
      </c>
      <c r="AZ67" s="347"/>
      <c r="BA67" s="347"/>
      <c r="BB67" s="347"/>
      <c r="BC67" s="343">
        <f t="shared" si="229"/>
        <v>0</v>
      </c>
      <c r="BD67" s="347"/>
      <c r="BE67" s="347"/>
      <c r="BF67" s="347"/>
      <c r="BG67" s="343">
        <f t="shared" si="230"/>
        <v>0</v>
      </c>
      <c r="BH67" s="347"/>
      <c r="BI67" s="347"/>
      <c r="BJ67" s="347"/>
      <c r="BK67" s="343">
        <f t="shared" si="231"/>
        <v>0</v>
      </c>
      <c r="BL67" s="347"/>
      <c r="BM67" s="347"/>
      <c r="BN67" s="347"/>
      <c r="BO67" s="343">
        <f t="shared" si="232"/>
        <v>0</v>
      </c>
      <c r="BP67" s="347"/>
      <c r="BQ67" s="347"/>
      <c r="BR67" s="347"/>
      <c r="BS67" s="343">
        <f t="shared" si="233"/>
        <v>0</v>
      </c>
      <c r="BT67" s="347"/>
      <c r="BU67" s="347"/>
      <c r="BV67" s="347"/>
      <c r="BW67" s="343">
        <f t="shared" si="234"/>
        <v>0</v>
      </c>
      <c r="BX67" s="347"/>
      <c r="BY67" s="347"/>
      <c r="BZ67" s="347"/>
      <c r="CA67" s="343">
        <f t="shared" si="235"/>
        <v>0</v>
      </c>
      <c r="CB67" s="347"/>
      <c r="CC67" s="347"/>
      <c r="CD67" s="347"/>
      <c r="CE67" s="343">
        <f t="shared" si="236"/>
        <v>0</v>
      </c>
      <c r="CF67" s="347"/>
      <c r="CG67" s="347"/>
      <c r="CH67" s="347"/>
      <c r="CI67" s="343">
        <f t="shared" si="237"/>
        <v>0</v>
      </c>
    </row>
    <row r="68" spans="3:87" s="48" customFormat="1" ht="14.5" customHeight="1" thickBot="1" x14ac:dyDescent="0.2">
      <c r="C68" s="120" t="str">
        <f>Tekstnøgler!C153</f>
        <v>Produkter og services (sekundære indkøb)</v>
      </c>
      <c r="D68" s="345">
        <f t="shared" ref="D68:AH68" si="238">SUM(D69:D72)</f>
        <v>0</v>
      </c>
      <c r="E68" s="345">
        <f t="shared" si="238"/>
        <v>0</v>
      </c>
      <c r="F68" s="345">
        <f t="shared" si="238"/>
        <v>0</v>
      </c>
      <c r="G68" s="345">
        <f>SUM(G69:G72)</f>
        <v>0</v>
      </c>
      <c r="H68" s="345">
        <f t="shared" si="238"/>
        <v>0</v>
      </c>
      <c r="I68" s="345">
        <f t="shared" si="238"/>
        <v>0</v>
      </c>
      <c r="J68" s="345">
        <f t="shared" si="238"/>
        <v>0</v>
      </c>
      <c r="K68" s="345">
        <f>SUM(K69:K72)</f>
        <v>0</v>
      </c>
      <c r="L68" s="345">
        <f t="shared" si="238"/>
        <v>0</v>
      </c>
      <c r="M68" s="345">
        <f t="shared" si="238"/>
        <v>0</v>
      </c>
      <c r="N68" s="345">
        <f t="shared" si="238"/>
        <v>0</v>
      </c>
      <c r="O68" s="345">
        <f>SUM(O69:O72)</f>
        <v>0</v>
      </c>
      <c r="P68" s="345">
        <f t="shared" si="238"/>
        <v>0</v>
      </c>
      <c r="Q68" s="345">
        <f t="shared" si="238"/>
        <v>0</v>
      </c>
      <c r="R68" s="345">
        <f t="shared" si="238"/>
        <v>0</v>
      </c>
      <c r="S68" s="345">
        <f>SUM(S69:S72)</f>
        <v>0</v>
      </c>
      <c r="T68" s="345">
        <f t="shared" si="238"/>
        <v>0</v>
      </c>
      <c r="U68" s="345">
        <f t="shared" si="238"/>
        <v>0</v>
      </c>
      <c r="V68" s="345">
        <f t="shared" si="238"/>
        <v>0</v>
      </c>
      <c r="W68" s="345">
        <f>SUM(W69:W72)</f>
        <v>0</v>
      </c>
      <c r="X68" s="345">
        <f t="shared" si="238"/>
        <v>0</v>
      </c>
      <c r="Y68" s="345">
        <f t="shared" si="238"/>
        <v>0</v>
      </c>
      <c r="Z68" s="345">
        <f t="shared" si="238"/>
        <v>0</v>
      </c>
      <c r="AA68" s="345">
        <f>SUM(AA69:AA72)</f>
        <v>0</v>
      </c>
      <c r="AB68" s="345">
        <f t="shared" si="238"/>
        <v>0</v>
      </c>
      <c r="AC68" s="345">
        <f t="shared" si="238"/>
        <v>0</v>
      </c>
      <c r="AD68" s="345">
        <f t="shared" si="238"/>
        <v>0</v>
      </c>
      <c r="AE68" s="345">
        <f>SUM(AE69:AE72)</f>
        <v>0</v>
      </c>
      <c r="AF68" s="345">
        <f t="shared" si="238"/>
        <v>0</v>
      </c>
      <c r="AG68" s="345">
        <f t="shared" si="238"/>
        <v>0</v>
      </c>
      <c r="AH68" s="345">
        <f t="shared" si="238"/>
        <v>0</v>
      </c>
      <c r="AI68" s="345">
        <f>SUM(AI69:AI72)</f>
        <v>0</v>
      </c>
      <c r="AJ68" s="345">
        <f t="shared" ref="AJ68:BN68" si="239">SUM(AJ69:AJ72)</f>
        <v>0</v>
      </c>
      <c r="AK68" s="345">
        <f t="shared" si="239"/>
        <v>0</v>
      </c>
      <c r="AL68" s="345">
        <f t="shared" si="239"/>
        <v>0</v>
      </c>
      <c r="AM68" s="345">
        <f>SUM(AM69:AM72)</f>
        <v>0</v>
      </c>
      <c r="AN68" s="345">
        <f t="shared" si="239"/>
        <v>0</v>
      </c>
      <c r="AO68" s="345">
        <f t="shared" si="239"/>
        <v>0</v>
      </c>
      <c r="AP68" s="345">
        <f t="shared" si="239"/>
        <v>0</v>
      </c>
      <c r="AQ68" s="345">
        <f>SUM(AQ69:AQ72)</f>
        <v>0</v>
      </c>
      <c r="AR68" s="345">
        <f t="shared" si="239"/>
        <v>0</v>
      </c>
      <c r="AS68" s="345">
        <f t="shared" si="239"/>
        <v>0</v>
      </c>
      <c r="AT68" s="345">
        <f t="shared" si="239"/>
        <v>0</v>
      </c>
      <c r="AU68" s="345">
        <f>SUM(AU69:AU72)</f>
        <v>0</v>
      </c>
      <c r="AV68" s="345">
        <f t="shared" si="239"/>
        <v>0</v>
      </c>
      <c r="AW68" s="345">
        <f t="shared" si="239"/>
        <v>0</v>
      </c>
      <c r="AX68" s="345">
        <f t="shared" si="239"/>
        <v>0</v>
      </c>
      <c r="AY68" s="345">
        <f>SUM(AY69:AY72)</f>
        <v>0</v>
      </c>
      <c r="AZ68" s="345">
        <f t="shared" si="239"/>
        <v>0</v>
      </c>
      <c r="BA68" s="345">
        <f t="shared" si="239"/>
        <v>0</v>
      </c>
      <c r="BB68" s="345">
        <f t="shared" si="239"/>
        <v>0</v>
      </c>
      <c r="BC68" s="345">
        <f>SUM(BC69:BC72)</f>
        <v>0</v>
      </c>
      <c r="BD68" s="345">
        <f t="shared" si="239"/>
        <v>0</v>
      </c>
      <c r="BE68" s="345">
        <f t="shared" si="239"/>
        <v>0</v>
      </c>
      <c r="BF68" s="345">
        <f t="shared" si="239"/>
        <v>0</v>
      </c>
      <c r="BG68" s="345">
        <f>SUM(BG69:BG72)</f>
        <v>0</v>
      </c>
      <c r="BH68" s="345">
        <f t="shared" si="239"/>
        <v>0</v>
      </c>
      <c r="BI68" s="345">
        <f t="shared" si="239"/>
        <v>0</v>
      </c>
      <c r="BJ68" s="345">
        <f t="shared" si="239"/>
        <v>0</v>
      </c>
      <c r="BK68" s="345">
        <f>SUM(BK69:BK72)</f>
        <v>0</v>
      </c>
      <c r="BL68" s="345">
        <f t="shared" si="239"/>
        <v>0</v>
      </c>
      <c r="BM68" s="345">
        <f t="shared" si="239"/>
        <v>0</v>
      </c>
      <c r="BN68" s="345">
        <f t="shared" si="239"/>
        <v>0</v>
      </c>
      <c r="BO68" s="345">
        <f>SUM(BO69:BO72)</f>
        <v>0</v>
      </c>
      <c r="BP68" s="345">
        <f t="shared" ref="BP68:CH68" si="240">SUM(BP69:BP72)</f>
        <v>0</v>
      </c>
      <c r="BQ68" s="345">
        <f t="shared" si="240"/>
        <v>0</v>
      </c>
      <c r="BR68" s="345">
        <f t="shared" si="240"/>
        <v>0</v>
      </c>
      <c r="BS68" s="345">
        <f>SUM(BS69:BS72)</f>
        <v>0</v>
      </c>
      <c r="BT68" s="345">
        <f t="shared" si="240"/>
        <v>0</v>
      </c>
      <c r="BU68" s="345">
        <f t="shared" si="240"/>
        <v>0</v>
      </c>
      <c r="BV68" s="345">
        <f t="shared" si="240"/>
        <v>0</v>
      </c>
      <c r="BW68" s="345">
        <f>SUM(BW69:BW72)</f>
        <v>0</v>
      </c>
      <c r="BX68" s="345">
        <f t="shared" si="240"/>
        <v>0</v>
      </c>
      <c r="BY68" s="345">
        <f t="shared" si="240"/>
        <v>0</v>
      </c>
      <c r="BZ68" s="345">
        <f t="shared" si="240"/>
        <v>0</v>
      </c>
      <c r="CA68" s="345">
        <f>SUM(CA69:CA72)</f>
        <v>0</v>
      </c>
      <c r="CB68" s="345">
        <f t="shared" si="240"/>
        <v>0</v>
      </c>
      <c r="CC68" s="345">
        <f t="shared" si="240"/>
        <v>0</v>
      </c>
      <c r="CD68" s="345">
        <f t="shared" si="240"/>
        <v>0</v>
      </c>
      <c r="CE68" s="345">
        <f>SUM(CE69:CE72)</f>
        <v>0</v>
      </c>
      <c r="CF68" s="345">
        <f t="shared" si="240"/>
        <v>0</v>
      </c>
      <c r="CG68" s="345">
        <f t="shared" si="240"/>
        <v>0</v>
      </c>
      <c r="CH68" s="345">
        <f t="shared" si="240"/>
        <v>0</v>
      </c>
      <c r="CI68" s="345">
        <f>SUM(CI69:CI72)</f>
        <v>0</v>
      </c>
    </row>
    <row r="69" spans="3:87" s="48" customFormat="1" ht="14.5" customHeight="1" thickBot="1" x14ac:dyDescent="0.2">
      <c r="C69" s="119" t="str">
        <f>Tekstnøgler!C154</f>
        <v>Indkøb af produkter i fysiske enheder</v>
      </c>
      <c r="D69" s="347"/>
      <c r="E69" s="347"/>
      <c r="F69" s="347"/>
      <c r="G69" s="343">
        <f t="shared" ref="G69:G72" si="241">D69+E69+F69</f>
        <v>0</v>
      </c>
      <c r="H69" s="347"/>
      <c r="I69" s="347"/>
      <c r="J69" s="347"/>
      <c r="K69" s="343">
        <f t="shared" ref="K69:K72" si="242">H69+I69+J69</f>
        <v>0</v>
      </c>
      <c r="L69" s="347"/>
      <c r="M69" s="347"/>
      <c r="N69" s="347"/>
      <c r="O69" s="343">
        <f t="shared" ref="O69:O72" si="243">L69+M69+N69</f>
        <v>0</v>
      </c>
      <c r="P69" s="347"/>
      <c r="Q69" s="347"/>
      <c r="R69" s="347"/>
      <c r="S69" s="343">
        <f t="shared" ref="S69:S72" si="244">P69+Q69+R69</f>
        <v>0</v>
      </c>
      <c r="T69" s="347"/>
      <c r="U69" s="347"/>
      <c r="V69" s="347"/>
      <c r="W69" s="343">
        <f t="shared" ref="W69:W72" si="245">T69+U69+V69</f>
        <v>0</v>
      </c>
      <c r="X69" s="347"/>
      <c r="Y69" s="347"/>
      <c r="Z69" s="347"/>
      <c r="AA69" s="343">
        <f t="shared" ref="AA69:AA72" si="246">X69+Y69+Z69</f>
        <v>0</v>
      </c>
      <c r="AB69" s="347"/>
      <c r="AC69" s="347"/>
      <c r="AD69" s="347"/>
      <c r="AE69" s="343">
        <f t="shared" ref="AE69:AE72" si="247">AB69+AC69+AD69</f>
        <v>0</v>
      </c>
      <c r="AF69" s="347"/>
      <c r="AG69" s="347"/>
      <c r="AH69" s="347"/>
      <c r="AI69" s="343">
        <f t="shared" ref="AI69:AI72" si="248">AF69+AG69+AH69</f>
        <v>0</v>
      </c>
      <c r="AJ69" s="347"/>
      <c r="AK69" s="347"/>
      <c r="AL69" s="347"/>
      <c r="AM69" s="343">
        <f t="shared" ref="AM69:AM72" si="249">AJ69+AK69+AL69</f>
        <v>0</v>
      </c>
      <c r="AN69" s="347"/>
      <c r="AO69" s="347"/>
      <c r="AP69" s="347"/>
      <c r="AQ69" s="343">
        <f t="shared" ref="AQ69:AQ72" si="250">AN69+AO69+AP69</f>
        <v>0</v>
      </c>
      <c r="AR69" s="347"/>
      <c r="AS69" s="347"/>
      <c r="AT69" s="347"/>
      <c r="AU69" s="343">
        <f t="shared" ref="AU69:AU72" si="251">AR69+AS69+AT69</f>
        <v>0</v>
      </c>
      <c r="AV69" s="347"/>
      <c r="AW69" s="347"/>
      <c r="AX69" s="347"/>
      <c r="AY69" s="343">
        <f t="shared" ref="AY69:AY72" si="252">AV69+AW69+AX69</f>
        <v>0</v>
      </c>
      <c r="AZ69" s="347"/>
      <c r="BA69" s="347"/>
      <c r="BB69" s="347"/>
      <c r="BC69" s="343">
        <f t="shared" ref="BC69:BC72" si="253">AZ69+BA69+BB69</f>
        <v>0</v>
      </c>
      <c r="BD69" s="347"/>
      <c r="BE69" s="347"/>
      <c r="BF69" s="347"/>
      <c r="BG69" s="343">
        <f t="shared" ref="BG69:BG72" si="254">BD69+BE69+BF69</f>
        <v>0</v>
      </c>
      <c r="BH69" s="347"/>
      <c r="BI69" s="347"/>
      <c r="BJ69" s="347"/>
      <c r="BK69" s="343">
        <f t="shared" ref="BK69:BK72" si="255">BH69+BI69+BJ69</f>
        <v>0</v>
      </c>
      <c r="BL69" s="347"/>
      <c r="BM69" s="347"/>
      <c r="BN69" s="347"/>
      <c r="BO69" s="343">
        <f t="shared" ref="BO69:BO72" si="256">BL69+BM69+BN69</f>
        <v>0</v>
      </c>
      <c r="BP69" s="347"/>
      <c r="BQ69" s="347"/>
      <c r="BR69" s="347"/>
      <c r="BS69" s="343">
        <f t="shared" ref="BS69:BS72" si="257">BP69+BQ69+BR69</f>
        <v>0</v>
      </c>
      <c r="BT69" s="347"/>
      <c r="BU69" s="347"/>
      <c r="BV69" s="347"/>
      <c r="BW69" s="343">
        <f t="shared" ref="BW69:BW72" si="258">BT69+BU69+BV69</f>
        <v>0</v>
      </c>
      <c r="BX69" s="347"/>
      <c r="BY69" s="347"/>
      <c r="BZ69" s="347"/>
      <c r="CA69" s="343">
        <f t="shared" ref="CA69:CA72" si="259">BX69+BY69+BZ69</f>
        <v>0</v>
      </c>
      <c r="CB69" s="347"/>
      <c r="CC69" s="347"/>
      <c r="CD69" s="347"/>
      <c r="CE69" s="343">
        <f t="shared" ref="CE69:CE72" si="260">CB69+CC69+CD69</f>
        <v>0</v>
      </c>
      <c r="CF69" s="347"/>
      <c r="CG69" s="347"/>
      <c r="CH69" s="347"/>
      <c r="CI69" s="343">
        <f t="shared" ref="CI69:CI72" si="261">CF69+CG69+CH69</f>
        <v>0</v>
      </c>
    </row>
    <row r="70" spans="3:87" s="48" customFormat="1" ht="14.5" customHeight="1" thickBot="1" x14ac:dyDescent="0.2">
      <c r="C70" s="119" t="str">
        <f>Tekstnøgler!C155</f>
        <v>Indkøb af produkter i monetære enheder (beløb i DKK)</v>
      </c>
      <c r="D70" s="347"/>
      <c r="E70" s="347"/>
      <c r="F70" s="347"/>
      <c r="G70" s="343">
        <f t="shared" si="241"/>
        <v>0</v>
      </c>
      <c r="H70" s="347"/>
      <c r="I70" s="347"/>
      <c r="J70" s="347"/>
      <c r="K70" s="343">
        <f t="shared" si="242"/>
        <v>0</v>
      </c>
      <c r="L70" s="347"/>
      <c r="M70" s="347"/>
      <c r="N70" s="347"/>
      <c r="O70" s="343">
        <f t="shared" si="243"/>
        <v>0</v>
      </c>
      <c r="P70" s="347"/>
      <c r="Q70" s="347"/>
      <c r="R70" s="347"/>
      <c r="S70" s="343">
        <f t="shared" si="244"/>
        <v>0</v>
      </c>
      <c r="T70" s="347"/>
      <c r="U70" s="347"/>
      <c r="V70" s="347"/>
      <c r="W70" s="343">
        <f t="shared" si="245"/>
        <v>0</v>
      </c>
      <c r="X70" s="347"/>
      <c r="Y70" s="347"/>
      <c r="Z70" s="347"/>
      <c r="AA70" s="343">
        <f t="shared" si="246"/>
        <v>0</v>
      </c>
      <c r="AB70" s="347"/>
      <c r="AC70" s="347"/>
      <c r="AD70" s="347"/>
      <c r="AE70" s="343">
        <f t="shared" si="247"/>
        <v>0</v>
      </c>
      <c r="AF70" s="347"/>
      <c r="AG70" s="347"/>
      <c r="AH70" s="347"/>
      <c r="AI70" s="343">
        <f t="shared" si="248"/>
        <v>0</v>
      </c>
      <c r="AJ70" s="347"/>
      <c r="AK70" s="347"/>
      <c r="AL70" s="347"/>
      <c r="AM70" s="343">
        <f t="shared" si="249"/>
        <v>0</v>
      </c>
      <c r="AN70" s="347"/>
      <c r="AO70" s="347"/>
      <c r="AP70" s="347"/>
      <c r="AQ70" s="343">
        <f t="shared" si="250"/>
        <v>0</v>
      </c>
      <c r="AR70" s="347"/>
      <c r="AS70" s="347"/>
      <c r="AT70" s="347"/>
      <c r="AU70" s="343">
        <f t="shared" si="251"/>
        <v>0</v>
      </c>
      <c r="AV70" s="347"/>
      <c r="AW70" s="347"/>
      <c r="AX70" s="347"/>
      <c r="AY70" s="343">
        <f t="shared" si="252"/>
        <v>0</v>
      </c>
      <c r="AZ70" s="347"/>
      <c r="BA70" s="347"/>
      <c r="BB70" s="347"/>
      <c r="BC70" s="343">
        <f t="shared" si="253"/>
        <v>0</v>
      </c>
      <c r="BD70" s="347"/>
      <c r="BE70" s="347"/>
      <c r="BF70" s="347"/>
      <c r="BG70" s="343">
        <f t="shared" si="254"/>
        <v>0</v>
      </c>
      <c r="BH70" s="347"/>
      <c r="BI70" s="347"/>
      <c r="BJ70" s="347"/>
      <c r="BK70" s="343">
        <f t="shared" si="255"/>
        <v>0</v>
      </c>
      <c r="BL70" s="347"/>
      <c r="BM70" s="347"/>
      <c r="BN70" s="347"/>
      <c r="BO70" s="343">
        <f t="shared" si="256"/>
        <v>0</v>
      </c>
      <c r="BP70" s="347"/>
      <c r="BQ70" s="347"/>
      <c r="BR70" s="347"/>
      <c r="BS70" s="343">
        <f t="shared" si="257"/>
        <v>0</v>
      </c>
      <c r="BT70" s="347"/>
      <c r="BU70" s="347"/>
      <c r="BV70" s="347"/>
      <c r="BW70" s="343">
        <f t="shared" si="258"/>
        <v>0</v>
      </c>
      <c r="BX70" s="347"/>
      <c r="BY70" s="347"/>
      <c r="BZ70" s="347"/>
      <c r="CA70" s="343">
        <f t="shared" si="259"/>
        <v>0</v>
      </c>
      <c r="CB70" s="347"/>
      <c r="CC70" s="347"/>
      <c r="CD70" s="347"/>
      <c r="CE70" s="343">
        <f t="shared" si="260"/>
        <v>0</v>
      </c>
      <c r="CF70" s="347"/>
      <c r="CG70" s="347"/>
      <c r="CH70" s="347"/>
      <c r="CI70" s="343">
        <f t="shared" si="261"/>
        <v>0</v>
      </c>
    </row>
    <row r="71" spans="3:87" s="48" customFormat="1" ht="14.5" customHeight="1" thickBot="1" x14ac:dyDescent="0.2">
      <c r="C71" s="119" t="str">
        <f>Tekstnøgler!C156</f>
        <v>Fysiske enheder med egne emissionsfaktorer</v>
      </c>
      <c r="D71" s="347"/>
      <c r="E71" s="347"/>
      <c r="F71" s="347"/>
      <c r="G71" s="343">
        <f t="shared" si="241"/>
        <v>0</v>
      </c>
      <c r="H71" s="347"/>
      <c r="I71" s="347"/>
      <c r="J71" s="347"/>
      <c r="K71" s="343">
        <f t="shared" si="242"/>
        <v>0</v>
      </c>
      <c r="L71" s="347"/>
      <c r="M71" s="347"/>
      <c r="N71" s="347"/>
      <c r="O71" s="343">
        <f t="shared" si="243"/>
        <v>0</v>
      </c>
      <c r="P71" s="347"/>
      <c r="Q71" s="347"/>
      <c r="R71" s="347"/>
      <c r="S71" s="343">
        <f t="shared" si="244"/>
        <v>0</v>
      </c>
      <c r="T71" s="347"/>
      <c r="U71" s="347"/>
      <c r="V71" s="347"/>
      <c r="W71" s="343">
        <f t="shared" si="245"/>
        <v>0</v>
      </c>
      <c r="X71" s="347"/>
      <c r="Y71" s="347"/>
      <c r="Z71" s="347"/>
      <c r="AA71" s="343">
        <f t="shared" si="246"/>
        <v>0</v>
      </c>
      <c r="AB71" s="347"/>
      <c r="AC71" s="347"/>
      <c r="AD71" s="347"/>
      <c r="AE71" s="343">
        <f t="shared" si="247"/>
        <v>0</v>
      </c>
      <c r="AF71" s="347"/>
      <c r="AG71" s="347"/>
      <c r="AH71" s="347"/>
      <c r="AI71" s="343">
        <f t="shared" si="248"/>
        <v>0</v>
      </c>
      <c r="AJ71" s="347"/>
      <c r="AK71" s="347"/>
      <c r="AL71" s="347"/>
      <c r="AM71" s="343">
        <f t="shared" si="249"/>
        <v>0</v>
      </c>
      <c r="AN71" s="347"/>
      <c r="AO71" s="347"/>
      <c r="AP71" s="347"/>
      <c r="AQ71" s="343">
        <f t="shared" si="250"/>
        <v>0</v>
      </c>
      <c r="AR71" s="347"/>
      <c r="AS71" s="347"/>
      <c r="AT71" s="347"/>
      <c r="AU71" s="343">
        <f t="shared" si="251"/>
        <v>0</v>
      </c>
      <c r="AV71" s="347"/>
      <c r="AW71" s="347"/>
      <c r="AX71" s="347"/>
      <c r="AY71" s="343">
        <f t="shared" si="252"/>
        <v>0</v>
      </c>
      <c r="AZ71" s="347"/>
      <c r="BA71" s="347"/>
      <c r="BB71" s="347"/>
      <c r="BC71" s="343">
        <f t="shared" si="253"/>
        <v>0</v>
      </c>
      <c r="BD71" s="347"/>
      <c r="BE71" s="347"/>
      <c r="BF71" s="347"/>
      <c r="BG71" s="343">
        <f t="shared" si="254"/>
        <v>0</v>
      </c>
      <c r="BH71" s="347"/>
      <c r="BI71" s="347"/>
      <c r="BJ71" s="347"/>
      <c r="BK71" s="343">
        <f t="shared" si="255"/>
        <v>0</v>
      </c>
      <c r="BL71" s="347"/>
      <c r="BM71" s="347"/>
      <c r="BN71" s="347"/>
      <c r="BO71" s="343">
        <f t="shared" si="256"/>
        <v>0</v>
      </c>
      <c r="BP71" s="347"/>
      <c r="BQ71" s="347"/>
      <c r="BR71" s="347"/>
      <c r="BS71" s="343">
        <f t="shared" si="257"/>
        <v>0</v>
      </c>
      <c r="BT71" s="347"/>
      <c r="BU71" s="347"/>
      <c r="BV71" s="347"/>
      <c r="BW71" s="343">
        <f t="shared" si="258"/>
        <v>0</v>
      </c>
      <c r="BX71" s="347"/>
      <c r="BY71" s="347"/>
      <c r="BZ71" s="347"/>
      <c r="CA71" s="343">
        <f t="shared" si="259"/>
        <v>0</v>
      </c>
      <c r="CB71" s="347"/>
      <c r="CC71" s="347"/>
      <c r="CD71" s="347"/>
      <c r="CE71" s="343">
        <f t="shared" si="260"/>
        <v>0</v>
      </c>
      <c r="CF71" s="347"/>
      <c r="CG71" s="347"/>
      <c r="CH71" s="347"/>
      <c r="CI71" s="343">
        <f t="shared" si="261"/>
        <v>0</v>
      </c>
    </row>
    <row r="72" spans="3:87" s="48" customFormat="1" ht="14.5" customHeight="1" thickBot="1" x14ac:dyDescent="0.2">
      <c r="C72" s="119" t="str">
        <f>Tekstnøgler!C157</f>
        <v>Monetære enheder (beløb i DKK) med egne emissionsfaktorer</v>
      </c>
      <c r="D72" s="347"/>
      <c r="E72" s="347"/>
      <c r="F72" s="347"/>
      <c r="G72" s="343">
        <f t="shared" si="241"/>
        <v>0</v>
      </c>
      <c r="H72" s="347"/>
      <c r="I72" s="347"/>
      <c r="J72" s="347"/>
      <c r="K72" s="343">
        <f t="shared" si="242"/>
        <v>0</v>
      </c>
      <c r="L72" s="347"/>
      <c r="M72" s="347"/>
      <c r="N72" s="347"/>
      <c r="O72" s="343">
        <f t="shared" si="243"/>
        <v>0</v>
      </c>
      <c r="P72" s="347"/>
      <c r="Q72" s="347"/>
      <c r="R72" s="347"/>
      <c r="S72" s="343">
        <f t="shared" si="244"/>
        <v>0</v>
      </c>
      <c r="T72" s="347"/>
      <c r="U72" s="347"/>
      <c r="V72" s="347"/>
      <c r="W72" s="343">
        <f t="shared" si="245"/>
        <v>0</v>
      </c>
      <c r="X72" s="347"/>
      <c r="Y72" s="347"/>
      <c r="Z72" s="347"/>
      <c r="AA72" s="343">
        <f t="shared" si="246"/>
        <v>0</v>
      </c>
      <c r="AB72" s="347"/>
      <c r="AC72" s="347"/>
      <c r="AD72" s="347"/>
      <c r="AE72" s="343">
        <f t="shared" si="247"/>
        <v>0</v>
      </c>
      <c r="AF72" s="347"/>
      <c r="AG72" s="347"/>
      <c r="AH72" s="347"/>
      <c r="AI72" s="343">
        <f t="shared" si="248"/>
        <v>0</v>
      </c>
      <c r="AJ72" s="347"/>
      <c r="AK72" s="347"/>
      <c r="AL72" s="347"/>
      <c r="AM72" s="343">
        <f t="shared" si="249"/>
        <v>0</v>
      </c>
      <c r="AN72" s="347"/>
      <c r="AO72" s="347"/>
      <c r="AP72" s="347"/>
      <c r="AQ72" s="343">
        <f t="shared" si="250"/>
        <v>0</v>
      </c>
      <c r="AR72" s="347"/>
      <c r="AS72" s="347"/>
      <c r="AT72" s="347"/>
      <c r="AU72" s="343">
        <f t="shared" si="251"/>
        <v>0</v>
      </c>
      <c r="AV72" s="347"/>
      <c r="AW72" s="347"/>
      <c r="AX72" s="347"/>
      <c r="AY72" s="343">
        <f t="shared" si="252"/>
        <v>0</v>
      </c>
      <c r="AZ72" s="347"/>
      <c r="BA72" s="347"/>
      <c r="BB72" s="347"/>
      <c r="BC72" s="343">
        <f t="shared" si="253"/>
        <v>0</v>
      </c>
      <c r="BD72" s="347"/>
      <c r="BE72" s="347"/>
      <c r="BF72" s="347"/>
      <c r="BG72" s="343">
        <f t="shared" si="254"/>
        <v>0</v>
      </c>
      <c r="BH72" s="347"/>
      <c r="BI72" s="347"/>
      <c r="BJ72" s="347"/>
      <c r="BK72" s="343">
        <f t="shared" si="255"/>
        <v>0</v>
      </c>
      <c r="BL72" s="347"/>
      <c r="BM72" s="347"/>
      <c r="BN72" s="347"/>
      <c r="BO72" s="343">
        <f t="shared" si="256"/>
        <v>0</v>
      </c>
      <c r="BP72" s="347"/>
      <c r="BQ72" s="347"/>
      <c r="BR72" s="347"/>
      <c r="BS72" s="343">
        <f t="shared" si="257"/>
        <v>0</v>
      </c>
      <c r="BT72" s="347"/>
      <c r="BU72" s="347"/>
      <c r="BV72" s="347"/>
      <c r="BW72" s="343">
        <f t="shared" si="258"/>
        <v>0</v>
      </c>
      <c r="BX72" s="347"/>
      <c r="BY72" s="347"/>
      <c r="BZ72" s="347"/>
      <c r="CA72" s="343">
        <f t="shared" si="259"/>
        <v>0</v>
      </c>
      <c r="CB72" s="347"/>
      <c r="CC72" s="347"/>
      <c r="CD72" s="347"/>
      <c r="CE72" s="343">
        <f t="shared" si="260"/>
        <v>0</v>
      </c>
      <c r="CF72" s="347"/>
      <c r="CG72" s="347"/>
      <c r="CH72" s="347"/>
      <c r="CI72" s="343">
        <f t="shared" si="261"/>
        <v>0</v>
      </c>
    </row>
    <row r="73" spans="3:87" s="48" customFormat="1" ht="14.5" customHeight="1" thickBot="1" x14ac:dyDescent="0.2">
      <c r="C73" s="120" t="str">
        <f>Tekstnøgler!C158</f>
        <v>Andet udledning ved sekundære indkøb</v>
      </c>
      <c r="D73" s="345">
        <f t="shared" ref="D73:AH73" si="262">SUM(D74:D75)</f>
        <v>0</v>
      </c>
      <c r="E73" s="345">
        <f t="shared" si="262"/>
        <v>0</v>
      </c>
      <c r="F73" s="345">
        <f t="shared" si="262"/>
        <v>0</v>
      </c>
      <c r="G73" s="345">
        <f>SUM(G74:G75)</f>
        <v>0</v>
      </c>
      <c r="H73" s="345">
        <f t="shared" si="262"/>
        <v>0</v>
      </c>
      <c r="I73" s="345">
        <f t="shared" si="262"/>
        <v>0</v>
      </c>
      <c r="J73" s="345">
        <f t="shared" si="262"/>
        <v>0</v>
      </c>
      <c r="K73" s="345">
        <f>SUM(K74:K75)</f>
        <v>0</v>
      </c>
      <c r="L73" s="345">
        <f t="shared" si="262"/>
        <v>0</v>
      </c>
      <c r="M73" s="345">
        <f t="shared" si="262"/>
        <v>0</v>
      </c>
      <c r="N73" s="345">
        <f t="shared" si="262"/>
        <v>0</v>
      </c>
      <c r="O73" s="345">
        <f>SUM(O74:O75)</f>
        <v>0</v>
      </c>
      <c r="P73" s="345">
        <f t="shared" si="262"/>
        <v>0</v>
      </c>
      <c r="Q73" s="345">
        <f t="shared" si="262"/>
        <v>0</v>
      </c>
      <c r="R73" s="345">
        <f t="shared" si="262"/>
        <v>0</v>
      </c>
      <c r="S73" s="345">
        <f>SUM(S74:S75)</f>
        <v>0</v>
      </c>
      <c r="T73" s="345">
        <f t="shared" si="262"/>
        <v>0</v>
      </c>
      <c r="U73" s="345">
        <f t="shared" si="262"/>
        <v>0</v>
      </c>
      <c r="V73" s="345">
        <f t="shared" si="262"/>
        <v>0</v>
      </c>
      <c r="W73" s="345">
        <f>SUM(W74:W75)</f>
        <v>0</v>
      </c>
      <c r="X73" s="345">
        <f t="shared" si="262"/>
        <v>0</v>
      </c>
      <c r="Y73" s="345">
        <f t="shared" si="262"/>
        <v>0</v>
      </c>
      <c r="Z73" s="345">
        <f t="shared" si="262"/>
        <v>0</v>
      </c>
      <c r="AA73" s="345">
        <f>SUM(AA74:AA75)</f>
        <v>0</v>
      </c>
      <c r="AB73" s="345">
        <f t="shared" si="262"/>
        <v>0</v>
      </c>
      <c r="AC73" s="345">
        <f t="shared" si="262"/>
        <v>0</v>
      </c>
      <c r="AD73" s="345">
        <f t="shared" si="262"/>
        <v>0</v>
      </c>
      <c r="AE73" s="345">
        <f>SUM(AE74:AE75)</f>
        <v>0</v>
      </c>
      <c r="AF73" s="345">
        <f t="shared" si="262"/>
        <v>0</v>
      </c>
      <c r="AG73" s="345">
        <f t="shared" si="262"/>
        <v>0</v>
      </c>
      <c r="AH73" s="345">
        <f t="shared" si="262"/>
        <v>0</v>
      </c>
      <c r="AI73" s="345">
        <f>SUM(AI74:AI75)</f>
        <v>0</v>
      </c>
      <c r="AJ73" s="345">
        <f t="shared" ref="AJ73:BN73" si="263">SUM(AJ74:AJ75)</f>
        <v>0</v>
      </c>
      <c r="AK73" s="345">
        <f t="shared" si="263"/>
        <v>0</v>
      </c>
      <c r="AL73" s="345">
        <f t="shared" si="263"/>
        <v>0</v>
      </c>
      <c r="AM73" s="345">
        <f>SUM(AM74:AM75)</f>
        <v>0</v>
      </c>
      <c r="AN73" s="345">
        <f t="shared" si="263"/>
        <v>0</v>
      </c>
      <c r="AO73" s="345">
        <f t="shared" si="263"/>
        <v>0</v>
      </c>
      <c r="AP73" s="345">
        <f t="shared" si="263"/>
        <v>0</v>
      </c>
      <c r="AQ73" s="345">
        <f>SUM(AQ74:AQ75)</f>
        <v>0</v>
      </c>
      <c r="AR73" s="345">
        <f t="shared" si="263"/>
        <v>0</v>
      </c>
      <c r="AS73" s="345">
        <f t="shared" si="263"/>
        <v>0</v>
      </c>
      <c r="AT73" s="345">
        <f t="shared" si="263"/>
        <v>0</v>
      </c>
      <c r="AU73" s="345">
        <f>SUM(AU74:AU75)</f>
        <v>0</v>
      </c>
      <c r="AV73" s="345">
        <f t="shared" si="263"/>
        <v>0</v>
      </c>
      <c r="AW73" s="345">
        <f t="shared" si="263"/>
        <v>0</v>
      </c>
      <c r="AX73" s="345">
        <f t="shared" si="263"/>
        <v>0</v>
      </c>
      <c r="AY73" s="345">
        <f>SUM(AY74:AY75)</f>
        <v>0</v>
      </c>
      <c r="AZ73" s="345">
        <f t="shared" si="263"/>
        <v>0</v>
      </c>
      <c r="BA73" s="345">
        <f t="shared" si="263"/>
        <v>0</v>
      </c>
      <c r="BB73" s="345">
        <f t="shared" si="263"/>
        <v>0</v>
      </c>
      <c r="BC73" s="345">
        <f>SUM(BC74:BC75)</f>
        <v>0</v>
      </c>
      <c r="BD73" s="345">
        <f t="shared" si="263"/>
        <v>0</v>
      </c>
      <c r="BE73" s="345">
        <f t="shared" si="263"/>
        <v>0</v>
      </c>
      <c r="BF73" s="345">
        <f t="shared" si="263"/>
        <v>0</v>
      </c>
      <c r="BG73" s="345">
        <f>SUM(BG74:BG75)</f>
        <v>0</v>
      </c>
      <c r="BH73" s="345">
        <f t="shared" si="263"/>
        <v>0</v>
      </c>
      <c r="BI73" s="345">
        <f t="shared" si="263"/>
        <v>0</v>
      </c>
      <c r="BJ73" s="345">
        <f t="shared" si="263"/>
        <v>0</v>
      </c>
      <c r="BK73" s="345">
        <f>SUM(BK74:BK75)</f>
        <v>0</v>
      </c>
      <c r="BL73" s="345">
        <f t="shared" si="263"/>
        <v>0</v>
      </c>
      <c r="BM73" s="345">
        <f t="shared" si="263"/>
        <v>0</v>
      </c>
      <c r="BN73" s="345">
        <f t="shared" si="263"/>
        <v>0</v>
      </c>
      <c r="BO73" s="345">
        <f>SUM(BO74:BO75)</f>
        <v>0</v>
      </c>
      <c r="BP73" s="345">
        <f t="shared" ref="BP73:CH73" si="264">SUM(BP74:BP75)</f>
        <v>0</v>
      </c>
      <c r="BQ73" s="345">
        <f t="shared" si="264"/>
        <v>0</v>
      </c>
      <c r="BR73" s="345">
        <f t="shared" si="264"/>
        <v>0</v>
      </c>
      <c r="BS73" s="345">
        <f>SUM(BS74:BS75)</f>
        <v>0</v>
      </c>
      <c r="BT73" s="345">
        <f t="shared" si="264"/>
        <v>0</v>
      </c>
      <c r="BU73" s="345">
        <f t="shared" si="264"/>
        <v>0</v>
      </c>
      <c r="BV73" s="345">
        <f t="shared" si="264"/>
        <v>0</v>
      </c>
      <c r="BW73" s="345">
        <f>SUM(BW74:BW75)</f>
        <v>0</v>
      </c>
      <c r="BX73" s="345">
        <f t="shared" si="264"/>
        <v>0</v>
      </c>
      <c r="BY73" s="345">
        <f t="shared" si="264"/>
        <v>0</v>
      </c>
      <c r="BZ73" s="345">
        <f t="shared" si="264"/>
        <v>0</v>
      </c>
      <c r="CA73" s="345">
        <f>SUM(CA74:CA75)</f>
        <v>0</v>
      </c>
      <c r="CB73" s="345">
        <f t="shared" si="264"/>
        <v>0</v>
      </c>
      <c r="CC73" s="345">
        <f t="shared" si="264"/>
        <v>0</v>
      </c>
      <c r="CD73" s="345">
        <f t="shared" si="264"/>
        <v>0</v>
      </c>
      <c r="CE73" s="345">
        <f>SUM(CE74:CE75)</f>
        <v>0</v>
      </c>
      <c r="CF73" s="345">
        <f t="shared" si="264"/>
        <v>0</v>
      </c>
      <c r="CG73" s="345">
        <f t="shared" si="264"/>
        <v>0</v>
      </c>
      <c r="CH73" s="345">
        <f t="shared" si="264"/>
        <v>0</v>
      </c>
      <c r="CI73" s="345">
        <f>SUM(CI74:CI75)</f>
        <v>0</v>
      </c>
    </row>
    <row r="74" spans="3:87" s="48" customFormat="1" ht="14.5" customHeight="1" thickBot="1" x14ac:dyDescent="0.2">
      <c r="C74" s="119" t="str">
        <f>Tekstnøgler!C159</f>
        <v>Fysiske enheder med egne emissionsfaktorer</v>
      </c>
      <c r="D74" s="347"/>
      <c r="E74" s="347"/>
      <c r="F74" s="347"/>
      <c r="G74" s="343">
        <f t="shared" ref="G74:G75" si="265">D74+E74+F74</f>
        <v>0</v>
      </c>
      <c r="H74" s="347"/>
      <c r="I74" s="347"/>
      <c r="J74" s="347"/>
      <c r="K74" s="343">
        <f t="shared" ref="K74:K75" si="266">H74+I74+J74</f>
        <v>0</v>
      </c>
      <c r="L74" s="347"/>
      <c r="M74" s="347"/>
      <c r="N74" s="347"/>
      <c r="O74" s="343">
        <f t="shared" ref="O74:O75" si="267">L74+M74+N74</f>
        <v>0</v>
      </c>
      <c r="P74" s="347"/>
      <c r="Q74" s="347"/>
      <c r="R74" s="347"/>
      <c r="S74" s="343">
        <f t="shared" ref="S74:S75" si="268">P74+Q74+R74</f>
        <v>0</v>
      </c>
      <c r="T74" s="347"/>
      <c r="U74" s="347"/>
      <c r="V74" s="347"/>
      <c r="W74" s="343">
        <f t="shared" ref="W74:W75" si="269">T74+U74+V74</f>
        <v>0</v>
      </c>
      <c r="X74" s="347"/>
      <c r="Y74" s="347"/>
      <c r="Z74" s="347"/>
      <c r="AA74" s="343">
        <f t="shared" ref="AA74:AA75" si="270">X74+Y74+Z74</f>
        <v>0</v>
      </c>
      <c r="AB74" s="347"/>
      <c r="AC74" s="347"/>
      <c r="AD74" s="347"/>
      <c r="AE74" s="343">
        <f t="shared" ref="AE74:AE75" si="271">AB74+AC74+AD74</f>
        <v>0</v>
      </c>
      <c r="AF74" s="347"/>
      <c r="AG74" s="347"/>
      <c r="AH74" s="347"/>
      <c r="AI74" s="343">
        <f t="shared" ref="AI74:AI75" si="272">AF74+AG74+AH74</f>
        <v>0</v>
      </c>
      <c r="AJ74" s="347"/>
      <c r="AK74" s="347"/>
      <c r="AL74" s="347"/>
      <c r="AM74" s="343">
        <f t="shared" ref="AM74:AM75" si="273">AJ74+AK74+AL74</f>
        <v>0</v>
      </c>
      <c r="AN74" s="347"/>
      <c r="AO74" s="347"/>
      <c r="AP74" s="347"/>
      <c r="AQ74" s="343">
        <f t="shared" ref="AQ74:AQ75" si="274">AN74+AO74+AP74</f>
        <v>0</v>
      </c>
      <c r="AR74" s="347"/>
      <c r="AS74" s="347"/>
      <c r="AT74" s="347"/>
      <c r="AU74" s="343">
        <f t="shared" ref="AU74:AU75" si="275">AR74+AS74+AT74</f>
        <v>0</v>
      </c>
      <c r="AV74" s="347"/>
      <c r="AW74" s="347"/>
      <c r="AX74" s="347"/>
      <c r="AY74" s="343">
        <f t="shared" ref="AY74:AY75" si="276">AV74+AW74+AX74</f>
        <v>0</v>
      </c>
      <c r="AZ74" s="347"/>
      <c r="BA74" s="347"/>
      <c r="BB74" s="347"/>
      <c r="BC74" s="343">
        <f t="shared" ref="BC74:BC75" si="277">AZ74+BA74+BB74</f>
        <v>0</v>
      </c>
      <c r="BD74" s="347"/>
      <c r="BE74" s="347"/>
      <c r="BF74" s="347"/>
      <c r="BG74" s="343">
        <f t="shared" ref="BG74:BG75" si="278">BD74+BE74+BF74</f>
        <v>0</v>
      </c>
      <c r="BH74" s="347"/>
      <c r="BI74" s="347"/>
      <c r="BJ74" s="347"/>
      <c r="BK74" s="343">
        <f t="shared" ref="BK74:BK75" si="279">BH74+BI74+BJ74</f>
        <v>0</v>
      </c>
      <c r="BL74" s="347"/>
      <c r="BM74" s="347"/>
      <c r="BN74" s="347"/>
      <c r="BO74" s="343">
        <f t="shared" ref="BO74:BO75" si="280">BL74+BM74+BN74</f>
        <v>0</v>
      </c>
      <c r="BP74" s="347"/>
      <c r="BQ74" s="347"/>
      <c r="BR74" s="347"/>
      <c r="BS74" s="343">
        <f t="shared" ref="BS74:BS75" si="281">BP74+BQ74+BR74</f>
        <v>0</v>
      </c>
      <c r="BT74" s="347"/>
      <c r="BU74" s="347"/>
      <c r="BV74" s="347"/>
      <c r="BW74" s="343">
        <f t="shared" ref="BW74:BW75" si="282">BT74+BU74+BV74</f>
        <v>0</v>
      </c>
      <c r="BX74" s="347"/>
      <c r="BY74" s="347"/>
      <c r="BZ74" s="347"/>
      <c r="CA74" s="343">
        <f t="shared" ref="CA74:CA75" si="283">BX74+BY74+BZ74</f>
        <v>0</v>
      </c>
      <c r="CB74" s="347"/>
      <c r="CC74" s="347"/>
      <c r="CD74" s="347"/>
      <c r="CE74" s="343">
        <f t="shared" ref="CE74:CE75" si="284">CB74+CC74+CD74</f>
        <v>0</v>
      </c>
      <c r="CF74" s="347"/>
      <c r="CG74" s="347"/>
      <c r="CH74" s="347"/>
      <c r="CI74" s="343">
        <f t="shared" ref="CI74:CI75" si="285">CF74+CG74+CH74</f>
        <v>0</v>
      </c>
    </row>
    <row r="75" spans="3:87" s="48" customFormat="1" ht="14.5" customHeight="1" thickBot="1" x14ac:dyDescent="0.2">
      <c r="C75" s="119" t="str">
        <f>Tekstnøgler!C160</f>
        <v>Monetære enheder (beløb i DKK) med egne emissionsfaktorer</v>
      </c>
      <c r="D75" s="347"/>
      <c r="E75" s="347"/>
      <c r="F75" s="347"/>
      <c r="G75" s="343">
        <f t="shared" si="265"/>
        <v>0</v>
      </c>
      <c r="H75" s="347"/>
      <c r="I75" s="347"/>
      <c r="J75" s="347"/>
      <c r="K75" s="343">
        <f t="shared" si="266"/>
        <v>0</v>
      </c>
      <c r="L75" s="347"/>
      <c r="M75" s="347"/>
      <c r="N75" s="347"/>
      <c r="O75" s="343">
        <f t="shared" si="267"/>
        <v>0</v>
      </c>
      <c r="P75" s="347"/>
      <c r="Q75" s="347"/>
      <c r="R75" s="347"/>
      <c r="S75" s="343">
        <f t="shared" si="268"/>
        <v>0</v>
      </c>
      <c r="T75" s="347"/>
      <c r="U75" s="347"/>
      <c r="V75" s="347"/>
      <c r="W75" s="343">
        <f t="shared" si="269"/>
        <v>0</v>
      </c>
      <c r="X75" s="347"/>
      <c r="Y75" s="347"/>
      <c r="Z75" s="347"/>
      <c r="AA75" s="343">
        <f t="shared" si="270"/>
        <v>0</v>
      </c>
      <c r="AB75" s="347"/>
      <c r="AC75" s="347"/>
      <c r="AD75" s="347"/>
      <c r="AE75" s="343">
        <f t="shared" si="271"/>
        <v>0</v>
      </c>
      <c r="AF75" s="347"/>
      <c r="AG75" s="347"/>
      <c r="AH75" s="347"/>
      <c r="AI75" s="343">
        <f t="shared" si="272"/>
        <v>0</v>
      </c>
      <c r="AJ75" s="347"/>
      <c r="AK75" s="347"/>
      <c r="AL75" s="347"/>
      <c r="AM75" s="343">
        <f t="shared" si="273"/>
        <v>0</v>
      </c>
      <c r="AN75" s="347"/>
      <c r="AO75" s="347"/>
      <c r="AP75" s="347"/>
      <c r="AQ75" s="343">
        <f t="shared" si="274"/>
        <v>0</v>
      </c>
      <c r="AR75" s="347"/>
      <c r="AS75" s="347"/>
      <c r="AT75" s="347"/>
      <c r="AU75" s="343">
        <f t="shared" si="275"/>
        <v>0</v>
      </c>
      <c r="AV75" s="347"/>
      <c r="AW75" s="347"/>
      <c r="AX75" s="347"/>
      <c r="AY75" s="343">
        <f t="shared" si="276"/>
        <v>0</v>
      </c>
      <c r="AZ75" s="347"/>
      <c r="BA75" s="347"/>
      <c r="BB75" s="347"/>
      <c r="BC75" s="343">
        <f t="shared" si="277"/>
        <v>0</v>
      </c>
      <c r="BD75" s="347"/>
      <c r="BE75" s="347"/>
      <c r="BF75" s="347"/>
      <c r="BG75" s="343">
        <f t="shared" si="278"/>
        <v>0</v>
      </c>
      <c r="BH75" s="347"/>
      <c r="BI75" s="347"/>
      <c r="BJ75" s="347"/>
      <c r="BK75" s="343">
        <f t="shared" si="279"/>
        <v>0</v>
      </c>
      <c r="BL75" s="347"/>
      <c r="BM75" s="347"/>
      <c r="BN75" s="347"/>
      <c r="BO75" s="343">
        <f t="shared" si="280"/>
        <v>0</v>
      </c>
      <c r="BP75" s="347"/>
      <c r="BQ75" s="347"/>
      <c r="BR75" s="347"/>
      <c r="BS75" s="343">
        <f t="shared" si="281"/>
        <v>0</v>
      </c>
      <c r="BT75" s="347"/>
      <c r="BU75" s="347"/>
      <c r="BV75" s="347"/>
      <c r="BW75" s="343">
        <f t="shared" si="282"/>
        <v>0</v>
      </c>
      <c r="BX75" s="347"/>
      <c r="BY75" s="347"/>
      <c r="BZ75" s="347"/>
      <c r="CA75" s="343">
        <f t="shared" si="283"/>
        <v>0</v>
      </c>
      <c r="CB75" s="347"/>
      <c r="CC75" s="347"/>
      <c r="CD75" s="347"/>
      <c r="CE75" s="343">
        <f t="shared" si="284"/>
        <v>0</v>
      </c>
      <c r="CF75" s="347"/>
      <c r="CG75" s="347"/>
      <c r="CH75" s="347"/>
      <c r="CI75" s="343">
        <f t="shared" si="285"/>
        <v>0</v>
      </c>
    </row>
    <row r="76" spans="3:87" s="48" customFormat="1" ht="14.5" customHeight="1" thickBot="1" x14ac:dyDescent="0.2">
      <c r="C76" s="117" t="str">
        <f>Tekstnøgler!C161</f>
        <v>Transport</v>
      </c>
      <c r="D76" s="46">
        <f t="shared" ref="D76:AH76" si="286">D77+D81+D86+D90+D94</f>
        <v>3</v>
      </c>
      <c r="E76" s="46">
        <f t="shared" si="286"/>
        <v>3</v>
      </c>
      <c r="F76" s="46">
        <f t="shared" si="286"/>
        <v>3</v>
      </c>
      <c r="G76" s="46">
        <f>G77+G81+G86+G90+G94</f>
        <v>9</v>
      </c>
      <c r="H76" s="46">
        <f t="shared" si="286"/>
        <v>3</v>
      </c>
      <c r="I76" s="46">
        <f t="shared" si="286"/>
        <v>3</v>
      </c>
      <c r="J76" s="46">
        <f t="shared" si="286"/>
        <v>3</v>
      </c>
      <c r="K76" s="46">
        <f>K77+K81+K86+K90+K94</f>
        <v>9</v>
      </c>
      <c r="L76" s="46">
        <f t="shared" si="286"/>
        <v>3</v>
      </c>
      <c r="M76" s="46">
        <f t="shared" si="286"/>
        <v>3</v>
      </c>
      <c r="N76" s="46">
        <f t="shared" si="286"/>
        <v>3</v>
      </c>
      <c r="O76" s="46">
        <f>O77+O81+O86+O90+O94</f>
        <v>9</v>
      </c>
      <c r="P76" s="46">
        <f t="shared" si="286"/>
        <v>3</v>
      </c>
      <c r="Q76" s="46">
        <f t="shared" si="286"/>
        <v>3</v>
      </c>
      <c r="R76" s="46">
        <f t="shared" si="286"/>
        <v>3</v>
      </c>
      <c r="S76" s="46">
        <f>S77+S81+S86+S90+S94</f>
        <v>9</v>
      </c>
      <c r="T76" s="46">
        <f t="shared" si="286"/>
        <v>3</v>
      </c>
      <c r="U76" s="46">
        <f t="shared" si="286"/>
        <v>3</v>
      </c>
      <c r="V76" s="46">
        <f t="shared" si="286"/>
        <v>3</v>
      </c>
      <c r="W76" s="46">
        <f>W77+W81+W86+W90+W94</f>
        <v>9</v>
      </c>
      <c r="X76" s="46">
        <f t="shared" si="286"/>
        <v>3</v>
      </c>
      <c r="Y76" s="46">
        <f t="shared" si="286"/>
        <v>3</v>
      </c>
      <c r="Z76" s="46">
        <f t="shared" si="286"/>
        <v>3</v>
      </c>
      <c r="AA76" s="46">
        <f>AA77+AA81+AA86+AA90+AA94</f>
        <v>9</v>
      </c>
      <c r="AB76" s="46">
        <f t="shared" si="286"/>
        <v>3</v>
      </c>
      <c r="AC76" s="46">
        <f t="shared" si="286"/>
        <v>3</v>
      </c>
      <c r="AD76" s="46">
        <f t="shared" si="286"/>
        <v>3</v>
      </c>
      <c r="AE76" s="46">
        <f>AE77+AE81+AE86+AE90+AE94</f>
        <v>9</v>
      </c>
      <c r="AF76" s="46">
        <f t="shared" si="286"/>
        <v>3</v>
      </c>
      <c r="AG76" s="46">
        <f t="shared" si="286"/>
        <v>3</v>
      </c>
      <c r="AH76" s="46">
        <f t="shared" si="286"/>
        <v>3</v>
      </c>
      <c r="AI76" s="46">
        <f>AI77+AI81+AI86+AI90+AI94</f>
        <v>9</v>
      </c>
      <c r="AJ76" s="46">
        <f t="shared" ref="AJ76:BN76" si="287">AJ77+AJ81+AJ86+AJ90+AJ94</f>
        <v>3</v>
      </c>
      <c r="AK76" s="46">
        <f t="shared" si="287"/>
        <v>3</v>
      </c>
      <c r="AL76" s="46">
        <f t="shared" si="287"/>
        <v>3</v>
      </c>
      <c r="AM76" s="46">
        <f>AM77+AM81+AM86+AM90+AM94</f>
        <v>9</v>
      </c>
      <c r="AN76" s="46">
        <f t="shared" si="287"/>
        <v>3</v>
      </c>
      <c r="AO76" s="46">
        <f t="shared" si="287"/>
        <v>3</v>
      </c>
      <c r="AP76" s="46">
        <f t="shared" si="287"/>
        <v>3</v>
      </c>
      <c r="AQ76" s="46">
        <f>AQ77+AQ81+AQ86+AQ90+AQ94</f>
        <v>9</v>
      </c>
      <c r="AR76" s="46">
        <f t="shared" si="287"/>
        <v>3</v>
      </c>
      <c r="AS76" s="46">
        <f t="shared" si="287"/>
        <v>3</v>
      </c>
      <c r="AT76" s="46">
        <f t="shared" si="287"/>
        <v>3</v>
      </c>
      <c r="AU76" s="46">
        <f>AU77+AU81+AU86+AU90+AU94</f>
        <v>9</v>
      </c>
      <c r="AV76" s="46">
        <f t="shared" si="287"/>
        <v>3</v>
      </c>
      <c r="AW76" s="46">
        <f t="shared" si="287"/>
        <v>3</v>
      </c>
      <c r="AX76" s="46">
        <f t="shared" si="287"/>
        <v>3</v>
      </c>
      <c r="AY76" s="46">
        <f>AY77+AY81+AY86+AY90+AY94</f>
        <v>9</v>
      </c>
      <c r="AZ76" s="46">
        <f t="shared" si="287"/>
        <v>3</v>
      </c>
      <c r="BA76" s="46">
        <f t="shared" si="287"/>
        <v>3</v>
      </c>
      <c r="BB76" s="46">
        <f t="shared" si="287"/>
        <v>3</v>
      </c>
      <c r="BC76" s="46">
        <f>BC77+BC81+BC86+BC90+BC94</f>
        <v>9</v>
      </c>
      <c r="BD76" s="46">
        <f t="shared" si="287"/>
        <v>3</v>
      </c>
      <c r="BE76" s="46">
        <f t="shared" si="287"/>
        <v>3</v>
      </c>
      <c r="BF76" s="46">
        <f t="shared" si="287"/>
        <v>3</v>
      </c>
      <c r="BG76" s="46">
        <f>BG77+BG81+BG86+BG90+BG94</f>
        <v>9</v>
      </c>
      <c r="BH76" s="46">
        <f t="shared" si="287"/>
        <v>3</v>
      </c>
      <c r="BI76" s="46">
        <f t="shared" si="287"/>
        <v>16</v>
      </c>
      <c r="BJ76" s="46">
        <f t="shared" si="287"/>
        <v>3</v>
      </c>
      <c r="BK76" s="46">
        <f>BK77+BK81+BK86+BK90+BK94</f>
        <v>22</v>
      </c>
      <c r="BL76" s="46">
        <f t="shared" si="287"/>
        <v>3</v>
      </c>
      <c r="BM76" s="46">
        <f t="shared" si="287"/>
        <v>3</v>
      </c>
      <c r="BN76" s="46">
        <f t="shared" si="287"/>
        <v>3</v>
      </c>
      <c r="BO76" s="46">
        <f>BO77+BO81+BO86+BO90+BO94</f>
        <v>9</v>
      </c>
      <c r="BP76" s="46">
        <f t="shared" ref="BP76:CH76" si="288">BP77+BP81+BP86+BP90+BP94</f>
        <v>3</v>
      </c>
      <c r="BQ76" s="46">
        <f t="shared" si="288"/>
        <v>3</v>
      </c>
      <c r="BR76" s="46">
        <f t="shared" si="288"/>
        <v>3</v>
      </c>
      <c r="BS76" s="46">
        <f>BS77+BS81+BS86+BS90+BS94</f>
        <v>9</v>
      </c>
      <c r="BT76" s="46">
        <f t="shared" si="288"/>
        <v>3</v>
      </c>
      <c r="BU76" s="46">
        <f t="shared" si="288"/>
        <v>3</v>
      </c>
      <c r="BV76" s="46">
        <f t="shared" si="288"/>
        <v>3</v>
      </c>
      <c r="BW76" s="46">
        <f>BW77+BW81+BW86+BW90+BW94</f>
        <v>9</v>
      </c>
      <c r="BX76" s="46">
        <f t="shared" si="288"/>
        <v>3</v>
      </c>
      <c r="BY76" s="46">
        <f t="shared" si="288"/>
        <v>3</v>
      </c>
      <c r="BZ76" s="46">
        <f t="shared" si="288"/>
        <v>3</v>
      </c>
      <c r="CA76" s="46">
        <f>CA77+CA81+CA86+CA90+CA94</f>
        <v>9</v>
      </c>
      <c r="CB76" s="46">
        <f t="shared" si="288"/>
        <v>3</v>
      </c>
      <c r="CC76" s="46">
        <f t="shared" si="288"/>
        <v>3</v>
      </c>
      <c r="CD76" s="46">
        <f t="shared" si="288"/>
        <v>3</v>
      </c>
      <c r="CE76" s="46">
        <f>CE77+CE81+CE86+CE90+CE94</f>
        <v>9</v>
      </c>
      <c r="CF76" s="46">
        <f t="shared" si="288"/>
        <v>3</v>
      </c>
      <c r="CG76" s="46">
        <f t="shared" si="288"/>
        <v>3</v>
      </c>
      <c r="CH76" s="46">
        <f t="shared" si="288"/>
        <v>3</v>
      </c>
      <c r="CI76" s="46">
        <f>CI77+CI81+CI86+CI90+CI94</f>
        <v>9</v>
      </c>
    </row>
    <row r="77" spans="3:87" s="48" customFormat="1" ht="14.5" customHeight="1" thickBot="1" x14ac:dyDescent="0.2">
      <c r="C77" s="118" t="str">
        <f>Tekstnøgler!C162</f>
        <v>Egne og leasede transportmidler</v>
      </c>
      <c r="D77" s="344">
        <f t="shared" ref="D77:AH77" si="289">SUM(D78:D80)</f>
        <v>0</v>
      </c>
      <c r="E77" s="344">
        <f t="shared" si="289"/>
        <v>0</v>
      </c>
      <c r="F77" s="344">
        <f t="shared" si="289"/>
        <v>0</v>
      </c>
      <c r="G77" s="344">
        <f>SUM(G78:G80)</f>
        <v>0</v>
      </c>
      <c r="H77" s="344">
        <f t="shared" si="289"/>
        <v>0</v>
      </c>
      <c r="I77" s="344">
        <f t="shared" si="289"/>
        <v>0</v>
      </c>
      <c r="J77" s="344">
        <f t="shared" si="289"/>
        <v>0</v>
      </c>
      <c r="K77" s="344">
        <f>SUM(K78:K80)</f>
        <v>0</v>
      </c>
      <c r="L77" s="344">
        <f t="shared" si="289"/>
        <v>0</v>
      </c>
      <c r="M77" s="344">
        <f t="shared" si="289"/>
        <v>0</v>
      </c>
      <c r="N77" s="344">
        <f t="shared" si="289"/>
        <v>0</v>
      </c>
      <c r="O77" s="344">
        <f>SUM(O78:O80)</f>
        <v>0</v>
      </c>
      <c r="P77" s="344">
        <f t="shared" si="289"/>
        <v>0</v>
      </c>
      <c r="Q77" s="344">
        <f t="shared" si="289"/>
        <v>0</v>
      </c>
      <c r="R77" s="344">
        <f t="shared" si="289"/>
        <v>0</v>
      </c>
      <c r="S77" s="344">
        <f>SUM(S78:S80)</f>
        <v>0</v>
      </c>
      <c r="T77" s="344">
        <f t="shared" si="289"/>
        <v>0</v>
      </c>
      <c r="U77" s="344">
        <f t="shared" si="289"/>
        <v>0</v>
      </c>
      <c r="V77" s="344">
        <f t="shared" si="289"/>
        <v>0</v>
      </c>
      <c r="W77" s="344">
        <f>SUM(W78:W80)</f>
        <v>0</v>
      </c>
      <c r="X77" s="344">
        <f t="shared" si="289"/>
        <v>0</v>
      </c>
      <c r="Y77" s="344">
        <f t="shared" si="289"/>
        <v>0</v>
      </c>
      <c r="Z77" s="344">
        <f t="shared" si="289"/>
        <v>0</v>
      </c>
      <c r="AA77" s="344">
        <f>SUM(AA78:AA80)</f>
        <v>0</v>
      </c>
      <c r="AB77" s="344">
        <f t="shared" si="289"/>
        <v>0</v>
      </c>
      <c r="AC77" s="344">
        <f t="shared" si="289"/>
        <v>0</v>
      </c>
      <c r="AD77" s="344">
        <f t="shared" si="289"/>
        <v>0</v>
      </c>
      <c r="AE77" s="344">
        <f>SUM(AE78:AE80)</f>
        <v>0</v>
      </c>
      <c r="AF77" s="344">
        <f t="shared" si="289"/>
        <v>0</v>
      </c>
      <c r="AG77" s="344">
        <f t="shared" si="289"/>
        <v>0</v>
      </c>
      <c r="AH77" s="344">
        <f t="shared" si="289"/>
        <v>0</v>
      </c>
      <c r="AI77" s="344">
        <f>SUM(AI78:AI80)</f>
        <v>0</v>
      </c>
      <c r="AJ77" s="344">
        <f t="shared" ref="AJ77:BN77" si="290">SUM(AJ78:AJ80)</f>
        <v>0</v>
      </c>
      <c r="AK77" s="344">
        <f t="shared" si="290"/>
        <v>0</v>
      </c>
      <c r="AL77" s="344">
        <f t="shared" si="290"/>
        <v>0</v>
      </c>
      <c r="AM77" s="344">
        <f>SUM(AM78:AM80)</f>
        <v>0</v>
      </c>
      <c r="AN77" s="344">
        <f t="shared" si="290"/>
        <v>0</v>
      </c>
      <c r="AO77" s="344">
        <f t="shared" si="290"/>
        <v>0</v>
      </c>
      <c r="AP77" s="344">
        <f t="shared" si="290"/>
        <v>0</v>
      </c>
      <c r="AQ77" s="344">
        <f>SUM(AQ78:AQ80)</f>
        <v>0</v>
      </c>
      <c r="AR77" s="344">
        <f t="shared" si="290"/>
        <v>0</v>
      </c>
      <c r="AS77" s="344">
        <f t="shared" si="290"/>
        <v>0</v>
      </c>
      <c r="AT77" s="344">
        <f t="shared" si="290"/>
        <v>0</v>
      </c>
      <c r="AU77" s="344">
        <f>SUM(AU78:AU80)</f>
        <v>0</v>
      </c>
      <c r="AV77" s="344">
        <f t="shared" si="290"/>
        <v>0</v>
      </c>
      <c r="AW77" s="344">
        <f t="shared" si="290"/>
        <v>0</v>
      </c>
      <c r="AX77" s="344">
        <f t="shared" si="290"/>
        <v>0</v>
      </c>
      <c r="AY77" s="344">
        <f>SUM(AY78:AY80)</f>
        <v>0</v>
      </c>
      <c r="AZ77" s="344">
        <f t="shared" si="290"/>
        <v>0</v>
      </c>
      <c r="BA77" s="344">
        <f t="shared" si="290"/>
        <v>0</v>
      </c>
      <c r="BB77" s="344">
        <f t="shared" si="290"/>
        <v>0</v>
      </c>
      <c r="BC77" s="344">
        <f>SUM(BC78:BC80)</f>
        <v>0</v>
      </c>
      <c r="BD77" s="344">
        <f t="shared" si="290"/>
        <v>0</v>
      </c>
      <c r="BE77" s="344">
        <f t="shared" si="290"/>
        <v>0</v>
      </c>
      <c r="BF77" s="344">
        <f t="shared" si="290"/>
        <v>0</v>
      </c>
      <c r="BG77" s="344">
        <f>SUM(BG78:BG80)</f>
        <v>0</v>
      </c>
      <c r="BH77" s="344">
        <f t="shared" si="290"/>
        <v>0</v>
      </c>
      <c r="BI77" s="344">
        <f t="shared" si="290"/>
        <v>13</v>
      </c>
      <c r="BJ77" s="344">
        <f t="shared" si="290"/>
        <v>0</v>
      </c>
      <c r="BK77" s="344">
        <f>SUM(BK78:BK80)</f>
        <v>13</v>
      </c>
      <c r="BL77" s="344">
        <f t="shared" si="290"/>
        <v>0</v>
      </c>
      <c r="BM77" s="344">
        <f t="shared" si="290"/>
        <v>0</v>
      </c>
      <c r="BN77" s="344">
        <f t="shared" si="290"/>
        <v>0</v>
      </c>
      <c r="BO77" s="344">
        <f>SUM(BO78:BO80)</f>
        <v>0</v>
      </c>
      <c r="BP77" s="344">
        <f t="shared" ref="BP77:CH77" si="291">SUM(BP78:BP80)</f>
        <v>0</v>
      </c>
      <c r="BQ77" s="344">
        <f t="shared" si="291"/>
        <v>0</v>
      </c>
      <c r="BR77" s="344">
        <f t="shared" si="291"/>
        <v>0</v>
      </c>
      <c r="BS77" s="344">
        <f>SUM(BS78:BS80)</f>
        <v>0</v>
      </c>
      <c r="BT77" s="344">
        <f t="shared" si="291"/>
        <v>0</v>
      </c>
      <c r="BU77" s="344">
        <f t="shared" si="291"/>
        <v>0</v>
      </c>
      <c r="BV77" s="344">
        <f t="shared" si="291"/>
        <v>0</v>
      </c>
      <c r="BW77" s="344">
        <f>SUM(BW78:BW80)</f>
        <v>0</v>
      </c>
      <c r="BX77" s="344">
        <f t="shared" si="291"/>
        <v>0</v>
      </c>
      <c r="BY77" s="344">
        <f t="shared" si="291"/>
        <v>0</v>
      </c>
      <c r="BZ77" s="344">
        <f t="shared" si="291"/>
        <v>0</v>
      </c>
      <c r="CA77" s="344">
        <f>SUM(CA78:CA80)</f>
        <v>0</v>
      </c>
      <c r="CB77" s="344">
        <f t="shared" si="291"/>
        <v>0</v>
      </c>
      <c r="CC77" s="344">
        <f t="shared" si="291"/>
        <v>0</v>
      </c>
      <c r="CD77" s="344">
        <f t="shared" si="291"/>
        <v>0</v>
      </c>
      <c r="CE77" s="344">
        <f>SUM(CE78:CE80)</f>
        <v>0</v>
      </c>
      <c r="CF77" s="344">
        <f t="shared" si="291"/>
        <v>0</v>
      </c>
      <c r="CG77" s="344">
        <f t="shared" si="291"/>
        <v>0</v>
      </c>
      <c r="CH77" s="344">
        <f t="shared" si="291"/>
        <v>0</v>
      </c>
      <c r="CI77" s="344">
        <f>SUM(CI78:CI80)</f>
        <v>0</v>
      </c>
    </row>
    <row r="78" spans="3:87" s="48" customFormat="1" ht="14.5" customHeight="1" thickBot="1" x14ac:dyDescent="0.2">
      <c r="C78" s="119" t="str">
        <f>Tekstnøgler!C163</f>
        <v>Egne og leasede transportmidler</v>
      </c>
      <c r="D78" s="347"/>
      <c r="E78" s="347"/>
      <c r="F78" s="347"/>
      <c r="G78" s="343">
        <f t="shared" ref="G78:G80" si="292">D78+E78+F78</f>
        <v>0</v>
      </c>
      <c r="H78" s="347"/>
      <c r="I78" s="347"/>
      <c r="J78" s="347"/>
      <c r="K78" s="343">
        <f t="shared" ref="K78:K80" si="293">H78+I78+J78</f>
        <v>0</v>
      </c>
      <c r="L78" s="347"/>
      <c r="M78" s="347"/>
      <c r="N78" s="347"/>
      <c r="O78" s="343">
        <f t="shared" ref="O78:O80" si="294">L78+M78+N78</f>
        <v>0</v>
      </c>
      <c r="P78" s="347"/>
      <c r="Q78" s="347"/>
      <c r="R78" s="347"/>
      <c r="S78" s="343">
        <f t="shared" ref="S78:S80" si="295">P78+Q78+R78</f>
        <v>0</v>
      </c>
      <c r="T78" s="347"/>
      <c r="U78" s="347"/>
      <c r="V78" s="347"/>
      <c r="W78" s="343">
        <f t="shared" ref="W78:W80" si="296">T78+U78+V78</f>
        <v>0</v>
      </c>
      <c r="X78" s="347"/>
      <c r="Y78" s="347"/>
      <c r="Z78" s="347"/>
      <c r="AA78" s="343">
        <f t="shared" ref="AA78:AA80" si="297">X78+Y78+Z78</f>
        <v>0</v>
      </c>
      <c r="AB78" s="347"/>
      <c r="AC78" s="347"/>
      <c r="AD78" s="347"/>
      <c r="AE78" s="343">
        <f t="shared" ref="AE78:AE80" si="298">AB78+AC78+AD78</f>
        <v>0</v>
      </c>
      <c r="AF78" s="347"/>
      <c r="AG78" s="347"/>
      <c r="AH78" s="347"/>
      <c r="AI78" s="343">
        <f t="shared" ref="AI78:AI80" si="299">AF78+AG78+AH78</f>
        <v>0</v>
      </c>
      <c r="AJ78" s="347"/>
      <c r="AK78" s="347"/>
      <c r="AL78" s="347"/>
      <c r="AM78" s="343">
        <f t="shared" ref="AM78:AM80" si="300">AJ78+AK78+AL78</f>
        <v>0</v>
      </c>
      <c r="AN78" s="347"/>
      <c r="AO78" s="347"/>
      <c r="AP78" s="347"/>
      <c r="AQ78" s="343">
        <f t="shared" ref="AQ78:AQ80" si="301">AN78+AO78+AP78</f>
        <v>0</v>
      </c>
      <c r="AR78" s="347"/>
      <c r="AS78" s="347"/>
      <c r="AT78" s="347"/>
      <c r="AU78" s="343">
        <f t="shared" ref="AU78:AU80" si="302">AR78+AS78+AT78</f>
        <v>0</v>
      </c>
      <c r="AV78" s="347"/>
      <c r="AW78" s="347"/>
      <c r="AX78" s="347"/>
      <c r="AY78" s="343">
        <f t="shared" ref="AY78:AY80" si="303">AV78+AW78+AX78</f>
        <v>0</v>
      </c>
      <c r="AZ78" s="347"/>
      <c r="BA78" s="347"/>
      <c r="BB78" s="347"/>
      <c r="BC78" s="343">
        <f t="shared" ref="BC78:BC80" si="304">AZ78+BA78+BB78</f>
        <v>0</v>
      </c>
      <c r="BD78" s="347"/>
      <c r="BE78" s="347"/>
      <c r="BF78" s="347"/>
      <c r="BG78" s="343">
        <f t="shared" ref="BG78:BG80" si="305">BD78+BE78+BF78</f>
        <v>0</v>
      </c>
      <c r="BH78" s="347"/>
      <c r="BI78" s="347"/>
      <c r="BJ78" s="347"/>
      <c r="BK78" s="343">
        <f t="shared" ref="BK78:BK80" si="306">BH78+BI78+BJ78</f>
        <v>0</v>
      </c>
      <c r="BL78" s="347"/>
      <c r="BM78" s="347"/>
      <c r="BN78" s="347"/>
      <c r="BO78" s="343">
        <f t="shared" ref="BO78:BO80" si="307">BL78+BM78+BN78</f>
        <v>0</v>
      </c>
      <c r="BP78" s="347"/>
      <c r="BQ78" s="347"/>
      <c r="BR78" s="347"/>
      <c r="BS78" s="343">
        <f t="shared" ref="BS78:BS80" si="308">BP78+BQ78+BR78</f>
        <v>0</v>
      </c>
      <c r="BT78" s="347"/>
      <c r="BU78" s="347"/>
      <c r="BV78" s="347"/>
      <c r="BW78" s="343">
        <f t="shared" ref="BW78:BW80" si="309">BT78+BU78+BV78</f>
        <v>0</v>
      </c>
      <c r="BX78" s="347"/>
      <c r="BY78" s="347"/>
      <c r="BZ78" s="347"/>
      <c r="CA78" s="343">
        <f t="shared" ref="CA78:CA80" si="310">BX78+BY78+BZ78</f>
        <v>0</v>
      </c>
      <c r="CB78" s="347"/>
      <c r="CC78" s="347"/>
      <c r="CD78" s="347"/>
      <c r="CE78" s="343">
        <f t="shared" ref="CE78:CE80" si="311">CB78+CC78+CD78</f>
        <v>0</v>
      </c>
      <c r="CF78" s="347"/>
      <c r="CG78" s="347"/>
      <c r="CH78" s="347"/>
      <c r="CI78" s="343">
        <f t="shared" ref="CI78:CI80" si="312">CF78+CG78+CH78</f>
        <v>0</v>
      </c>
    </row>
    <row r="79" spans="3:87" s="48" customFormat="1" ht="14.5" customHeight="1" thickBot="1" x14ac:dyDescent="0.2">
      <c r="C79" s="119" t="str">
        <f>Tekstnøgler!C164</f>
        <v>Fly og Skibe</v>
      </c>
      <c r="D79" s="347"/>
      <c r="E79" s="347"/>
      <c r="F79" s="347"/>
      <c r="G79" s="343">
        <f t="shared" si="292"/>
        <v>0</v>
      </c>
      <c r="H79" s="347"/>
      <c r="I79" s="347"/>
      <c r="J79" s="347"/>
      <c r="K79" s="343">
        <f t="shared" si="293"/>
        <v>0</v>
      </c>
      <c r="L79" s="347"/>
      <c r="M79" s="347"/>
      <c r="N79" s="347"/>
      <c r="O79" s="343">
        <f t="shared" si="294"/>
        <v>0</v>
      </c>
      <c r="P79" s="347"/>
      <c r="Q79" s="347"/>
      <c r="R79" s="347"/>
      <c r="S79" s="343">
        <f t="shared" si="295"/>
        <v>0</v>
      </c>
      <c r="T79" s="347"/>
      <c r="U79" s="347"/>
      <c r="V79" s="347"/>
      <c r="W79" s="343">
        <f t="shared" si="296"/>
        <v>0</v>
      </c>
      <c r="X79" s="347"/>
      <c r="Y79" s="347"/>
      <c r="Z79" s="347"/>
      <c r="AA79" s="343">
        <f t="shared" si="297"/>
        <v>0</v>
      </c>
      <c r="AB79" s="347"/>
      <c r="AC79" s="347"/>
      <c r="AD79" s="347"/>
      <c r="AE79" s="343">
        <f t="shared" si="298"/>
        <v>0</v>
      </c>
      <c r="AF79" s="347"/>
      <c r="AG79" s="347"/>
      <c r="AH79" s="347"/>
      <c r="AI79" s="343">
        <f t="shared" si="299"/>
        <v>0</v>
      </c>
      <c r="AJ79" s="347"/>
      <c r="AK79" s="347"/>
      <c r="AL79" s="347"/>
      <c r="AM79" s="343">
        <f t="shared" si="300"/>
        <v>0</v>
      </c>
      <c r="AN79" s="347"/>
      <c r="AO79" s="347"/>
      <c r="AP79" s="347"/>
      <c r="AQ79" s="343">
        <f t="shared" si="301"/>
        <v>0</v>
      </c>
      <c r="AR79" s="347"/>
      <c r="AS79" s="347"/>
      <c r="AT79" s="347"/>
      <c r="AU79" s="343">
        <f t="shared" si="302"/>
        <v>0</v>
      </c>
      <c r="AV79" s="347"/>
      <c r="AW79" s="347"/>
      <c r="AX79" s="347"/>
      <c r="AY79" s="343">
        <f t="shared" si="303"/>
        <v>0</v>
      </c>
      <c r="AZ79" s="347"/>
      <c r="BA79" s="347"/>
      <c r="BB79" s="347"/>
      <c r="BC79" s="343">
        <f t="shared" si="304"/>
        <v>0</v>
      </c>
      <c r="BD79" s="347"/>
      <c r="BE79" s="347"/>
      <c r="BF79" s="347"/>
      <c r="BG79" s="343">
        <f t="shared" si="305"/>
        <v>0</v>
      </c>
      <c r="BH79" s="347"/>
      <c r="BI79" s="347">
        <v>13</v>
      </c>
      <c r="BJ79" s="347"/>
      <c r="BK79" s="343">
        <f t="shared" si="306"/>
        <v>13</v>
      </c>
      <c r="BL79" s="347"/>
      <c r="BM79" s="347"/>
      <c r="BN79" s="347"/>
      <c r="BO79" s="343">
        <f t="shared" si="307"/>
        <v>0</v>
      </c>
      <c r="BP79" s="347"/>
      <c r="BQ79" s="347"/>
      <c r="BR79" s="347"/>
      <c r="BS79" s="343">
        <f t="shared" si="308"/>
        <v>0</v>
      </c>
      <c r="BT79" s="347"/>
      <c r="BU79" s="347"/>
      <c r="BV79" s="347"/>
      <c r="BW79" s="343">
        <f t="shared" si="309"/>
        <v>0</v>
      </c>
      <c r="BX79" s="347"/>
      <c r="BY79" s="347"/>
      <c r="BZ79" s="347"/>
      <c r="CA79" s="343">
        <f t="shared" si="310"/>
        <v>0</v>
      </c>
      <c r="CB79" s="347"/>
      <c r="CC79" s="347"/>
      <c r="CD79" s="347"/>
      <c r="CE79" s="343">
        <f t="shared" si="311"/>
        <v>0</v>
      </c>
      <c r="CF79" s="347"/>
      <c r="CG79" s="347"/>
      <c r="CH79" s="347"/>
      <c r="CI79" s="343">
        <f t="shared" si="312"/>
        <v>0</v>
      </c>
    </row>
    <row r="80" spans="3:87" s="48" customFormat="1" ht="14.5" customHeight="1" thickBot="1" x14ac:dyDescent="0.2">
      <c r="C80" s="119" t="str">
        <f>Tekstnøgler!C165</f>
        <v>Egne og leasede transportmidler med egne emissionsfaktorer</v>
      </c>
      <c r="D80" s="347"/>
      <c r="E80" s="347"/>
      <c r="F80" s="347"/>
      <c r="G80" s="343">
        <f t="shared" si="292"/>
        <v>0</v>
      </c>
      <c r="H80" s="347"/>
      <c r="I80" s="347"/>
      <c r="J80" s="347"/>
      <c r="K80" s="343">
        <f t="shared" si="293"/>
        <v>0</v>
      </c>
      <c r="L80" s="347"/>
      <c r="M80" s="347"/>
      <c r="N80" s="347"/>
      <c r="O80" s="343">
        <f t="shared" si="294"/>
        <v>0</v>
      </c>
      <c r="P80" s="347"/>
      <c r="Q80" s="347"/>
      <c r="R80" s="347"/>
      <c r="S80" s="343">
        <f t="shared" si="295"/>
        <v>0</v>
      </c>
      <c r="T80" s="347"/>
      <c r="U80" s="347"/>
      <c r="V80" s="347"/>
      <c r="W80" s="343">
        <f t="shared" si="296"/>
        <v>0</v>
      </c>
      <c r="X80" s="347"/>
      <c r="Y80" s="347"/>
      <c r="Z80" s="347"/>
      <c r="AA80" s="343">
        <f t="shared" si="297"/>
        <v>0</v>
      </c>
      <c r="AB80" s="347"/>
      <c r="AC80" s="347"/>
      <c r="AD80" s="347"/>
      <c r="AE80" s="343">
        <f t="shared" si="298"/>
        <v>0</v>
      </c>
      <c r="AF80" s="347"/>
      <c r="AG80" s="347"/>
      <c r="AH80" s="347"/>
      <c r="AI80" s="343">
        <f t="shared" si="299"/>
        <v>0</v>
      </c>
      <c r="AJ80" s="347"/>
      <c r="AK80" s="347"/>
      <c r="AL80" s="347"/>
      <c r="AM80" s="343">
        <f t="shared" si="300"/>
        <v>0</v>
      </c>
      <c r="AN80" s="347"/>
      <c r="AO80" s="347"/>
      <c r="AP80" s="347"/>
      <c r="AQ80" s="343">
        <f t="shared" si="301"/>
        <v>0</v>
      </c>
      <c r="AR80" s="347"/>
      <c r="AS80" s="347"/>
      <c r="AT80" s="347"/>
      <c r="AU80" s="343">
        <f t="shared" si="302"/>
        <v>0</v>
      </c>
      <c r="AV80" s="347"/>
      <c r="AW80" s="347"/>
      <c r="AX80" s="347"/>
      <c r="AY80" s="343">
        <f t="shared" si="303"/>
        <v>0</v>
      </c>
      <c r="AZ80" s="347"/>
      <c r="BA80" s="347"/>
      <c r="BB80" s="347"/>
      <c r="BC80" s="343">
        <f t="shared" si="304"/>
        <v>0</v>
      </c>
      <c r="BD80" s="347"/>
      <c r="BE80" s="347"/>
      <c r="BF80" s="347"/>
      <c r="BG80" s="343">
        <f t="shared" si="305"/>
        <v>0</v>
      </c>
      <c r="BH80" s="347"/>
      <c r="BI80" s="347"/>
      <c r="BJ80" s="347"/>
      <c r="BK80" s="343">
        <f t="shared" si="306"/>
        <v>0</v>
      </c>
      <c r="BL80" s="347"/>
      <c r="BM80" s="347"/>
      <c r="BN80" s="347"/>
      <c r="BO80" s="343">
        <f t="shared" si="307"/>
        <v>0</v>
      </c>
      <c r="BP80" s="347"/>
      <c r="BQ80" s="347"/>
      <c r="BR80" s="347"/>
      <c r="BS80" s="343">
        <f t="shared" si="308"/>
        <v>0</v>
      </c>
      <c r="BT80" s="347"/>
      <c r="BU80" s="347"/>
      <c r="BV80" s="347"/>
      <c r="BW80" s="343">
        <f t="shared" si="309"/>
        <v>0</v>
      </c>
      <c r="BX80" s="347"/>
      <c r="BY80" s="347"/>
      <c r="BZ80" s="347"/>
      <c r="CA80" s="343">
        <f t="shared" si="310"/>
        <v>0</v>
      </c>
      <c r="CB80" s="347"/>
      <c r="CC80" s="347"/>
      <c r="CD80" s="347"/>
      <c r="CE80" s="343">
        <f t="shared" si="311"/>
        <v>0</v>
      </c>
      <c r="CF80" s="347"/>
      <c r="CG80" s="347"/>
      <c r="CH80" s="347"/>
      <c r="CI80" s="343">
        <f t="shared" si="312"/>
        <v>0</v>
      </c>
    </row>
    <row r="81" spans="3:87" s="48" customFormat="1" ht="14.5" customHeight="1" thickBot="1" x14ac:dyDescent="0.2">
      <c r="C81" s="118" t="str">
        <f>Tekstnøgler!C166</f>
        <v>Medarbejdertransport</v>
      </c>
      <c r="D81" s="344">
        <f t="shared" ref="D81:AH81" si="313">SUM(D82:D85)</f>
        <v>3</v>
      </c>
      <c r="E81" s="344">
        <f t="shared" si="313"/>
        <v>3</v>
      </c>
      <c r="F81" s="344">
        <f t="shared" si="313"/>
        <v>3</v>
      </c>
      <c r="G81" s="344">
        <f>SUM(G82:G85)</f>
        <v>9</v>
      </c>
      <c r="H81" s="344">
        <f t="shared" si="313"/>
        <v>3</v>
      </c>
      <c r="I81" s="344">
        <f t="shared" si="313"/>
        <v>3</v>
      </c>
      <c r="J81" s="344">
        <f t="shared" si="313"/>
        <v>3</v>
      </c>
      <c r="K81" s="344">
        <f>SUM(K82:K85)</f>
        <v>9</v>
      </c>
      <c r="L81" s="344">
        <f t="shared" si="313"/>
        <v>3</v>
      </c>
      <c r="M81" s="344">
        <f t="shared" si="313"/>
        <v>3</v>
      </c>
      <c r="N81" s="344">
        <f t="shared" si="313"/>
        <v>3</v>
      </c>
      <c r="O81" s="344">
        <f>SUM(O82:O85)</f>
        <v>9</v>
      </c>
      <c r="P81" s="344">
        <f t="shared" si="313"/>
        <v>3</v>
      </c>
      <c r="Q81" s="344">
        <f t="shared" si="313"/>
        <v>3</v>
      </c>
      <c r="R81" s="344">
        <f t="shared" si="313"/>
        <v>3</v>
      </c>
      <c r="S81" s="344">
        <f>SUM(S82:S85)</f>
        <v>9</v>
      </c>
      <c r="T81" s="344">
        <f t="shared" si="313"/>
        <v>3</v>
      </c>
      <c r="U81" s="344">
        <f t="shared" si="313"/>
        <v>3</v>
      </c>
      <c r="V81" s="344">
        <f t="shared" si="313"/>
        <v>3</v>
      </c>
      <c r="W81" s="344">
        <f>SUM(W82:W85)</f>
        <v>9</v>
      </c>
      <c r="X81" s="344">
        <f t="shared" si="313"/>
        <v>3</v>
      </c>
      <c r="Y81" s="344">
        <f t="shared" si="313"/>
        <v>3</v>
      </c>
      <c r="Z81" s="344">
        <f t="shared" si="313"/>
        <v>3</v>
      </c>
      <c r="AA81" s="344">
        <f>SUM(AA82:AA85)</f>
        <v>9</v>
      </c>
      <c r="AB81" s="344">
        <f t="shared" si="313"/>
        <v>3</v>
      </c>
      <c r="AC81" s="344">
        <f t="shared" si="313"/>
        <v>3</v>
      </c>
      <c r="AD81" s="344">
        <f t="shared" si="313"/>
        <v>3</v>
      </c>
      <c r="AE81" s="344">
        <f>SUM(AE82:AE85)</f>
        <v>9</v>
      </c>
      <c r="AF81" s="344">
        <f t="shared" si="313"/>
        <v>3</v>
      </c>
      <c r="AG81" s="344">
        <f t="shared" si="313"/>
        <v>3</v>
      </c>
      <c r="AH81" s="344">
        <f t="shared" si="313"/>
        <v>3</v>
      </c>
      <c r="AI81" s="344">
        <f>SUM(AI82:AI85)</f>
        <v>9</v>
      </c>
      <c r="AJ81" s="344">
        <f t="shared" ref="AJ81:BN81" si="314">SUM(AJ82:AJ85)</f>
        <v>3</v>
      </c>
      <c r="AK81" s="344">
        <f t="shared" si="314"/>
        <v>3</v>
      </c>
      <c r="AL81" s="344">
        <f t="shared" si="314"/>
        <v>3</v>
      </c>
      <c r="AM81" s="344">
        <f>SUM(AM82:AM85)</f>
        <v>9</v>
      </c>
      <c r="AN81" s="344">
        <f t="shared" si="314"/>
        <v>3</v>
      </c>
      <c r="AO81" s="344">
        <f t="shared" si="314"/>
        <v>3</v>
      </c>
      <c r="AP81" s="344">
        <f t="shared" si="314"/>
        <v>3</v>
      </c>
      <c r="AQ81" s="344">
        <f>SUM(AQ82:AQ85)</f>
        <v>9</v>
      </c>
      <c r="AR81" s="344">
        <f t="shared" si="314"/>
        <v>3</v>
      </c>
      <c r="AS81" s="344">
        <f t="shared" si="314"/>
        <v>3</v>
      </c>
      <c r="AT81" s="344">
        <f t="shared" si="314"/>
        <v>3</v>
      </c>
      <c r="AU81" s="344">
        <f>SUM(AU82:AU85)</f>
        <v>9</v>
      </c>
      <c r="AV81" s="344">
        <f t="shared" si="314"/>
        <v>3</v>
      </c>
      <c r="AW81" s="344">
        <f t="shared" si="314"/>
        <v>3</v>
      </c>
      <c r="AX81" s="344">
        <f t="shared" si="314"/>
        <v>3</v>
      </c>
      <c r="AY81" s="344">
        <f>SUM(AY82:AY85)</f>
        <v>9</v>
      </c>
      <c r="AZ81" s="344">
        <f t="shared" si="314"/>
        <v>3</v>
      </c>
      <c r="BA81" s="344">
        <f t="shared" si="314"/>
        <v>3</v>
      </c>
      <c r="BB81" s="344">
        <f t="shared" si="314"/>
        <v>3</v>
      </c>
      <c r="BC81" s="344">
        <f>SUM(BC82:BC85)</f>
        <v>9</v>
      </c>
      <c r="BD81" s="344">
        <f t="shared" si="314"/>
        <v>3</v>
      </c>
      <c r="BE81" s="344">
        <f t="shared" si="314"/>
        <v>3</v>
      </c>
      <c r="BF81" s="344">
        <f t="shared" si="314"/>
        <v>3</v>
      </c>
      <c r="BG81" s="344">
        <f>SUM(BG82:BG85)</f>
        <v>9</v>
      </c>
      <c r="BH81" s="344">
        <f t="shared" si="314"/>
        <v>3</v>
      </c>
      <c r="BI81" s="344">
        <f t="shared" si="314"/>
        <v>3</v>
      </c>
      <c r="BJ81" s="344">
        <f t="shared" si="314"/>
        <v>3</v>
      </c>
      <c r="BK81" s="344">
        <f>SUM(BK82:BK85)</f>
        <v>9</v>
      </c>
      <c r="BL81" s="344">
        <f t="shared" si="314"/>
        <v>3</v>
      </c>
      <c r="BM81" s="344">
        <f t="shared" si="314"/>
        <v>3</v>
      </c>
      <c r="BN81" s="344">
        <f t="shared" si="314"/>
        <v>3</v>
      </c>
      <c r="BO81" s="344">
        <f>SUM(BO82:BO85)</f>
        <v>9</v>
      </c>
      <c r="BP81" s="344">
        <f t="shared" ref="BP81:CH81" si="315">SUM(BP82:BP85)</f>
        <v>3</v>
      </c>
      <c r="BQ81" s="344">
        <f t="shared" si="315"/>
        <v>3</v>
      </c>
      <c r="BR81" s="344">
        <f t="shared" si="315"/>
        <v>3</v>
      </c>
      <c r="BS81" s="344">
        <f>SUM(BS82:BS85)</f>
        <v>9</v>
      </c>
      <c r="BT81" s="344">
        <f t="shared" si="315"/>
        <v>3</v>
      </c>
      <c r="BU81" s="344">
        <f t="shared" si="315"/>
        <v>3</v>
      </c>
      <c r="BV81" s="344">
        <f t="shared" si="315"/>
        <v>3</v>
      </c>
      <c r="BW81" s="344">
        <f>SUM(BW82:BW85)</f>
        <v>9</v>
      </c>
      <c r="BX81" s="344">
        <f t="shared" si="315"/>
        <v>3</v>
      </c>
      <c r="BY81" s="344">
        <f t="shared" si="315"/>
        <v>3</v>
      </c>
      <c r="BZ81" s="344">
        <f t="shared" si="315"/>
        <v>3</v>
      </c>
      <c r="CA81" s="344">
        <f>SUM(CA82:CA85)</f>
        <v>9</v>
      </c>
      <c r="CB81" s="344">
        <f t="shared" si="315"/>
        <v>3</v>
      </c>
      <c r="CC81" s="344">
        <f t="shared" si="315"/>
        <v>3</v>
      </c>
      <c r="CD81" s="344">
        <f t="shared" si="315"/>
        <v>3</v>
      </c>
      <c r="CE81" s="344">
        <f>SUM(CE82:CE85)</f>
        <v>9</v>
      </c>
      <c r="CF81" s="344">
        <f t="shared" si="315"/>
        <v>3</v>
      </c>
      <c r="CG81" s="344">
        <f t="shared" si="315"/>
        <v>3</v>
      </c>
      <c r="CH81" s="344">
        <f t="shared" si="315"/>
        <v>3</v>
      </c>
      <c r="CI81" s="344">
        <f>SUM(CI82:CI85)</f>
        <v>9</v>
      </c>
    </row>
    <row r="82" spans="3:87" s="48" customFormat="1" ht="14.5" customHeight="1" thickBot="1" x14ac:dyDescent="0.2">
      <c r="C82" s="119" t="str">
        <f>Tekstnøgler!C167</f>
        <v>Pendling</v>
      </c>
      <c r="D82" s="347"/>
      <c r="E82" s="347"/>
      <c r="F82" s="347"/>
      <c r="G82" s="343">
        <f t="shared" ref="G82:G85" si="316">D82+E82+F82</f>
        <v>0</v>
      </c>
      <c r="H82" s="347"/>
      <c r="I82" s="347"/>
      <c r="J82" s="347"/>
      <c r="K82" s="343">
        <f t="shared" ref="K82:K85" si="317">H82+I82+J82</f>
        <v>0</v>
      </c>
      <c r="L82" s="347"/>
      <c r="M82" s="347"/>
      <c r="N82" s="347"/>
      <c r="O82" s="343">
        <f t="shared" ref="O82:O85" si="318">L82+M82+N82</f>
        <v>0</v>
      </c>
      <c r="P82" s="347"/>
      <c r="Q82" s="347"/>
      <c r="R82" s="347"/>
      <c r="S82" s="343">
        <f t="shared" ref="S82:S85" si="319">P82+Q82+R82</f>
        <v>0</v>
      </c>
      <c r="T82" s="347"/>
      <c r="U82" s="347"/>
      <c r="V82" s="347"/>
      <c r="W82" s="343">
        <f t="shared" ref="W82:W85" si="320">T82+U82+V82</f>
        <v>0</v>
      </c>
      <c r="X82" s="347"/>
      <c r="Y82" s="347"/>
      <c r="Z82" s="347"/>
      <c r="AA82" s="343">
        <f t="shared" ref="AA82:AA85" si="321">X82+Y82+Z82</f>
        <v>0</v>
      </c>
      <c r="AB82" s="347"/>
      <c r="AC82" s="347"/>
      <c r="AD82" s="347"/>
      <c r="AE82" s="343">
        <f t="shared" ref="AE82:AE85" si="322">AB82+AC82+AD82</f>
        <v>0</v>
      </c>
      <c r="AF82" s="347"/>
      <c r="AG82" s="347"/>
      <c r="AH82" s="347"/>
      <c r="AI82" s="343">
        <f t="shared" ref="AI82:AI85" si="323">AF82+AG82+AH82</f>
        <v>0</v>
      </c>
      <c r="AJ82" s="347"/>
      <c r="AK82" s="347"/>
      <c r="AL82" s="347"/>
      <c r="AM82" s="343">
        <f t="shared" ref="AM82:AM85" si="324">AJ82+AK82+AL82</f>
        <v>0</v>
      </c>
      <c r="AN82" s="347"/>
      <c r="AO82" s="347"/>
      <c r="AP82" s="347"/>
      <c r="AQ82" s="343">
        <f t="shared" ref="AQ82:AQ85" si="325">AN82+AO82+AP82</f>
        <v>0</v>
      </c>
      <c r="AR82" s="347"/>
      <c r="AS82" s="347"/>
      <c r="AT82" s="347"/>
      <c r="AU82" s="343">
        <f t="shared" ref="AU82:AU85" si="326">AR82+AS82+AT82</f>
        <v>0</v>
      </c>
      <c r="AV82" s="347"/>
      <c r="AW82" s="347"/>
      <c r="AX82" s="347"/>
      <c r="AY82" s="343">
        <f t="shared" ref="AY82:AY85" si="327">AV82+AW82+AX82</f>
        <v>0</v>
      </c>
      <c r="AZ82" s="347"/>
      <c r="BA82" s="347"/>
      <c r="BB82" s="347"/>
      <c r="BC82" s="343">
        <f t="shared" ref="BC82:BC85" si="328">AZ82+BA82+BB82</f>
        <v>0</v>
      </c>
      <c r="BD82" s="347"/>
      <c r="BE82" s="347"/>
      <c r="BF82" s="347"/>
      <c r="BG82" s="343">
        <f t="shared" ref="BG82:BG85" si="329">BD82+BE82+BF82</f>
        <v>0</v>
      </c>
      <c r="BH82" s="347"/>
      <c r="BI82" s="347"/>
      <c r="BJ82" s="347"/>
      <c r="BK82" s="343">
        <f t="shared" ref="BK82:BK85" si="330">BH82+BI82+BJ82</f>
        <v>0</v>
      </c>
      <c r="BL82" s="347"/>
      <c r="BM82" s="347"/>
      <c r="BN82" s="347"/>
      <c r="BO82" s="343">
        <f t="shared" ref="BO82:BO85" si="331">BL82+BM82+BN82</f>
        <v>0</v>
      </c>
      <c r="BP82" s="347"/>
      <c r="BQ82" s="347"/>
      <c r="BR82" s="347"/>
      <c r="BS82" s="343">
        <f t="shared" ref="BS82:BS85" si="332">BP82+BQ82+BR82</f>
        <v>0</v>
      </c>
      <c r="BT82" s="347"/>
      <c r="BU82" s="347"/>
      <c r="BV82" s="347"/>
      <c r="BW82" s="343">
        <f t="shared" ref="BW82:BW85" si="333">BT82+BU82+BV82</f>
        <v>0</v>
      </c>
      <c r="BX82" s="347"/>
      <c r="BY82" s="347"/>
      <c r="BZ82" s="347"/>
      <c r="CA82" s="343">
        <f t="shared" ref="CA82:CA85" si="334">BX82+BY82+BZ82</f>
        <v>0</v>
      </c>
      <c r="CB82" s="347"/>
      <c r="CC82" s="347"/>
      <c r="CD82" s="347"/>
      <c r="CE82" s="343">
        <f t="shared" ref="CE82:CE85" si="335">CB82+CC82+CD82</f>
        <v>0</v>
      </c>
      <c r="CF82" s="347"/>
      <c r="CG82" s="347"/>
      <c r="CH82" s="347"/>
      <c r="CI82" s="343">
        <f t="shared" ref="CI82:CI85" si="336">CF82+CG82+CH82</f>
        <v>0</v>
      </c>
    </row>
    <row r="83" spans="3:87" s="48" customFormat="1" ht="14.5" customHeight="1" thickBot="1" x14ac:dyDescent="0.2">
      <c r="C83" s="119" t="str">
        <f>Tekstnøgler!C168</f>
        <v>Rejser i forbindelse med arbejder - Fysiske enheder</v>
      </c>
      <c r="D83" s="347"/>
      <c r="E83" s="347"/>
      <c r="F83" s="347"/>
      <c r="G83" s="343">
        <f t="shared" si="316"/>
        <v>0</v>
      </c>
      <c r="H83" s="347"/>
      <c r="I83" s="347"/>
      <c r="J83" s="347"/>
      <c r="K83" s="343">
        <f t="shared" si="317"/>
        <v>0</v>
      </c>
      <c r="L83" s="347"/>
      <c r="M83" s="347"/>
      <c r="N83" s="347"/>
      <c r="O83" s="343">
        <f t="shared" si="318"/>
        <v>0</v>
      </c>
      <c r="P83" s="347"/>
      <c r="Q83" s="347"/>
      <c r="R83" s="347"/>
      <c r="S83" s="343">
        <f t="shared" si="319"/>
        <v>0</v>
      </c>
      <c r="T83" s="347"/>
      <c r="U83" s="347"/>
      <c r="V83" s="347"/>
      <c r="W83" s="343">
        <f t="shared" si="320"/>
        <v>0</v>
      </c>
      <c r="X83" s="347"/>
      <c r="Y83" s="347"/>
      <c r="Z83" s="347"/>
      <c r="AA83" s="343">
        <f t="shared" si="321"/>
        <v>0</v>
      </c>
      <c r="AB83" s="347"/>
      <c r="AC83" s="347"/>
      <c r="AD83" s="347"/>
      <c r="AE83" s="343">
        <f t="shared" si="322"/>
        <v>0</v>
      </c>
      <c r="AF83" s="347"/>
      <c r="AG83" s="347"/>
      <c r="AH83" s="347"/>
      <c r="AI83" s="343">
        <f t="shared" si="323"/>
        <v>0</v>
      </c>
      <c r="AJ83" s="347"/>
      <c r="AK83" s="347"/>
      <c r="AL83" s="347"/>
      <c r="AM83" s="343">
        <f t="shared" si="324"/>
        <v>0</v>
      </c>
      <c r="AN83" s="347"/>
      <c r="AO83" s="347"/>
      <c r="AP83" s="347"/>
      <c r="AQ83" s="343">
        <f t="shared" si="325"/>
        <v>0</v>
      </c>
      <c r="AR83" s="347"/>
      <c r="AS83" s="347"/>
      <c r="AT83" s="347"/>
      <c r="AU83" s="343">
        <f t="shared" si="326"/>
        <v>0</v>
      </c>
      <c r="AV83" s="347"/>
      <c r="AW83" s="347"/>
      <c r="AX83" s="347"/>
      <c r="AY83" s="343">
        <f t="shared" si="327"/>
        <v>0</v>
      </c>
      <c r="AZ83" s="347"/>
      <c r="BA83" s="347"/>
      <c r="BB83" s="347"/>
      <c r="BC83" s="343">
        <f t="shared" si="328"/>
        <v>0</v>
      </c>
      <c r="BD83" s="347"/>
      <c r="BE83" s="347"/>
      <c r="BF83" s="347"/>
      <c r="BG83" s="343">
        <f t="shared" si="329"/>
        <v>0</v>
      </c>
      <c r="BH83" s="347"/>
      <c r="BI83" s="347"/>
      <c r="BJ83" s="347"/>
      <c r="BK83" s="343">
        <f t="shared" si="330"/>
        <v>0</v>
      </c>
      <c r="BL83" s="347"/>
      <c r="BM83" s="347"/>
      <c r="BN83" s="347"/>
      <c r="BO83" s="343">
        <f t="shared" si="331"/>
        <v>0</v>
      </c>
      <c r="BP83" s="347"/>
      <c r="BQ83" s="347"/>
      <c r="BR83" s="347"/>
      <c r="BS83" s="343">
        <f t="shared" si="332"/>
        <v>0</v>
      </c>
      <c r="BT83" s="347"/>
      <c r="BU83" s="347"/>
      <c r="BV83" s="347"/>
      <c r="BW83" s="343">
        <f t="shared" si="333"/>
        <v>0</v>
      </c>
      <c r="BX83" s="347"/>
      <c r="BY83" s="347"/>
      <c r="BZ83" s="347"/>
      <c r="CA83" s="343">
        <f t="shared" si="334"/>
        <v>0</v>
      </c>
      <c r="CB83" s="347"/>
      <c r="CC83" s="347"/>
      <c r="CD83" s="347"/>
      <c r="CE83" s="343">
        <f t="shared" si="335"/>
        <v>0</v>
      </c>
      <c r="CF83" s="347"/>
      <c r="CG83" s="347"/>
      <c r="CH83" s="347"/>
      <c r="CI83" s="343">
        <f t="shared" si="336"/>
        <v>0</v>
      </c>
    </row>
    <row r="84" spans="3:87" s="48" customFormat="1" ht="14.5" customHeight="1" thickBot="1" x14ac:dyDescent="0.2">
      <c r="C84" s="119" t="str">
        <f>Tekstnøgler!C169</f>
        <v>Rejser i forbindelse med arbejder - Monetære enheder (beløb i DKK)</v>
      </c>
      <c r="D84" s="347"/>
      <c r="E84" s="347"/>
      <c r="F84" s="347"/>
      <c r="G84" s="343">
        <f t="shared" si="316"/>
        <v>0</v>
      </c>
      <c r="H84" s="347"/>
      <c r="I84" s="347"/>
      <c r="J84" s="347"/>
      <c r="K84" s="343">
        <f t="shared" si="317"/>
        <v>0</v>
      </c>
      <c r="L84" s="347"/>
      <c r="M84" s="347"/>
      <c r="N84" s="347"/>
      <c r="O84" s="343">
        <f t="shared" si="318"/>
        <v>0</v>
      </c>
      <c r="P84" s="347"/>
      <c r="Q84" s="347"/>
      <c r="R84" s="347"/>
      <c r="S84" s="343">
        <f t="shared" si="319"/>
        <v>0</v>
      </c>
      <c r="T84" s="347"/>
      <c r="U84" s="347"/>
      <c r="V84" s="347"/>
      <c r="W84" s="343">
        <f t="shared" si="320"/>
        <v>0</v>
      </c>
      <c r="X84" s="347"/>
      <c r="Y84" s="347"/>
      <c r="Z84" s="347"/>
      <c r="AA84" s="343">
        <f t="shared" si="321"/>
        <v>0</v>
      </c>
      <c r="AB84" s="347"/>
      <c r="AC84" s="347"/>
      <c r="AD84" s="347"/>
      <c r="AE84" s="343">
        <f t="shared" si="322"/>
        <v>0</v>
      </c>
      <c r="AF84" s="347"/>
      <c r="AG84" s="347"/>
      <c r="AH84" s="347"/>
      <c r="AI84" s="343">
        <f t="shared" si="323"/>
        <v>0</v>
      </c>
      <c r="AJ84" s="347"/>
      <c r="AK84" s="347"/>
      <c r="AL84" s="347"/>
      <c r="AM84" s="343">
        <f t="shared" si="324"/>
        <v>0</v>
      </c>
      <c r="AN84" s="347"/>
      <c r="AO84" s="347"/>
      <c r="AP84" s="347"/>
      <c r="AQ84" s="343">
        <f t="shared" si="325"/>
        <v>0</v>
      </c>
      <c r="AR84" s="347"/>
      <c r="AS84" s="347"/>
      <c r="AT84" s="347"/>
      <c r="AU84" s="343">
        <f t="shared" si="326"/>
        <v>0</v>
      </c>
      <c r="AV84" s="347"/>
      <c r="AW84" s="347"/>
      <c r="AX84" s="347"/>
      <c r="AY84" s="343">
        <f t="shared" si="327"/>
        <v>0</v>
      </c>
      <c r="AZ84" s="347"/>
      <c r="BA84" s="347"/>
      <c r="BB84" s="347"/>
      <c r="BC84" s="343">
        <f t="shared" si="328"/>
        <v>0</v>
      </c>
      <c r="BD84" s="347"/>
      <c r="BE84" s="347"/>
      <c r="BF84" s="347"/>
      <c r="BG84" s="343">
        <f t="shared" si="329"/>
        <v>0</v>
      </c>
      <c r="BH84" s="347"/>
      <c r="BI84" s="347"/>
      <c r="BJ84" s="347"/>
      <c r="BK84" s="343">
        <f t="shared" si="330"/>
        <v>0</v>
      </c>
      <c r="BL84" s="347"/>
      <c r="BM84" s="347"/>
      <c r="BN84" s="347"/>
      <c r="BO84" s="343">
        <f t="shared" si="331"/>
        <v>0</v>
      </c>
      <c r="BP84" s="347"/>
      <c r="BQ84" s="347"/>
      <c r="BR84" s="347"/>
      <c r="BS84" s="343">
        <f t="shared" si="332"/>
        <v>0</v>
      </c>
      <c r="BT84" s="347"/>
      <c r="BU84" s="347"/>
      <c r="BV84" s="347"/>
      <c r="BW84" s="343">
        <f t="shared" si="333"/>
        <v>0</v>
      </c>
      <c r="BX84" s="347"/>
      <c r="BY84" s="347"/>
      <c r="BZ84" s="347"/>
      <c r="CA84" s="343">
        <f t="shared" si="334"/>
        <v>0</v>
      </c>
      <c r="CB84" s="347"/>
      <c r="CC84" s="347"/>
      <c r="CD84" s="347"/>
      <c r="CE84" s="343">
        <f t="shared" si="335"/>
        <v>0</v>
      </c>
      <c r="CF84" s="347"/>
      <c r="CG84" s="347"/>
      <c r="CH84" s="347"/>
      <c r="CI84" s="343">
        <f t="shared" si="336"/>
        <v>0</v>
      </c>
    </row>
    <row r="85" spans="3:87" s="48" customFormat="1" ht="14.5" customHeight="1" thickBot="1" x14ac:dyDescent="0.2">
      <c r="C85" s="119" t="str">
        <f>Tekstnøgler!C170</f>
        <v>Medarbejdertransport med egne emissionsfaktorer</v>
      </c>
      <c r="D85" s="347">
        <v>3</v>
      </c>
      <c r="E85" s="347">
        <v>3</v>
      </c>
      <c r="F85" s="347">
        <v>3</v>
      </c>
      <c r="G85" s="343">
        <f t="shared" si="316"/>
        <v>9</v>
      </c>
      <c r="H85" s="347">
        <v>3</v>
      </c>
      <c r="I85" s="347">
        <v>3</v>
      </c>
      <c r="J85" s="347">
        <v>3</v>
      </c>
      <c r="K85" s="343">
        <f t="shared" si="317"/>
        <v>9</v>
      </c>
      <c r="L85" s="347">
        <v>3</v>
      </c>
      <c r="M85" s="347">
        <v>3</v>
      </c>
      <c r="N85" s="347">
        <v>3</v>
      </c>
      <c r="O85" s="343">
        <f t="shared" si="318"/>
        <v>9</v>
      </c>
      <c r="P85" s="347">
        <v>3</v>
      </c>
      <c r="Q85" s="347">
        <v>3</v>
      </c>
      <c r="R85" s="347">
        <v>3</v>
      </c>
      <c r="S85" s="343">
        <f t="shared" si="319"/>
        <v>9</v>
      </c>
      <c r="T85" s="347">
        <v>3</v>
      </c>
      <c r="U85" s="347">
        <v>3</v>
      </c>
      <c r="V85" s="347">
        <v>3</v>
      </c>
      <c r="W85" s="343">
        <f t="shared" si="320"/>
        <v>9</v>
      </c>
      <c r="X85" s="347">
        <v>3</v>
      </c>
      <c r="Y85" s="347">
        <v>3</v>
      </c>
      <c r="Z85" s="347">
        <v>3</v>
      </c>
      <c r="AA85" s="343">
        <f t="shared" si="321"/>
        <v>9</v>
      </c>
      <c r="AB85" s="347">
        <v>3</v>
      </c>
      <c r="AC85" s="347">
        <v>3</v>
      </c>
      <c r="AD85" s="347">
        <v>3</v>
      </c>
      <c r="AE85" s="343">
        <f t="shared" si="322"/>
        <v>9</v>
      </c>
      <c r="AF85" s="347">
        <v>3</v>
      </c>
      <c r="AG85" s="347">
        <v>3</v>
      </c>
      <c r="AH85" s="347">
        <v>3</v>
      </c>
      <c r="AI85" s="343">
        <f t="shared" si="323"/>
        <v>9</v>
      </c>
      <c r="AJ85" s="347">
        <v>3</v>
      </c>
      <c r="AK85" s="347">
        <v>3</v>
      </c>
      <c r="AL85" s="347">
        <v>3</v>
      </c>
      <c r="AM85" s="343">
        <f t="shared" si="324"/>
        <v>9</v>
      </c>
      <c r="AN85" s="347">
        <v>3</v>
      </c>
      <c r="AO85" s="347">
        <v>3</v>
      </c>
      <c r="AP85" s="347">
        <v>3</v>
      </c>
      <c r="AQ85" s="343">
        <f t="shared" si="325"/>
        <v>9</v>
      </c>
      <c r="AR85" s="347">
        <v>3</v>
      </c>
      <c r="AS85" s="347">
        <v>3</v>
      </c>
      <c r="AT85" s="347">
        <v>3</v>
      </c>
      <c r="AU85" s="343">
        <f t="shared" si="326"/>
        <v>9</v>
      </c>
      <c r="AV85" s="347">
        <v>3</v>
      </c>
      <c r="AW85" s="347">
        <v>3</v>
      </c>
      <c r="AX85" s="347">
        <v>3</v>
      </c>
      <c r="AY85" s="343">
        <f t="shared" si="327"/>
        <v>9</v>
      </c>
      <c r="AZ85" s="347">
        <v>3</v>
      </c>
      <c r="BA85" s="347">
        <v>3</v>
      </c>
      <c r="BB85" s="347">
        <v>3</v>
      </c>
      <c r="BC85" s="343">
        <f t="shared" si="328"/>
        <v>9</v>
      </c>
      <c r="BD85" s="347">
        <v>3</v>
      </c>
      <c r="BE85" s="347">
        <v>3</v>
      </c>
      <c r="BF85" s="347">
        <v>3</v>
      </c>
      <c r="BG85" s="343">
        <f t="shared" si="329"/>
        <v>9</v>
      </c>
      <c r="BH85" s="347">
        <v>3</v>
      </c>
      <c r="BI85" s="347">
        <v>3</v>
      </c>
      <c r="BJ85" s="347">
        <v>3</v>
      </c>
      <c r="BK85" s="343">
        <f t="shared" si="330"/>
        <v>9</v>
      </c>
      <c r="BL85" s="347">
        <v>3</v>
      </c>
      <c r="BM85" s="347">
        <v>3</v>
      </c>
      <c r="BN85" s="347">
        <v>3</v>
      </c>
      <c r="BO85" s="343">
        <f t="shared" si="331"/>
        <v>9</v>
      </c>
      <c r="BP85" s="347">
        <v>3</v>
      </c>
      <c r="BQ85" s="347">
        <v>3</v>
      </c>
      <c r="BR85" s="347">
        <v>3</v>
      </c>
      <c r="BS85" s="343">
        <f t="shared" si="332"/>
        <v>9</v>
      </c>
      <c r="BT85" s="347">
        <v>3</v>
      </c>
      <c r="BU85" s="347">
        <v>3</v>
      </c>
      <c r="BV85" s="347">
        <v>3</v>
      </c>
      <c r="BW85" s="343">
        <f t="shared" si="333"/>
        <v>9</v>
      </c>
      <c r="BX85" s="347">
        <v>3</v>
      </c>
      <c r="BY85" s="347">
        <v>3</v>
      </c>
      <c r="BZ85" s="347">
        <v>3</v>
      </c>
      <c r="CA85" s="343">
        <f t="shared" si="334"/>
        <v>9</v>
      </c>
      <c r="CB85" s="347">
        <v>3</v>
      </c>
      <c r="CC85" s="347">
        <v>3</v>
      </c>
      <c r="CD85" s="347">
        <v>3</v>
      </c>
      <c r="CE85" s="343">
        <f t="shared" si="335"/>
        <v>9</v>
      </c>
      <c r="CF85" s="347">
        <v>3</v>
      </c>
      <c r="CG85" s="347">
        <v>3</v>
      </c>
      <c r="CH85" s="347">
        <v>3</v>
      </c>
      <c r="CI85" s="343">
        <f t="shared" si="336"/>
        <v>9</v>
      </c>
    </row>
    <row r="86" spans="3:87" s="48" customFormat="1" ht="14.5" customHeight="1" thickBot="1" x14ac:dyDescent="0.2">
      <c r="C86" s="118" t="str">
        <f>Tekstnøgler!C171</f>
        <v>Varetransport til virksomhed</v>
      </c>
      <c r="D86" s="344">
        <f t="shared" ref="D86:AH86" si="337">SUM(D87:D89)</f>
        <v>0</v>
      </c>
      <c r="E86" s="344">
        <f t="shared" si="337"/>
        <v>0</v>
      </c>
      <c r="F86" s="344">
        <f t="shared" si="337"/>
        <v>0</v>
      </c>
      <c r="G86" s="344">
        <f>SUM(G87:G89)</f>
        <v>0</v>
      </c>
      <c r="H86" s="344">
        <f t="shared" si="337"/>
        <v>0</v>
      </c>
      <c r="I86" s="344">
        <f t="shared" si="337"/>
        <v>0</v>
      </c>
      <c r="J86" s="344">
        <f t="shared" si="337"/>
        <v>0</v>
      </c>
      <c r="K86" s="344">
        <f>SUM(K87:K89)</f>
        <v>0</v>
      </c>
      <c r="L86" s="344">
        <f t="shared" si="337"/>
        <v>0</v>
      </c>
      <c r="M86" s="344">
        <f t="shared" si="337"/>
        <v>0</v>
      </c>
      <c r="N86" s="344">
        <f t="shared" si="337"/>
        <v>0</v>
      </c>
      <c r="O86" s="344">
        <f>SUM(O87:O89)</f>
        <v>0</v>
      </c>
      <c r="P86" s="344">
        <f t="shared" si="337"/>
        <v>0</v>
      </c>
      <c r="Q86" s="344">
        <f t="shared" si="337"/>
        <v>0</v>
      </c>
      <c r="R86" s="344">
        <f t="shared" si="337"/>
        <v>0</v>
      </c>
      <c r="S86" s="344">
        <f>SUM(S87:S89)</f>
        <v>0</v>
      </c>
      <c r="T86" s="344">
        <f t="shared" si="337"/>
        <v>0</v>
      </c>
      <c r="U86" s="344">
        <f t="shared" si="337"/>
        <v>0</v>
      </c>
      <c r="V86" s="344">
        <f t="shared" si="337"/>
        <v>0</v>
      </c>
      <c r="W86" s="344">
        <f>SUM(W87:W89)</f>
        <v>0</v>
      </c>
      <c r="X86" s="344">
        <f t="shared" si="337"/>
        <v>0</v>
      </c>
      <c r="Y86" s="344">
        <f t="shared" si="337"/>
        <v>0</v>
      </c>
      <c r="Z86" s="344">
        <f t="shared" si="337"/>
        <v>0</v>
      </c>
      <c r="AA86" s="344">
        <f>SUM(AA87:AA89)</f>
        <v>0</v>
      </c>
      <c r="AB86" s="344">
        <f t="shared" si="337"/>
        <v>0</v>
      </c>
      <c r="AC86" s="344">
        <f t="shared" si="337"/>
        <v>0</v>
      </c>
      <c r="AD86" s="344">
        <f t="shared" si="337"/>
        <v>0</v>
      </c>
      <c r="AE86" s="344">
        <f>SUM(AE87:AE89)</f>
        <v>0</v>
      </c>
      <c r="AF86" s="344">
        <f t="shared" si="337"/>
        <v>0</v>
      </c>
      <c r="AG86" s="344">
        <f t="shared" si="337"/>
        <v>0</v>
      </c>
      <c r="AH86" s="344">
        <f t="shared" si="337"/>
        <v>0</v>
      </c>
      <c r="AI86" s="344">
        <f>SUM(AI87:AI89)</f>
        <v>0</v>
      </c>
      <c r="AJ86" s="344">
        <f t="shared" ref="AJ86:BN86" si="338">SUM(AJ87:AJ89)</f>
        <v>0</v>
      </c>
      <c r="AK86" s="344">
        <f t="shared" si="338"/>
        <v>0</v>
      </c>
      <c r="AL86" s="344">
        <f t="shared" si="338"/>
        <v>0</v>
      </c>
      <c r="AM86" s="344">
        <f>SUM(AM87:AM89)</f>
        <v>0</v>
      </c>
      <c r="AN86" s="344">
        <f t="shared" si="338"/>
        <v>0</v>
      </c>
      <c r="AO86" s="344">
        <f t="shared" si="338"/>
        <v>0</v>
      </c>
      <c r="AP86" s="344">
        <f t="shared" si="338"/>
        <v>0</v>
      </c>
      <c r="AQ86" s="344">
        <f>SUM(AQ87:AQ89)</f>
        <v>0</v>
      </c>
      <c r="AR86" s="344">
        <f t="shared" si="338"/>
        <v>0</v>
      </c>
      <c r="AS86" s="344">
        <f t="shared" si="338"/>
        <v>0</v>
      </c>
      <c r="AT86" s="344">
        <f t="shared" si="338"/>
        <v>0</v>
      </c>
      <c r="AU86" s="344">
        <f>SUM(AU87:AU89)</f>
        <v>0</v>
      </c>
      <c r="AV86" s="344">
        <f t="shared" si="338"/>
        <v>0</v>
      </c>
      <c r="AW86" s="344">
        <f t="shared" si="338"/>
        <v>0</v>
      </c>
      <c r="AX86" s="344">
        <f t="shared" si="338"/>
        <v>0</v>
      </c>
      <c r="AY86" s="344">
        <f>SUM(AY87:AY89)</f>
        <v>0</v>
      </c>
      <c r="AZ86" s="344">
        <f t="shared" si="338"/>
        <v>0</v>
      </c>
      <c r="BA86" s="344">
        <f t="shared" si="338"/>
        <v>0</v>
      </c>
      <c r="BB86" s="344">
        <f t="shared" si="338"/>
        <v>0</v>
      </c>
      <c r="BC86" s="344">
        <f>SUM(BC87:BC89)</f>
        <v>0</v>
      </c>
      <c r="BD86" s="344">
        <f t="shared" si="338"/>
        <v>0</v>
      </c>
      <c r="BE86" s="344">
        <f t="shared" si="338"/>
        <v>0</v>
      </c>
      <c r="BF86" s="344">
        <f t="shared" si="338"/>
        <v>0</v>
      </c>
      <c r="BG86" s="344">
        <f>SUM(BG87:BG89)</f>
        <v>0</v>
      </c>
      <c r="BH86" s="344">
        <f t="shared" si="338"/>
        <v>0</v>
      </c>
      <c r="BI86" s="344">
        <f t="shared" si="338"/>
        <v>0</v>
      </c>
      <c r="BJ86" s="344">
        <f t="shared" si="338"/>
        <v>0</v>
      </c>
      <c r="BK86" s="344">
        <f>SUM(BK87:BK89)</f>
        <v>0</v>
      </c>
      <c r="BL86" s="344">
        <f t="shared" si="338"/>
        <v>0</v>
      </c>
      <c r="BM86" s="344">
        <f t="shared" si="338"/>
        <v>0</v>
      </c>
      <c r="BN86" s="344">
        <f t="shared" si="338"/>
        <v>0</v>
      </c>
      <c r="BO86" s="344">
        <f>SUM(BO87:BO89)</f>
        <v>0</v>
      </c>
      <c r="BP86" s="344">
        <f t="shared" ref="BP86:CH86" si="339">SUM(BP87:BP89)</f>
        <v>0</v>
      </c>
      <c r="BQ86" s="344">
        <f t="shared" si="339"/>
        <v>0</v>
      </c>
      <c r="BR86" s="344">
        <f t="shared" si="339"/>
        <v>0</v>
      </c>
      <c r="BS86" s="344">
        <f>SUM(BS87:BS89)</f>
        <v>0</v>
      </c>
      <c r="BT86" s="344">
        <f t="shared" si="339"/>
        <v>0</v>
      </c>
      <c r="BU86" s="344">
        <f t="shared" si="339"/>
        <v>0</v>
      </c>
      <c r="BV86" s="344">
        <f t="shared" si="339"/>
        <v>0</v>
      </c>
      <c r="BW86" s="344">
        <f>SUM(BW87:BW89)</f>
        <v>0</v>
      </c>
      <c r="BX86" s="344">
        <f t="shared" si="339"/>
        <v>0</v>
      </c>
      <c r="BY86" s="344">
        <f t="shared" si="339"/>
        <v>0</v>
      </c>
      <c r="BZ86" s="344">
        <f t="shared" si="339"/>
        <v>0</v>
      </c>
      <c r="CA86" s="344">
        <f>SUM(CA87:CA89)</f>
        <v>0</v>
      </c>
      <c r="CB86" s="344">
        <f t="shared" si="339"/>
        <v>0</v>
      </c>
      <c r="CC86" s="344">
        <f t="shared" si="339"/>
        <v>0</v>
      </c>
      <c r="CD86" s="344">
        <f t="shared" si="339"/>
        <v>0</v>
      </c>
      <c r="CE86" s="344">
        <f>SUM(CE87:CE89)</f>
        <v>0</v>
      </c>
      <c r="CF86" s="344">
        <f t="shared" si="339"/>
        <v>0</v>
      </c>
      <c r="CG86" s="344">
        <f t="shared" si="339"/>
        <v>0</v>
      </c>
      <c r="CH86" s="344">
        <f t="shared" si="339"/>
        <v>0</v>
      </c>
      <c r="CI86" s="344">
        <f>SUM(CI87:CI89)</f>
        <v>0</v>
      </c>
    </row>
    <row r="87" spans="3:87" s="48" customFormat="1" ht="14.5" customHeight="1" thickBot="1" x14ac:dyDescent="0.2">
      <c r="C87" s="119" t="str">
        <f>Tekstnøgler!C172</f>
        <v>Varetransport i fysiske enheder</v>
      </c>
      <c r="D87" s="347"/>
      <c r="E87" s="347"/>
      <c r="F87" s="347"/>
      <c r="G87" s="343">
        <f t="shared" ref="G87:G89" si="340">D87+E87+F87</f>
        <v>0</v>
      </c>
      <c r="H87" s="347"/>
      <c r="I87" s="347"/>
      <c r="J87" s="347"/>
      <c r="K87" s="343">
        <f t="shared" ref="K87:K89" si="341">H87+I87+J87</f>
        <v>0</v>
      </c>
      <c r="L87" s="347"/>
      <c r="M87" s="347"/>
      <c r="N87" s="347"/>
      <c r="O87" s="343">
        <f t="shared" ref="O87:O89" si="342">L87+M87+N87</f>
        <v>0</v>
      </c>
      <c r="P87" s="347"/>
      <c r="Q87" s="347"/>
      <c r="R87" s="347"/>
      <c r="S87" s="343">
        <f t="shared" ref="S87:S89" si="343">P87+Q87+R87</f>
        <v>0</v>
      </c>
      <c r="T87" s="347"/>
      <c r="U87" s="347"/>
      <c r="V87" s="347"/>
      <c r="W87" s="343">
        <f t="shared" ref="W87:W89" si="344">T87+U87+V87</f>
        <v>0</v>
      </c>
      <c r="X87" s="347"/>
      <c r="Y87" s="347"/>
      <c r="Z87" s="347"/>
      <c r="AA87" s="343">
        <f t="shared" ref="AA87:AA89" si="345">X87+Y87+Z87</f>
        <v>0</v>
      </c>
      <c r="AB87" s="347"/>
      <c r="AC87" s="347"/>
      <c r="AD87" s="347"/>
      <c r="AE87" s="343">
        <f t="shared" ref="AE87:AE89" si="346">AB87+AC87+AD87</f>
        <v>0</v>
      </c>
      <c r="AF87" s="347"/>
      <c r="AG87" s="347"/>
      <c r="AH87" s="347"/>
      <c r="AI87" s="343">
        <f t="shared" ref="AI87:AI89" si="347">AF87+AG87+AH87</f>
        <v>0</v>
      </c>
      <c r="AJ87" s="347"/>
      <c r="AK87" s="347"/>
      <c r="AL87" s="347"/>
      <c r="AM87" s="343">
        <f t="shared" ref="AM87:AM89" si="348">AJ87+AK87+AL87</f>
        <v>0</v>
      </c>
      <c r="AN87" s="347"/>
      <c r="AO87" s="347"/>
      <c r="AP87" s="347"/>
      <c r="AQ87" s="343">
        <f t="shared" ref="AQ87:AQ89" si="349">AN87+AO87+AP87</f>
        <v>0</v>
      </c>
      <c r="AR87" s="347"/>
      <c r="AS87" s="347"/>
      <c r="AT87" s="347"/>
      <c r="AU87" s="343">
        <f t="shared" ref="AU87:AU89" si="350">AR87+AS87+AT87</f>
        <v>0</v>
      </c>
      <c r="AV87" s="347"/>
      <c r="AW87" s="347"/>
      <c r="AX87" s="347"/>
      <c r="AY87" s="343">
        <f t="shared" ref="AY87:AY89" si="351">AV87+AW87+AX87</f>
        <v>0</v>
      </c>
      <c r="AZ87" s="347"/>
      <c r="BA87" s="347"/>
      <c r="BB87" s="347"/>
      <c r="BC87" s="343">
        <f t="shared" ref="BC87:BC89" si="352">AZ87+BA87+BB87</f>
        <v>0</v>
      </c>
      <c r="BD87" s="347"/>
      <c r="BE87" s="347"/>
      <c r="BF87" s="347"/>
      <c r="BG87" s="343">
        <f t="shared" ref="BG87:BG89" si="353">BD87+BE87+BF87</f>
        <v>0</v>
      </c>
      <c r="BH87" s="347"/>
      <c r="BI87" s="347"/>
      <c r="BJ87" s="347"/>
      <c r="BK87" s="343">
        <f t="shared" ref="BK87:BK89" si="354">BH87+BI87+BJ87</f>
        <v>0</v>
      </c>
      <c r="BL87" s="347"/>
      <c r="BM87" s="347"/>
      <c r="BN87" s="347"/>
      <c r="BO87" s="343">
        <f t="shared" ref="BO87:BO89" si="355">BL87+BM87+BN87</f>
        <v>0</v>
      </c>
      <c r="BP87" s="347"/>
      <c r="BQ87" s="347"/>
      <c r="BR87" s="347"/>
      <c r="BS87" s="343">
        <f t="shared" ref="BS87:BS89" si="356">BP87+BQ87+BR87</f>
        <v>0</v>
      </c>
      <c r="BT87" s="347"/>
      <c r="BU87" s="347"/>
      <c r="BV87" s="347"/>
      <c r="BW87" s="343">
        <f t="shared" ref="BW87:BW89" si="357">BT87+BU87+BV87</f>
        <v>0</v>
      </c>
      <c r="BX87" s="347"/>
      <c r="BY87" s="347"/>
      <c r="BZ87" s="347"/>
      <c r="CA87" s="343">
        <f t="shared" ref="CA87:CA89" si="358">BX87+BY87+BZ87</f>
        <v>0</v>
      </c>
      <c r="CB87" s="347"/>
      <c r="CC87" s="347"/>
      <c r="CD87" s="347"/>
      <c r="CE87" s="343">
        <f t="shared" ref="CE87:CE89" si="359">CB87+CC87+CD87</f>
        <v>0</v>
      </c>
      <c r="CF87" s="347"/>
      <c r="CG87" s="347"/>
      <c r="CH87" s="347"/>
      <c r="CI87" s="343">
        <f t="shared" ref="CI87:CI89" si="360">CF87+CG87+CH87</f>
        <v>0</v>
      </c>
    </row>
    <row r="88" spans="3:87" s="48" customFormat="1" ht="14.5" customHeight="1" thickBot="1" x14ac:dyDescent="0.2">
      <c r="C88" s="119" t="str">
        <f>Tekstnøgler!C173</f>
        <v>Varetransport i monetære enheder (beløb i DKK)</v>
      </c>
      <c r="D88" s="347"/>
      <c r="E88" s="347"/>
      <c r="F88" s="347"/>
      <c r="G88" s="343">
        <f t="shared" si="340"/>
        <v>0</v>
      </c>
      <c r="H88" s="347"/>
      <c r="I88" s="347"/>
      <c r="J88" s="347"/>
      <c r="K88" s="343">
        <f t="shared" si="341"/>
        <v>0</v>
      </c>
      <c r="L88" s="347"/>
      <c r="M88" s="347"/>
      <c r="N88" s="347"/>
      <c r="O88" s="343">
        <f t="shared" si="342"/>
        <v>0</v>
      </c>
      <c r="P88" s="347"/>
      <c r="Q88" s="347"/>
      <c r="R88" s="347"/>
      <c r="S88" s="343">
        <f t="shared" si="343"/>
        <v>0</v>
      </c>
      <c r="T88" s="347"/>
      <c r="U88" s="347"/>
      <c r="V88" s="347"/>
      <c r="W88" s="343">
        <f t="shared" si="344"/>
        <v>0</v>
      </c>
      <c r="X88" s="347"/>
      <c r="Y88" s="347"/>
      <c r="Z88" s="347"/>
      <c r="AA88" s="343">
        <f t="shared" si="345"/>
        <v>0</v>
      </c>
      <c r="AB88" s="347"/>
      <c r="AC88" s="347"/>
      <c r="AD88" s="347"/>
      <c r="AE88" s="343">
        <f t="shared" si="346"/>
        <v>0</v>
      </c>
      <c r="AF88" s="347"/>
      <c r="AG88" s="347"/>
      <c r="AH88" s="347"/>
      <c r="AI88" s="343">
        <f t="shared" si="347"/>
        <v>0</v>
      </c>
      <c r="AJ88" s="347"/>
      <c r="AK88" s="347"/>
      <c r="AL88" s="347"/>
      <c r="AM88" s="343">
        <f t="shared" si="348"/>
        <v>0</v>
      </c>
      <c r="AN88" s="347"/>
      <c r="AO88" s="347"/>
      <c r="AP88" s="347"/>
      <c r="AQ88" s="343">
        <f t="shared" si="349"/>
        <v>0</v>
      </c>
      <c r="AR88" s="347"/>
      <c r="AS88" s="347"/>
      <c r="AT88" s="347"/>
      <c r="AU88" s="343">
        <f t="shared" si="350"/>
        <v>0</v>
      </c>
      <c r="AV88" s="347"/>
      <c r="AW88" s="347"/>
      <c r="AX88" s="347"/>
      <c r="AY88" s="343">
        <f t="shared" si="351"/>
        <v>0</v>
      </c>
      <c r="AZ88" s="347"/>
      <c r="BA88" s="347"/>
      <c r="BB88" s="347"/>
      <c r="BC88" s="343">
        <f t="shared" si="352"/>
        <v>0</v>
      </c>
      <c r="BD88" s="347"/>
      <c r="BE88" s="347"/>
      <c r="BF88" s="347"/>
      <c r="BG88" s="343">
        <f t="shared" si="353"/>
        <v>0</v>
      </c>
      <c r="BH88" s="347"/>
      <c r="BI88" s="347"/>
      <c r="BJ88" s="347"/>
      <c r="BK88" s="343">
        <f t="shared" si="354"/>
        <v>0</v>
      </c>
      <c r="BL88" s="347"/>
      <c r="BM88" s="347"/>
      <c r="BN88" s="347"/>
      <c r="BO88" s="343">
        <f t="shared" si="355"/>
        <v>0</v>
      </c>
      <c r="BP88" s="347"/>
      <c r="BQ88" s="347"/>
      <c r="BR88" s="347"/>
      <c r="BS88" s="343">
        <f t="shared" si="356"/>
        <v>0</v>
      </c>
      <c r="BT88" s="347"/>
      <c r="BU88" s="347"/>
      <c r="BV88" s="347"/>
      <c r="BW88" s="343">
        <f t="shared" si="357"/>
        <v>0</v>
      </c>
      <c r="BX88" s="347"/>
      <c r="BY88" s="347"/>
      <c r="BZ88" s="347"/>
      <c r="CA88" s="343">
        <f t="shared" si="358"/>
        <v>0</v>
      </c>
      <c r="CB88" s="347"/>
      <c r="CC88" s="347"/>
      <c r="CD88" s="347"/>
      <c r="CE88" s="343">
        <f t="shared" si="359"/>
        <v>0</v>
      </c>
      <c r="CF88" s="347"/>
      <c r="CG88" s="347"/>
      <c r="CH88" s="347"/>
      <c r="CI88" s="343">
        <f t="shared" si="360"/>
        <v>0</v>
      </c>
    </row>
    <row r="89" spans="3:87" s="48" customFormat="1" ht="14.5" customHeight="1" thickBot="1" x14ac:dyDescent="0.2">
      <c r="C89" s="119" t="str">
        <f>Tekstnøgler!C174</f>
        <v>Varetransport til virksomhed med egne emissionsfaktorer</v>
      </c>
      <c r="D89" s="347"/>
      <c r="E89" s="347"/>
      <c r="F89" s="347"/>
      <c r="G89" s="343">
        <f t="shared" si="340"/>
        <v>0</v>
      </c>
      <c r="H89" s="347"/>
      <c r="I89" s="347"/>
      <c r="J89" s="347"/>
      <c r="K89" s="343">
        <f t="shared" si="341"/>
        <v>0</v>
      </c>
      <c r="L89" s="347"/>
      <c r="M89" s="347"/>
      <c r="N89" s="347"/>
      <c r="O89" s="343">
        <f t="shared" si="342"/>
        <v>0</v>
      </c>
      <c r="P89" s="347"/>
      <c r="Q89" s="347"/>
      <c r="R89" s="347"/>
      <c r="S89" s="343">
        <f t="shared" si="343"/>
        <v>0</v>
      </c>
      <c r="T89" s="347"/>
      <c r="U89" s="347"/>
      <c r="V89" s="347"/>
      <c r="W89" s="343">
        <f t="shared" si="344"/>
        <v>0</v>
      </c>
      <c r="X89" s="347"/>
      <c r="Y89" s="347"/>
      <c r="Z89" s="347"/>
      <c r="AA89" s="343">
        <f t="shared" si="345"/>
        <v>0</v>
      </c>
      <c r="AB89" s="347"/>
      <c r="AC89" s="347"/>
      <c r="AD89" s="347"/>
      <c r="AE89" s="343">
        <f t="shared" si="346"/>
        <v>0</v>
      </c>
      <c r="AF89" s="347"/>
      <c r="AG89" s="347"/>
      <c r="AH89" s="347"/>
      <c r="AI89" s="343">
        <f t="shared" si="347"/>
        <v>0</v>
      </c>
      <c r="AJ89" s="347"/>
      <c r="AK89" s="347"/>
      <c r="AL89" s="347"/>
      <c r="AM89" s="343">
        <f t="shared" si="348"/>
        <v>0</v>
      </c>
      <c r="AN89" s="347"/>
      <c r="AO89" s="347"/>
      <c r="AP89" s="347"/>
      <c r="AQ89" s="343">
        <f t="shared" si="349"/>
        <v>0</v>
      </c>
      <c r="AR89" s="347"/>
      <c r="AS89" s="347"/>
      <c r="AT89" s="347"/>
      <c r="AU89" s="343">
        <f t="shared" si="350"/>
        <v>0</v>
      </c>
      <c r="AV89" s="347"/>
      <c r="AW89" s="347"/>
      <c r="AX89" s="347"/>
      <c r="AY89" s="343">
        <f t="shared" si="351"/>
        <v>0</v>
      </c>
      <c r="AZ89" s="347"/>
      <c r="BA89" s="347"/>
      <c r="BB89" s="347"/>
      <c r="BC89" s="343">
        <f t="shared" si="352"/>
        <v>0</v>
      </c>
      <c r="BD89" s="347"/>
      <c r="BE89" s="347"/>
      <c r="BF89" s="347"/>
      <c r="BG89" s="343">
        <f t="shared" si="353"/>
        <v>0</v>
      </c>
      <c r="BH89" s="347"/>
      <c r="BI89" s="347"/>
      <c r="BJ89" s="347"/>
      <c r="BK89" s="343">
        <f t="shared" si="354"/>
        <v>0</v>
      </c>
      <c r="BL89" s="347"/>
      <c r="BM89" s="347"/>
      <c r="BN89" s="347"/>
      <c r="BO89" s="343">
        <f t="shared" si="355"/>
        <v>0</v>
      </c>
      <c r="BP89" s="347"/>
      <c r="BQ89" s="347"/>
      <c r="BR89" s="347"/>
      <c r="BS89" s="343">
        <f t="shared" si="356"/>
        <v>0</v>
      </c>
      <c r="BT89" s="347"/>
      <c r="BU89" s="347"/>
      <c r="BV89" s="347"/>
      <c r="BW89" s="343">
        <f t="shared" si="357"/>
        <v>0</v>
      </c>
      <c r="BX89" s="347"/>
      <c r="BY89" s="347"/>
      <c r="BZ89" s="347"/>
      <c r="CA89" s="343">
        <f t="shared" si="358"/>
        <v>0</v>
      </c>
      <c r="CB89" s="347"/>
      <c r="CC89" s="347"/>
      <c r="CD89" s="347"/>
      <c r="CE89" s="343">
        <f t="shared" si="359"/>
        <v>0</v>
      </c>
      <c r="CF89" s="347"/>
      <c r="CG89" s="347"/>
      <c r="CH89" s="347"/>
      <c r="CI89" s="343">
        <f t="shared" si="360"/>
        <v>0</v>
      </c>
    </row>
    <row r="90" spans="3:87" s="48" customFormat="1" ht="14.5" customHeight="1" thickBot="1" x14ac:dyDescent="0.2">
      <c r="C90" s="118" t="str">
        <f>Tekstnøgler!C175</f>
        <v>Varetransport fra virksomhed til kunde</v>
      </c>
      <c r="D90" s="344">
        <f t="shared" ref="D90:AH90" si="361">SUM(D91:D93)</f>
        <v>0</v>
      </c>
      <c r="E90" s="344">
        <f t="shared" si="361"/>
        <v>0</v>
      </c>
      <c r="F90" s="344">
        <f t="shared" si="361"/>
        <v>0</v>
      </c>
      <c r="G90" s="344">
        <f>SUM(G91:G93)</f>
        <v>0</v>
      </c>
      <c r="H90" s="344">
        <f t="shared" si="361"/>
        <v>0</v>
      </c>
      <c r="I90" s="344">
        <f t="shared" si="361"/>
        <v>0</v>
      </c>
      <c r="J90" s="344">
        <f t="shared" si="361"/>
        <v>0</v>
      </c>
      <c r="K90" s="344">
        <f>SUM(K91:K93)</f>
        <v>0</v>
      </c>
      <c r="L90" s="344">
        <f t="shared" si="361"/>
        <v>0</v>
      </c>
      <c r="M90" s="344">
        <f t="shared" si="361"/>
        <v>0</v>
      </c>
      <c r="N90" s="344">
        <f t="shared" si="361"/>
        <v>0</v>
      </c>
      <c r="O90" s="344">
        <f>SUM(O91:O93)</f>
        <v>0</v>
      </c>
      <c r="P90" s="344">
        <f t="shared" si="361"/>
        <v>0</v>
      </c>
      <c r="Q90" s="344">
        <f t="shared" si="361"/>
        <v>0</v>
      </c>
      <c r="R90" s="344">
        <f t="shared" si="361"/>
        <v>0</v>
      </c>
      <c r="S90" s="344">
        <f>SUM(S91:S93)</f>
        <v>0</v>
      </c>
      <c r="T90" s="344">
        <f t="shared" si="361"/>
        <v>0</v>
      </c>
      <c r="U90" s="344">
        <f t="shared" si="361"/>
        <v>0</v>
      </c>
      <c r="V90" s="344">
        <f t="shared" si="361"/>
        <v>0</v>
      </c>
      <c r="W90" s="344">
        <f>SUM(W91:W93)</f>
        <v>0</v>
      </c>
      <c r="X90" s="344">
        <f t="shared" si="361"/>
        <v>0</v>
      </c>
      <c r="Y90" s="344">
        <f t="shared" si="361"/>
        <v>0</v>
      </c>
      <c r="Z90" s="344">
        <f t="shared" si="361"/>
        <v>0</v>
      </c>
      <c r="AA90" s="344">
        <f>SUM(AA91:AA93)</f>
        <v>0</v>
      </c>
      <c r="AB90" s="344">
        <f t="shared" si="361"/>
        <v>0</v>
      </c>
      <c r="AC90" s="344">
        <f t="shared" si="361"/>
        <v>0</v>
      </c>
      <c r="AD90" s="344">
        <f t="shared" si="361"/>
        <v>0</v>
      </c>
      <c r="AE90" s="344">
        <f>SUM(AE91:AE93)</f>
        <v>0</v>
      </c>
      <c r="AF90" s="344">
        <f t="shared" si="361"/>
        <v>0</v>
      </c>
      <c r="AG90" s="344">
        <f t="shared" si="361"/>
        <v>0</v>
      </c>
      <c r="AH90" s="344">
        <f t="shared" si="361"/>
        <v>0</v>
      </c>
      <c r="AI90" s="344">
        <f>SUM(AI91:AI93)</f>
        <v>0</v>
      </c>
      <c r="AJ90" s="344">
        <f t="shared" ref="AJ90:BN90" si="362">SUM(AJ91:AJ93)</f>
        <v>0</v>
      </c>
      <c r="AK90" s="344">
        <f t="shared" si="362"/>
        <v>0</v>
      </c>
      <c r="AL90" s="344">
        <f t="shared" si="362"/>
        <v>0</v>
      </c>
      <c r="AM90" s="344">
        <f>SUM(AM91:AM93)</f>
        <v>0</v>
      </c>
      <c r="AN90" s="344">
        <f t="shared" si="362"/>
        <v>0</v>
      </c>
      <c r="AO90" s="344">
        <f t="shared" si="362"/>
        <v>0</v>
      </c>
      <c r="AP90" s="344">
        <f t="shared" si="362"/>
        <v>0</v>
      </c>
      <c r="AQ90" s="344">
        <f>SUM(AQ91:AQ93)</f>
        <v>0</v>
      </c>
      <c r="AR90" s="344">
        <f t="shared" si="362"/>
        <v>0</v>
      </c>
      <c r="AS90" s="344">
        <f t="shared" si="362"/>
        <v>0</v>
      </c>
      <c r="AT90" s="344">
        <f t="shared" si="362"/>
        <v>0</v>
      </c>
      <c r="AU90" s="344">
        <f>SUM(AU91:AU93)</f>
        <v>0</v>
      </c>
      <c r="AV90" s="344">
        <f t="shared" si="362"/>
        <v>0</v>
      </c>
      <c r="AW90" s="344">
        <f t="shared" si="362"/>
        <v>0</v>
      </c>
      <c r="AX90" s="344">
        <f t="shared" si="362"/>
        <v>0</v>
      </c>
      <c r="AY90" s="344">
        <f>SUM(AY91:AY93)</f>
        <v>0</v>
      </c>
      <c r="AZ90" s="344">
        <f t="shared" si="362"/>
        <v>0</v>
      </c>
      <c r="BA90" s="344">
        <f t="shared" si="362"/>
        <v>0</v>
      </c>
      <c r="BB90" s="344">
        <f t="shared" si="362"/>
        <v>0</v>
      </c>
      <c r="BC90" s="344">
        <f>SUM(BC91:BC93)</f>
        <v>0</v>
      </c>
      <c r="BD90" s="344">
        <f t="shared" si="362"/>
        <v>0</v>
      </c>
      <c r="BE90" s="344">
        <f t="shared" si="362"/>
        <v>0</v>
      </c>
      <c r="BF90" s="344">
        <f t="shared" si="362"/>
        <v>0</v>
      </c>
      <c r="BG90" s="344">
        <f>SUM(BG91:BG93)</f>
        <v>0</v>
      </c>
      <c r="BH90" s="344">
        <f t="shared" si="362"/>
        <v>0</v>
      </c>
      <c r="BI90" s="344">
        <f t="shared" si="362"/>
        <v>0</v>
      </c>
      <c r="BJ90" s="344">
        <f t="shared" si="362"/>
        <v>0</v>
      </c>
      <c r="BK90" s="344">
        <f>SUM(BK91:BK93)</f>
        <v>0</v>
      </c>
      <c r="BL90" s="344">
        <f t="shared" si="362"/>
        <v>0</v>
      </c>
      <c r="BM90" s="344">
        <f t="shared" si="362"/>
        <v>0</v>
      </c>
      <c r="BN90" s="344">
        <f t="shared" si="362"/>
        <v>0</v>
      </c>
      <c r="BO90" s="344">
        <f>SUM(BO91:BO93)</f>
        <v>0</v>
      </c>
      <c r="BP90" s="344">
        <f t="shared" ref="BP90:CH90" si="363">SUM(BP91:BP93)</f>
        <v>0</v>
      </c>
      <c r="BQ90" s="344">
        <f t="shared" si="363"/>
        <v>0</v>
      </c>
      <c r="BR90" s="344">
        <f t="shared" si="363"/>
        <v>0</v>
      </c>
      <c r="BS90" s="344">
        <f>SUM(BS91:BS93)</f>
        <v>0</v>
      </c>
      <c r="BT90" s="344">
        <f t="shared" si="363"/>
        <v>0</v>
      </c>
      <c r="BU90" s="344">
        <f t="shared" si="363"/>
        <v>0</v>
      </c>
      <c r="BV90" s="344">
        <f t="shared" si="363"/>
        <v>0</v>
      </c>
      <c r="BW90" s="344">
        <f>SUM(BW91:BW93)</f>
        <v>0</v>
      </c>
      <c r="BX90" s="344">
        <f t="shared" si="363"/>
        <v>0</v>
      </c>
      <c r="BY90" s="344">
        <f t="shared" si="363"/>
        <v>0</v>
      </c>
      <c r="BZ90" s="344">
        <f t="shared" si="363"/>
        <v>0</v>
      </c>
      <c r="CA90" s="344">
        <f>SUM(CA91:CA93)</f>
        <v>0</v>
      </c>
      <c r="CB90" s="344">
        <f t="shared" si="363"/>
        <v>0</v>
      </c>
      <c r="CC90" s="344">
        <f t="shared" si="363"/>
        <v>0</v>
      </c>
      <c r="CD90" s="344">
        <f t="shared" si="363"/>
        <v>0</v>
      </c>
      <c r="CE90" s="344">
        <f>SUM(CE91:CE93)</f>
        <v>0</v>
      </c>
      <c r="CF90" s="344">
        <f t="shared" si="363"/>
        <v>0</v>
      </c>
      <c r="CG90" s="344">
        <f t="shared" si="363"/>
        <v>0</v>
      </c>
      <c r="CH90" s="344">
        <f t="shared" si="363"/>
        <v>0</v>
      </c>
      <c r="CI90" s="344">
        <f>SUM(CI91:CI93)</f>
        <v>0</v>
      </c>
    </row>
    <row r="91" spans="3:87" s="48" customFormat="1" ht="14.5" customHeight="1" thickBot="1" x14ac:dyDescent="0.2">
      <c r="C91" s="119" t="str">
        <f>Tekstnøgler!C176</f>
        <v>Varetransport i fysiske enheder</v>
      </c>
      <c r="D91" s="347"/>
      <c r="E91" s="347"/>
      <c r="F91" s="347"/>
      <c r="G91" s="343">
        <f t="shared" ref="G91:G93" si="364">D91+E91+F91</f>
        <v>0</v>
      </c>
      <c r="H91" s="347"/>
      <c r="I91" s="347"/>
      <c r="J91" s="347"/>
      <c r="K91" s="343">
        <f t="shared" ref="K91:K93" si="365">H91+I91+J91</f>
        <v>0</v>
      </c>
      <c r="L91" s="347"/>
      <c r="M91" s="347"/>
      <c r="N91" s="347"/>
      <c r="O91" s="343">
        <f t="shared" ref="O91:O93" si="366">L91+M91+N91</f>
        <v>0</v>
      </c>
      <c r="P91" s="347"/>
      <c r="Q91" s="347"/>
      <c r="R91" s="347"/>
      <c r="S91" s="343">
        <f t="shared" ref="S91:S93" si="367">P91+Q91+R91</f>
        <v>0</v>
      </c>
      <c r="T91" s="347"/>
      <c r="U91" s="347"/>
      <c r="V91" s="347"/>
      <c r="W91" s="343">
        <f t="shared" ref="W91:W93" si="368">T91+U91+V91</f>
        <v>0</v>
      </c>
      <c r="X91" s="347"/>
      <c r="Y91" s="347"/>
      <c r="Z91" s="347"/>
      <c r="AA91" s="343">
        <f t="shared" ref="AA91:AA93" si="369">X91+Y91+Z91</f>
        <v>0</v>
      </c>
      <c r="AB91" s="347"/>
      <c r="AC91" s="347"/>
      <c r="AD91" s="347"/>
      <c r="AE91" s="343">
        <f t="shared" ref="AE91:AE93" si="370">AB91+AC91+AD91</f>
        <v>0</v>
      </c>
      <c r="AF91" s="347"/>
      <c r="AG91" s="347"/>
      <c r="AH91" s="347"/>
      <c r="AI91" s="343">
        <f t="shared" ref="AI91:AI93" si="371">AF91+AG91+AH91</f>
        <v>0</v>
      </c>
      <c r="AJ91" s="347"/>
      <c r="AK91" s="347"/>
      <c r="AL91" s="347"/>
      <c r="AM91" s="343">
        <f t="shared" ref="AM91:AM93" si="372">AJ91+AK91+AL91</f>
        <v>0</v>
      </c>
      <c r="AN91" s="347"/>
      <c r="AO91" s="347"/>
      <c r="AP91" s="347"/>
      <c r="AQ91" s="343">
        <f t="shared" ref="AQ91:AQ93" si="373">AN91+AO91+AP91</f>
        <v>0</v>
      </c>
      <c r="AR91" s="347"/>
      <c r="AS91" s="347"/>
      <c r="AT91" s="347"/>
      <c r="AU91" s="343">
        <f t="shared" ref="AU91:AU93" si="374">AR91+AS91+AT91</f>
        <v>0</v>
      </c>
      <c r="AV91" s="347"/>
      <c r="AW91" s="347"/>
      <c r="AX91" s="347"/>
      <c r="AY91" s="343">
        <f t="shared" ref="AY91:AY93" si="375">AV91+AW91+AX91</f>
        <v>0</v>
      </c>
      <c r="AZ91" s="347"/>
      <c r="BA91" s="347"/>
      <c r="BB91" s="347"/>
      <c r="BC91" s="343">
        <f t="shared" ref="BC91:BC93" si="376">AZ91+BA91+BB91</f>
        <v>0</v>
      </c>
      <c r="BD91" s="347"/>
      <c r="BE91" s="347"/>
      <c r="BF91" s="347"/>
      <c r="BG91" s="343">
        <f t="shared" ref="BG91:BG93" si="377">BD91+BE91+BF91</f>
        <v>0</v>
      </c>
      <c r="BH91" s="347"/>
      <c r="BI91" s="347"/>
      <c r="BJ91" s="347"/>
      <c r="BK91" s="343">
        <f t="shared" ref="BK91:BK93" si="378">BH91+BI91+BJ91</f>
        <v>0</v>
      </c>
      <c r="BL91" s="347"/>
      <c r="BM91" s="347"/>
      <c r="BN91" s="347"/>
      <c r="BO91" s="343">
        <f t="shared" ref="BO91:BO93" si="379">BL91+BM91+BN91</f>
        <v>0</v>
      </c>
      <c r="BP91" s="347"/>
      <c r="BQ91" s="347"/>
      <c r="BR91" s="347"/>
      <c r="BS91" s="343">
        <f t="shared" ref="BS91:BS93" si="380">BP91+BQ91+BR91</f>
        <v>0</v>
      </c>
      <c r="BT91" s="347"/>
      <c r="BU91" s="347"/>
      <c r="BV91" s="347"/>
      <c r="BW91" s="343">
        <f t="shared" ref="BW91:BW93" si="381">BT91+BU91+BV91</f>
        <v>0</v>
      </c>
      <c r="BX91" s="347"/>
      <c r="BY91" s="347"/>
      <c r="BZ91" s="347"/>
      <c r="CA91" s="343">
        <f t="shared" ref="CA91:CA93" si="382">BX91+BY91+BZ91</f>
        <v>0</v>
      </c>
      <c r="CB91" s="347"/>
      <c r="CC91" s="347"/>
      <c r="CD91" s="347"/>
      <c r="CE91" s="343">
        <f t="shared" ref="CE91:CE93" si="383">CB91+CC91+CD91</f>
        <v>0</v>
      </c>
      <c r="CF91" s="347"/>
      <c r="CG91" s="347"/>
      <c r="CH91" s="347"/>
      <c r="CI91" s="343">
        <f t="shared" ref="CI91:CI93" si="384">CF91+CG91+CH91</f>
        <v>0</v>
      </c>
    </row>
    <row r="92" spans="3:87" s="48" customFormat="1" ht="14.5" customHeight="1" thickBot="1" x14ac:dyDescent="0.2">
      <c r="C92" s="119" t="str">
        <f>Tekstnøgler!C177</f>
        <v>Varetransport i monetære enheder (beløb i DKK)</v>
      </c>
      <c r="D92" s="347"/>
      <c r="E92" s="347"/>
      <c r="F92" s="347"/>
      <c r="G92" s="343">
        <f t="shared" si="364"/>
        <v>0</v>
      </c>
      <c r="H92" s="347"/>
      <c r="I92" s="347"/>
      <c r="J92" s="347"/>
      <c r="K92" s="343">
        <f t="shared" si="365"/>
        <v>0</v>
      </c>
      <c r="L92" s="347"/>
      <c r="M92" s="347"/>
      <c r="N92" s="347"/>
      <c r="O92" s="343">
        <f t="shared" si="366"/>
        <v>0</v>
      </c>
      <c r="P92" s="347"/>
      <c r="Q92" s="347"/>
      <c r="R92" s="347"/>
      <c r="S92" s="343">
        <f t="shared" si="367"/>
        <v>0</v>
      </c>
      <c r="T92" s="347"/>
      <c r="U92" s="347"/>
      <c r="V92" s="347"/>
      <c r="W92" s="343">
        <f t="shared" si="368"/>
        <v>0</v>
      </c>
      <c r="X92" s="347"/>
      <c r="Y92" s="347"/>
      <c r="Z92" s="347"/>
      <c r="AA92" s="343">
        <f t="shared" si="369"/>
        <v>0</v>
      </c>
      <c r="AB92" s="347"/>
      <c r="AC92" s="347"/>
      <c r="AD92" s="347"/>
      <c r="AE92" s="343">
        <f t="shared" si="370"/>
        <v>0</v>
      </c>
      <c r="AF92" s="347"/>
      <c r="AG92" s="347"/>
      <c r="AH92" s="347"/>
      <c r="AI92" s="343">
        <f t="shared" si="371"/>
        <v>0</v>
      </c>
      <c r="AJ92" s="347"/>
      <c r="AK92" s="347"/>
      <c r="AL92" s="347"/>
      <c r="AM92" s="343">
        <f t="shared" si="372"/>
        <v>0</v>
      </c>
      <c r="AN92" s="347"/>
      <c r="AO92" s="347"/>
      <c r="AP92" s="347"/>
      <c r="AQ92" s="343">
        <f t="shared" si="373"/>
        <v>0</v>
      </c>
      <c r="AR92" s="347"/>
      <c r="AS92" s="347"/>
      <c r="AT92" s="347"/>
      <c r="AU92" s="343">
        <f t="shared" si="374"/>
        <v>0</v>
      </c>
      <c r="AV92" s="347"/>
      <c r="AW92" s="347"/>
      <c r="AX92" s="347"/>
      <c r="AY92" s="343">
        <f t="shared" si="375"/>
        <v>0</v>
      </c>
      <c r="AZ92" s="347"/>
      <c r="BA92" s="347"/>
      <c r="BB92" s="347"/>
      <c r="BC92" s="343">
        <f t="shared" si="376"/>
        <v>0</v>
      </c>
      <c r="BD92" s="347"/>
      <c r="BE92" s="347"/>
      <c r="BF92" s="347"/>
      <c r="BG92" s="343">
        <f t="shared" si="377"/>
        <v>0</v>
      </c>
      <c r="BH92" s="347"/>
      <c r="BI92" s="347"/>
      <c r="BJ92" s="347"/>
      <c r="BK92" s="343">
        <f t="shared" si="378"/>
        <v>0</v>
      </c>
      <c r="BL92" s="347"/>
      <c r="BM92" s="347"/>
      <c r="BN92" s="347"/>
      <c r="BO92" s="343">
        <f t="shared" si="379"/>
        <v>0</v>
      </c>
      <c r="BP92" s="347"/>
      <c r="BQ92" s="347"/>
      <c r="BR92" s="347"/>
      <c r="BS92" s="343">
        <f t="shared" si="380"/>
        <v>0</v>
      </c>
      <c r="BT92" s="347"/>
      <c r="BU92" s="347"/>
      <c r="BV92" s="347"/>
      <c r="BW92" s="343">
        <f t="shared" si="381"/>
        <v>0</v>
      </c>
      <c r="BX92" s="347"/>
      <c r="BY92" s="347"/>
      <c r="BZ92" s="347"/>
      <c r="CA92" s="343">
        <f t="shared" si="382"/>
        <v>0</v>
      </c>
      <c r="CB92" s="347"/>
      <c r="CC92" s="347"/>
      <c r="CD92" s="347"/>
      <c r="CE92" s="343">
        <f t="shared" si="383"/>
        <v>0</v>
      </c>
      <c r="CF92" s="347"/>
      <c r="CG92" s="347"/>
      <c r="CH92" s="347"/>
      <c r="CI92" s="343">
        <f t="shared" si="384"/>
        <v>0</v>
      </c>
    </row>
    <row r="93" spans="3:87" s="48" customFormat="1" ht="14.5" customHeight="1" thickBot="1" x14ac:dyDescent="0.2">
      <c r="C93" s="119" t="str">
        <f>Tekstnøgler!C178</f>
        <v>Varetransport fra virksomhed til kunde med egne emissionsfaktorer</v>
      </c>
      <c r="D93" s="347"/>
      <c r="E93" s="347"/>
      <c r="F93" s="347"/>
      <c r="G93" s="343">
        <f t="shared" si="364"/>
        <v>0</v>
      </c>
      <c r="H93" s="347"/>
      <c r="I93" s="347"/>
      <c r="J93" s="347"/>
      <c r="K93" s="343">
        <f t="shared" si="365"/>
        <v>0</v>
      </c>
      <c r="L93" s="347"/>
      <c r="M93" s="347"/>
      <c r="N93" s="347"/>
      <c r="O93" s="343">
        <f t="shared" si="366"/>
        <v>0</v>
      </c>
      <c r="P93" s="347"/>
      <c r="Q93" s="347"/>
      <c r="R93" s="347"/>
      <c r="S93" s="343">
        <f t="shared" si="367"/>
        <v>0</v>
      </c>
      <c r="T93" s="347"/>
      <c r="U93" s="347"/>
      <c r="V93" s="347"/>
      <c r="W93" s="343">
        <f t="shared" si="368"/>
        <v>0</v>
      </c>
      <c r="X93" s="347"/>
      <c r="Y93" s="347"/>
      <c r="Z93" s="347"/>
      <c r="AA93" s="343">
        <f t="shared" si="369"/>
        <v>0</v>
      </c>
      <c r="AB93" s="347"/>
      <c r="AC93" s="347"/>
      <c r="AD93" s="347"/>
      <c r="AE93" s="343">
        <f t="shared" si="370"/>
        <v>0</v>
      </c>
      <c r="AF93" s="347"/>
      <c r="AG93" s="347"/>
      <c r="AH93" s="347"/>
      <c r="AI93" s="343">
        <f t="shared" si="371"/>
        <v>0</v>
      </c>
      <c r="AJ93" s="347"/>
      <c r="AK93" s="347"/>
      <c r="AL93" s="347"/>
      <c r="AM93" s="343">
        <f t="shared" si="372"/>
        <v>0</v>
      </c>
      <c r="AN93" s="347"/>
      <c r="AO93" s="347"/>
      <c r="AP93" s="347"/>
      <c r="AQ93" s="343">
        <f t="shared" si="373"/>
        <v>0</v>
      </c>
      <c r="AR93" s="347"/>
      <c r="AS93" s="347"/>
      <c r="AT93" s="347"/>
      <c r="AU93" s="343">
        <f t="shared" si="374"/>
        <v>0</v>
      </c>
      <c r="AV93" s="347"/>
      <c r="AW93" s="347"/>
      <c r="AX93" s="347"/>
      <c r="AY93" s="343">
        <f t="shared" si="375"/>
        <v>0</v>
      </c>
      <c r="AZ93" s="347"/>
      <c r="BA93" s="347"/>
      <c r="BB93" s="347"/>
      <c r="BC93" s="343">
        <f t="shared" si="376"/>
        <v>0</v>
      </c>
      <c r="BD93" s="347"/>
      <c r="BE93" s="347"/>
      <c r="BF93" s="347"/>
      <c r="BG93" s="343">
        <f t="shared" si="377"/>
        <v>0</v>
      </c>
      <c r="BH93" s="347"/>
      <c r="BI93" s="347"/>
      <c r="BJ93" s="347"/>
      <c r="BK93" s="343">
        <f t="shared" si="378"/>
        <v>0</v>
      </c>
      <c r="BL93" s="347"/>
      <c r="BM93" s="347"/>
      <c r="BN93" s="347"/>
      <c r="BO93" s="343">
        <f t="shared" si="379"/>
        <v>0</v>
      </c>
      <c r="BP93" s="347"/>
      <c r="BQ93" s="347"/>
      <c r="BR93" s="347"/>
      <c r="BS93" s="343">
        <f t="shared" si="380"/>
        <v>0</v>
      </c>
      <c r="BT93" s="347"/>
      <c r="BU93" s="347"/>
      <c r="BV93" s="347"/>
      <c r="BW93" s="343">
        <f t="shared" si="381"/>
        <v>0</v>
      </c>
      <c r="BX93" s="347"/>
      <c r="BY93" s="347"/>
      <c r="BZ93" s="347"/>
      <c r="CA93" s="343">
        <f t="shared" si="382"/>
        <v>0</v>
      </c>
      <c r="CB93" s="347"/>
      <c r="CC93" s="347"/>
      <c r="CD93" s="347"/>
      <c r="CE93" s="343">
        <f t="shared" si="383"/>
        <v>0</v>
      </c>
      <c r="CF93" s="347"/>
      <c r="CG93" s="347"/>
      <c r="CH93" s="347"/>
      <c r="CI93" s="343">
        <f t="shared" si="384"/>
        <v>0</v>
      </c>
    </row>
    <row r="94" spans="3:87" s="48" customFormat="1" ht="14.5" customHeight="1" thickBot="1" x14ac:dyDescent="0.2">
      <c r="C94" s="118" t="str">
        <f>Tekstnøgler!C179</f>
        <v>Andet udledning ved transport</v>
      </c>
      <c r="D94" s="348"/>
      <c r="E94" s="348"/>
      <c r="F94" s="348"/>
      <c r="G94" s="344">
        <f>D94+E94+F94</f>
        <v>0</v>
      </c>
      <c r="H94" s="348"/>
      <c r="I94" s="348"/>
      <c r="J94" s="348"/>
      <c r="K94" s="344">
        <f>H94+I94+J94</f>
        <v>0</v>
      </c>
      <c r="L94" s="348"/>
      <c r="M94" s="348"/>
      <c r="N94" s="348"/>
      <c r="O94" s="344">
        <f>L94+M94+N94</f>
        <v>0</v>
      </c>
      <c r="P94" s="348"/>
      <c r="Q94" s="348"/>
      <c r="R94" s="348"/>
      <c r="S94" s="344">
        <f>P94+Q94+R94</f>
        <v>0</v>
      </c>
      <c r="T94" s="348"/>
      <c r="U94" s="348"/>
      <c r="V94" s="348"/>
      <c r="W94" s="344">
        <f>T94+U94+V94</f>
        <v>0</v>
      </c>
      <c r="X94" s="348"/>
      <c r="Y94" s="348"/>
      <c r="Z94" s="348"/>
      <c r="AA94" s="344">
        <f>X94+Y94+Z94</f>
        <v>0</v>
      </c>
      <c r="AB94" s="348"/>
      <c r="AC94" s="348"/>
      <c r="AD94" s="348"/>
      <c r="AE94" s="344">
        <f>AB94+AC94+AD94</f>
        <v>0</v>
      </c>
      <c r="AF94" s="348"/>
      <c r="AG94" s="348"/>
      <c r="AH94" s="348"/>
      <c r="AI94" s="344">
        <f>AF94+AG94+AH94</f>
        <v>0</v>
      </c>
      <c r="AJ94" s="348"/>
      <c r="AK94" s="348"/>
      <c r="AL94" s="348"/>
      <c r="AM94" s="344">
        <f>AJ94+AK94+AL94</f>
        <v>0</v>
      </c>
      <c r="AN94" s="348"/>
      <c r="AO94" s="348"/>
      <c r="AP94" s="348"/>
      <c r="AQ94" s="344">
        <f>AN94+AO94+AP94</f>
        <v>0</v>
      </c>
      <c r="AR94" s="348"/>
      <c r="AS94" s="348"/>
      <c r="AT94" s="348"/>
      <c r="AU94" s="344">
        <f>AR94+AS94+AT94</f>
        <v>0</v>
      </c>
      <c r="AV94" s="348"/>
      <c r="AW94" s="348"/>
      <c r="AX94" s="348"/>
      <c r="AY94" s="344">
        <f>AV94+AW94+AX94</f>
        <v>0</v>
      </c>
      <c r="AZ94" s="348"/>
      <c r="BA94" s="348"/>
      <c r="BB94" s="348"/>
      <c r="BC94" s="344">
        <f>AZ94+BA94+BB94</f>
        <v>0</v>
      </c>
      <c r="BD94" s="348"/>
      <c r="BE94" s="348"/>
      <c r="BF94" s="348"/>
      <c r="BG94" s="344">
        <f>BD94+BE94+BF94</f>
        <v>0</v>
      </c>
      <c r="BH94" s="348"/>
      <c r="BI94" s="348"/>
      <c r="BJ94" s="348"/>
      <c r="BK94" s="344">
        <f>BH94+BI94+BJ94</f>
        <v>0</v>
      </c>
      <c r="BL94" s="348"/>
      <c r="BM94" s="348"/>
      <c r="BN94" s="348"/>
      <c r="BO94" s="344">
        <f>BL94+BM94+BN94</f>
        <v>0</v>
      </c>
      <c r="BP94" s="348"/>
      <c r="BQ94" s="348"/>
      <c r="BR94" s="348"/>
      <c r="BS94" s="344">
        <f>BP94+BQ94+BR94</f>
        <v>0</v>
      </c>
      <c r="BT94" s="348"/>
      <c r="BU94" s="348"/>
      <c r="BV94" s="348"/>
      <c r="BW94" s="344">
        <f>BT94+BU94+BV94</f>
        <v>0</v>
      </c>
      <c r="BX94" s="348"/>
      <c r="BY94" s="348"/>
      <c r="BZ94" s="348"/>
      <c r="CA94" s="344">
        <f>BX94+BY94+BZ94</f>
        <v>0</v>
      </c>
      <c r="CB94" s="348"/>
      <c r="CC94" s="348"/>
      <c r="CD94" s="348"/>
      <c r="CE94" s="344">
        <f>CB94+CC94+CD94</f>
        <v>0</v>
      </c>
      <c r="CF94" s="348"/>
      <c r="CG94" s="348"/>
      <c r="CH94" s="348"/>
      <c r="CI94" s="344">
        <f>CF94+CG94+CH94</f>
        <v>0</v>
      </c>
    </row>
    <row r="95" spans="3:87" s="48" customFormat="1" ht="14.5" customHeight="1" thickBot="1" x14ac:dyDescent="0.2">
      <c r="C95" s="117" t="str">
        <f>Tekstnøgler!C180</f>
        <v>Affald og genbrug</v>
      </c>
      <c r="D95" s="46">
        <f t="shared" ref="D95:AH95" si="385">D96+D99</f>
        <v>0</v>
      </c>
      <c r="E95" s="46">
        <f t="shared" si="385"/>
        <v>0</v>
      </c>
      <c r="F95" s="46">
        <f t="shared" si="385"/>
        <v>0</v>
      </c>
      <c r="G95" s="46">
        <f>G96+G99</f>
        <v>0</v>
      </c>
      <c r="H95" s="46">
        <f t="shared" si="385"/>
        <v>0</v>
      </c>
      <c r="I95" s="46">
        <f t="shared" si="385"/>
        <v>0</v>
      </c>
      <c r="J95" s="46">
        <f t="shared" si="385"/>
        <v>0</v>
      </c>
      <c r="K95" s="46">
        <f>K96+K99</f>
        <v>0</v>
      </c>
      <c r="L95" s="46">
        <f t="shared" si="385"/>
        <v>0</v>
      </c>
      <c r="M95" s="46">
        <f t="shared" si="385"/>
        <v>0</v>
      </c>
      <c r="N95" s="46">
        <f t="shared" si="385"/>
        <v>0</v>
      </c>
      <c r="O95" s="46">
        <f>O96+O99</f>
        <v>0</v>
      </c>
      <c r="P95" s="46">
        <f t="shared" si="385"/>
        <v>0</v>
      </c>
      <c r="Q95" s="46">
        <f t="shared" si="385"/>
        <v>0</v>
      </c>
      <c r="R95" s="46">
        <f t="shared" si="385"/>
        <v>0</v>
      </c>
      <c r="S95" s="46">
        <f>S96+S99</f>
        <v>0</v>
      </c>
      <c r="T95" s="46">
        <f t="shared" si="385"/>
        <v>0</v>
      </c>
      <c r="U95" s="46">
        <f t="shared" si="385"/>
        <v>0</v>
      </c>
      <c r="V95" s="46">
        <f t="shared" si="385"/>
        <v>0</v>
      </c>
      <c r="W95" s="46">
        <f>W96+W99</f>
        <v>0</v>
      </c>
      <c r="X95" s="46">
        <f t="shared" si="385"/>
        <v>0</v>
      </c>
      <c r="Y95" s="46">
        <f t="shared" si="385"/>
        <v>0</v>
      </c>
      <c r="Z95" s="46">
        <f t="shared" si="385"/>
        <v>0</v>
      </c>
      <c r="AA95" s="46">
        <f>AA96+AA99</f>
        <v>0</v>
      </c>
      <c r="AB95" s="46">
        <f t="shared" si="385"/>
        <v>0</v>
      </c>
      <c r="AC95" s="46">
        <f t="shared" si="385"/>
        <v>0</v>
      </c>
      <c r="AD95" s="46">
        <f t="shared" si="385"/>
        <v>0</v>
      </c>
      <c r="AE95" s="46">
        <f>AE96+AE99</f>
        <v>0</v>
      </c>
      <c r="AF95" s="46">
        <f t="shared" si="385"/>
        <v>0</v>
      </c>
      <c r="AG95" s="46">
        <f t="shared" si="385"/>
        <v>0</v>
      </c>
      <c r="AH95" s="46">
        <f t="shared" si="385"/>
        <v>0</v>
      </c>
      <c r="AI95" s="46">
        <f>AI96+AI99</f>
        <v>0</v>
      </c>
      <c r="AJ95" s="46">
        <f t="shared" ref="AJ95:BN95" si="386">AJ96+AJ99</f>
        <v>0</v>
      </c>
      <c r="AK95" s="46">
        <f t="shared" si="386"/>
        <v>0</v>
      </c>
      <c r="AL95" s="46">
        <f t="shared" si="386"/>
        <v>0</v>
      </c>
      <c r="AM95" s="46">
        <f>AM96+AM99</f>
        <v>0</v>
      </c>
      <c r="AN95" s="46">
        <f t="shared" si="386"/>
        <v>0</v>
      </c>
      <c r="AO95" s="46">
        <f t="shared" si="386"/>
        <v>0</v>
      </c>
      <c r="AP95" s="46">
        <f t="shared" si="386"/>
        <v>0</v>
      </c>
      <c r="AQ95" s="46">
        <f>AQ96+AQ99</f>
        <v>0</v>
      </c>
      <c r="AR95" s="46">
        <f t="shared" si="386"/>
        <v>0</v>
      </c>
      <c r="AS95" s="46">
        <f t="shared" si="386"/>
        <v>0</v>
      </c>
      <c r="AT95" s="46">
        <f t="shared" si="386"/>
        <v>0</v>
      </c>
      <c r="AU95" s="46">
        <f>AU96+AU99</f>
        <v>0</v>
      </c>
      <c r="AV95" s="46">
        <f t="shared" si="386"/>
        <v>0</v>
      </c>
      <c r="AW95" s="46">
        <f t="shared" si="386"/>
        <v>0</v>
      </c>
      <c r="AX95" s="46">
        <f t="shared" si="386"/>
        <v>0</v>
      </c>
      <c r="AY95" s="46">
        <f>AY96+AY99</f>
        <v>0</v>
      </c>
      <c r="AZ95" s="46">
        <f t="shared" si="386"/>
        <v>0</v>
      </c>
      <c r="BA95" s="46">
        <f t="shared" si="386"/>
        <v>0</v>
      </c>
      <c r="BB95" s="46">
        <f t="shared" si="386"/>
        <v>0</v>
      </c>
      <c r="BC95" s="46">
        <f>BC96+BC99</f>
        <v>0</v>
      </c>
      <c r="BD95" s="46">
        <f t="shared" si="386"/>
        <v>0</v>
      </c>
      <c r="BE95" s="46">
        <f t="shared" si="386"/>
        <v>0</v>
      </c>
      <c r="BF95" s="46">
        <f t="shared" si="386"/>
        <v>0</v>
      </c>
      <c r="BG95" s="46">
        <f>BG96+BG99</f>
        <v>0</v>
      </c>
      <c r="BH95" s="46">
        <f t="shared" si="386"/>
        <v>0</v>
      </c>
      <c r="BI95" s="46">
        <f t="shared" si="386"/>
        <v>0</v>
      </c>
      <c r="BJ95" s="46">
        <f t="shared" si="386"/>
        <v>0</v>
      </c>
      <c r="BK95" s="46">
        <f>BK96+BK99</f>
        <v>0</v>
      </c>
      <c r="BL95" s="46">
        <f t="shared" si="386"/>
        <v>0</v>
      </c>
      <c r="BM95" s="46">
        <f t="shared" si="386"/>
        <v>0</v>
      </c>
      <c r="BN95" s="46">
        <f t="shared" si="386"/>
        <v>0</v>
      </c>
      <c r="BO95" s="46">
        <f>BO96+BO99</f>
        <v>0</v>
      </c>
      <c r="BP95" s="46">
        <f t="shared" ref="BP95:CH95" si="387">BP96+BP99</f>
        <v>0</v>
      </c>
      <c r="BQ95" s="46">
        <f t="shared" si="387"/>
        <v>0</v>
      </c>
      <c r="BR95" s="46">
        <f t="shared" si="387"/>
        <v>0</v>
      </c>
      <c r="BS95" s="46">
        <f>BS96+BS99</f>
        <v>0</v>
      </c>
      <c r="BT95" s="46">
        <f t="shared" si="387"/>
        <v>0</v>
      </c>
      <c r="BU95" s="46">
        <f t="shared" si="387"/>
        <v>0</v>
      </c>
      <c r="BV95" s="46">
        <f t="shared" si="387"/>
        <v>0</v>
      </c>
      <c r="BW95" s="46">
        <f>BW96+BW99</f>
        <v>0</v>
      </c>
      <c r="BX95" s="46">
        <f t="shared" si="387"/>
        <v>0</v>
      </c>
      <c r="BY95" s="46">
        <f t="shared" si="387"/>
        <v>0</v>
      </c>
      <c r="BZ95" s="46">
        <f t="shared" si="387"/>
        <v>0</v>
      </c>
      <c r="CA95" s="46">
        <f>CA96+CA99</f>
        <v>0</v>
      </c>
      <c r="CB95" s="46">
        <f t="shared" si="387"/>
        <v>0</v>
      </c>
      <c r="CC95" s="46">
        <f t="shared" si="387"/>
        <v>0</v>
      </c>
      <c r="CD95" s="46">
        <f t="shared" si="387"/>
        <v>0</v>
      </c>
      <c r="CE95" s="46">
        <f>CE96+CE99</f>
        <v>0</v>
      </c>
      <c r="CF95" s="46">
        <f t="shared" si="387"/>
        <v>0</v>
      </c>
      <c r="CG95" s="46">
        <f t="shared" si="387"/>
        <v>0</v>
      </c>
      <c r="CH95" s="46">
        <f t="shared" si="387"/>
        <v>0</v>
      </c>
      <c r="CI95" s="46">
        <f>CI96+CI99</f>
        <v>0</v>
      </c>
    </row>
    <row r="96" spans="3:87" s="48" customFormat="1" ht="14.5" customHeight="1" thickBot="1" x14ac:dyDescent="0.2">
      <c r="C96" s="118" t="str">
        <f>Tekstnøgler!C181</f>
        <v>Affald</v>
      </c>
      <c r="D96" s="344">
        <f t="shared" ref="D96:AH96" si="388">SUM(D97:D98)</f>
        <v>0</v>
      </c>
      <c r="E96" s="344">
        <f t="shared" si="388"/>
        <v>0</v>
      </c>
      <c r="F96" s="344">
        <f t="shared" si="388"/>
        <v>0</v>
      </c>
      <c r="G96" s="344">
        <f>SUM(G97:G98)</f>
        <v>0</v>
      </c>
      <c r="H96" s="344">
        <f t="shared" si="388"/>
        <v>0</v>
      </c>
      <c r="I96" s="344">
        <f t="shared" si="388"/>
        <v>0</v>
      </c>
      <c r="J96" s="344">
        <f t="shared" si="388"/>
        <v>0</v>
      </c>
      <c r="K96" s="344">
        <f>SUM(K97:K98)</f>
        <v>0</v>
      </c>
      <c r="L96" s="344">
        <f t="shared" si="388"/>
        <v>0</v>
      </c>
      <c r="M96" s="344">
        <f t="shared" si="388"/>
        <v>0</v>
      </c>
      <c r="N96" s="344">
        <f t="shared" si="388"/>
        <v>0</v>
      </c>
      <c r="O96" s="344">
        <f>SUM(O97:O98)</f>
        <v>0</v>
      </c>
      <c r="P96" s="344">
        <f t="shared" si="388"/>
        <v>0</v>
      </c>
      <c r="Q96" s="344">
        <f t="shared" si="388"/>
        <v>0</v>
      </c>
      <c r="R96" s="344">
        <f t="shared" si="388"/>
        <v>0</v>
      </c>
      <c r="S96" s="344">
        <f>SUM(S97:S98)</f>
        <v>0</v>
      </c>
      <c r="T96" s="344">
        <f t="shared" si="388"/>
        <v>0</v>
      </c>
      <c r="U96" s="344">
        <f t="shared" si="388"/>
        <v>0</v>
      </c>
      <c r="V96" s="344">
        <f t="shared" si="388"/>
        <v>0</v>
      </c>
      <c r="W96" s="344">
        <f>SUM(W97:W98)</f>
        <v>0</v>
      </c>
      <c r="X96" s="344">
        <f t="shared" si="388"/>
        <v>0</v>
      </c>
      <c r="Y96" s="344">
        <f t="shared" si="388"/>
        <v>0</v>
      </c>
      <c r="Z96" s="344">
        <f t="shared" si="388"/>
        <v>0</v>
      </c>
      <c r="AA96" s="344">
        <f>SUM(AA97:AA98)</f>
        <v>0</v>
      </c>
      <c r="AB96" s="344">
        <f t="shared" si="388"/>
        <v>0</v>
      </c>
      <c r="AC96" s="344">
        <f t="shared" si="388"/>
        <v>0</v>
      </c>
      <c r="AD96" s="344">
        <f t="shared" si="388"/>
        <v>0</v>
      </c>
      <c r="AE96" s="344">
        <f>SUM(AE97:AE98)</f>
        <v>0</v>
      </c>
      <c r="AF96" s="344">
        <f t="shared" si="388"/>
        <v>0</v>
      </c>
      <c r="AG96" s="344">
        <f t="shared" si="388"/>
        <v>0</v>
      </c>
      <c r="AH96" s="344">
        <f t="shared" si="388"/>
        <v>0</v>
      </c>
      <c r="AI96" s="344">
        <f>SUM(AI97:AI98)</f>
        <v>0</v>
      </c>
      <c r="AJ96" s="344">
        <f t="shared" ref="AJ96:BN96" si="389">SUM(AJ97:AJ98)</f>
        <v>0</v>
      </c>
      <c r="AK96" s="344">
        <f t="shared" si="389"/>
        <v>0</v>
      </c>
      <c r="AL96" s="344">
        <f t="shared" si="389"/>
        <v>0</v>
      </c>
      <c r="AM96" s="344">
        <f>SUM(AM97:AM98)</f>
        <v>0</v>
      </c>
      <c r="AN96" s="344">
        <f t="shared" si="389"/>
        <v>0</v>
      </c>
      <c r="AO96" s="344">
        <f t="shared" si="389"/>
        <v>0</v>
      </c>
      <c r="AP96" s="344">
        <f t="shared" si="389"/>
        <v>0</v>
      </c>
      <c r="AQ96" s="344">
        <f>SUM(AQ97:AQ98)</f>
        <v>0</v>
      </c>
      <c r="AR96" s="344">
        <f t="shared" si="389"/>
        <v>0</v>
      </c>
      <c r="AS96" s="344">
        <f t="shared" si="389"/>
        <v>0</v>
      </c>
      <c r="AT96" s="344">
        <f t="shared" si="389"/>
        <v>0</v>
      </c>
      <c r="AU96" s="344">
        <f>SUM(AU97:AU98)</f>
        <v>0</v>
      </c>
      <c r="AV96" s="344">
        <f t="shared" si="389"/>
        <v>0</v>
      </c>
      <c r="AW96" s="344">
        <f t="shared" si="389"/>
        <v>0</v>
      </c>
      <c r="AX96" s="344">
        <f t="shared" si="389"/>
        <v>0</v>
      </c>
      <c r="AY96" s="344">
        <f>SUM(AY97:AY98)</f>
        <v>0</v>
      </c>
      <c r="AZ96" s="344">
        <f t="shared" si="389"/>
        <v>0</v>
      </c>
      <c r="BA96" s="344">
        <f t="shared" si="389"/>
        <v>0</v>
      </c>
      <c r="BB96" s="344">
        <f t="shared" si="389"/>
        <v>0</v>
      </c>
      <c r="BC96" s="344">
        <f>SUM(BC97:BC98)</f>
        <v>0</v>
      </c>
      <c r="BD96" s="344">
        <f t="shared" si="389"/>
        <v>0</v>
      </c>
      <c r="BE96" s="344">
        <f t="shared" si="389"/>
        <v>0</v>
      </c>
      <c r="BF96" s="344">
        <f t="shared" si="389"/>
        <v>0</v>
      </c>
      <c r="BG96" s="344">
        <f>SUM(BG97:BG98)</f>
        <v>0</v>
      </c>
      <c r="BH96" s="344">
        <f t="shared" si="389"/>
        <v>0</v>
      </c>
      <c r="BI96" s="344">
        <f t="shared" si="389"/>
        <v>0</v>
      </c>
      <c r="BJ96" s="344">
        <f t="shared" si="389"/>
        <v>0</v>
      </c>
      <c r="BK96" s="344">
        <f>SUM(BK97:BK98)</f>
        <v>0</v>
      </c>
      <c r="BL96" s="344">
        <f t="shared" si="389"/>
        <v>0</v>
      </c>
      <c r="BM96" s="344">
        <f t="shared" si="389"/>
        <v>0</v>
      </c>
      <c r="BN96" s="344">
        <f t="shared" si="389"/>
        <v>0</v>
      </c>
      <c r="BO96" s="344">
        <f>SUM(BO97:BO98)</f>
        <v>0</v>
      </c>
      <c r="BP96" s="344">
        <f t="shared" ref="BP96:CH96" si="390">SUM(BP97:BP98)</f>
        <v>0</v>
      </c>
      <c r="BQ96" s="344">
        <f t="shared" si="390"/>
        <v>0</v>
      </c>
      <c r="BR96" s="344">
        <f t="shared" si="390"/>
        <v>0</v>
      </c>
      <c r="BS96" s="344">
        <f>SUM(BS97:BS98)</f>
        <v>0</v>
      </c>
      <c r="BT96" s="344">
        <f t="shared" si="390"/>
        <v>0</v>
      </c>
      <c r="BU96" s="344">
        <f t="shared" si="390"/>
        <v>0</v>
      </c>
      <c r="BV96" s="344">
        <f t="shared" si="390"/>
        <v>0</v>
      </c>
      <c r="BW96" s="344">
        <f>SUM(BW97:BW98)</f>
        <v>0</v>
      </c>
      <c r="BX96" s="344">
        <f t="shared" si="390"/>
        <v>0</v>
      </c>
      <c r="BY96" s="344">
        <f t="shared" si="390"/>
        <v>0</v>
      </c>
      <c r="BZ96" s="344">
        <f t="shared" si="390"/>
        <v>0</v>
      </c>
      <c r="CA96" s="344">
        <f>SUM(CA97:CA98)</f>
        <v>0</v>
      </c>
      <c r="CB96" s="344">
        <f t="shared" si="390"/>
        <v>0</v>
      </c>
      <c r="CC96" s="344">
        <f t="shared" si="390"/>
        <v>0</v>
      </c>
      <c r="CD96" s="344">
        <f t="shared" si="390"/>
        <v>0</v>
      </c>
      <c r="CE96" s="344">
        <f>SUM(CE97:CE98)</f>
        <v>0</v>
      </c>
      <c r="CF96" s="344">
        <f t="shared" si="390"/>
        <v>0</v>
      </c>
      <c r="CG96" s="344">
        <f t="shared" si="390"/>
        <v>0</v>
      </c>
      <c r="CH96" s="344">
        <f t="shared" si="390"/>
        <v>0</v>
      </c>
      <c r="CI96" s="344">
        <f>SUM(CI97:CI98)</f>
        <v>0</v>
      </c>
    </row>
    <row r="97" spans="3:87" s="48" customFormat="1" ht="14.5" customHeight="1" thickBot="1" x14ac:dyDescent="0.2">
      <c r="C97" s="121" t="str">
        <f>Tekstnøgler!C182</f>
        <v>Affald</v>
      </c>
      <c r="D97" s="347"/>
      <c r="E97" s="347"/>
      <c r="F97" s="347"/>
      <c r="G97" s="343">
        <f t="shared" ref="G97:G98" si="391">D97+E97+F97</f>
        <v>0</v>
      </c>
      <c r="H97" s="347"/>
      <c r="I97" s="347"/>
      <c r="J97" s="347"/>
      <c r="K97" s="343">
        <f t="shared" ref="K97:K98" si="392">H97+I97+J97</f>
        <v>0</v>
      </c>
      <c r="L97" s="347"/>
      <c r="M97" s="347"/>
      <c r="N97" s="347"/>
      <c r="O97" s="343">
        <f t="shared" ref="O97:O98" si="393">L97+M97+N97</f>
        <v>0</v>
      </c>
      <c r="P97" s="347"/>
      <c r="Q97" s="347"/>
      <c r="R97" s="347"/>
      <c r="S97" s="343">
        <f t="shared" ref="S97:S98" si="394">P97+Q97+R97</f>
        <v>0</v>
      </c>
      <c r="T97" s="347"/>
      <c r="U97" s="347"/>
      <c r="V97" s="347"/>
      <c r="W97" s="343">
        <f t="shared" ref="W97:W98" si="395">T97+U97+V97</f>
        <v>0</v>
      </c>
      <c r="X97" s="347"/>
      <c r="Y97" s="347"/>
      <c r="Z97" s="347"/>
      <c r="AA97" s="343">
        <f t="shared" ref="AA97:AA98" si="396">X97+Y97+Z97</f>
        <v>0</v>
      </c>
      <c r="AB97" s="347"/>
      <c r="AC97" s="347"/>
      <c r="AD97" s="347"/>
      <c r="AE97" s="343">
        <f t="shared" ref="AE97:AE98" si="397">AB97+AC97+AD97</f>
        <v>0</v>
      </c>
      <c r="AF97" s="347"/>
      <c r="AG97" s="347"/>
      <c r="AH97" s="347"/>
      <c r="AI97" s="343">
        <f t="shared" ref="AI97:AI98" si="398">AF97+AG97+AH97</f>
        <v>0</v>
      </c>
      <c r="AJ97" s="347"/>
      <c r="AK97" s="347"/>
      <c r="AL97" s="347"/>
      <c r="AM97" s="343">
        <f t="shared" ref="AM97:AM98" si="399">AJ97+AK97+AL97</f>
        <v>0</v>
      </c>
      <c r="AN97" s="347"/>
      <c r="AO97" s="347"/>
      <c r="AP97" s="347"/>
      <c r="AQ97" s="343">
        <f t="shared" ref="AQ97:AQ98" si="400">AN97+AO97+AP97</f>
        <v>0</v>
      </c>
      <c r="AR97" s="347"/>
      <c r="AS97" s="347"/>
      <c r="AT97" s="347"/>
      <c r="AU97" s="343">
        <f t="shared" ref="AU97:AU98" si="401">AR97+AS97+AT97</f>
        <v>0</v>
      </c>
      <c r="AV97" s="347"/>
      <c r="AW97" s="347"/>
      <c r="AX97" s="347"/>
      <c r="AY97" s="343">
        <f t="shared" ref="AY97:AY98" si="402">AV97+AW97+AX97</f>
        <v>0</v>
      </c>
      <c r="AZ97" s="347"/>
      <c r="BA97" s="347"/>
      <c r="BB97" s="347"/>
      <c r="BC97" s="343">
        <f t="shared" ref="BC97:BC98" si="403">AZ97+BA97+BB97</f>
        <v>0</v>
      </c>
      <c r="BD97" s="347"/>
      <c r="BE97" s="347"/>
      <c r="BF97" s="347"/>
      <c r="BG97" s="343">
        <f t="shared" ref="BG97:BG98" si="404">BD97+BE97+BF97</f>
        <v>0</v>
      </c>
      <c r="BH97" s="347"/>
      <c r="BI97" s="347"/>
      <c r="BJ97" s="347"/>
      <c r="BK97" s="343">
        <f t="shared" ref="BK97:BK98" si="405">BH97+BI97+BJ97</f>
        <v>0</v>
      </c>
      <c r="BL97" s="347"/>
      <c r="BM97" s="347"/>
      <c r="BN97" s="347"/>
      <c r="BO97" s="343">
        <f t="shared" ref="BO97:BO98" si="406">BL97+BM97+BN97</f>
        <v>0</v>
      </c>
      <c r="BP97" s="347"/>
      <c r="BQ97" s="347"/>
      <c r="BR97" s="347"/>
      <c r="BS97" s="343">
        <f t="shared" ref="BS97:BS98" si="407">BP97+BQ97+BR97</f>
        <v>0</v>
      </c>
      <c r="BT97" s="347"/>
      <c r="BU97" s="347"/>
      <c r="BV97" s="347"/>
      <c r="BW97" s="343">
        <f t="shared" ref="BW97:BW98" si="408">BT97+BU97+BV97</f>
        <v>0</v>
      </c>
      <c r="BX97" s="347"/>
      <c r="BY97" s="347"/>
      <c r="BZ97" s="347"/>
      <c r="CA97" s="343">
        <f t="shared" ref="CA97:CA98" si="409">BX97+BY97+BZ97</f>
        <v>0</v>
      </c>
      <c r="CB97" s="347"/>
      <c r="CC97" s="347"/>
      <c r="CD97" s="347"/>
      <c r="CE97" s="343">
        <f t="shared" ref="CE97:CE98" si="410">CB97+CC97+CD97</f>
        <v>0</v>
      </c>
      <c r="CF97" s="347"/>
      <c r="CG97" s="347"/>
      <c r="CH97" s="347"/>
      <c r="CI97" s="343">
        <f t="shared" ref="CI97:CI98" si="411">CF97+CG97+CH97</f>
        <v>0</v>
      </c>
    </row>
    <row r="98" spans="3:87" s="48" customFormat="1" ht="14.5" customHeight="1" thickBot="1" x14ac:dyDescent="0.2">
      <c r="C98" s="119" t="str">
        <f>Tekstnøgler!C183</f>
        <v>Affald med egne emissionsfaktorer</v>
      </c>
      <c r="D98" s="347"/>
      <c r="E98" s="347"/>
      <c r="F98" s="347"/>
      <c r="G98" s="343">
        <f t="shared" si="391"/>
        <v>0</v>
      </c>
      <c r="H98" s="347"/>
      <c r="I98" s="347"/>
      <c r="J98" s="347"/>
      <c r="K98" s="343">
        <f t="shared" si="392"/>
        <v>0</v>
      </c>
      <c r="L98" s="347"/>
      <c r="M98" s="347"/>
      <c r="N98" s="347"/>
      <c r="O98" s="343">
        <f t="shared" si="393"/>
        <v>0</v>
      </c>
      <c r="P98" s="347"/>
      <c r="Q98" s="347"/>
      <c r="R98" s="347"/>
      <c r="S98" s="343">
        <f t="shared" si="394"/>
        <v>0</v>
      </c>
      <c r="T98" s="347"/>
      <c r="U98" s="347"/>
      <c r="V98" s="347"/>
      <c r="W98" s="343">
        <f t="shared" si="395"/>
        <v>0</v>
      </c>
      <c r="X98" s="347"/>
      <c r="Y98" s="347"/>
      <c r="Z98" s="347"/>
      <c r="AA98" s="343">
        <f t="shared" si="396"/>
        <v>0</v>
      </c>
      <c r="AB98" s="347"/>
      <c r="AC98" s="347"/>
      <c r="AD98" s="347"/>
      <c r="AE98" s="343">
        <f t="shared" si="397"/>
        <v>0</v>
      </c>
      <c r="AF98" s="347"/>
      <c r="AG98" s="347"/>
      <c r="AH98" s="347"/>
      <c r="AI98" s="343">
        <f t="shared" si="398"/>
        <v>0</v>
      </c>
      <c r="AJ98" s="347"/>
      <c r="AK98" s="347"/>
      <c r="AL98" s="347"/>
      <c r="AM98" s="343">
        <f t="shared" si="399"/>
        <v>0</v>
      </c>
      <c r="AN98" s="347"/>
      <c r="AO98" s="347"/>
      <c r="AP98" s="347"/>
      <c r="AQ98" s="343">
        <f t="shared" si="400"/>
        <v>0</v>
      </c>
      <c r="AR98" s="347"/>
      <c r="AS98" s="347"/>
      <c r="AT98" s="347"/>
      <c r="AU98" s="343">
        <f t="shared" si="401"/>
        <v>0</v>
      </c>
      <c r="AV98" s="347"/>
      <c r="AW98" s="347"/>
      <c r="AX98" s="347"/>
      <c r="AY98" s="343">
        <f t="shared" si="402"/>
        <v>0</v>
      </c>
      <c r="AZ98" s="347"/>
      <c r="BA98" s="347"/>
      <c r="BB98" s="347"/>
      <c r="BC98" s="343">
        <f t="shared" si="403"/>
        <v>0</v>
      </c>
      <c r="BD98" s="347"/>
      <c r="BE98" s="347"/>
      <c r="BF98" s="347"/>
      <c r="BG98" s="343">
        <f t="shared" si="404"/>
        <v>0</v>
      </c>
      <c r="BH98" s="347"/>
      <c r="BI98" s="347"/>
      <c r="BJ98" s="347"/>
      <c r="BK98" s="343">
        <f t="shared" si="405"/>
        <v>0</v>
      </c>
      <c r="BL98" s="347"/>
      <c r="BM98" s="347"/>
      <c r="BN98" s="347"/>
      <c r="BO98" s="343">
        <f t="shared" si="406"/>
        <v>0</v>
      </c>
      <c r="BP98" s="347"/>
      <c r="BQ98" s="347"/>
      <c r="BR98" s="347"/>
      <c r="BS98" s="343">
        <f t="shared" si="407"/>
        <v>0</v>
      </c>
      <c r="BT98" s="347"/>
      <c r="BU98" s="347"/>
      <c r="BV98" s="347"/>
      <c r="BW98" s="343">
        <f t="shared" si="408"/>
        <v>0</v>
      </c>
      <c r="BX98" s="347"/>
      <c r="BY98" s="347"/>
      <c r="BZ98" s="347"/>
      <c r="CA98" s="343">
        <f t="shared" si="409"/>
        <v>0</v>
      </c>
      <c r="CB98" s="347"/>
      <c r="CC98" s="347"/>
      <c r="CD98" s="347"/>
      <c r="CE98" s="343">
        <f t="shared" si="410"/>
        <v>0</v>
      </c>
      <c r="CF98" s="347"/>
      <c r="CG98" s="347"/>
      <c r="CH98" s="347"/>
      <c r="CI98" s="343">
        <f t="shared" si="411"/>
        <v>0</v>
      </c>
    </row>
    <row r="99" spans="3:87" s="48" customFormat="1" ht="14.5" customHeight="1" thickBot="1" x14ac:dyDescent="0.2">
      <c r="C99" s="118" t="str">
        <f>Tekstnøgler!C184</f>
        <v>Andet udledning ved affald</v>
      </c>
      <c r="D99" s="348"/>
      <c r="E99" s="348"/>
      <c r="F99" s="348"/>
      <c r="G99" s="344">
        <f>D99+E99+F99</f>
        <v>0</v>
      </c>
      <c r="H99" s="348"/>
      <c r="I99" s="348"/>
      <c r="J99" s="348"/>
      <c r="K99" s="344">
        <f>H99+I99+J99</f>
        <v>0</v>
      </c>
      <c r="L99" s="348"/>
      <c r="M99" s="348"/>
      <c r="N99" s="348"/>
      <c r="O99" s="344">
        <f>L99+M99+N99</f>
        <v>0</v>
      </c>
      <c r="P99" s="348"/>
      <c r="Q99" s="348"/>
      <c r="R99" s="348"/>
      <c r="S99" s="344">
        <f>P99+Q99+R99</f>
        <v>0</v>
      </c>
      <c r="T99" s="348"/>
      <c r="U99" s="348"/>
      <c r="V99" s="348"/>
      <c r="W99" s="344">
        <f>T99+U99+V99</f>
        <v>0</v>
      </c>
      <c r="X99" s="348"/>
      <c r="Y99" s="348"/>
      <c r="Z99" s="348"/>
      <c r="AA99" s="344">
        <f>X99+Y99+Z99</f>
        <v>0</v>
      </c>
      <c r="AB99" s="348"/>
      <c r="AC99" s="348"/>
      <c r="AD99" s="348"/>
      <c r="AE99" s="344">
        <f>AB99+AC99+AD99</f>
        <v>0</v>
      </c>
      <c r="AF99" s="348"/>
      <c r="AG99" s="348"/>
      <c r="AH99" s="348"/>
      <c r="AI99" s="344">
        <f>AF99+AG99+AH99</f>
        <v>0</v>
      </c>
      <c r="AJ99" s="348"/>
      <c r="AK99" s="348"/>
      <c r="AL99" s="348"/>
      <c r="AM99" s="344">
        <f>AJ99+AK99+AL99</f>
        <v>0</v>
      </c>
      <c r="AN99" s="348"/>
      <c r="AO99" s="348"/>
      <c r="AP99" s="348"/>
      <c r="AQ99" s="344">
        <f>AN99+AO99+AP99</f>
        <v>0</v>
      </c>
      <c r="AR99" s="348"/>
      <c r="AS99" s="348"/>
      <c r="AT99" s="348"/>
      <c r="AU99" s="344">
        <f>AR99+AS99+AT99</f>
        <v>0</v>
      </c>
      <c r="AV99" s="348"/>
      <c r="AW99" s="348"/>
      <c r="AX99" s="348"/>
      <c r="AY99" s="344">
        <f>AV99+AW99+AX99</f>
        <v>0</v>
      </c>
      <c r="AZ99" s="348"/>
      <c r="BA99" s="348"/>
      <c r="BB99" s="348"/>
      <c r="BC99" s="344">
        <f>AZ99+BA99+BB99</f>
        <v>0</v>
      </c>
      <c r="BD99" s="348"/>
      <c r="BE99" s="348"/>
      <c r="BF99" s="348"/>
      <c r="BG99" s="344">
        <f>BD99+BE99+BF99</f>
        <v>0</v>
      </c>
      <c r="BH99" s="348"/>
      <c r="BI99" s="348"/>
      <c r="BJ99" s="348"/>
      <c r="BK99" s="344">
        <f>BH99+BI99+BJ99</f>
        <v>0</v>
      </c>
      <c r="BL99" s="348"/>
      <c r="BM99" s="348"/>
      <c r="BN99" s="348"/>
      <c r="BO99" s="344">
        <f>BL99+BM99+BN99</f>
        <v>0</v>
      </c>
      <c r="BP99" s="348"/>
      <c r="BQ99" s="348"/>
      <c r="BR99" s="348"/>
      <c r="BS99" s="344">
        <f>BP99+BQ99+BR99</f>
        <v>0</v>
      </c>
      <c r="BT99" s="348"/>
      <c r="BU99" s="348"/>
      <c r="BV99" s="348"/>
      <c r="BW99" s="344">
        <f>BT99+BU99+BV99</f>
        <v>0</v>
      </c>
      <c r="BX99" s="348"/>
      <c r="BY99" s="348"/>
      <c r="BZ99" s="348"/>
      <c r="CA99" s="344">
        <f>BX99+BY99+BZ99</f>
        <v>0</v>
      </c>
      <c r="CB99" s="348"/>
      <c r="CC99" s="348"/>
      <c r="CD99" s="348"/>
      <c r="CE99" s="344">
        <f>CB99+CC99+CD99</f>
        <v>0</v>
      </c>
      <c r="CF99" s="348"/>
      <c r="CG99" s="348"/>
      <c r="CH99" s="348"/>
      <c r="CI99" s="344">
        <f>CF99+CG99+CH99</f>
        <v>0</v>
      </c>
    </row>
    <row r="100" spans="3:87" s="48" customFormat="1" ht="14.5" customHeight="1" thickBot="1" x14ac:dyDescent="0.2">
      <c r="C100" s="117" t="str">
        <f>Tekstnøgler!C185</f>
        <v>Solgte produkter</v>
      </c>
      <c r="D100" s="46">
        <f t="shared" ref="D100:AH100" si="412">D101+D102+D105+D108</f>
        <v>0</v>
      </c>
      <c r="E100" s="46">
        <f t="shared" si="412"/>
        <v>0</v>
      </c>
      <c r="F100" s="46">
        <f t="shared" si="412"/>
        <v>0</v>
      </c>
      <c r="G100" s="46">
        <f>G101+G102+G105+G108</f>
        <v>0</v>
      </c>
      <c r="H100" s="46">
        <f t="shared" si="412"/>
        <v>0</v>
      </c>
      <c r="I100" s="46">
        <f t="shared" si="412"/>
        <v>0</v>
      </c>
      <c r="J100" s="46">
        <f t="shared" si="412"/>
        <v>0</v>
      </c>
      <c r="K100" s="46">
        <f>K101+K102+K105+K108</f>
        <v>0</v>
      </c>
      <c r="L100" s="46">
        <f t="shared" si="412"/>
        <v>0</v>
      </c>
      <c r="M100" s="46">
        <f t="shared" si="412"/>
        <v>0</v>
      </c>
      <c r="N100" s="46">
        <f t="shared" si="412"/>
        <v>0</v>
      </c>
      <c r="O100" s="46">
        <f>O101+O102+O105+O108</f>
        <v>0</v>
      </c>
      <c r="P100" s="46">
        <f t="shared" si="412"/>
        <v>0</v>
      </c>
      <c r="Q100" s="46">
        <f t="shared" si="412"/>
        <v>0</v>
      </c>
      <c r="R100" s="46">
        <f t="shared" si="412"/>
        <v>0</v>
      </c>
      <c r="S100" s="46">
        <f>S101+S102+S105+S108</f>
        <v>0</v>
      </c>
      <c r="T100" s="46">
        <f t="shared" si="412"/>
        <v>0</v>
      </c>
      <c r="U100" s="46">
        <f t="shared" si="412"/>
        <v>0</v>
      </c>
      <c r="V100" s="46">
        <f t="shared" si="412"/>
        <v>0</v>
      </c>
      <c r="W100" s="46">
        <f>W101+W102+W105+W108</f>
        <v>0</v>
      </c>
      <c r="X100" s="46">
        <f t="shared" si="412"/>
        <v>0</v>
      </c>
      <c r="Y100" s="46">
        <f t="shared" si="412"/>
        <v>0</v>
      </c>
      <c r="Z100" s="46">
        <f t="shared" si="412"/>
        <v>0</v>
      </c>
      <c r="AA100" s="46">
        <f>AA101+AA102+AA105+AA108</f>
        <v>0</v>
      </c>
      <c r="AB100" s="46">
        <f t="shared" si="412"/>
        <v>0</v>
      </c>
      <c r="AC100" s="46">
        <f t="shared" si="412"/>
        <v>0</v>
      </c>
      <c r="AD100" s="46">
        <f t="shared" si="412"/>
        <v>0</v>
      </c>
      <c r="AE100" s="46">
        <f>AE101+AE102+AE105+AE108</f>
        <v>0</v>
      </c>
      <c r="AF100" s="46">
        <f t="shared" si="412"/>
        <v>0</v>
      </c>
      <c r="AG100" s="46">
        <f t="shared" si="412"/>
        <v>0</v>
      </c>
      <c r="AH100" s="46">
        <f t="shared" si="412"/>
        <v>0</v>
      </c>
      <c r="AI100" s="46">
        <f>AI101+AI102+AI105+AI108</f>
        <v>0</v>
      </c>
      <c r="AJ100" s="46">
        <f t="shared" ref="AJ100:BN100" si="413">AJ101+AJ102+AJ105+AJ108</f>
        <v>0</v>
      </c>
      <c r="AK100" s="46">
        <f t="shared" si="413"/>
        <v>0</v>
      </c>
      <c r="AL100" s="46">
        <f t="shared" si="413"/>
        <v>0</v>
      </c>
      <c r="AM100" s="46">
        <f>AM101+AM102+AM105+AM108</f>
        <v>0</v>
      </c>
      <c r="AN100" s="46">
        <f t="shared" si="413"/>
        <v>0</v>
      </c>
      <c r="AO100" s="46">
        <f t="shared" si="413"/>
        <v>0</v>
      </c>
      <c r="AP100" s="46">
        <f t="shared" si="413"/>
        <v>0</v>
      </c>
      <c r="AQ100" s="46">
        <f>AQ101+AQ102+AQ105+AQ108</f>
        <v>0</v>
      </c>
      <c r="AR100" s="46">
        <f t="shared" si="413"/>
        <v>0</v>
      </c>
      <c r="AS100" s="46">
        <f t="shared" si="413"/>
        <v>0</v>
      </c>
      <c r="AT100" s="46">
        <f t="shared" si="413"/>
        <v>0</v>
      </c>
      <c r="AU100" s="46">
        <f>AU101+AU102+AU105+AU108</f>
        <v>0</v>
      </c>
      <c r="AV100" s="46">
        <f t="shared" si="413"/>
        <v>0</v>
      </c>
      <c r="AW100" s="46">
        <f t="shared" si="413"/>
        <v>0</v>
      </c>
      <c r="AX100" s="46">
        <f t="shared" si="413"/>
        <v>0</v>
      </c>
      <c r="AY100" s="46">
        <f>AY101+AY102+AY105+AY108</f>
        <v>0</v>
      </c>
      <c r="AZ100" s="46">
        <f t="shared" si="413"/>
        <v>0</v>
      </c>
      <c r="BA100" s="46">
        <f t="shared" si="413"/>
        <v>0</v>
      </c>
      <c r="BB100" s="46">
        <f t="shared" si="413"/>
        <v>0</v>
      </c>
      <c r="BC100" s="46">
        <f>BC101+BC102+BC105+BC108</f>
        <v>0</v>
      </c>
      <c r="BD100" s="46">
        <f t="shared" si="413"/>
        <v>0</v>
      </c>
      <c r="BE100" s="46">
        <f t="shared" si="413"/>
        <v>0</v>
      </c>
      <c r="BF100" s="46">
        <f t="shared" si="413"/>
        <v>0</v>
      </c>
      <c r="BG100" s="46">
        <f>BG101+BG102+BG105+BG108</f>
        <v>0</v>
      </c>
      <c r="BH100" s="46">
        <f t="shared" si="413"/>
        <v>0</v>
      </c>
      <c r="BI100" s="46">
        <f t="shared" si="413"/>
        <v>0</v>
      </c>
      <c r="BJ100" s="46">
        <f t="shared" si="413"/>
        <v>0</v>
      </c>
      <c r="BK100" s="46">
        <f>BK101+BK102+BK105+BK108</f>
        <v>0</v>
      </c>
      <c r="BL100" s="46">
        <f t="shared" si="413"/>
        <v>0</v>
      </c>
      <c r="BM100" s="46">
        <f t="shared" si="413"/>
        <v>0</v>
      </c>
      <c r="BN100" s="46">
        <f t="shared" si="413"/>
        <v>0</v>
      </c>
      <c r="BO100" s="46">
        <f>BO101+BO102+BO105+BO108</f>
        <v>0</v>
      </c>
      <c r="BP100" s="46">
        <f t="shared" ref="BP100:CH100" si="414">BP101+BP102+BP105+BP108</f>
        <v>0</v>
      </c>
      <c r="BQ100" s="46">
        <f t="shared" si="414"/>
        <v>0</v>
      </c>
      <c r="BR100" s="46">
        <f t="shared" si="414"/>
        <v>0</v>
      </c>
      <c r="BS100" s="46">
        <f>BS101+BS102+BS105+BS108</f>
        <v>0</v>
      </c>
      <c r="BT100" s="46">
        <f t="shared" si="414"/>
        <v>0</v>
      </c>
      <c r="BU100" s="46">
        <f t="shared" si="414"/>
        <v>0</v>
      </c>
      <c r="BV100" s="46">
        <f t="shared" si="414"/>
        <v>0</v>
      </c>
      <c r="BW100" s="46">
        <f>BW101+BW102+BW105+BW108</f>
        <v>0</v>
      </c>
      <c r="BX100" s="46">
        <f t="shared" si="414"/>
        <v>0</v>
      </c>
      <c r="BY100" s="46">
        <f t="shared" si="414"/>
        <v>0</v>
      </c>
      <c r="BZ100" s="46">
        <f t="shared" si="414"/>
        <v>0</v>
      </c>
      <c r="CA100" s="46">
        <f>CA101+CA102+CA105+CA108</f>
        <v>0</v>
      </c>
      <c r="CB100" s="46">
        <f t="shared" si="414"/>
        <v>0</v>
      </c>
      <c r="CC100" s="46">
        <f t="shared" si="414"/>
        <v>0</v>
      </c>
      <c r="CD100" s="46">
        <f t="shared" si="414"/>
        <v>0</v>
      </c>
      <c r="CE100" s="46">
        <f>CE101+CE102+CE105+CE108</f>
        <v>0</v>
      </c>
      <c r="CF100" s="46">
        <f t="shared" si="414"/>
        <v>0</v>
      </c>
      <c r="CG100" s="46">
        <f t="shared" si="414"/>
        <v>0</v>
      </c>
      <c r="CH100" s="46">
        <f t="shared" si="414"/>
        <v>0</v>
      </c>
      <c r="CI100" s="46">
        <f>CI101+CI102+CI105+CI108</f>
        <v>0</v>
      </c>
    </row>
    <row r="101" spans="3:87" s="48" customFormat="1" ht="14.5" customHeight="1" thickBot="1" x14ac:dyDescent="0.2">
      <c r="C101" s="118" t="str">
        <f>Tekstnøgler!C186</f>
        <v>Forarbejdning og processering af solgte produkter</v>
      </c>
      <c r="D101" s="348"/>
      <c r="E101" s="348"/>
      <c r="F101" s="348"/>
      <c r="G101" s="344">
        <f>D101+E101+F101</f>
        <v>0</v>
      </c>
      <c r="H101" s="348"/>
      <c r="I101" s="348"/>
      <c r="J101" s="348"/>
      <c r="K101" s="344">
        <f>H101+I101+J101</f>
        <v>0</v>
      </c>
      <c r="L101" s="348"/>
      <c r="M101" s="348"/>
      <c r="N101" s="348"/>
      <c r="O101" s="344">
        <f>L101+M101+N101</f>
        <v>0</v>
      </c>
      <c r="P101" s="348"/>
      <c r="Q101" s="348"/>
      <c r="R101" s="348"/>
      <c r="S101" s="344">
        <f>P101+Q101+R101</f>
        <v>0</v>
      </c>
      <c r="T101" s="348"/>
      <c r="U101" s="348"/>
      <c r="V101" s="348"/>
      <c r="W101" s="344">
        <f>T101+U101+V101</f>
        <v>0</v>
      </c>
      <c r="X101" s="348"/>
      <c r="Y101" s="348"/>
      <c r="Z101" s="348"/>
      <c r="AA101" s="344">
        <f>X101+Y101+Z101</f>
        <v>0</v>
      </c>
      <c r="AB101" s="348"/>
      <c r="AC101" s="348"/>
      <c r="AD101" s="348"/>
      <c r="AE101" s="344">
        <f>AB101+AC101+AD101</f>
        <v>0</v>
      </c>
      <c r="AF101" s="348"/>
      <c r="AG101" s="348"/>
      <c r="AH101" s="348"/>
      <c r="AI101" s="344">
        <f>AF101+AG101+AH101</f>
        <v>0</v>
      </c>
      <c r="AJ101" s="348"/>
      <c r="AK101" s="348"/>
      <c r="AL101" s="348"/>
      <c r="AM101" s="344">
        <f>AJ101+AK101+AL101</f>
        <v>0</v>
      </c>
      <c r="AN101" s="348"/>
      <c r="AO101" s="348"/>
      <c r="AP101" s="348"/>
      <c r="AQ101" s="344">
        <f>AN101+AO101+AP101</f>
        <v>0</v>
      </c>
      <c r="AR101" s="348"/>
      <c r="AS101" s="348"/>
      <c r="AT101" s="348"/>
      <c r="AU101" s="344">
        <f>AR101+AS101+AT101</f>
        <v>0</v>
      </c>
      <c r="AV101" s="348"/>
      <c r="AW101" s="348"/>
      <c r="AX101" s="348"/>
      <c r="AY101" s="344">
        <f>AV101+AW101+AX101</f>
        <v>0</v>
      </c>
      <c r="AZ101" s="348"/>
      <c r="BA101" s="348"/>
      <c r="BB101" s="348"/>
      <c r="BC101" s="344">
        <f>AZ101+BA101+BB101</f>
        <v>0</v>
      </c>
      <c r="BD101" s="348"/>
      <c r="BE101" s="348"/>
      <c r="BF101" s="348"/>
      <c r="BG101" s="344">
        <f>BD101+BE101+BF101</f>
        <v>0</v>
      </c>
      <c r="BH101" s="348"/>
      <c r="BI101" s="348"/>
      <c r="BJ101" s="348"/>
      <c r="BK101" s="344">
        <f>BH101+BI101+BJ101</f>
        <v>0</v>
      </c>
      <c r="BL101" s="348"/>
      <c r="BM101" s="348"/>
      <c r="BN101" s="348"/>
      <c r="BO101" s="344">
        <f>BL101+BM101+BN101</f>
        <v>0</v>
      </c>
      <c r="BP101" s="348"/>
      <c r="BQ101" s="348"/>
      <c r="BR101" s="348"/>
      <c r="BS101" s="344">
        <f>BP101+BQ101+BR101</f>
        <v>0</v>
      </c>
      <c r="BT101" s="348"/>
      <c r="BU101" s="348"/>
      <c r="BV101" s="348"/>
      <c r="BW101" s="344">
        <f>BT101+BU101+BV101</f>
        <v>0</v>
      </c>
      <c r="BX101" s="348"/>
      <c r="BY101" s="348"/>
      <c r="BZ101" s="348"/>
      <c r="CA101" s="344">
        <f>BX101+BY101+BZ101</f>
        <v>0</v>
      </c>
      <c r="CB101" s="348"/>
      <c r="CC101" s="348"/>
      <c r="CD101" s="348"/>
      <c r="CE101" s="344">
        <f>CB101+CC101+CD101</f>
        <v>0</v>
      </c>
      <c r="CF101" s="348"/>
      <c r="CG101" s="348"/>
      <c r="CH101" s="348"/>
      <c r="CI101" s="344">
        <f>CF101+CG101+CH101</f>
        <v>0</v>
      </c>
    </row>
    <row r="102" spans="3:87" s="48" customFormat="1" ht="14.5" customHeight="1" thickBot="1" x14ac:dyDescent="0.2">
      <c r="C102" s="118" t="str">
        <f>Tekstnøgler!C187</f>
        <v>Brug af solgte og udlejede produkter</v>
      </c>
      <c r="D102" s="344">
        <f t="shared" ref="D102:AH102" si="415">SUM(D103:D104)</f>
        <v>0</v>
      </c>
      <c r="E102" s="344">
        <f t="shared" si="415"/>
        <v>0</v>
      </c>
      <c r="F102" s="344">
        <f t="shared" si="415"/>
        <v>0</v>
      </c>
      <c r="G102" s="344">
        <f>SUM(G103:G104)</f>
        <v>0</v>
      </c>
      <c r="H102" s="344">
        <f t="shared" si="415"/>
        <v>0</v>
      </c>
      <c r="I102" s="344">
        <f t="shared" si="415"/>
        <v>0</v>
      </c>
      <c r="J102" s="344">
        <f t="shared" si="415"/>
        <v>0</v>
      </c>
      <c r="K102" s="344">
        <f>SUM(K103:K104)</f>
        <v>0</v>
      </c>
      <c r="L102" s="344">
        <f t="shared" si="415"/>
        <v>0</v>
      </c>
      <c r="M102" s="344">
        <f t="shared" si="415"/>
        <v>0</v>
      </c>
      <c r="N102" s="344">
        <f t="shared" si="415"/>
        <v>0</v>
      </c>
      <c r="O102" s="344">
        <f>SUM(O103:O104)</f>
        <v>0</v>
      </c>
      <c r="P102" s="344">
        <f t="shared" si="415"/>
        <v>0</v>
      </c>
      <c r="Q102" s="344">
        <f t="shared" si="415"/>
        <v>0</v>
      </c>
      <c r="R102" s="344">
        <f t="shared" si="415"/>
        <v>0</v>
      </c>
      <c r="S102" s="344">
        <f>SUM(S103:S104)</f>
        <v>0</v>
      </c>
      <c r="T102" s="344">
        <f t="shared" si="415"/>
        <v>0</v>
      </c>
      <c r="U102" s="344">
        <f t="shared" si="415"/>
        <v>0</v>
      </c>
      <c r="V102" s="344">
        <f t="shared" si="415"/>
        <v>0</v>
      </c>
      <c r="W102" s="344">
        <f>SUM(W103:W104)</f>
        <v>0</v>
      </c>
      <c r="X102" s="344">
        <f t="shared" si="415"/>
        <v>0</v>
      </c>
      <c r="Y102" s="344">
        <f t="shared" si="415"/>
        <v>0</v>
      </c>
      <c r="Z102" s="344">
        <f t="shared" si="415"/>
        <v>0</v>
      </c>
      <c r="AA102" s="344">
        <f>SUM(AA103:AA104)</f>
        <v>0</v>
      </c>
      <c r="AB102" s="344">
        <f t="shared" si="415"/>
        <v>0</v>
      </c>
      <c r="AC102" s="344">
        <f t="shared" si="415"/>
        <v>0</v>
      </c>
      <c r="AD102" s="344">
        <f t="shared" si="415"/>
        <v>0</v>
      </c>
      <c r="AE102" s="344">
        <f>SUM(AE103:AE104)</f>
        <v>0</v>
      </c>
      <c r="AF102" s="344">
        <f t="shared" si="415"/>
        <v>0</v>
      </c>
      <c r="AG102" s="344">
        <f t="shared" si="415"/>
        <v>0</v>
      </c>
      <c r="AH102" s="344">
        <f t="shared" si="415"/>
        <v>0</v>
      </c>
      <c r="AI102" s="344">
        <f>SUM(AI103:AI104)</f>
        <v>0</v>
      </c>
      <c r="AJ102" s="344">
        <f t="shared" ref="AJ102:BN102" si="416">SUM(AJ103:AJ104)</f>
        <v>0</v>
      </c>
      <c r="AK102" s="344">
        <f t="shared" si="416"/>
        <v>0</v>
      </c>
      <c r="AL102" s="344">
        <f t="shared" si="416"/>
        <v>0</v>
      </c>
      <c r="AM102" s="344">
        <f>SUM(AM103:AM104)</f>
        <v>0</v>
      </c>
      <c r="AN102" s="344">
        <f t="shared" si="416"/>
        <v>0</v>
      </c>
      <c r="AO102" s="344">
        <f t="shared" si="416"/>
        <v>0</v>
      </c>
      <c r="AP102" s="344">
        <f t="shared" si="416"/>
        <v>0</v>
      </c>
      <c r="AQ102" s="344">
        <f>SUM(AQ103:AQ104)</f>
        <v>0</v>
      </c>
      <c r="AR102" s="344">
        <f t="shared" si="416"/>
        <v>0</v>
      </c>
      <c r="AS102" s="344">
        <f t="shared" si="416"/>
        <v>0</v>
      </c>
      <c r="AT102" s="344">
        <f t="shared" si="416"/>
        <v>0</v>
      </c>
      <c r="AU102" s="344">
        <f>SUM(AU103:AU104)</f>
        <v>0</v>
      </c>
      <c r="AV102" s="344">
        <f t="shared" si="416"/>
        <v>0</v>
      </c>
      <c r="AW102" s="344">
        <f t="shared" si="416"/>
        <v>0</v>
      </c>
      <c r="AX102" s="344">
        <f t="shared" si="416"/>
        <v>0</v>
      </c>
      <c r="AY102" s="344">
        <f>SUM(AY103:AY104)</f>
        <v>0</v>
      </c>
      <c r="AZ102" s="344">
        <f t="shared" si="416"/>
        <v>0</v>
      </c>
      <c r="BA102" s="344">
        <f t="shared" si="416"/>
        <v>0</v>
      </c>
      <c r="BB102" s="344">
        <f t="shared" si="416"/>
        <v>0</v>
      </c>
      <c r="BC102" s="344">
        <f>SUM(BC103:BC104)</f>
        <v>0</v>
      </c>
      <c r="BD102" s="344">
        <f t="shared" si="416"/>
        <v>0</v>
      </c>
      <c r="BE102" s="344">
        <f t="shared" si="416"/>
        <v>0</v>
      </c>
      <c r="BF102" s="344">
        <f t="shared" si="416"/>
        <v>0</v>
      </c>
      <c r="BG102" s="344">
        <f>SUM(BG103:BG104)</f>
        <v>0</v>
      </c>
      <c r="BH102" s="344">
        <f t="shared" si="416"/>
        <v>0</v>
      </c>
      <c r="BI102" s="344">
        <f t="shared" si="416"/>
        <v>0</v>
      </c>
      <c r="BJ102" s="344">
        <f t="shared" si="416"/>
        <v>0</v>
      </c>
      <c r="BK102" s="344">
        <f>SUM(BK103:BK104)</f>
        <v>0</v>
      </c>
      <c r="BL102" s="344">
        <f t="shared" si="416"/>
        <v>0</v>
      </c>
      <c r="BM102" s="344">
        <f t="shared" si="416"/>
        <v>0</v>
      </c>
      <c r="BN102" s="344">
        <f t="shared" si="416"/>
        <v>0</v>
      </c>
      <c r="BO102" s="344">
        <f>SUM(BO103:BO104)</f>
        <v>0</v>
      </c>
      <c r="BP102" s="344">
        <f t="shared" ref="BP102:CH102" si="417">SUM(BP103:BP104)</f>
        <v>0</v>
      </c>
      <c r="BQ102" s="344">
        <f t="shared" si="417"/>
        <v>0</v>
      </c>
      <c r="BR102" s="344">
        <f t="shared" si="417"/>
        <v>0</v>
      </c>
      <c r="BS102" s="344">
        <f>SUM(BS103:BS104)</f>
        <v>0</v>
      </c>
      <c r="BT102" s="344">
        <f t="shared" si="417"/>
        <v>0</v>
      </c>
      <c r="BU102" s="344">
        <f t="shared" si="417"/>
        <v>0</v>
      </c>
      <c r="BV102" s="344">
        <f t="shared" si="417"/>
        <v>0</v>
      </c>
      <c r="BW102" s="344">
        <f>SUM(BW103:BW104)</f>
        <v>0</v>
      </c>
      <c r="BX102" s="344">
        <f t="shared" si="417"/>
        <v>0</v>
      </c>
      <c r="BY102" s="344">
        <f t="shared" si="417"/>
        <v>0</v>
      </c>
      <c r="BZ102" s="344">
        <f t="shared" si="417"/>
        <v>0</v>
      </c>
      <c r="CA102" s="344">
        <f>SUM(CA103:CA104)</f>
        <v>0</v>
      </c>
      <c r="CB102" s="344">
        <f t="shared" si="417"/>
        <v>0</v>
      </c>
      <c r="CC102" s="344">
        <f t="shared" si="417"/>
        <v>0</v>
      </c>
      <c r="CD102" s="344">
        <f t="shared" si="417"/>
        <v>0</v>
      </c>
      <c r="CE102" s="344">
        <f>SUM(CE103:CE104)</f>
        <v>0</v>
      </c>
      <c r="CF102" s="344">
        <f t="shared" si="417"/>
        <v>0</v>
      </c>
      <c r="CG102" s="344">
        <f t="shared" si="417"/>
        <v>0</v>
      </c>
      <c r="CH102" s="344">
        <f t="shared" si="417"/>
        <v>0</v>
      </c>
      <c r="CI102" s="344">
        <f>SUM(CI103:CI104)</f>
        <v>0</v>
      </c>
    </row>
    <row r="103" spans="3:87" s="48" customFormat="1" ht="14.5" customHeight="1" thickBot="1" x14ac:dyDescent="0.2">
      <c r="C103" s="119" t="str">
        <f>Tekstnøgler!C188</f>
        <v>Brug af solgte og udlejede produkter</v>
      </c>
      <c r="D103" s="347"/>
      <c r="E103" s="347"/>
      <c r="F103" s="347"/>
      <c r="G103" s="343">
        <f t="shared" ref="G103:G104" si="418">D103+E103+F103</f>
        <v>0</v>
      </c>
      <c r="H103" s="347"/>
      <c r="I103" s="347"/>
      <c r="J103" s="347"/>
      <c r="K103" s="343">
        <f t="shared" ref="K103:K104" si="419">H103+I103+J103</f>
        <v>0</v>
      </c>
      <c r="L103" s="347"/>
      <c r="M103" s="347"/>
      <c r="N103" s="347"/>
      <c r="O103" s="343">
        <f t="shared" ref="O103:O104" si="420">L103+M103+N103</f>
        <v>0</v>
      </c>
      <c r="P103" s="347"/>
      <c r="Q103" s="347"/>
      <c r="R103" s="347"/>
      <c r="S103" s="343">
        <f t="shared" ref="S103:S104" si="421">P103+Q103+R103</f>
        <v>0</v>
      </c>
      <c r="T103" s="347"/>
      <c r="U103" s="347"/>
      <c r="V103" s="347"/>
      <c r="W103" s="343">
        <f t="shared" ref="W103:W104" si="422">T103+U103+V103</f>
        <v>0</v>
      </c>
      <c r="X103" s="347"/>
      <c r="Y103" s="347"/>
      <c r="Z103" s="347"/>
      <c r="AA103" s="343">
        <f t="shared" ref="AA103:AA104" si="423">X103+Y103+Z103</f>
        <v>0</v>
      </c>
      <c r="AB103" s="347"/>
      <c r="AC103" s="347"/>
      <c r="AD103" s="347"/>
      <c r="AE103" s="343">
        <f t="shared" ref="AE103:AE104" si="424">AB103+AC103+AD103</f>
        <v>0</v>
      </c>
      <c r="AF103" s="347"/>
      <c r="AG103" s="347"/>
      <c r="AH103" s="347"/>
      <c r="AI103" s="343">
        <f t="shared" ref="AI103:AI104" si="425">AF103+AG103+AH103</f>
        <v>0</v>
      </c>
      <c r="AJ103" s="347"/>
      <c r="AK103" s="347"/>
      <c r="AL103" s="347"/>
      <c r="AM103" s="343">
        <f t="shared" ref="AM103:AM104" si="426">AJ103+AK103+AL103</f>
        <v>0</v>
      </c>
      <c r="AN103" s="347"/>
      <c r="AO103" s="347"/>
      <c r="AP103" s="347"/>
      <c r="AQ103" s="343">
        <f t="shared" ref="AQ103:AQ104" si="427">AN103+AO103+AP103</f>
        <v>0</v>
      </c>
      <c r="AR103" s="347"/>
      <c r="AS103" s="347"/>
      <c r="AT103" s="347"/>
      <c r="AU103" s="343">
        <f t="shared" ref="AU103:AU104" si="428">AR103+AS103+AT103</f>
        <v>0</v>
      </c>
      <c r="AV103" s="347"/>
      <c r="AW103" s="347"/>
      <c r="AX103" s="347"/>
      <c r="AY103" s="343">
        <f t="shared" ref="AY103:AY104" si="429">AV103+AW103+AX103</f>
        <v>0</v>
      </c>
      <c r="AZ103" s="347"/>
      <c r="BA103" s="347"/>
      <c r="BB103" s="347"/>
      <c r="BC103" s="343">
        <f t="shared" ref="BC103:BC104" si="430">AZ103+BA103+BB103</f>
        <v>0</v>
      </c>
      <c r="BD103" s="347"/>
      <c r="BE103" s="347"/>
      <c r="BF103" s="347"/>
      <c r="BG103" s="343">
        <f t="shared" ref="BG103:BG104" si="431">BD103+BE103+BF103</f>
        <v>0</v>
      </c>
      <c r="BH103" s="347"/>
      <c r="BI103" s="347"/>
      <c r="BJ103" s="347"/>
      <c r="BK103" s="343">
        <f t="shared" ref="BK103:BK104" si="432">BH103+BI103+BJ103</f>
        <v>0</v>
      </c>
      <c r="BL103" s="347"/>
      <c r="BM103" s="347"/>
      <c r="BN103" s="347"/>
      <c r="BO103" s="343">
        <f t="shared" ref="BO103:BO104" si="433">BL103+BM103+BN103</f>
        <v>0</v>
      </c>
      <c r="BP103" s="347"/>
      <c r="BQ103" s="347"/>
      <c r="BR103" s="347"/>
      <c r="BS103" s="343">
        <f t="shared" ref="BS103:BS104" si="434">BP103+BQ103+BR103</f>
        <v>0</v>
      </c>
      <c r="BT103" s="347"/>
      <c r="BU103" s="347"/>
      <c r="BV103" s="347"/>
      <c r="BW103" s="343">
        <f t="shared" ref="BW103:BW104" si="435">BT103+BU103+BV103</f>
        <v>0</v>
      </c>
      <c r="BX103" s="347"/>
      <c r="BY103" s="347"/>
      <c r="BZ103" s="347"/>
      <c r="CA103" s="343">
        <f t="shared" ref="CA103:CA104" si="436">BX103+BY103+BZ103</f>
        <v>0</v>
      </c>
      <c r="CB103" s="347"/>
      <c r="CC103" s="347"/>
      <c r="CD103" s="347"/>
      <c r="CE103" s="343">
        <f t="shared" ref="CE103:CE104" si="437">CB103+CC103+CD103</f>
        <v>0</v>
      </c>
      <c r="CF103" s="347"/>
      <c r="CG103" s="347"/>
      <c r="CH103" s="347"/>
      <c r="CI103" s="343">
        <f t="shared" ref="CI103:CI104" si="438">CF103+CG103+CH103</f>
        <v>0</v>
      </c>
    </row>
    <row r="104" spans="3:87" s="48" customFormat="1" ht="14.5" customHeight="1" thickBot="1" x14ac:dyDescent="0.2">
      <c r="C104" s="119" t="str">
        <f>Tekstnøgler!C189</f>
        <v>Brug af solgte og udlejede produkter med egne emissionsfaktorer</v>
      </c>
      <c r="D104" s="347"/>
      <c r="E104" s="347"/>
      <c r="F104" s="347"/>
      <c r="G104" s="343">
        <f t="shared" si="418"/>
        <v>0</v>
      </c>
      <c r="H104" s="347"/>
      <c r="I104" s="347"/>
      <c r="J104" s="347"/>
      <c r="K104" s="343">
        <f t="shared" si="419"/>
        <v>0</v>
      </c>
      <c r="L104" s="347"/>
      <c r="M104" s="347"/>
      <c r="N104" s="347"/>
      <c r="O104" s="343">
        <f t="shared" si="420"/>
        <v>0</v>
      </c>
      <c r="P104" s="347"/>
      <c r="Q104" s="347"/>
      <c r="R104" s="347"/>
      <c r="S104" s="343">
        <f t="shared" si="421"/>
        <v>0</v>
      </c>
      <c r="T104" s="347"/>
      <c r="U104" s="347"/>
      <c r="V104" s="347"/>
      <c r="W104" s="343">
        <f t="shared" si="422"/>
        <v>0</v>
      </c>
      <c r="X104" s="347"/>
      <c r="Y104" s="347"/>
      <c r="Z104" s="347"/>
      <c r="AA104" s="343">
        <f t="shared" si="423"/>
        <v>0</v>
      </c>
      <c r="AB104" s="347"/>
      <c r="AC104" s="347"/>
      <c r="AD104" s="347"/>
      <c r="AE104" s="343">
        <f t="shared" si="424"/>
        <v>0</v>
      </c>
      <c r="AF104" s="347"/>
      <c r="AG104" s="347"/>
      <c r="AH104" s="347"/>
      <c r="AI104" s="343">
        <f t="shared" si="425"/>
        <v>0</v>
      </c>
      <c r="AJ104" s="347"/>
      <c r="AK104" s="347"/>
      <c r="AL104" s="347"/>
      <c r="AM104" s="343">
        <f t="shared" si="426"/>
        <v>0</v>
      </c>
      <c r="AN104" s="347"/>
      <c r="AO104" s="347"/>
      <c r="AP104" s="347"/>
      <c r="AQ104" s="343">
        <f t="shared" si="427"/>
        <v>0</v>
      </c>
      <c r="AR104" s="347"/>
      <c r="AS104" s="347"/>
      <c r="AT104" s="347"/>
      <c r="AU104" s="343">
        <f t="shared" si="428"/>
        <v>0</v>
      </c>
      <c r="AV104" s="347"/>
      <c r="AW104" s="347"/>
      <c r="AX104" s="347"/>
      <c r="AY104" s="343">
        <f t="shared" si="429"/>
        <v>0</v>
      </c>
      <c r="AZ104" s="347"/>
      <c r="BA104" s="347"/>
      <c r="BB104" s="347"/>
      <c r="BC104" s="343">
        <f t="shared" si="430"/>
        <v>0</v>
      </c>
      <c r="BD104" s="347"/>
      <c r="BE104" s="347"/>
      <c r="BF104" s="347"/>
      <c r="BG104" s="343">
        <f t="shared" si="431"/>
        <v>0</v>
      </c>
      <c r="BH104" s="347"/>
      <c r="BI104" s="347"/>
      <c r="BJ104" s="347"/>
      <c r="BK104" s="343">
        <f t="shared" si="432"/>
        <v>0</v>
      </c>
      <c r="BL104" s="347"/>
      <c r="BM104" s="347"/>
      <c r="BN104" s="347"/>
      <c r="BO104" s="343">
        <f t="shared" si="433"/>
        <v>0</v>
      </c>
      <c r="BP104" s="347"/>
      <c r="BQ104" s="347"/>
      <c r="BR104" s="347"/>
      <c r="BS104" s="343">
        <f t="shared" si="434"/>
        <v>0</v>
      </c>
      <c r="BT104" s="347"/>
      <c r="BU104" s="347"/>
      <c r="BV104" s="347"/>
      <c r="BW104" s="343">
        <f t="shared" si="435"/>
        <v>0</v>
      </c>
      <c r="BX104" s="347"/>
      <c r="BY104" s="347"/>
      <c r="BZ104" s="347"/>
      <c r="CA104" s="343">
        <f t="shared" si="436"/>
        <v>0</v>
      </c>
      <c r="CB104" s="347"/>
      <c r="CC104" s="347"/>
      <c r="CD104" s="347"/>
      <c r="CE104" s="343">
        <f t="shared" si="437"/>
        <v>0</v>
      </c>
      <c r="CF104" s="347"/>
      <c r="CG104" s="347"/>
      <c r="CH104" s="347"/>
      <c r="CI104" s="343">
        <f t="shared" si="438"/>
        <v>0</v>
      </c>
    </row>
    <row r="105" spans="3:87" s="48" customFormat="1" ht="14.5" customHeight="1" thickBot="1" x14ac:dyDescent="0.2">
      <c r="C105" s="118" t="str">
        <f>Tekstnøgler!C190</f>
        <v>End-of-life behandling</v>
      </c>
      <c r="D105" s="344">
        <f t="shared" ref="D105:AH105" si="439">SUM(D106:D107)</f>
        <v>0</v>
      </c>
      <c r="E105" s="344">
        <f t="shared" si="439"/>
        <v>0</v>
      </c>
      <c r="F105" s="344">
        <f t="shared" si="439"/>
        <v>0</v>
      </c>
      <c r="G105" s="344">
        <f>SUM(G106:G107)</f>
        <v>0</v>
      </c>
      <c r="H105" s="344">
        <f t="shared" si="439"/>
        <v>0</v>
      </c>
      <c r="I105" s="344">
        <f t="shared" si="439"/>
        <v>0</v>
      </c>
      <c r="J105" s="344">
        <f t="shared" si="439"/>
        <v>0</v>
      </c>
      <c r="K105" s="344">
        <f>SUM(K106:K107)</f>
        <v>0</v>
      </c>
      <c r="L105" s="344">
        <f t="shared" si="439"/>
        <v>0</v>
      </c>
      <c r="M105" s="344">
        <f t="shared" si="439"/>
        <v>0</v>
      </c>
      <c r="N105" s="344">
        <f t="shared" si="439"/>
        <v>0</v>
      </c>
      <c r="O105" s="344">
        <f>SUM(O106:O107)</f>
        <v>0</v>
      </c>
      <c r="P105" s="344">
        <f t="shared" si="439"/>
        <v>0</v>
      </c>
      <c r="Q105" s="344">
        <f t="shared" si="439"/>
        <v>0</v>
      </c>
      <c r="R105" s="344">
        <f t="shared" si="439"/>
        <v>0</v>
      </c>
      <c r="S105" s="344">
        <f>SUM(S106:S107)</f>
        <v>0</v>
      </c>
      <c r="T105" s="344">
        <f t="shared" si="439"/>
        <v>0</v>
      </c>
      <c r="U105" s="344">
        <f t="shared" si="439"/>
        <v>0</v>
      </c>
      <c r="V105" s="344">
        <f t="shared" si="439"/>
        <v>0</v>
      </c>
      <c r="W105" s="344">
        <f>SUM(W106:W107)</f>
        <v>0</v>
      </c>
      <c r="X105" s="344">
        <f t="shared" si="439"/>
        <v>0</v>
      </c>
      <c r="Y105" s="344">
        <f t="shared" si="439"/>
        <v>0</v>
      </c>
      <c r="Z105" s="344">
        <f t="shared" si="439"/>
        <v>0</v>
      </c>
      <c r="AA105" s="344">
        <f>SUM(AA106:AA107)</f>
        <v>0</v>
      </c>
      <c r="AB105" s="344">
        <f t="shared" si="439"/>
        <v>0</v>
      </c>
      <c r="AC105" s="344">
        <f t="shared" si="439"/>
        <v>0</v>
      </c>
      <c r="AD105" s="344">
        <f t="shared" si="439"/>
        <v>0</v>
      </c>
      <c r="AE105" s="344">
        <f>SUM(AE106:AE107)</f>
        <v>0</v>
      </c>
      <c r="AF105" s="344">
        <f t="shared" si="439"/>
        <v>0</v>
      </c>
      <c r="AG105" s="344">
        <f t="shared" si="439"/>
        <v>0</v>
      </c>
      <c r="AH105" s="344">
        <f t="shared" si="439"/>
        <v>0</v>
      </c>
      <c r="AI105" s="344">
        <f>SUM(AI106:AI107)</f>
        <v>0</v>
      </c>
      <c r="AJ105" s="344">
        <f t="shared" ref="AJ105:BN105" si="440">SUM(AJ106:AJ107)</f>
        <v>0</v>
      </c>
      <c r="AK105" s="344">
        <f t="shared" si="440"/>
        <v>0</v>
      </c>
      <c r="AL105" s="344">
        <f t="shared" si="440"/>
        <v>0</v>
      </c>
      <c r="AM105" s="344">
        <f>SUM(AM106:AM107)</f>
        <v>0</v>
      </c>
      <c r="AN105" s="344">
        <f t="shared" si="440"/>
        <v>0</v>
      </c>
      <c r="AO105" s="344">
        <f t="shared" si="440"/>
        <v>0</v>
      </c>
      <c r="AP105" s="344">
        <f t="shared" si="440"/>
        <v>0</v>
      </c>
      <c r="AQ105" s="344">
        <f>SUM(AQ106:AQ107)</f>
        <v>0</v>
      </c>
      <c r="AR105" s="344">
        <f t="shared" si="440"/>
        <v>0</v>
      </c>
      <c r="AS105" s="344">
        <f t="shared" si="440"/>
        <v>0</v>
      </c>
      <c r="AT105" s="344">
        <f t="shared" si="440"/>
        <v>0</v>
      </c>
      <c r="AU105" s="344">
        <f>SUM(AU106:AU107)</f>
        <v>0</v>
      </c>
      <c r="AV105" s="344">
        <f t="shared" si="440"/>
        <v>0</v>
      </c>
      <c r="AW105" s="344">
        <f t="shared" si="440"/>
        <v>0</v>
      </c>
      <c r="AX105" s="344">
        <f t="shared" si="440"/>
        <v>0</v>
      </c>
      <c r="AY105" s="344">
        <f>SUM(AY106:AY107)</f>
        <v>0</v>
      </c>
      <c r="AZ105" s="344">
        <f t="shared" si="440"/>
        <v>0</v>
      </c>
      <c r="BA105" s="344">
        <f t="shared" si="440"/>
        <v>0</v>
      </c>
      <c r="BB105" s="344">
        <f t="shared" si="440"/>
        <v>0</v>
      </c>
      <c r="BC105" s="344">
        <f>SUM(BC106:BC107)</f>
        <v>0</v>
      </c>
      <c r="BD105" s="344">
        <f t="shared" si="440"/>
        <v>0</v>
      </c>
      <c r="BE105" s="344">
        <f t="shared" si="440"/>
        <v>0</v>
      </c>
      <c r="BF105" s="344">
        <f t="shared" si="440"/>
        <v>0</v>
      </c>
      <c r="BG105" s="344">
        <f>SUM(BG106:BG107)</f>
        <v>0</v>
      </c>
      <c r="BH105" s="344">
        <f t="shared" si="440"/>
        <v>0</v>
      </c>
      <c r="BI105" s="344">
        <f t="shared" si="440"/>
        <v>0</v>
      </c>
      <c r="BJ105" s="344">
        <f t="shared" si="440"/>
        <v>0</v>
      </c>
      <c r="BK105" s="344">
        <f>SUM(BK106:BK107)</f>
        <v>0</v>
      </c>
      <c r="BL105" s="344">
        <f t="shared" si="440"/>
        <v>0</v>
      </c>
      <c r="BM105" s="344">
        <f t="shared" si="440"/>
        <v>0</v>
      </c>
      <c r="BN105" s="344">
        <f t="shared" si="440"/>
        <v>0</v>
      </c>
      <c r="BO105" s="344">
        <f>SUM(BO106:BO107)</f>
        <v>0</v>
      </c>
      <c r="BP105" s="344">
        <f t="shared" ref="BP105:CH105" si="441">SUM(BP106:BP107)</f>
        <v>0</v>
      </c>
      <c r="BQ105" s="344">
        <f t="shared" si="441"/>
        <v>0</v>
      </c>
      <c r="BR105" s="344">
        <f t="shared" si="441"/>
        <v>0</v>
      </c>
      <c r="BS105" s="344">
        <f>SUM(BS106:BS107)</f>
        <v>0</v>
      </c>
      <c r="BT105" s="344">
        <f t="shared" si="441"/>
        <v>0</v>
      </c>
      <c r="BU105" s="344">
        <f t="shared" si="441"/>
        <v>0</v>
      </c>
      <c r="BV105" s="344">
        <f t="shared" si="441"/>
        <v>0</v>
      </c>
      <c r="BW105" s="344">
        <f>SUM(BW106:BW107)</f>
        <v>0</v>
      </c>
      <c r="BX105" s="344">
        <f t="shared" si="441"/>
        <v>0</v>
      </c>
      <c r="BY105" s="344">
        <f t="shared" si="441"/>
        <v>0</v>
      </c>
      <c r="BZ105" s="344">
        <f t="shared" si="441"/>
        <v>0</v>
      </c>
      <c r="CA105" s="344">
        <f>SUM(CA106:CA107)</f>
        <v>0</v>
      </c>
      <c r="CB105" s="344">
        <f t="shared" si="441"/>
        <v>0</v>
      </c>
      <c r="CC105" s="344">
        <f t="shared" si="441"/>
        <v>0</v>
      </c>
      <c r="CD105" s="344">
        <f t="shared" si="441"/>
        <v>0</v>
      </c>
      <c r="CE105" s="344">
        <f>SUM(CE106:CE107)</f>
        <v>0</v>
      </c>
      <c r="CF105" s="344">
        <f t="shared" si="441"/>
        <v>0</v>
      </c>
      <c r="CG105" s="344">
        <f t="shared" si="441"/>
        <v>0</v>
      </c>
      <c r="CH105" s="344">
        <f t="shared" si="441"/>
        <v>0</v>
      </c>
      <c r="CI105" s="344">
        <f>SUM(CI106:CI107)</f>
        <v>0</v>
      </c>
    </row>
    <row r="106" spans="3:87" s="48" customFormat="1" ht="14.5" customHeight="1" thickBot="1" x14ac:dyDescent="0.2">
      <c r="C106" s="119" t="str">
        <f>Tekstnøgler!C191</f>
        <v>Håndtering af affaldsprodukt</v>
      </c>
      <c r="D106" s="347"/>
      <c r="E106" s="347"/>
      <c r="F106" s="347"/>
      <c r="G106" s="343">
        <f t="shared" ref="G106:G107" si="442">D106+E106+F106</f>
        <v>0</v>
      </c>
      <c r="H106" s="347"/>
      <c r="I106" s="347"/>
      <c r="J106" s="347"/>
      <c r="K106" s="343">
        <f t="shared" ref="K106:K107" si="443">H106+I106+J106</f>
        <v>0</v>
      </c>
      <c r="L106" s="347"/>
      <c r="M106" s="347"/>
      <c r="N106" s="347"/>
      <c r="O106" s="343">
        <f t="shared" ref="O106:O107" si="444">L106+M106+N106</f>
        <v>0</v>
      </c>
      <c r="P106" s="347"/>
      <c r="Q106" s="347"/>
      <c r="R106" s="347"/>
      <c r="S106" s="343">
        <f t="shared" ref="S106:S107" si="445">P106+Q106+R106</f>
        <v>0</v>
      </c>
      <c r="T106" s="347"/>
      <c r="U106" s="347"/>
      <c r="V106" s="347"/>
      <c r="W106" s="343">
        <f t="shared" ref="W106:W107" si="446">T106+U106+V106</f>
        <v>0</v>
      </c>
      <c r="X106" s="347"/>
      <c r="Y106" s="347"/>
      <c r="Z106" s="347"/>
      <c r="AA106" s="343">
        <f t="shared" ref="AA106:AA107" si="447">X106+Y106+Z106</f>
        <v>0</v>
      </c>
      <c r="AB106" s="347"/>
      <c r="AC106" s="347"/>
      <c r="AD106" s="347"/>
      <c r="AE106" s="343">
        <f t="shared" ref="AE106:AE107" si="448">AB106+AC106+AD106</f>
        <v>0</v>
      </c>
      <c r="AF106" s="347"/>
      <c r="AG106" s="347"/>
      <c r="AH106" s="347"/>
      <c r="AI106" s="343">
        <f t="shared" ref="AI106:AI107" si="449">AF106+AG106+AH106</f>
        <v>0</v>
      </c>
      <c r="AJ106" s="347"/>
      <c r="AK106" s="347"/>
      <c r="AL106" s="347"/>
      <c r="AM106" s="343">
        <f t="shared" ref="AM106:AM107" si="450">AJ106+AK106+AL106</f>
        <v>0</v>
      </c>
      <c r="AN106" s="347"/>
      <c r="AO106" s="347"/>
      <c r="AP106" s="347"/>
      <c r="AQ106" s="343">
        <f t="shared" ref="AQ106:AQ107" si="451">AN106+AO106+AP106</f>
        <v>0</v>
      </c>
      <c r="AR106" s="347"/>
      <c r="AS106" s="347"/>
      <c r="AT106" s="347"/>
      <c r="AU106" s="343">
        <f t="shared" ref="AU106:AU107" si="452">AR106+AS106+AT106</f>
        <v>0</v>
      </c>
      <c r="AV106" s="347"/>
      <c r="AW106" s="347"/>
      <c r="AX106" s="347"/>
      <c r="AY106" s="343">
        <f t="shared" ref="AY106:AY107" si="453">AV106+AW106+AX106</f>
        <v>0</v>
      </c>
      <c r="AZ106" s="347"/>
      <c r="BA106" s="347"/>
      <c r="BB106" s="347"/>
      <c r="BC106" s="343">
        <f t="shared" ref="BC106:BC107" si="454">AZ106+BA106+BB106</f>
        <v>0</v>
      </c>
      <c r="BD106" s="347"/>
      <c r="BE106" s="347"/>
      <c r="BF106" s="347"/>
      <c r="BG106" s="343">
        <f t="shared" ref="BG106:BG107" si="455">BD106+BE106+BF106</f>
        <v>0</v>
      </c>
      <c r="BH106" s="347"/>
      <c r="BI106" s="347"/>
      <c r="BJ106" s="347"/>
      <c r="BK106" s="343">
        <f t="shared" ref="BK106:BK107" si="456">BH106+BI106+BJ106</f>
        <v>0</v>
      </c>
      <c r="BL106" s="347"/>
      <c r="BM106" s="347"/>
      <c r="BN106" s="347"/>
      <c r="BO106" s="343">
        <f t="shared" ref="BO106:BO107" si="457">BL106+BM106+BN106</f>
        <v>0</v>
      </c>
      <c r="BP106" s="347"/>
      <c r="BQ106" s="347"/>
      <c r="BR106" s="347"/>
      <c r="BS106" s="343">
        <f t="shared" ref="BS106:BS107" si="458">BP106+BQ106+BR106</f>
        <v>0</v>
      </c>
      <c r="BT106" s="347"/>
      <c r="BU106" s="347"/>
      <c r="BV106" s="347"/>
      <c r="BW106" s="343">
        <f t="shared" ref="BW106:BW107" si="459">BT106+BU106+BV106</f>
        <v>0</v>
      </c>
      <c r="BX106" s="347"/>
      <c r="BY106" s="347"/>
      <c r="BZ106" s="347"/>
      <c r="CA106" s="343">
        <f t="shared" ref="CA106:CA107" si="460">BX106+BY106+BZ106</f>
        <v>0</v>
      </c>
      <c r="CB106" s="347"/>
      <c r="CC106" s="347"/>
      <c r="CD106" s="347"/>
      <c r="CE106" s="343">
        <f t="shared" ref="CE106:CE107" si="461">CB106+CC106+CD106</f>
        <v>0</v>
      </c>
      <c r="CF106" s="347"/>
      <c r="CG106" s="347"/>
      <c r="CH106" s="347"/>
      <c r="CI106" s="343">
        <f t="shared" ref="CI106:CI107" si="462">CF106+CG106+CH106</f>
        <v>0</v>
      </c>
    </row>
    <row r="107" spans="3:87" s="48" customFormat="1" ht="15" thickBot="1" x14ac:dyDescent="0.2">
      <c r="C107" s="119" t="str">
        <f>Tekstnøgler!C192</f>
        <v>Håndtering af affaldsprodukt med egne emissionsfaktorer</v>
      </c>
      <c r="D107" s="347"/>
      <c r="E107" s="347"/>
      <c r="F107" s="347"/>
      <c r="G107" s="343">
        <f t="shared" si="442"/>
        <v>0</v>
      </c>
      <c r="H107" s="347"/>
      <c r="I107" s="347"/>
      <c r="J107" s="347"/>
      <c r="K107" s="343">
        <f t="shared" si="443"/>
        <v>0</v>
      </c>
      <c r="L107" s="347"/>
      <c r="M107" s="347"/>
      <c r="N107" s="347"/>
      <c r="O107" s="343">
        <f t="shared" si="444"/>
        <v>0</v>
      </c>
      <c r="P107" s="347"/>
      <c r="Q107" s="347"/>
      <c r="R107" s="347"/>
      <c r="S107" s="343">
        <f t="shared" si="445"/>
        <v>0</v>
      </c>
      <c r="T107" s="347"/>
      <c r="U107" s="347"/>
      <c r="V107" s="347"/>
      <c r="W107" s="343">
        <f t="shared" si="446"/>
        <v>0</v>
      </c>
      <c r="X107" s="347"/>
      <c r="Y107" s="347"/>
      <c r="Z107" s="347"/>
      <c r="AA107" s="343">
        <f t="shared" si="447"/>
        <v>0</v>
      </c>
      <c r="AB107" s="347"/>
      <c r="AC107" s="347"/>
      <c r="AD107" s="347"/>
      <c r="AE107" s="343">
        <f t="shared" si="448"/>
        <v>0</v>
      </c>
      <c r="AF107" s="347"/>
      <c r="AG107" s="347"/>
      <c r="AH107" s="347"/>
      <c r="AI107" s="343">
        <f t="shared" si="449"/>
        <v>0</v>
      </c>
      <c r="AJ107" s="347"/>
      <c r="AK107" s="347"/>
      <c r="AL107" s="347"/>
      <c r="AM107" s="343">
        <f t="shared" si="450"/>
        <v>0</v>
      </c>
      <c r="AN107" s="347"/>
      <c r="AO107" s="347"/>
      <c r="AP107" s="347"/>
      <c r="AQ107" s="343">
        <f t="shared" si="451"/>
        <v>0</v>
      </c>
      <c r="AR107" s="347"/>
      <c r="AS107" s="347"/>
      <c r="AT107" s="347"/>
      <c r="AU107" s="343">
        <f t="shared" si="452"/>
        <v>0</v>
      </c>
      <c r="AV107" s="347"/>
      <c r="AW107" s="347"/>
      <c r="AX107" s="347"/>
      <c r="AY107" s="343">
        <f t="shared" si="453"/>
        <v>0</v>
      </c>
      <c r="AZ107" s="347"/>
      <c r="BA107" s="347"/>
      <c r="BB107" s="347"/>
      <c r="BC107" s="343">
        <f t="shared" si="454"/>
        <v>0</v>
      </c>
      <c r="BD107" s="347"/>
      <c r="BE107" s="347"/>
      <c r="BF107" s="347"/>
      <c r="BG107" s="343">
        <f t="shared" si="455"/>
        <v>0</v>
      </c>
      <c r="BH107" s="347"/>
      <c r="BI107" s="347"/>
      <c r="BJ107" s="347"/>
      <c r="BK107" s="343">
        <f t="shared" si="456"/>
        <v>0</v>
      </c>
      <c r="BL107" s="347"/>
      <c r="BM107" s="347"/>
      <c r="BN107" s="347"/>
      <c r="BO107" s="343">
        <f t="shared" si="457"/>
        <v>0</v>
      </c>
      <c r="BP107" s="347"/>
      <c r="BQ107" s="347"/>
      <c r="BR107" s="347"/>
      <c r="BS107" s="343">
        <f t="shared" si="458"/>
        <v>0</v>
      </c>
      <c r="BT107" s="347"/>
      <c r="BU107" s="347"/>
      <c r="BV107" s="347"/>
      <c r="BW107" s="343">
        <f t="shared" si="459"/>
        <v>0</v>
      </c>
      <c r="BX107" s="347"/>
      <c r="BY107" s="347"/>
      <c r="BZ107" s="347"/>
      <c r="CA107" s="343">
        <f t="shared" si="460"/>
        <v>0</v>
      </c>
      <c r="CB107" s="347"/>
      <c r="CC107" s="347"/>
      <c r="CD107" s="347"/>
      <c r="CE107" s="343">
        <f t="shared" si="461"/>
        <v>0</v>
      </c>
      <c r="CF107" s="347"/>
      <c r="CG107" s="347"/>
      <c r="CH107" s="347"/>
      <c r="CI107" s="343">
        <f t="shared" si="462"/>
        <v>0</v>
      </c>
    </row>
    <row r="108" spans="3:87" s="48" customFormat="1" ht="14.5" customHeight="1" thickBot="1" x14ac:dyDescent="0.2">
      <c r="C108" s="122" t="str">
        <f>Tekstnøgler!C193</f>
        <v>Andet udledning ved solgte og udlejede produkter</v>
      </c>
      <c r="D108" s="348"/>
      <c r="E108" s="348"/>
      <c r="F108" s="348"/>
      <c r="G108" s="344">
        <f>D108+E108+F108</f>
        <v>0</v>
      </c>
      <c r="H108" s="348"/>
      <c r="I108" s="348"/>
      <c r="J108" s="348"/>
      <c r="K108" s="344">
        <f>H108+I108+J108</f>
        <v>0</v>
      </c>
      <c r="L108" s="348"/>
      <c r="M108" s="348"/>
      <c r="N108" s="348"/>
      <c r="O108" s="344">
        <f>L108+M108+N108</f>
        <v>0</v>
      </c>
      <c r="P108" s="348"/>
      <c r="Q108" s="348"/>
      <c r="R108" s="348"/>
      <c r="S108" s="344">
        <f>P108+Q108+R108</f>
        <v>0</v>
      </c>
      <c r="T108" s="348"/>
      <c r="U108" s="348"/>
      <c r="V108" s="348"/>
      <c r="W108" s="344">
        <f>T108+U108+V108</f>
        <v>0</v>
      </c>
      <c r="X108" s="348"/>
      <c r="Y108" s="348"/>
      <c r="Z108" s="348"/>
      <c r="AA108" s="344">
        <f>X108+Y108+Z108</f>
        <v>0</v>
      </c>
      <c r="AB108" s="348"/>
      <c r="AC108" s="348"/>
      <c r="AD108" s="348"/>
      <c r="AE108" s="344">
        <f>AB108+AC108+AD108</f>
        <v>0</v>
      </c>
      <c r="AF108" s="348"/>
      <c r="AG108" s="348"/>
      <c r="AH108" s="348"/>
      <c r="AI108" s="344">
        <f>AF108+AG108+AH108</f>
        <v>0</v>
      </c>
      <c r="AJ108" s="348"/>
      <c r="AK108" s="348"/>
      <c r="AL108" s="348"/>
      <c r="AM108" s="344">
        <f>AJ108+AK108+AL108</f>
        <v>0</v>
      </c>
      <c r="AN108" s="348"/>
      <c r="AO108" s="348"/>
      <c r="AP108" s="348"/>
      <c r="AQ108" s="344">
        <f>AN108+AO108+AP108</f>
        <v>0</v>
      </c>
      <c r="AR108" s="348"/>
      <c r="AS108" s="348"/>
      <c r="AT108" s="348"/>
      <c r="AU108" s="344">
        <f>AR108+AS108+AT108</f>
        <v>0</v>
      </c>
      <c r="AV108" s="348"/>
      <c r="AW108" s="348"/>
      <c r="AX108" s="348"/>
      <c r="AY108" s="344">
        <f>AV108+AW108+AX108</f>
        <v>0</v>
      </c>
      <c r="AZ108" s="348"/>
      <c r="BA108" s="348"/>
      <c r="BB108" s="348"/>
      <c r="BC108" s="344">
        <f>AZ108+BA108+BB108</f>
        <v>0</v>
      </c>
      <c r="BD108" s="348"/>
      <c r="BE108" s="348"/>
      <c r="BF108" s="348"/>
      <c r="BG108" s="344">
        <f>BD108+BE108+BF108</f>
        <v>0</v>
      </c>
      <c r="BH108" s="348"/>
      <c r="BI108" s="348"/>
      <c r="BJ108" s="348"/>
      <c r="BK108" s="344">
        <f>BH108+BI108+BJ108</f>
        <v>0</v>
      </c>
      <c r="BL108" s="348"/>
      <c r="BM108" s="348"/>
      <c r="BN108" s="348"/>
      <c r="BO108" s="344">
        <f>BL108+BM108+BN108</f>
        <v>0</v>
      </c>
      <c r="BP108" s="348"/>
      <c r="BQ108" s="348"/>
      <c r="BR108" s="348"/>
      <c r="BS108" s="344">
        <f>BP108+BQ108+BR108</f>
        <v>0</v>
      </c>
      <c r="BT108" s="348"/>
      <c r="BU108" s="348"/>
      <c r="BV108" s="348"/>
      <c r="BW108" s="344">
        <f>BT108+BU108+BV108</f>
        <v>0</v>
      </c>
      <c r="BX108" s="348"/>
      <c r="BY108" s="348"/>
      <c r="BZ108" s="348"/>
      <c r="CA108" s="344">
        <f>BX108+BY108+BZ108</f>
        <v>0</v>
      </c>
      <c r="CB108" s="348"/>
      <c r="CC108" s="348"/>
      <c r="CD108" s="348"/>
      <c r="CE108" s="344">
        <f>CB108+CC108+CD108</f>
        <v>0</v>
      </c>
      <c r="CF108" s="348"/>
      <c r="CG108" s="348"/>
      <c r="CH108" s="348"/>
      <c r="CI108" s="344">
        <f>CF108+CG108+CH108</f>
        <v>0</v>
      </c>
    </row>
    <row r="109" spans="3:87" ht="15" thickBot="1" x14ac:dyDescent="0.2">
      <c r="C109" s="117" t="str">
        <f>Tekstnøgler!C402</f>
        <v>Total</v>
      </c>
      <c r="D109" s="46">
        <f t="shared" ref="D109:AH109" si="463">D35+D47+D76+D95+D100</f>
        <v>11</v>
      </c>
      <c r="E109" s="46">
        <f t="shared" si="463"/>
        <v>7</v>
      </c>
      <c r="F109" s="46">
        <f t="shared" si="463"/>
        <v>8</v>
      </c>
      <c r="G109" s="46">
        <f>G35+G47+G76+G95+G100</f>
        <v>26</v>
      </c>
      <c r="H109" s="46">
        <f t="shared" si="463"/>
        <v>8</v>
      </c>
      <c r="I109" s="46">
        <f t="shared" si="463"/>
        <v>8</v>
      </c>
      <c r="J109" s="46">
        <f t="shared" si="463"/>
        <v>8</v>
      </c>
      <c r="K109" s="46">
        <f>K35+K47+K76+K95+K100</f>
        <v>24</v>
      </c>
      <c r="L109" s="46">
        <f t="shared" si="463"/>
        <v>8</v>
      </c>
      <c r="M109" s="46">
        <f t="shared" si="463"/>
        <v>8</v>
      </c>
      <c r="N109" s="46">
        <f t="shared" si="463"/>
        <v>8</v>
      </c>
      <c r="O109" s="46">
        <f>O35+O47+O76+O95+O100</f>
        <v>24</v>
      </c>
      <c r="P109" s="46">
        <f t="shared" si="463"/>
        <v>8</v>
      </c>
      <c r="Q109" s="46">
        <f t="shared" si="463"/>
        <v>8</v>
      </c>
      <c r="R109" s="46">
        <f t="shared" si="463"/>
        <v>8</v>
      </c>
      <c r="S109" s="46">
        <f>S35+S47+S76+S95+S100</f>
        <v>24</v>
      </c>
      <c r="T109" s="46">
        <f t="shared" si="463"/>
        <v>8</v>
      </c>
      <c r="U109" s="46">
        <f t="shared" si="463"/>
        <v>8</v>
      </c>
      <c r="V109" s="46">
        <f t="shared" si="463"/>
        <v>8</v>
      </c>
      <c r="W109" s="46">
        <f>W35+W47+W76+W95+W100</f>
        <v>24</v>
      </c>
      <c r="X109" s="46">
        <f t="shared" si="463"/>
        <v>8</v>
      </c>
      <c r="Y109" s="46">
        <f t="shared" si="463"/>
        <v>20</v>
      </c>
      <c r="Z109" s="46">
        <f t="shared" si="463"/>
        <v>8</v>
      </c>
      <c r="AA109" s="46">
        <f>AA35+AA47+AA76+AA95+AA100</f>
        <v>36</v>
      </c>
      <c r="AB109" s="46">
        <f t="shared" si="463"/>
        <v>8</v>
      </c>
      <c r="AC109" s="46">
        <f t="shared" si="463"/>
        <v>8</v>
      </c>
      <c r="AD109" s="46">
        <f t="shared" si="463"/>
        <v>8</v>
      </c>
      <c r="AE109" s="46">
        <f>AE35+AE47+AE76+AE95+AE100</f>
        <v>24</v>
      </c>
      <c r="AF109" s="46">
        <f t="shared" si="463"/>
        <v>8</v>
      </c>
      <c r="AG109" s="46">
        <f t="shared" si="463"/>
        <v>8</v>
      </c>
      <c r="AH109" s="46">
        <f t="shared" si="463"/>
        <v>8</v>
      </c>
      <c r="AI109" s="46">
        <f>AI35+AI47+AI76+AI95+AI100</f>
        <v>24</v>
      </c>
      <c r="AJ109" s="46">
        <f t="shared" ref="AJ109:BN109" si="464">AJ35+AJ47+AJ76+AJ95+AJ100</f>
        <v>8</v>
      </c>
      <c r="AK109" s="46">
        <f t="shared" si="464"/>
        <v>8</v>
      </c>
      <c r="AL109" s="46">
        <f t="shared" si="464"/>
        <v>8</v>
      </c>
      <c r="AM109" s="46">
        <f>AM35+AM47+AM76+AM95+AM100</f>
        <v>24</v>
      </c>
      <c r="AN109" s="46">
        <f t="shared" si="464"/>
        <v>8</v>
      </c>
      <c r="AO109" s="46">
        <f t="shared" si="464"/>
        <v>8</v>
      </c>
      <c r="AP109" s="46">
        <f t="shared" si="464"/>
        <v>8</v>
      </c>
      <c r="AQ109" s="46">
        <f>AQ35+AQ47+AQ76+AQ95+AQ100</f>
        <v>24</v>
      </c>
      <c r="AR109" s="46">
        <f t="shared" si="464"/>
        <v>8</v>
      </c>
      <c r="AS109" s="46">
        <f t="shared" si="464"/>
        <v>8</v>
      </c>
      <c r="AT109" s="46">
        <f t="shared" si="464"/>
        <v>8</v>
      </c>
      <c r="AU109" s="46">
        <f>AU35+AU47+AU76+AU95+AU100</f>
        <v>24</v>
      </c>
      <c r="AV109" s="46">
        <f t="shared" si="464"/>
        <v>8</v>
      </c>
      <c r="AW109" s="46">
        <f t="shared" si="464"/>
        <v>8</v>
      </c>
      <c r="AX109" s="46">
        <f t="shared" si="464"/>
        <v>8</v>
      </c>
      <c r="AY109" s="46">
        <f>AY35+AY47+AY76+AY95+AY100</f>
        <v>24</v>
      </c>
      <c r="AZ109" s="46">
        <f t="shared" si="464"/>
        <v>8</v>
      </c>
      <c r="BA109" s="46">
        <f t="shared" si="464"/>
        <v>8</v>
      </c>
      <c r="BB109" s="46">
        <f t="shared" si="464"/>
        <v>8</v>
      </c>
      <c r="BC109" s="46">
        <f>BC35+BC47+BC76+BC95+BC100</f>
        <v>24</v>
      </c>
      <c r="BD109" s="46">
        <f t="shared" si="464"/>
        <v>8</v>
      </c>
      <c r="BE109" s="46">
        <f t="shared" si="464"/>
        <v>8</v>
      </c>
      <c r="BF109" s="46">
        <f t="shared" si="464"/>
        <v>20</v>
      </c>
      <c r="BG109" s="46">
        <f>BG35+BG47+BG76+BG95+BG100</f>
        <v>36</v>
      </c>
      <c r="BH109" s="46">
        <f t="shared" si="464"/>
        <v>8</v>
      </c>
      <c r="BI109" s="46">
        <f t="shared" si="464"/>
        <v>21</v>
      </c>
      <c r="BJ109" s="46">
        <f t="shared" si="464"/>
        <v>8</v>
      </c>
      <c r="BK109" s="46">
        <f>BK35+BK47+BK76+BK95+BK100</f>
        <v>37</v>
      </c>
      <c r="BL109" s="46">
        <f t="shared" si="464"/>
        <v>4</v>
      </c>
      <c r="BM109" s="46">
        <f t="shared" si="464"/>
        <v>4</v>
      </c>
      <c r="BN109" s="46">
        <f t="shared" si="464"/>
        <v>5</v>
      </c>
      <c r="BO109" s="46">
        <f>BO35+BO47+BO76+BO95+BO100</f>
        <v>13</v>
      </c>
      <c r="BP109" s="46">
        <f t="shared" ref="BP109:CH109" si="465">BP35+BP47+BP76+BP95+BP100</f>
        <v>8</v>
      </c>
      <c r="BQ109" s="46">
        <f t="shared" si="465"/>
        <v>8</v>
      </c>
      <c r="BR109" s="46">
        <f t="shared" si="465"/>
        <v>8</v>
      </c>
      <c r="BS109" s="46">
        <f>BS35+BS47+BS76+BS95+BS100</f>
        <v>24</v>
      </c>
      <c r="BT109" s="46">
        <f t="shared" si="465"/>
        <v>8</v>
      </c>
      <c r="BU109" s="46">
        <f t="shared" si="465"/>
        <v>8</v>
      </c>
      <c r="BV109" s="46">
        <f t="shared" si="465"/>
        <v>8</v>
      </c>
      <c r="BW109" s="46">
        <f>BW35+BW47+BW76+BW95+BW100</f>
        <v>24</v>
      </c>
      <c r="BX109" s="46">
        <f t="shared" si="465"/>
        <v>8</v>
      </c>
      <c r="BY109" s="46">
        <f t="shared" si="465"/>
        <v>8</v>
      </c>
      <c r="BZ109" s="46">
        <f t="shared" si="465"/>
        <v>8</v>
      </c>
      <c r="CA109" s="46">
        <f>CA35+CA47+CA76+CA95+CA100</f>
        <v>24</v>
      </c>
      <c r="CB109" s="46">
        <f t="shared" si="465"/>
        <v>8</v>
      </c>
      <c r="CC109" s="46">
        <f t="shared" si="465"/>
        <v>8</v>
      </c>
      <c r="CD109" s="46">
        <f t="shared" si="465"/>
        <v>8</v>
      </c>
      <c r="CE109" s="46">
        <f>CE35+CE47+CE76+CE95+CE100</f>
        <v>24</v>
      </c>
      <c r="CF109" s="46">
        <f t="shared" si="465"/>
        <v>8</v>
      </c>
      <c r="CG109" s="46">
        <f t="shared" si="465"/>
        <v>8</v>
      </c>
      <c r="CH109" s="46">
        <f t="shared" si="465"/>
        <v>8</v>
      </c>
      <c r="CI109" s="46">
        <f>CI35+CI47+CI76+CI95+CI100</f>
        <v>24</v>
      </c>
    </row>
    <row r="112" spans="3:87" ht="30" customHeight="1" x14ac:dyDescent="0.2">
      <c r="C112" s="26" t="str">
        <f>Tekstnøgler!C414</f>
        <v>Udenfor scopes resultater</v>
      </c>
      <c r="E112" s="27"/>
      <c r="H112" s="18"/>
      <c r="I112" s="18"/>
      <c r="J112" s="18"/>
      <c r="K112" s="18"/>
    </row>
    <row r="113" spans="3:24" ht="14.25" customHeight="1" x14ac:dyDescent="0.15">
      <c r="D113" s="31"/>
      <c r="F113" s="31"/>
      <c r="G113" s="31"/>
      <c r="H113" s="18"/>
      <c r="I113" s="18"/>
      <c r="J113" s="18"/>
      <c r="K113" s="18"/>
    </row>
    <row r="114" spans="3:24" s="48" customFormat="1" ht="52.5" customHeight="1" x14ac:dyDescent="0.15">
      <c r="C114" s="422" t="str">
        <f>Tekstnøgler!C415</f>
        <v xml:space="preserve">Her ses en mere detaljeret resultatvisning for udenfor scopes. Tabellen viser den tilhørende udledning for alle underkategorierne, der er indtastet data for. Bemærk at udenfor scopes ikke medregnes i totalen jf. GHG-protokollen.				</v>
      </c>
      <c r="D114" s="422"/>
      <c r="E114" s="422"/>
      <c r="F114" s="422"/>
      <c r="G114" s="422"/>
      <c r="H114" s="6"/>
    </row>
    <row r="115" spans="3:24" s="48" customFormat="1" ht="14.5" customHeight="1" thickBot="1" x14ac:dyDescent="0.2">
      <c r="C115" s="6"/>
      <c r="D115" s="6"/>
      <c r="E115" s="6"/>
      <c r="F115" s="6"/>
      <c r="G115" s="6"/>
      <c r="H115" s="6"/>
    </row>
    <row r="116" spans="3:24" s="48" customFormat="1" ht="27" customHeight="1" thickBot="1" x14ac:dyDescent="0.2">
      <c r="C116" s="87" t="str">
        <f>Tekstnøgler!C416</f>
        <v>Oversigt af 'udenfor scopes' resultater over CO₂e-udledningen fordelt på hoved- og underkategorier</v>
      </c>
      <c r="D116" s="86"/>
      <c r="E116" s="85"/>
      <c r="F116" s="85"/>
      <c r="G116" s="85"/>
      <c r="H116" s="85"/>
      <c r="I116" s="85"/>
      <c r="J116" s="85"/>
      <c r="K116" s="85"/>
      <c r="L116" s="85"/>
      <c r="M116" s="85"/>
      <c r="N116" s="85"/>
      <c r="O116" s="85"/>
      <c r="P116" s="85"/>
      <c r="Q116" s="85"/>
      <c r="R116" s="85"/>
      <c r="S116" s="85"/>
      <c r="T116" s="85"/>
      <c r="U116" s="85"/>
      <c r="V116" s="85"/>
      <c r="W116" s="85"/>
      <c r="X116" s="85"/>
    </row>
    <row r="117" spans="3:24" s="48" customFormat="1" ht="15.75" customHeight="1" x14ac:dyDescent="0.15">
      <c r="C117" s="502" t="str">
        <f>Tekstnøgler!C115</f>
        <v>Hovedkategori</v>
      </c>
      <c r="D117" s="84">
        <v>2015</v>
      </c>
      <c r="E117" s="84">
        <v>2016</v>
      </c>
      <c r="F117" s="84">
        <v>2017</v>
      </c>
      <c r="G117" s="84">
        <v>2018</v>
      </c>
      <c r="H117" s="84">
        <v>2019</v>
      </c>
      <c r="I117" s="84">
        <v>2020</v>
      </c>
      <c r="J117" s="84">
        <v>2021</v>
      </c>
      <c r="K117" s="84">
        <v>2022</v>
      </c>
      <c r="L117" s="84">
        <v>2023</v>
      </c>
      <c r="M117" s="84">
        <v>2024</v>
      </c>
      <c r="N117" s="84">
        <v>2025</v>
      </c>
      <c r="O117" s="84">
        <v>2026</v>
      </c>
      <c r="P117" s="84">
        <v>2027</v>
      </c>
      <c r="Q117" s="84">
        <v>2028</v>
      </c>
      <c r="R117" s="84">
        <v>2029</v>
      </c>
      <c r="S117" s="84">
        <v>2030</v>
      </c>
      <c r="T117" s="84">
        <v>2031</v>
      </c>
      <c r="U117" s="84">
        <v>2032</v>
      </c>
      <c r="V117" s="84">
        <v>2033</v>
      </c>
      <c r="W117" s="84">
        <v>2034</v>
      </c>
      <c r="X117" s="84">
        <v>2035</v>
      </c>
    </row>
    <row r="118" spans="3:24" s="48" customFormat="1" ht="15" thickBot="1" x14ac:dyDescent="0.2">
      <c r="C118" s="503"/>
      <c r="D118" s="16" t="str">
        <f>Tekstnøgler!$C$413</f>
        <v>(ton CO₂e)</v>
      </c>
      <c r="E118" s="16" t="str">
        <f>Tekstnøgler!$C$413</f>
        <v>(ton CO₂e)</v>
      </c>
      <c r="F118" s="16" t="str">
        <f>Tekstnøgler!$C$413</f>
        <v>(ton CO₂e)</v>
      </c>
      <c r="G118" s="16" t="str">
        <f>Tekstnøgler!$C$413</f>
        <v>(ton CO₂e)</v>
      </c>
      <c r="H118" s="16" t="str">
        <f>Tekstnøgler!$C$413</f>
        <v>(ton CO₂e)</v>
      </c>
      <c r="I118" s="16" t="str">
        <f>Tekstnøgler!$C$413</f>
        <v>(ton CO₂e)</v>
      </c>
      <c r="J118" s="16" t="str">
        <f>Tekstnøgler!$C$413</f>
        <v>(ton CO₂e)</v>
      </c>
      <c r="K118" s="16" t="str">
        <f>Tekstnøgler!$C$413</f>
        <v>(ton CO₂e)</v>
      </c>
      <c r="L118" s="16" t="str">
        <f>Tekstnøgler!$C$413</f>
        <v>(ton CO₂e)</v>
      </c>
      <c r="M118" s="16" t="str">
        <f>Tekstnøgler!$C$413</f>
        <v>(ton CO₂e)</v>
      </c>
      <c r="N118" s="16" t="str">
        <f>Tekstnøgler!$C$413</f>
        <v>(ton CO₂e)</v>
      </c>
      <c r="O118" s="16" t="str">
        <f>Tekstnøgler!$C$413</f>
        <v>(ton CO₂e)</v>
      </c>
      <c r="P118" s="16" t="str">
        <f>Tekstnøgler!$C$413</f>
        <v>(ton CO₂e)</v>
      </c>
      <c r="Q118" s="16" t="str">
        <f>Tekstnøgler!$C$413</f>
        <v>(ton CO₂e)</v>
      </c>
      <c r="R118" s="16" t="str">
        <f>Tekstnøgler!$C$413</f>
        <v>(ton CO₂e)</v>
      </c>
      <c r="S118" s="16" t="str">
        <f>Tekstnøgler!$C$413</f>
        <v>(ton CO₂e)</v>
      </c>
      <c r="T118" s="16" t="str">
        <f>Tekstnøgler!$C$413</f>
        <v>(ton CO₂e)</v>
      </c>
      <c r="U118" s="16" t="str">
        <f>Tekstnøgler!$C$413</f>
        <v>(ton CO₂e)</v>
      </c>
      <c r="V118" s="16" t="str">
        <f>Tekstnøgler!$C$413</f>
        <v>(ton CO₂e)</v>
      </c>
      <c r="W118" s="16" t="str">
        <f>Tekstnøgler!$C$413</f>
        <v>(ton CO₂e)</v>
      </c>
      <c r="X118" s="16" t="str">
        <f>Tekstnøgler!$C$413</f>
        <v>(ton CO₂e)</v>
      </c>
    </row>
    <row r="119" spans="3:24" s="48" customFormat="1" ht="14.5" customHeight="1" thickBot="1" x14ac:dyDescent="0.2">
      <c r="C119" s="45" t="str">
        <f>Tekstnøgler!C120</f>
        <v>Energi og processer</v>
      </c>
      <c r="D119" s="46">
        <f t="shared" ref="D119:X119" si="466">D120+D123+D127+D130</f>
        <v>5</v>
      </c>
      <c r="E119" s="46">
        <f t="shared" si="466"/>
        <v>5</v>
      </c>
      <c r="F119" s="46">
        <f t="shared" si="466"/>
        <v>5</v>
      </c>
      <c r="G119" s="46">
        <f t="shared" si="466"/>
        <v>5</v>
      </c>
      <c r="H119" s="46">
        <f t="shared" si="466"/>
        <v>5</v>
      </c>
      <c r="I119" s="46">
        <f t="shared" si="466"/>
        <v>5</v>
      </c>
      <c r="J119" s="46">
        <f t="shared" si="466"/>
        <v>5</v>
      </c>
      <c r="K119" s="46">
        <f t="shared" si="466"/>
        <v>5</v>
      </c>
      <c r="L119" s="46">
        <f t="shared" si="466"/>
        <v>5</v>
      </c>
      <c r="M119" s="46">
        <f t="shared" si="466"/>
        <v>5</v>
      </c>
      <c r="N119" s="46">
        <f t="shared" si="466"/>
        <v>5</v>
      </c>
      <c r="O119" s="46">
        <f t="shared" si="466"/>
        <v>5</v>
      </c>
      <c r="P119" s="46">
        <f t="shared" si="466"/>
        <v>5</v>
      </c>
      <c r="Q119" s="46">
        <f t="shared" si="466"/>
        <v>5</v>
      </c>
      <c r="R119" s="46">
        <f t="shared" si="466"/>
        <v>5</v>
      </c>
      <c r="S119" s="46">
        <f t="shared" si="466"/>
        <v>5</v>
      </c>
      <c r="T119" s="46">
        <f t="shared" si="466"/>
        <v>5</v>
      </c>
      <c r="U119" s="46">
        <f t="shared" si="466"/>
        <v>5</v>
      </c>
      <c r="V119" s="46">
        <f t="shared" si="466"/>
        <v>5</v>
      </c>
      <c r="W119" s="46">
        <f t="shared" si="466"/>
        <v>5</v>
      </c>
      <c r="X119" s="46">
        <f t="shared" si="466"/>
        <v>5</v>
      </c>
    </row>
    <row r="120" spans="3:24" s="48" customFormat="1" ht="15" thickBot="1" x14ac:dyDescent="0.2">
      <c r="C120" s="47" t="str">
        <f>Tekstnøgler!C121</f>
        <v>Elektricitet</v>
      </c>
      <c r="D120" s="344">
        <f t="shared" ref="D120:X120" si="467">SUM(D121:D122)</f>
        <v>5</v>
      </c>
      <c r="E120" s="344">
        <f t="shared" si="467"/>
        <v>5</v>
      </c>
      <c r="F120" s="344">
        <f t="shared" si="467"/>
        <v>5</v>
      </c>
      <c r="G120" s="344">
        <f t="shared" si="467"/>
        <v>5</v>
      </c>
      <c r="H120" s="344">
        <f t="shared" si="467"/>
        <v>5</v>
      </c>
      <c r="I120" s="344">
        <f t="shared" si="467"/>
        <v>5</v>
      </c>
      <c r="J120" s="344">
        <f t="shared" si="467"/>
        <v>5</v>
      </c>
      <c r="K120" s="344">
        <f t="shared" si="467"/>
        <v>5</v>
      </c>
      <c r="L120" s="344">
        <f t="shared" si="467"/>
        <v>5</v>
      </c>
      <c r="M120" s="344">
        <f t="shared" si="467"/>
        <v>5</v>
      </c>
      <c r="N120" s="344">
        <f t="shared" si="467"/>
        <v>5</v>
      </c>
      <c r="O120" s="344">
        <f t="shared" si="467"/>
        <v>5</v>
      </c>
      <c r="P120" s="344">
        <f t="shared" si="467"/>
        <v>5</v>
      </c>
      <c r="Q120" s="344">
        <f t="shared" si="467"/>
        <v>5</v>
      </c>
      <c r="R120" s="344">
        <f t="shared" si="467"/>
        <v>5</v>
      </c>
      <c r="S120" s="344">
        <f t="shared" si="467"/>
        <v>5</v>
      </c>
      <c r="T120" s="344">
        <f t="shared" si="467"/>
        <v>5</v>
      </c>
      <c r="U120" s="344">
        <f t="shared" si="467"/>
        <v>5</v>
      </c>
      <c r="V120" s="344">
        <f t="shared" si="467"/>
        <v>5</v>
      </c>
      <c r="W120" s="344">
        <f t="shared" si="467"/>
        <v>5</v>
      </c>
      <c r="X120" s="344">
        <f t="shared" si="467"/>
        <v>5</v>
      </c>
    </row>
    <row r="121" spans="3:24" s="48" customFormat="1" ht="14.5" customHeight="1" thickBot="1" x14ac:dyDescent="0.2">
      <c r="C121" s="17" t="str">
        <f>Tekstnøgler!C122</f>
        <v>Forbrug af elektricitet</v>
      </c>
      <c r="D121" s="347"/>
      <c r="E121" s="347"/>
      <c r="F121" s="347"/>
      <c r="G121" s="347"/>
      <c r="H121" s="347"/>
      <c r="I121" s="347"/>
      <c r="J121" s="347"/>
      <c r="K121" s="347"/>
      <c r="L121" s="347"/>
      <c r="M121" s="347"/>
      <c r="N121" s="347"/>
      <c r="O121" s="347"/>
      <c r="P121" s="347"/>
      <c r="Q121" s="347"/>
      <c r="R121" s="347"/>
      <c r="S121" s="347"/>
      <c r="T121" s="347"/>
      <c r="U121" s="347"/>
      <c r="V121" s="347"/>
      <c r="W121" s="347"/>
      <c r="X121" s="347"/>
    </row>
    <row r="122" spans="3:24" s="48" customFormat="1" ht="14.5" customHeight="1" thickBot="1" x14ac:dyDescent="0.2">
      <c r="C122" s="17" t="str">
        <f>Tekstnøgler!C123</f>
        <v>Forbrug af elektricitet med egne emissionsfaktorer</v>
      </c>
      <c r="D122" s="347">
        <v>5</v>
      </c>
      <c r="E122" s="347">
        <v>5</v>
      </c>
      <c r="F122" s="347">
        <v>5</v>
      </c>
      <c r="G122" s="347">
        <v>5</v>
      </c>
      <c r="H122" s="347">
        <v>5</v>
      </c>
      <c r="I122" s="347">
        <v>5</v>
      </c>
      <c r="J122" s="347">
        <v>5</v>
      </c>
      <c r="K122" s="347">
        <v>5</v>
      </c>
      <c r="L122" s="347">
        <v>5</v>
      </c>
      <c r="M122" s="347">
        <v>5</v>
      </c>
      <c r="N122" s="347">
        <v>5</v>
      </c>
      <c r="O122" s="347">
        <v>5</v>
      </c>
      <c r="P122" s="347">
        <v>5</v>
      </c>
      <c r="Q122" s="347">
        <v>5</v>
      </c>
      <c r="R122" s="347">
        <v>5</v>
      </c>
      <c r="S122" s="347">
        <v>5</v>
      </c>
      <c r="T122" s="347">
        <v>5</v>
      </c>
      <c r="U122" s="347">
        <v>5</v>
      </c>
      <c r="V122" s="347">
        <v>5</v>
      </c>
      <c r="W122" s="347">
        <v>5</v>
      </c>
      <c r="X122" s="347">
        <v>5</v>
      </c>
    </row>
    <row r="123" spans="3:24" s="48" customFormat="1" ht="14.5" customHeight="1" thickBot="1" x14ac:dyDescent="0.2">
      <c r="C123" s="47" t="str">
        <f>Tekstnøgler!C124</f>
        <v>Varme og procesenergi</v>
      </c>
      <c r="D123" s="344">
        <f t="shared" ref="D123:X123" si="468">SUM(D124:D126)</f>
        <v>0</v>
      </c>
      <c r="E123" s="344">
        <f t="shared" si="468"/>
        <v>0</v>
      </c>
      <c r="F123" s="344">
        <f t="shared" si="468"/>
        <v>0</v>
      </c>
      <c r="G123" s="344">
        <f t="shared" si="468"/>
        <v>0</v>
      </c>
      <c r="H123" s="344">
        <f t="shared" si="468"/>
        <v>0</v>
      </c>
      <c r="I123" s="344">
        <f t="shared" si="468"/>
        <v>0</v>
      </c>
      <c r="J123" s="344">
        <f t="shared" si="468"/>
        <v>0</v>
      </c>
      <c r="K123" s="344">
        <f t="shared" si="468"/>
        <v>0</v>
      </c>
      <c r="L123" s="344">
        <f t="shared" si="468"/>
        <v>0</v>
      </c>
      <c r="M123" s="344">
        <f t="shared" si="468"/>
        <v>0</v>
      </c>
      <c r="N123" s="344">
        <f t="shared" si="468"/>
        <v>0</v>
      </c>
      <c r="O123" s="344">
        <f t="shared" si="468"/>
        <v>0</v>
      </c>
      <c r="P123" s="344">
        <f t="shared" si="468"/>
        <v>0</v>
      </c>
      <c r="Q123" s="344">
        <f t="shared" si="468"/>
        <v>0</v>
      </c>
      <c r="R123" s="344">
        <f t="shared" si="468"/>
        <v>0</v>
      </c>
      <c r="S123" s="344">
        <f t="shared" si="468"/>
        <v>0</v>
      </c>
      <c r="T123" s="344">
        <f t="shared" si="468"/>
        <v>0</v>
      </c>
      <c r="U123" s="344">
        <f t="shared" si="468"/>
        <v>0</v>
      </c>
      <c r="V123" s="344">
        <f t="shared" si="468"/>
        <v>0</v>
      </c>
      <c r="W123" s="344">
        <f t="shared" si="468"/>
        <v>0</v>
      </c>
      <c r="X123" s="344">
        <f t="shared" si="468"/>
        <v>0</v>
      </c>
    </row>
    <row r="124" spans="3:24" s="48" customFormat="1" ht="14.5" customHeight="1" thickBot="1" x14ac:dyDescent="0.2">
      <c r="C124" s="17" t="str">
        <f>Tekstnøgler!C125</f>
        <v>Fjernvarme</v>
      </c>
      <c r="D124" s="347"/>
      <c r="E124" s="347"/>
      <c r="F124" s="347"/>
      <c r="G124" s="347"/>
      <c r="H124" s="347"/>
      <c r="I124" s="347"/>
      <c r="J124" s="347"/>
      <c r="K124" s="347"/>
      <c r="L124" s="347"/>
      <c r="M124" s="347"/>
      <c r="N124" s="347"/>
      <c r="O124" s="347"/>
      <c r="P124" s="347"/>
      <c r="Q124" s="347"/>
      <c r="R124" s="347"/>
      <c r="S124" s="347"/>
      <c r="T124" s="347"/>
      <c r="U124" s="347"/>
      <c r="V124" s="347"/>
      <c r="W124" s="347"/>
      <c r="X124" s="347"/>
    </row>
    <row r="125" spans="3:24" s="48" customFormat="1" ht="14.5" customHeight="1" thickBot="1" x14ac:dyDescent="0.2">
      <c r="C125" s="17" t="str">
        <f>Tekstnøgler!C126</f>
        <v>Brændsler</v>
      </c>
      <c r="D125" s="347"/>
      <c r="E125" s="347"/>
      <c r="F125" s="347"/>
      <c r="G125" s="347"/>
      <c r="H125" s="347"/>
      <c r="I125" s="347"/>
      <c r="J125" s="347"/>
      <c r="K125" s="347"/>
      <c r="L125" s="347"/>
      <c r="M125" s="347"/>
      <c r="N125" s="347"/>
      <c r="O125" s="347"/>
      <c r="P125" s="347"/>
      <c r="Q125" s="347"/>
      <c r="R125" s="347"/>
      <c r="S125" s="347"/>
      <c r="T125" s="347"/>
      <c r="U125" s="347"/>
      <c r="V125" s="347"/>
      <c r="W125" s="347"/>
      <c r="X125" s="347"/>
    </row>
    <row r="126" spans="3:24" s="48" customFormat="1" ht="14.5" customHeight="1" thickBot="1" x14ac:dyDescent="0.2">
      <c r="C126" s="17" t="str">
        <f>Tekstnøgler!C127</f>
        <v>Varme og procesenergi med egne emissionsfaktorer</v>
      </c>
      <c r="D126" s="347"/>
      <c r="E126" s="347"/>
      <c r="F126" s="347"/>
      <c r="G126" s="347"/>
      <c r="H126" s="347"/>
      <c r="I126" s="347"/>
      <c r="J126" s="347"/>
      <c r="K126" s="347"/>
      <c r="L126" s="347"/>
      <c r="M126" s="347"/>
      <c r="N126" s="347"/>
      <c r="O126" s="347"/>
      <c r="P126" s="347"/>
      <c r="Q126" s="347"/>
      <c r="R126" s="347"/>
      <c r="S126" s="347"/>
      <c r="T126" s="347"/>
      <c r="U126" s="347"/>
      <c r="V126" s="347"/>
      <c r="W126" s="347"/>
      <c r="X126" s="347"/>
    </row>
    <row r="127" spans="3:24" s="48" customFormat="1" ht="14.5" customHeight="1" thickBot="1" x14ac:dyDescent="0.2">
      <c r="C127" s="47" t="str">
        <f>Tekstnøgler!C128</f>
        <v>Procesudledning</v>
      </c>
      <c r="D127" s="344">
        <f t="shared" ref="D127:X127" si="469">SUM(D128:D129)</f>
        <v>0</v>
      </c>
      <c r="E127" s="344">
        <f t="shared" si="469"/>
        <v>0</v>
      </c>
      <c r="F127" s="344">
        <f t="shared" si="469"/>
        <v>0</v>
      </c>
      <c r="G127" s="344">
        <f t="shared" si="469"/>
        <v>0</v>
      </c>
      <c r="H127" s="344">
        <f t="shared" si="469"/>
        <v>0</v>
      </c>
      <c r="I127" s="344">
        <f t="shared" si="469"/>
        <v>0</v>
      </c>
      <c r="J127" s="344">
        <f t="shared" si="469"/>
        <v>0</v>
      </c>
      <c r="K127" s="344">
        <f t="shared" si="469"/>
        <v>0</v>
      </c>
      <c r="L127" s="344">
        <f t="shared" si="469"/>
        <v>0</v>
      </c>
      <c r="M127" s="344">
        <f t="shared" si="469"/>
        <v>0</v>
      </c>
      <c r="N127" s="344">
        <f t="shared" si="469"/>
        <v>0</v>
      </c>
      <c r="O127" s="344">
        <f t="shared" si="469"/>
        <v>0</v>
      </c>
      <c r="P127" s="344">
        <f t="shared" si="469"/>
        <v>0</v>
      </c>
      <c r="Q127" s="344">
        <f t="shared" si="469"/>
        <v>0</v>
      </c>
      <c r="R127" s="344">
        <f t="shared" si="469"/>
        <v>0</v>
      </c>
      <c r="S127" s="344">
        <f t="shared" si="469"/>
        <v>0</v>
      </c>
      <c r="T127" s="344">
        <f t="shared" si="469"/>
        <v>0</v>
      </c>
      <c r="U127" s="344">
        <f t="shared" si="469"/>
        <v>0</v>
      </c>
      <c r="V127" s="344">
        <f t="shared" si="469"/>
        <v>0</v>
      </c>
      <c r="W127" s="344">
        <f t="shared" si="469"/>
        <v>0</v>
      </c>
      <c r="X127" s="344">
        <f t="shared" si="469"/>
        <v>0</v>
      </c>
    </row>
    <row r="128" spans="3:24" s="48" customFormat="1" ht="15" thickBot="1" x14ac:dyDescent="0.2">
      <c r="C128" s="17" t="str">
        <f>Tekstnøgler!C129</f>
        <v>Procesudledning</v>
      </c>
      <c r="D128" s="347"/>
      <c r="E128" s="347"/>
      <c r="F128" s="347"/>
      <c r="G128" s="347"/>
      <c r="H128" s="347"/>
      <c r="I128" s="347"/>
      <c r="J128" s="347"/>
      <c r="K128" s="347"/>
      <c r="L128" s="347"/>
      <c r="M128" s="347"/>
      <c r="N128" s="347"/>
      <c r="O128" s="347"/>
      <c r="P128" s="347"/>
      <c r="Q128" s="347"/>
      <c r="R128" s="347"/>
      <c r="S128" s="347"/>
      <c r="T128" s="347"/>
      <c r="U128" s="347"/>
      <c r="V128" s="347"/>
      <c r="W128" s="347"/>
      <c r="X128" s="347"/>
    </row>
    <row r="129" spans="3:24" s="48" customFormat="1" ht="14.5" customHeight="1" thickBot="1" x14ac:dyDescent="0.2">
      <c r="C129" s="17" t="str">
        <f>Tekstnøgler!C130</f>
        <v>Procesudledning med egne emissionsfaktorer</v>
      </c>
      <c r="D129" s="347"/>
      <c r="E129" s="347"/>
      <c r="F129" s="347"/>
      <c r="G129" s="347"/>
      <c r="H129" s="347"/>
      <c r="I129" s="347"/>
      <c r="J129" s="347"/>
      <c r="K129" s="347"/>
      <c r="L129" s="347"/>
      <c r="M129" s="347"/>
      <c r="N129" s="347"/>
      <c r="O129" s="347"/>
      <c r="P129" s="347"/>
      <c r="Q129" s="347"/>
      <c r="R129" s="347"/>
      <c r="S129" s="347"/>
      <c r="T129" s="347"/>
      <c r="U129" s="347"/>
      <c r="V129" s="347"/>
      <c r="W129" s="347"/>
      <c r="X129" s="347"/>
    </row>
    <row r="130" spans="3:24" s="48" customFormat="1" ht="14.5" customHeight="1" thickBot="1" x14ac:dyDescent="0.2">
      <c r="C130" s="47" t="str">
        <f>Tekstnøgler!C131</f>
        <v>Andet udledning ved energi og processer</v>
      </c>
      <c r="D130" s="348"/>
      <c r="E130" s="348"/>
      <c r="F130" s="348"/>
      <c r="G130" s="348"/>
      <c r="H130" s="348"/>
      <c r="I130" s="348"/>
      <c r="J130" s="348"/>
      <c r="K130" s="348"/>
      <c r="L130" s="348"/>
      <c r="M130" s="348"/>
      <c r="N130" s="348"/>
      <c r="O130" s="348"/>
      <c r="P130" s="348"/>
      <c r="Q130" s="348"/>
      <c r="R130" s="348"/>
      <c r="S130" s="348"/>
      <c r="T130" s="348"/>
      <c r="U130" s="348"/>
      <c r="V130" s="348"/>
      <c r="W130" s="348"/>
      <c r="X130" s="348"/>
    </row>
    <row r="131" spans="3:24" s="48" customFormat="1" ht="14.5" customHeight="1" thickBot="1" x14ac:dyDescent="0.2">
      <c r="C131" s="45" t="str">
        <f>Tekstnøgler!C132</f>
        <v>Indkøb</v>
      </c>
      <c r="D131" s="46">
        <f t="shared" ref="D131:X131" si="470">D132+D146</f>
        <v>0</v>
      </c>
      <c r="E131" s="46">
        <f t="shared" si="470"/>
        <v>0</v>
      </c>
      <c r="F131" s="46">
        <f t="shared" si="470"/>
        <v>0</v>
      </c>
      <c r="G131" s="46">
        <f t="shared" si="470"/>
        <v>0</v>
      </c>
      <c r="H131" s="46">
        <f t="shared" si="470"/>
        <v>0</v>
      </c>
      <c r="I131" s="46">
        <f t="shared" si="470"/>
        <v>0</v>
      </c>
      <c r="J131" s="46">
        <f t="shared" si="470"/>
        <v>0</v>
      </c>
      <c r="K131" s="46">
        <f t="shared" si="470"/>
        <v>0</v>
      </c>
      <c r="L131" s="46">
        <f t="shared" si="470"/>
        <v>0</v>
      </c>
      <c r="M131" s="46">
        <f t="shared" si="470"/>
        <v>0</v>
      </c>
      <c r="N131" s="46">
        <f t="shared" si="470"/>
        <v>0</v>
      </c>
      <c r="O131" s="46">
        <f t="shared" si="470"/>
        <v>0</v>
      </c>
      <c r="P131" s="46">
        <f t="shared" si="470"/>
        <v>0</v>
      </c>
      <c r="Q131" s="46">
        <f t="shared" si="470"/>
        <v>0</v>
      </c>
      <c r="R131" s="46">
        <f t="shared" si="470"/>
        <v>0</v>
      </c>
      <c r="S131" s="46">
        <f t="shared" si="470"/>
        <v>0</v>
      </c>
      <c r="T131" s="46">
        <f t="shared" si="470"/>
        <v>0</v>
      </c>
      <c r="U131" s="46">
        <f t="shared" si="470"/>
        <v>0</v>
      </c>
      <c r="V131" s="46">
        <f t="shared" si="470"/>
        <v>0</v>
      </c>
      <c r="W131" s="46">
        <f t="shared" si="470"/>
        <v>0</v>
      </c>
      <c r="X131" s="46">
        <f t="shared" si="470"/>
        <v>0</v>
      </c>
    </row>
    <row r="132" spans="3:24" s="48" customFormat="1" ht="14.5" customHeight="1" thickBot="1" x14ac:dyDescent="0.2">
      <c r="C132" s="47" t="str">
        <f>Tekstnøgler!C133</f>
        <v>Primære indkøb af råvarer til produktion</v>
      </c>
      <c r="D132" s="344">
        <f t="shared" ref="D132:X132" si="471">D133+D138+D143</f>
        <v>0</v>
      </c>
      <c r="E132" s="344">
        <f t="shared" si="471"/>
        <v>0</v>
      </c>
      <c r="F132" s="344">
        <f t="shared" si="471"/>
        <v>0</v>
      </c>
      <c r="G132" s="344">
        <f t="shared" si="471"/>
        <v>0</v>
      </c>
      <c r="H132" s="344">
        <f t="shared" si="471"/>
        <v>0</v>
      </c>
      <c r="I132" s="344">
        <f t="shared" si="471"/>
        <v>0</v>
      </c>
      <c r="J132" s="344">
        <f t="shared" si="471"/>
        <v>0</v>
      </c>
      <c r="K132" s="344">
        <f t="shared" si="471"/>
        <v>0</v>
      </c>
      <c r="L132" s="344">
        <f t="shared" si="471"/>
        <v>0</v>
      </c>
      <c r="M132" s="344">
        <f t="shared" si="471"/>
        <v>0</v>
      </c>
      <c r="N132" s="344">
        <f t="shared" si="471"/>
        <v>0</v>
      </c>
      <c r="O132" s="344">
        <f t="shared" si="471"/>
        <v>0</v>
      </c>
      <c r="P132" s="344">
        <f t="shared" si="471"/>
        <v>0</v>
      </c>
      <c r="Q132" s="344">
        <f t="shared" si="471"/>
        <v>0</v>
      </c>
      <c r="R132" s="344">
        <f t="shared" si="471"/>
        <v>0</v>
      </c>
      <c r="S132" s="344">
        <f t="shared" si="471"/>
        <v>0</v>
      </c>
      <c r="T132" s="344">
        <f t="shared" si="471"/>
        <v>0</v>
      </c>
      <c r="U132" s="344">
        <f t="shared" si="471"/>
        <v>0</v>
      </c>
      <c r="V132" s="344">
        <f t="shared" si="471"/>
        <v>0</v>
      </c>
      <c r="W132" s="344">
        <f t="shared" si="471"/>
        <v>0</v>
      </c>
      <c r="X132" s="344">
        <f t="shared" si="471"/>
        <v>0</v>
      </c>
    </row>
    <row r="133" spans="3:24" s="48" customFormat="1" ht="14.5" customHeight="1" thickBot="1" x14ac:dyDescent="0.2">
      <c r="C133" s="47" t="str">
        <f>Tekstnøgler!C134</f>
        <v>Materialer (primære indkøb)</v>
      </c>
      <c r="D133" s="344">
        <f t="shared" ref="D133:X133" si="472">SUM(D134:D137)</f>
        <v>0</v>
      </c>
      <c r="E133" s="344">
        <f t="shared" si="472"/>
        <v>0</v>
      </c>
      <c r="F133" s="344">
        <f t="shared" si="472"/>
        <v>0</v>
      </c>
      <c r="G133" s="344">
        <f t="shared" si="472"/>
        <v>0</v>
      </c>
      <c r="H133" s="344">
        <f t="shared" si="472"/>
        <v>0</v>
      </c>
      <c r="I133" s="344">
        <f t="shared" si="472"/>
        <v>0</v>
      </c>
      <c r="J133" s="344">
        <f t="shared" si="472"/>
        <v>0</v>
      </c>
      <c r="K133" s="344">
        <f t="shared" si="472"/>
        <v>0</v>
      </c>
      <c r="L133" s="344">
        <f t="shared" si="472"/>
        <v>0</v>
      </c>
      <c r="M133" s="344">
        <f t="shared" si="472"/>
        <v>0</v>
      </c>
      <c r="N133" s="344">
        <f t="shared" si="472"/>
        <v>0</v>
      </c>
      <c r="O133" s="344">
        <f t="shared" si="472"/>
        <v>0</v>
      </c>
      <c r="P133" s="344">
        <f t="shared" si="472"/>
        <v>0</v>
      </c>
      <c r="Q133" s="344">
        <f t="shared" si="472"/>
        <v>0</v>
      </c>
      <c r="R133" s="344">
        <f t="shared" si="472"/>
        <v>0</v>
      </c>
      <c r="S133" s="344">
        <f t="shared" si="472"/>
        <v>0</v>
      </c>
      <c r="T133" s="344">
        <f t="shared" si="472"/>
        <v>0</v>
      </c>
      <c r="U133" s="344">
        <f t="shared" si="472"/>
        <v>0</v>
      </c>
      <c r="V133" s="344">
        <f t="shared" si="472"/>
        <v>0</v>
      </c>
      <c r="W133" s="344">
        <f t="shared" si="472"/>
        <v>0</v>
      </c>
      <c r="X133" s="344">
        <f t="shared" si="472"/>
        <v>0</v>
      </c>
    </row>
    <row r="134" spans="3:24" s="48" customFormat="1" ht="14.5" customHeight="1" thickBot="1" x14ac:dyDescent="0.2">
      <c r="C134" s="17" t="str">
        <f>Tekstnøgler!C135</f>
        <v>Indkøb af materialer i fysiske enheder</v>
      </c>
      <c r="D134" s="347"/>
      <c r="E134" s="347"/>
      <c r="F134" s="347"/>
      <c r="G134" s="347"/>
      <c r="H134" s="347"/>
      <c r="I134" s="347"/>
      <c r="J134" s="347"/>
      <c r="K134" s="347"/>
      <c r="L134" s="347"/>
      <c r="M134" s="347"/>
      <c r="N134" s="347"/>
      <c r="O134" s="347"/>
      <c r="P134" s="347"/>
      <c r="Q134" s="347"/>
      <c r="R134" s="347"/>
      <c r="S134" s="347"/>
      <c r="T134" s="347"/>
      <c r="U134" s="347"/>
      <c r="V134" s="347"/>
      <c r="W134" s="347"/>
      <c r="X134" s="347"/>
    </row>
    <row r="135" spans="3:24" s="48" customFormat="1" ht="14.5" customHeight="1" thickBot="1" x14ac:dyDescent="0.2">
      <c r="C135" s="17" t="str">
        <f>Tekstnøgler!C136</f>
        <v>Indkøb af materialer i monetære enheder (beløb i DKK)</v>
      </c>
      <c r="D135" s="347"/>
      <c r="E135" s="347"/>
      <c r="F135" s="347"/>
      <c r="G135" s="347"/>
      <c r="H135" s="347"/>
      <c r="I135" s="347"/>
      <c r="J135" s="347"/>
      <c r="K135" s="347"/>
      <c r="L135" s="347"/>
      <c r="M135" s="347"/>
      <c r="N135" s="347"/>
      <c r="O135" s="347"/>
      <c r="P135" s="347"/>
      <c r="Q135" s="347"/>
      <c r="R135" s="347"/>
      <c r="S135" s="347"/>
      <c r="T135" s="347"/>
      <c r="U135" s="347"/>
      <c r="V135" s="347"/>
      <c r="W135" s="347"/>
      <c r="X135" s="347"/>
    </row>
    <row r="136" spans="3:24" s="48" customFormat="1" ht="14.5" customHeight="1" thickBot="1" x14ac:dyDescent="0.2">
      <c r="C136" s="17" t="str">
        <f>Tekstnøgler!C137</f>
        <v>Fysiske enheder med egne emissionsfaktorer</v>
      </c>
      <c r="D136" s="347"/>
      <c r="E136" s="347"/>
      <c r="F136" s="347"/>
      <c r="G136" s="347"/>
      <c r="H136" s="347"/>
      <c r="I136" s="347"/>
      <c r="J136" s="347"/>
      <c r="K136" s="347"/>
      <c r="L136" s="347"/>
      <c r="M136" s="347"/>
      <c r="N136" s="347"/>
      <c r="O136" s="347"/>
      <c r="P136" s="347"/>
      <c r="Q136" s="347"/>
      <c r="R136" s="347"/>
      <c r="S136" s="347"/>
      <c r="T136" s="347"/>
      <c r="U136" s="347"/>
      <c r="V136" s="347"/>
      <c r="W136" s="347"/>
      <c r="X136" s="347"/>
    </row>
    <row r="137" spans="3:24" s="48" customFormat="1" ht="14.5" customHeight="1" thickBot="1" x14ac:dyDescent="0.2">
      <c r="C137" s="17" t="str">
        <f>Tekstnøgler!C138</f>
        <v>Monetære enheder (beløb i DKK) med egne emissionsfaktorer</v>
      </c>
      <c r="D137" s="347"/>
      <c r="E137" s="347"/>
      <c r="F137" s="347"/>
      <c r="G137" s="347"/>
      <c r="H137" s="347"/>
      <c r="I137" s="347"/>
      <c r="J137" s="347"/>
      <c r="K137" s="347"/>
      <c r="L137" s="347"/>
      <c r="M137" s="347"/>
      <c r="N137" s="347"/>
      <c r="O137" s="347"/>
      <c r="P137" s="347"/>
      <c r="Q137" s="347"/>
      <c r="R137" s="347"/>
      <c r="S137" s="347"/>
      <c r="T137" s="347"/>
      <c r="U137" s="347"/>
      <c r="V137" s="347"/>
      <c r="W137" s="347"/>
      <c r="X137" s="347"/>
    </row>
    <row r="138" spans="3:24" s="48" customFormat="1" ht="14.5" customHeight="1" thickBot="1" x14ac:dyDescent="0.2">
      <c r="C138" s="47" t="str">
        <f>Tekstnøgler!C139</f>
        <v>Produkter og services (primære indkøb)</v>
      </c>
      <c r="D138" s="344">
        <f t="shared" ref="D138:X138" si="473">SUM(D139:D142)</f>
        <v>0</v>
      </c>
      <c r="E138" s="344">
        <f t="shared" si="473"/>
        <v>0</v>
      </c>
      <c r="F138" s="344">
        <f t="shared" si="473"/>
        <v>0</v>
      </c>
      <c r="G138" s="344">
        <f t="shared" si="473"/>
        <v>0</v>
      </c>
      <c r="H138" s="344">
        <f t="shared" si="473"/>
        <v>0</v>
      </c>
      <c r="I138" s="344">
        <f t="shared" si="473"/>
        <v>0</v>
      </c>
      <c r="J138" s="344">
        <f t="shared" si="473"/>
        <v>0</v>
      </c>
      <c r="K138" s="344">
        <f t="shared" si="473"/>
        <v>0</v>
      </c>
      <c r="L138" s="344">
        <f t="shared" si="473"/>
        <v>0</v>
      </c>
      <c r="M138" s="344">
        <f t="shared" si="473"/>
        <v>0</v>
      </c>
      <c r="N138" s="344">
        <f t="shared" si="473"/>
        <v>0</v>
      </c>
      <c r="O138" s="344">
        <f t="shared" si="473"/>
        <v>0</v>
      </c>
      <c r="P138" s="344">
        <f t="shared" si="473"/>
        <v>0</v>
      </c>
      <c r="Q138" s="344">
        <f t="shared" si="473"/>
        <v>0</v>
      </c>
      <c r="R138" s="344">
        <f t="shared" si="473"/>
        <v>0</v>
      </c>
      <c r="S138" s="344">
        <f t="shared" si="473"/>
        <v>0</v>
      </c>
      <c r="T138" s="344">
        <f t="shared" si="473"/>
        <v>0</v>
      </c>
      <c r="U138" s="344">
        <f t="shared" si="473"/>
        <v>0</v>
      </c>
      <c r="V138" s="344">
        <f t="shared" si="473"/>
        <v>0</v>
      </c>
      <c r="W138" s="344">
        <f t="shared" si="473"/>
        <v>0</v>
      </c>
      <c r="X138" s="344">
        <f t="shared" si="473"/>
        <v>0</v>
      </c>
    </row>
    <row r="139" spans="3:24" s="48" customFormat="1" ht="14.5" customHeight="1" thickBot="1" x14ac:dyDescent="0.2">
      <c r="C139" s="17" t="str">
        <f>Tekstnøgler!C140</f>
        <v>Indkøb af produkter i fysiske enheder</v>
      </c>
      <c r="D139" s="347"/>
      <c r="E139" s="347"/>
      <c r="F139" s="347"/>
      <c r="G139" s="347"/>
      <c r="H139" s="347"/>
      <c r="I139" s="347"/>
      <c r="J139" s="347"/>
      <c r="K139" s="347"/>
      <c r="L139" s="347"/>
      <c r="M139" s="347"/>
      <c r="N139" s="347"/>
      <c r="O139" s="347"/>
      <c r="P139" s="347"/>
      <c r="Q139" s="347"/>
      <c r="R139" s="347"/>
      <c r="S139" s="347"/>
      <c r="T139" s="347"/>
      <c r="U139" s="347"/>
      <c r="V139" s="347"/>
      <c r="W139" s="347"/>
      <c r="X139" s="347"/>
    </row>
    <row r="140" spans="3:24" s="48" customFormat="1" ht="14.5" customHeight="1" thickBot="1" x14ac:dyDescent="0.2">
      <c r="C140" s="17" t="str">
        <f>Tekstnøgler!C141</f>
        <v>Indkøb af produkter i monetære enheder (beløb i DKK)</v>
      </c>
      <c r="D140" s="347"/>
      <c r="E140" s="347"/>
      <c r="F140" s="347"/>
      <c r="G140" s="347"/>
      <c r="H140" s="347"/>
      <c r="I140" s="347"/>
      <c r="J140" s="347"/>
      <c r="K140" s="347"/>
      <c r="L140" s="347"/>
      <c r="M140" s="347"/>
      <c r="N140" s="347"/>
      <c r="O140" s="347"/>
      <c r="P140" s="347"/>
      <c r="Q140" s="347"/>
      <c r="R140" s="347"/>
      <c r="S140" s="347"/>
      <c r="T140" s="347"/>
      <c r="U140" s="347"/>
      <c r="V140" s="347"/>
      <c r="W140" s="347"/>
      <c r="X140" s="347"/>
    </row>
    <row r="141" spans="3:24" s="48" customFormat="1" ht="14.5" customHeight="1" thickBot="1" x14ac:dyDescent="0.2">
      <c r="C141" s="17" t="str">
        <f>Tekstnøgler!C142</f>
        <v>Fysiske enheder med egne emissionsfaktorer</v>
      </c>
      <c r="D141" s="347"/>
      <c r="E141" s="347"/>
      <c r="F141" s="347"/>
      <c r="G141" s="347"/>
      <c r="H141" s="347"/>
      <c r="I141" s="347"/>
      <c r="J141" s="347"/>
      <c r="K141" s="347"/>
      <c r="L141" s="347"/>
      <c r="M141" s="347"/>
      <c r="N141" s="347"/>
      <c r="O141" s="347"/>
      <c r="P141" s="347"/>
      <c r="Q141" s="347"/>
      <c r="R141" s="347"/>
      <c r="S141" s="347"/>
      <c r="T141" s="347"/>
      <c r="U141" s="347"/>
      <c r="V141" s="347"/>
      <c r="W141" s="347"/>
      <c r="X141" s="347"/>
    </row>
    <row r="142" spans="3:24" s="48" customFormat="1" ht="14.5" customHeight="1" thickBot="1" x14ac:dyDescent="0.2">
      <c r="C142" s="17" t="str">
        <f>Tekstnøgler!C143</f>
        <v>Monetære enheder (beløb i DKK) med egne emissionsfaktorer</v>
      </c>
      <c r="D142" s="347"/>
      <c r="E142" s="347"/>
      <c r="F142" s="347"/>
      <c r="G142" s="347"/>
      <c r="H142" s="347"/>
      <c r="I142" s="347"/>
      <c r="J142" s="347"/>
      <c r="K142" s="347"/>
      <c r="L142" s="347"/>
      <c r="M142" s="347"/>
      <c r="N142" s="347"/>
      <c r="O142" s="347"/>
      <c r="P142" s="347"/>
      <c r="Q142" s="347"/>
      <c r="R142" s="347"/>
      <c r="S142" s="347"/>
      <c r="T142" s="347"/>
      <c r="U142" s="347"/>
      <c r="V142" s="347"/>
      <c r="W142" s="347"/>
      <c r="X142" s="347"/>
    </row>
    <row r="143" spans="3:24" s="48" customFormat="1" ht="14.5" customHeight="1" thickBot="1" x14ac:dyDescent="0.2">
      <c r="C143" s="47" t="str">
        <f>Tekstnøgler!C144</f>
        <v>Andet udledning ved primære indkøb</v>
      </c>
      <c r="D143" s="344">
        <f t="shared" ref="D143:X143" si="474">SUM(D144:D145)</f>
        <v>0</v>
      </c>
      <c r="E143" s="344">
        <f t="shared" si="474"/>
        <v>0</v>
      </c>
      <c r="F143" s="344">
        <f t="shared" si="474"/>
        <v>0</v>
      </c>
      <c r="G143" s="344">
        <f t="shared" si="474"/>
        <v>0</v>
      </c>
      <c r="H143" s="344">
        <f t="shared" si="474"/>
        <v>0</v>
      </c>
      <c r="I143" s="344">
        <f t="shared" si="474"/>
        <v>0</v>
      </c>
      <c r="J143" s="344">
        <f t="shared" si="474"/>
        <v>0</v>
      </c>
      <c r="K143" s="344">
        <f t="shared" si="474"/>
        <v>0</v>
      </c>
      <c r="L143" s="344">
        <f t="shared" si="474"/>
        <v>0</v>
      </c>
      <c r="M143" s="344">
        <f t="shared" si="474"/>
        <v>0</v>
      </c>
      <c r="N143" s="344">
        <f t="shared" si="474"/>
        <v>0</v>
      </c>
      <c r="O143" s="344">
        <f t="shared" si="474"/>
        <v>0</v>
      </c>
      <c r="P143" s="344">
        <f t="shared" si="474"/>
        <v>0</v>
      </c>
      <c r="Q143" s="344">
        <f t="shared" si="474"/>
        <v>0</v>
      </c>
      <c r="R143" s="344">
        <f t="shared" si="474"/>
        <v>0</v>
      </c>
      <c r="S143" s="344">
        <f t="shared" si="474"/>
        <v>0</v>
      </c>
      <c r="T143" s="344">
        <f t="shared" si="474"/>
        <v>0</v>
      </c>
      <c r="U143" s="344">
        <f t="shared" si="474"/>
        <v>0</v>
      </c>
      <c r="V143" s="344">
        <f t="shared" si="474"/>
        <v>0</v>
      </c>
      <c r="W143" s="344">
        <f t="shared" si="474"/>
        <v>0</v>
      </c>
      <c r="X143" s="344">
        <f t="shared" si="474"/>
        <v>0</v>
      </c>
    </row>
    <row r="144" spans="3:24" s="48" customFormat="1" ht="14.5" customHeight="1" thickBot="1" x14ac:dyDescent="0.2">
      <c r="C144" s="17" t="str">
        <f>Tekstnøgler!C145</f>
        <v>Fysiske enheder med egne emissionsfaktorer</v>
      </c>
      <c r="D144" s="347"/>
      <c r="E144" s="347"/>
      <c r="F144" s="347"/>
      <c r="G144" s="347"/>
      <c r="H144" s="347"/>
      <c r="I144" s="347"/>
      <c r="J144" s="347"/>
      <c r="K144" s="347"/>
      <c r="L144" s="347"/>
      <c r="M144" s="347"/>
      <c r="N144" s="347"/>
      <c r="O144" s="347"/>
      <c r="P144" s="347"/>
      <c r="Q144" s="347"/>
      <c r="R144" s="347"/>
      <c r="S144" s="347"/>
      <c r="T144" s="347"/>
      <c r="U144" s="347"/>
      <c r="V144" s="347"/>
      <c r="W144" s="347"/>
      <c r="X144" s="347"/>
    </row>
    <row r="145" spans="3:24" s="48" customFormat="1" ht="14.5" customHeight="1" thickBot="1" x14ac:dyDescent="0.2">
      <c r="C145" s="17" t="str">
        <f>Tekstnøgler!C146</f>
        <v>Monetære enheder (beløb i DKK) med egne emissionsfaktorer</v>
      </c>
      <c r="D145" s="347"/>
      <c r="E145" s="347"/>
      <c r="F145" s="347"/>
      <c r="G145" s="347"/>
      <c r="H145" s="347"/>
      <c r="I145" s="347"/>
      <c r="J145" s="347"/>
      <c r="K145" s="347"/>
      <c r="L145" s="347"/>
      <c r="M145" s="347"/>
      <c r="N145" s="347"/>
      <c r="O145" s="347"/>
      <c r="P145" s="347"/>
      <c r="Q145" s="347"/>
      <c r="R145" s="347"/>
      <c r="S145" s="347"/>
      <c r="T145" s="347"/>
      <c r="U145" s="347"/>
      <c r="V145" s="347"/>
      <c r="W145" s="347"/>
      <c r="X145" s="347"/>
    </row>
    <row r="146" spans="3:24" s="48" customFormat="1" ht="14.5" customHeight="1" thickBot="1" x14ac:dyDescent="0.2">
      <c r="C146" s="53" t="str">
        <f>Tekstnøgler!C147</f>
        <v>Sekundære indkøb af hjælpematerialer og serviceydelser</v>
      </c>
      <c r="D146" s="345">
        <f t="shared" ref="D146:X146" si="475">D147+D152+D157</f>
        <v>0</v>
      </c>
      <c r="E146" s="345">
        <f t="shared" si="475"/>
        <v>0</v>
      </c>
      <c r="F146" s="345">
        <f t="shared" si="475"/>
        <v>0</v>
      </c>
      <c r="G146" s="345">
        <f t="shared" si="475"/>
        <v>0</v>
      </c>
      <c r="H146" s="345">
        <f t="shared" si="475"/>
        <v>0</v>
      </c>
      <c r="I146" s="345">
        <f t="shared" si="475"/>
        <v>0</v>
      </c>
      <c r="J146" s="345">
        <f t="shared" si="475"/>
        <v>0</v>
      </c>
      <c r="K146" s="345">
        <f t="shared" si="475"/>
        <v>0</v>
      </c>
      <c r="L146" s="345">
        <f t="shared" si="475"/>
        <v>0</v>
      </c>
      <c r="M146" s="345">
        <f t="shared" si="475"/>
        <v>0</v>
      </c>
      <c r="N146" s="345">
        <f t="shared" si="475"/>
        <v>0</v>
      </c>
      <c r="O146" s="345">
        <f t="shared" si="475"/>
        <v>0</v>
      </c>
      <c r="P146" s="345">
        <f t="shared" si="475"/>
        <v>0</v>
      </c>
      <c r="Q146" s="345">
        <f t="shared" si="475"/>
        <v>0</v>
      </c>
      <c r="R146" s="345">
        <f t="shared" si="475"/>
        <v>0</v>
      </c>
      <c r="S146" s="345">
        <f t="shared" si="475"/>
        <v>0</v>
      </c>
      <c r="T146" s="345">
        <f t="shared" si="475"/>
        <v>0</v>
      </c>
      <c r="U146" s="345">
        <f t="shared" si="475"/>
        <v>0</v>
      </c>
      <c r="V146" s="345">
        <f t="shared" si="475"/>
        <v>0</v>
      </c>
      <c r="W146" s="345">
        <f t="shared" si="475"/>
        <v>0</v>
      </c>
      <c r="X146" s="345">
        <f t="shared" si="475"/>
        <v>0</v>
      </c>
    </row>
    <row r="147" spans="3:24" s="48" customFormat="1" ht="14.5" customHeight="1" thickBot="1" x14ac:dyDescent="0.2">
      <c r="C147" s="53" t="str">
        <f>Tekstnøgler!C148</f>
        <v>Materialer (sekundære indkøb)</v>
      </c>
      <c r="D147" s="345">
        <f t="shared" ref="D147:X147" si="476">SUM(D148:D151)</f>
        <v>0</v>
      </c>
      <c r="E147" s="345">
        <f t="shared" si="476"/>
        <v>0</v>
      </c>
      <c r="F147" s="345">
        <f t="shared" si="476"/>
        <v>0</v>
      </c>
      <c r="G147" s="345">
        <f t="shared" si="476"/>
        <v>0</v>
      </c>
      <c r="H147" s="345">
        <f t="shared" si="476"/>
        <v>0</v>
      </c>
      <c r="I147" s="345">
        <f t="shared" si="476"/>
        <v>0</v>
      </c>
      <c r="J147" s="345">
        <f t="shared" si="476"/>
        <v>0</v>
      </c>
      <c r="K147" s="345">
        <f t="shared" si="476"/>
        <v>0</v>
      </c>
      <c r="L147" s="345">
        <f t="shared" si="476"/>
        <v>0</v>
      </c>
      <c r="M147" s="345">
        <f t="shared" si="476"/>
        <v>0</v>
      </c>
      <c r="N147" s="345">
        <f t="shared" si="476"/>
        <v>0</v>
      </c>
      <c r="O147" s="345">
        <f t="shared" si="476"/>
        <v>0</v>
      </c>
      <c r="P147" s="345">
        <f t="shared" si="476"/>
        <v>0</v>
      </c>
      <c r="Q147" s="345">
        <f t="shared" si="476"/>
        <v>0</v>
      </c>
      <c r="R147" s="345">
        <f t="shared" si="476"/>
        <v>0</v>
      </c>
      <c r="S147" s="345">
        <f t="shared" si="476"/>
        <v>0</v>
      </c>
      <c r="T147" s="345">
        <f t="shared" si="476"/>
        <v>0</v>
      </c>
      <c r="U147" s="345">
        <f t="shared" si="476"/>
        <v>0</v>
      </c>
      <c r="V147" s="345">
        <f t="shared" si="476"/>
        <v>0</v>
      </c>
      <c r="W147" s="345">
        <f t="shared" si="476"/>
        <v>0</v>
      </c>
      <c r="X147" s="345">
        <f t="shared" si="476"/>
        <v>0</v>
      </c>
    </row>
    <row r="148" spans="3:24" s="48" customFormat="1" ht="14.5" customHeight="1" thickBot="1" x14ac:dyDescent="0.2">
      <c r="C148" s="17" t="str">
        <f>Tekstnøgler!C149</f>
        <v>Indkøb af materialer i fysiske enheder</v>
      </c>
      <c r="D148" s="347"/>
      <c r="E148" s="347"/>
      <c r="F148" s="347"/>
      <c r="G148" s="347"/>
      <c r="H148" s="347"/>
      <c r="I148" s="347"/>
      <c r="J148" s="347"/>
      <c r="K148" s="347"/>
      <c r="L148" s="347"/>
      <c r="M148" s="347"/>
      <c r="N148" s="347"/>
      <c r="O148" s="347"/>
      <c r="P148" s="347"/>
      <c r="Q148" s="347"/>
      <c r="R148" s="347"/>
      <c r="S148" s="347"/>
      <c r="T148" s="347"/>
      <c r="U148" s="347"/>
      <c r="V148" s="347"/>
      <c r="W148" s="347"/>
      <c r="X148" s="347"/>
    </row>
    <row r="149" spans="3:24" s="48" customFormat="1" ht="14.5" customHeight="1" thickBot="1" x14ac:dyDescent="0.2">
      <c r="C149" s="17" t="str">
        <f>Tekstnøgler!C150</f>
        <v>Indkøb af materialer i monetære enheder (beløb i DKK)</v>
      </c>
      <c r="D149" s="347"/>
      <c r="E149" s="347"/>
      <c r="F149" s="347"/>
      <c r="G149" s="347"/>
      <c r="H149" s="347"/>
      <c r="I149" s="347"/>
      <c r="J149" s="347"/>
      <c r="K149" s="347"/>
      <c r="L149" s="347"/>
      <c r="M149" s="347"/>
      <c r="N149" s="347"/>
      <c r="O149" s="347"/>
      <c r="P149" s="347"/>
      <c r="Q149" s="347"/>
      <c r="R149" s="347"/>
      <c r="S149" s="347"/>
      <c r="T149" s="347"/>
      <c r="U149" s="347"/>
      <c r="V149" s="347"/>
      <c r="W149" s="347"/>
      <c r="X149" s="347"/>
    </row>
    <row r="150" spans="3:24" s="48" customFormat="1" ht="14.5" customHeight="1" thickBot="1" x14ac:dyDescent="0.2">
      <c r="C150" s="17" t="str">
        <f>Tekstnøgler!C151</f>
        <v>Fysiske enheder med egne emissionsfaktorer</v>
      </c>
      <c r="D150" s="347"/>
      <c r="E150" s="347"/>
      <c r="F150" s="347"/>
      <c r="G150" s="347"/>
      <c r="H150" s="347"/>
      <c r="I150" s="347"/>
      <c r="J150" s="347"/>
      <c r="K150" s="347"/>
      <c r="L150" s="347"/>
      <c r="M150" s="347"/>
      <c r="N150" s="347"/>
      <c r="O150" s="347"/>
      <c r="P150" s="347"/>
      <c r="Q150" s="347"/>
      <c r="R150" s="347"/>
      <c r="S150" s="347"/>
      <c r="T150" s="347"/>
      <c r="U150" s="347"/>
      <c r="V150" s="347"/>
      <c r="W150" s="347"/>
      <c r="X150" s="347"/>
    </row>
    <row r="151" spans="3:24" s="48" customFormat="1" ht="14.5" customHeight="1" thickBot="1" x14ac:dyDescent="0.2">
      <c r="C151" s="17" t="str">
        <f>Tekstnøgler!C152</f>
        <v>Monetære enheder (beløb i DKK) med egne emissionsfaktorer</v>
      </c>
      <c r="D151" s="347"/>
      <c r="E151" s="347"/>
      <c r="F151" s="347"/>
      <c r="G151" s="347"/>
      <c r="H151" s="347"/>
      <c r="I151" s="347"/>
      <c r="J151" s="347"/>
      <c r="K151" s="347"/>
      <c r="L151" s="347"/>
      <c r="M151" s="347"/>
      <c r="N151" s="347"/>
      <c r="O151" s="347"/>
      <c r="P151" s="347"/>
      <c r="Q151" s="347"/>
      <c r="R151" s="347"/>
      <c r="S151" s="347"/>
      <c r="T151" s="347"/>
      <c r="U151" s="347"/>
      <c r="V151" s="347"/>
      <c r="W151" s="347"/>
      <c r="X151" s="347"/>
    </row>
    <row r="152" spans="3:24" s="48" customFormat="1" ht="14.5" customHeight="1" thickBot="1" x14ac:dyDescent="0.2">
      <c r="C152" s="53" t="str">
        <f>Tekstnøgler!C153</f>
        <v>Produkter og services (sekundære indkøb)</v>
      </c>
      <c r="D152" s="345">
        <f t="shared" ref="D152:X152" si="477">SUM(D153:D156)</f>
        <v>0</v>
      </c>
      <c r="E152" s="345">
        <f t="shared" si="477"/>
        <v>0</v>
      </c>
      <c r="F152" s="345">
        <f t="shared" si="477"/>
        <v>0</v>
      </c>
      <c r="G152" s="345">
        <f t="shared" si="477"/>
        <v>0</v>
      </c>
      <c r="H152" s="345">
        <f t="shared" si="477"/>
        <v>0</v>
      </c>
      <c r="I152" s="345">
        <f t="shared" si="477"/>
        <v>0</v>
      </c>
      <c r="J152" s="345">
        <f t="shared" si="477"/>
        <v>0</v>
      </c>
      <c r="K152" s="345">
        <f t="shared" si="477"/>
        <v>0</v>
      </c>
      <c r="L152" s="345">
        <f t="shared" si="477"/>
        <v>0</v>
      </c>
      <c r="M152" s="345">
        <f t="shared" si="477"/>
        <v>0</v>
      </c>
      <c r="N152" s="345">
        <f t="shared" si="477"/>
        <v>0</v>
      </c>
      <c r="O152" s="345">
        <f t="shared" si="477"/>
        <v>0</v>
      </c>
      <c r="P152" s="345">
        <f t="shared" si="477"/>
        <v>0</v>
      </c>
      <c r="Q152" s="345">
        <f t="shared" si="477"/>
        <v>0</v>
      </c>
      <c r="R152" s="345">
        <f t="shared" si="477"/>
        <v>0</v>
      </c>
      <c r="S152" s="345">
        <f t="shared" si="477"/>
        <v>0</v>
      </c>
      <c r="T152" s="345">
        <f t="shared" si="477"/>
        <v>0</v>
      </c>
      <c r="U152" s="345">
        <f t="shared" si="477"/>
        <v>0</v>
      </c>
      <c r="V152" s="345">
        <f t="shared" si="477"/>
        <v>0</v>
      </c>
      <c r="W152" s="345">
        <f t="shared" si="477"/>
        <v>0</v>
      </c>
      <c r="X152" s="345">
        <f t="shared" si="477"/>
        <v>0</v>
      </c>
    </row>
    <row r="153" spans="3:24" s="48" customFormat="1" ht="14.5" customHeight="1" thickBot="1" x14ac:dyDescent="0.2">
      <c r="C153" s="17" t="str">
        <f>Tekstnøgler!C154</f>
        <v>Indkøb af produkter i fysiske enheder</v>
      </c>
      <c r="D153" s="347"/>
      <c r="E153" s="347"/>
      <c r="F153" s="347"/>
      <c r="G153" s="347"/>
      <c r="H153" s="347"/>
      <c r="I153" s="347"/>
      <c r="J153" s="347"/>
      <c r="K153" s="347"/>
      <c r="L153" s="347"/>
      <c r="M153" s="347"/>
      <c r="N153" s="347"/>
      <c r="O153" s="347"/>
      <c r="P153" s="347"/>
      <c r="Q153" s="347"/>
      <c r="R153" s="347"/>
      <c r="S153" s="347"/>
      <c r="T153" s="347"/>
      <c r="U153" s="347"/>
      <c r="V153" s="347"/>
      <c r="W153" s="347"/>
      <c r="X153" s="347"/>
    </row>
    <row r="154" spans="3:24" s="48" customFormat="1" ht="14.5" customHeight="1" thickBot="1" x14ac:dyDescent="0.2">
      <c r="C154" s="17" t="str">
        <f>Tekstnøgler!C155</f>
        <v>Indkøb af produkter i monetære enheder (beløb i DKK)</v>
      </c>
      <c r="D154" s="347"/>
      <c r="E154" s="347"/>
      <c r="F154" s="347"/>
      <c r="G154" s="347"/>
      <c r="H154" s="347"/>
      <c r="I154" s="347"/>
      <c r="J154" s="347"/>
      <c r="K154" s="347"/>
      <c r="L154" s="347"/>
      <c r="M154" s="347"/>
      <c r="N154" s="347"/>
      <c r="O154" s="347"/>
      <c r="P154" s="347"/>
      <c r="Q154" s="347"/>
      <c r="R154" s="347"/>
      <c r="S154" s="347"/>
      <c r="T154" s="347"/>
      <c r="U154" s="347"/>
      <c r="V154" s="347"/>
      <c r="W154" s="347"/>
      <c r="X154" s="347"/>
    </row>
    <row r="155" spans="3:24" s="48" customFormat="1" ht="14.5" customHeight="1" thickBot="1" x14ac:dyDescent="0.2">
      <c r="C155" s="17" t="str">
        <f>Tekstnøgler!C156</f>
        <v>Fysiske enheder med egne emissionsfaktorer</v>
      </c>
      <c r="D155" s="347"/>
      <c r="E155" s="347"/>
      <c r="F155" s="347"/>
      <c r="G155" s="347"/>
      <c r="H155" s="347"/>
      <c r="I155" s="347"/>
      <c r="J155" s="347"/>
      <c r="K155" s="347"/>
      <c r="L155" s="347"/>
      <c r="M155" s="347"/>
      <c r="N155" s="347"/>
      <c r="O155" s="347"/>
      <c r="P155" s="347"/>
      <c r="Q155" s="347"/>
      <c r="R155" s="347"/>
      <c r="S155" s="347"/>
      <c r="T155" s="347"/>
      <c r="U155" s="347"/>
      <c r="V155" s="347"/>
      <c r="W155" s="347"/>
      <c r="X155" s="347"/>
    </row>
    <row r="156" spans="3:24" s="48" customFormat="1" ht="14.5" customHeight="1" thickBot="1" x14ac:dyDescent="0.2">
      <c r="C156" s="17" t="str">
        <f>Tekstnøgler!C157</f>
        <v>Monetære enheder (beløb i DKK) med egne emissionsfaktorer</v>
      </c>
      <c r="D156" s="347"/>
      <c r="E156" s="347"/>
      <c r="F156" s="347"/>
      <c r="G156" s="347"/>
      <c r="H156" s="347"/>
      <c r="I156" s="347"/>
      <c r="J156" s="347"/>
      <c r="K156" s="347"/>
      <c r="L156" s="347"/>
      <c r="M156" s="347"/>
      <c r="N156" s="347"/>
      <c r="O156" s="347"/>
      <c r="P156" s="347"/>
      <c r="Q156" s="347"/>
      <c r="R156" s="347"/>
      <c r="S156" s="347"/>
      <c r="T156" s="347"/>
      <c r="U156" s="347"/>
      <c r="V156" s="347"/>
      <c r="W156" s="347"/>
      <c r="X156" s="347"/>
    </row>
    <row r="157" spans="3:24" s="48" customFormat="1" ht="14.5" customHeight="1" thickBot="1" x14ac:dyDescent="0.2">
      <c r="C157" s="53" t="str">
        <f>Tekstnøgler!C158</f>
        <v>Andet udledning ved sekundære indkøb</v>
      </c>
      <c r="D157" s="345">
        <f t="shared" ref="D157:X157" si="478">SUM(D158:D159)</f>
        <v>0</v>
      </c>
      <c r="E157" s="345">
        <f t="shared" si="478"/>
        <v>0</v>
      </c>
      <c r="F157" s="345">
        <f t="shared" si="478"/>
        <v>0</v>
      </c>
      <c r="G157" s="345">
        <f t="shared" si="478"/>
        <v>0</v>
      </c>
      <c r="H157" s="345">
        <f t="shared" si="478"/>
        <v>0</v>
      </c>
      <c r="I157" s="345">
        <f t="shared" si="478"/>
        <v>0</v>
      </c>
      <c r="J157" s="345">
        <f t="shared" si="478"/>
        <v>0</v>
      </c>
      <c r="K157" s="345">
        <f t="shared" si="478"/>
        <v>0</v>
      </c>
      <c r="L157" s="345">
        <f t="shared" si="478"/>
        <v>0</v>
      </c>
      <c r="M157" s="345">
        <f t="shared" si="478"/>
        <v>0</v>
      </c>
      <c r="N157" s="345">
        <f t="shared" si="478"/>
        <v>0</v>
      </c>
      <c r="O157" s="345">
        <f t="shared" si="478"/>
        <v>0</v>
      </c>
      <c r="P157" s="345">
        <f t="shared" si="478"/>
        <v>0</v>
      </c>
      <c r="Q157" s="345">
        <f t="shared" si="478"/>
        <v>0</v>
      </c>
      <c r="R157" s="345">
        <f t="shared" si="478"/>
        <v>0</v>
      </c>
      <c r="S157" s="345">
        <f t="shared" si="478"/>
        <v>0</v>
      </c>
      <c r="T157" s="345">
        <f t="shared" si="478"/>
        <v>0</v>
      </c>
      <c r="U157" s="345">
        <f t="shared" si="478"/>
        <v>0</v>
      </c>
      <c r="V157" s="345">
        <f t="shared" si="478"/>
        <v>0</v>
      </c>
      <c r="W157" s="345">
        <f t="shared" si="478"/>
        <v>0</v>
      </c>
      <c r="X157" s="345">
        <f t="shared" si="478"/>
        <v>0</v>
      </c>
    </row>
    <row r="158" spans="3:24" s="48" customFormat="1" ht="14.5" customHeight="1" thickBot="1" x14ac:dyDescent="0.2">
      <c r="C158" s="17" t="str">
        <f>Tekstnøgler!C159</f>
        <v>Fysiske enheder med egne emissionsfaktorer</v>
      </c>
      <c r="D158" s="347"/>
      <c r="E158" s="347"/>
      <c r="F158" s="347"/>
      <c r="G158" s="347"/>
      <c r="H158" s="347"/>
      <c r="I158" s="347"/>
      <c r="J158" s="347"/>
      <c r="K158" s="347"/>
      <c r="L158" s="347"/>
      <c r="M158" s="347"/>
      <c r="N158" s="347"/>
      <c r="O158" s="347"/>
      <c r="P158" s="347"/>
      <c r="Q158" s="347"/>
      <c r="R158" s="347"/>
      <c r="S158" s="347"/>
      <c r="T158" s="347"/>
      <c r="U158" s="347"/>
      <c r="V158" s="347"/>
      <c r="W158" s="347"/>
      <c r="X158" s="347"/>
    </row>
    <row r="159" spans="3:24" s="48" customFormat="1" ht="14.5" customHeight="1" thickBot="1" x14ac:dyDescent="0.2">
      <c r="C159" s="17" t="str">
        <f>Tekstnøgler!C160</f>
        <v>Monetære enheder (beløb i DKK) med egne emissionsfaktorer</v>
      </c>
      <c r="D159" s="347"/>
      <c r="E159" s="347"/>
      <c r="F159" s="347"/>
      <c r="G159" s="347"/>
      <c r="H159" s="347"/>
      <c r="I159" s="347"/>
      <c r="J159" s="347"/>
      <c r="K159" s="347"/>
      <c r="L159" s="347"/>
      <c r="M159" s="347"/>
      <c r="N159" s="347"/>
      <c r="O159" s="347"/>
      <c r="P159" s="347"/>
      <c r="Q159" s="347"/>
      <c r="R159" s="347"/>
      <c r="S159" s="347"/>
      <c r="T159" s="347"/>
      <c r="U159" s="347"/>
      <c r="V159" s="347"/>
      <c r="W159" s="347"/>
      <c r="X159" s="347"/>
    </row>
    <row r="160" spans="3:24" s="48" customFormat="1" ht="14.5" customHeight="1" thickBot="1" x14ac:dyDescent="0.2">
      <c r="C160" s="45" t="str">
        <f>Tekstnøgler!C161</f>
        <v>Transport</v>
      </c>
      <c r="D160" s="46">
        <f t="shared" ref="D160:X160" si="479">D161+D165+D170+D174+D178</f>
        <v>3</v>
      </c>
      <c r="E160" s="46">
        <f t="shared" si="479"/>
        <v>3</v>
      </c>
      <c r="F160" s="46">
        <f t="shared" si="479"/>
        <v>3</v>
      </c>
      <c r="G160" s="46">
        <f t="shared" si="479"/>
        <v>3</v>
      </c>
      <c r="H160" s="46">
        <f t="shared" si="479"/>
        <v>3</v>
      </c>
      <c r="I160" s="46">
        <f t="shared" si="479"/>
        <v>3</v>
      </c>
      <c r="J160" s="46">
        <f t="shared" si="479"/>
        <v>3</v>
      </c>
      <c r="K160" s="46">
        <f t="shared" si="479"/>
        <v>3</v>
      </c>
      <c r="L160" s="46">
        <f t="shared" si="479"/>
        <v>3</v>
      </c>
      <c r="M160" s="46">
        <f t="shared" si="479"/>
        <v>3</v>
      </c>
      <c r="N160" s="46">
        <f t="shared" si="479"/>
        <v>3</v>
      </c>
      <c r="O160" s="46">
        <f t="shared" si="479"/>
        <v>3</v>
      </c>
      <c r="P160" s="46">
        <f t="shared" si="479"/>
        <v>3</v>
      </c>
      <c r="Q160" s="46">
        <f t="shared" si="479"/>
        <v>3</v>
      </c>
      <c r="R160" s="46">
        <f t="shared" si="479"/>
        <v>3</v>
      </c>
      <c r="S160" s="46">
        <f t="shared" si="479"/>
        <v>3</v>
      </c>
      <c r="T160" s="46">
        <f t="shared" si="479"/>
        <v>3</v>
      </c>
      <c r="U160" s="46">
        <f t="shared" si="479"/>
        <v>3</v>
      </c>
      <c r="V160" s="46">
        <f t="shared" si="479"/>
        <v>3</v>
      </c>
      <c r="W160" s="46">
        <f t="shared" si="479"/>
        <v>3</v>
      </c>
      <c r="X160" s="46">
        <f t="shared" si="479"/>
        <v>3</v>
      </c>
    </row>
    <row r="161" spans="3:24" s="48" customFormat="1" ht="14.5" customHeight="1" thickBot="1" x14ac:dyDescent="0.2">
      <c r="C161" s="47" t="str">
        <f>Tekstnøgler!C162</f>
        <v>Egne og leasede transportmidler</v>
      </c>
      <c r="D161" s="344">
        <f t="shared" ref="D161:X161" si="480">SUM(D162:D164)</f>
        <v>0</v>
      </c>
      <c r="E161" s="344">
        <f t="shared" si="480"/>
        <v>0</v>
      </c>
      <c r="F161" s="344">
        <f t="shared" si="480"/>
        <v>0</v>
      </c>
      <c r="G161" s="344">
        <f t="shared" si="480"/>
        <v>0</v>
      </c>
      <c r="H161" s="344">
        <f t="shared" si="480"/>
        <v>0</v>
      </c>
      <c r="I161" s="344">
        <f t="shared" si="480"/>
        <v>0</v>
      </c>
      <c r="J161" s="344">
        <f t="shared" si="480"/>
        <v>0</v>
      </c>
      <c r="K161" s="344">
        <f t="shared" si="480"/>
        <v>0</v>
      </c>
      <c r="L161" s="344">
        <f t="shared" si="480"/>
        <v>0</v>
      </c>
      <c r="M161" s="344">
        <f t="shared" si="480"/>
        <v>0</v>
      </c>
      <c r="N161" s="344">
        <f t="shared" si="480"/>
        <v>0</v>
      </c>
      <c r="O161" s="344">
        <f t="shared" si="480"/>
        <v>0</v>
      </c>
      <c r="P161" s="344">
        <f t="shared" si="480"/>
        <v>0</v>
      </c>
      <c r="Q161" s="344">
        <f t="shared" si="480"/>
        <v>0</v>
      </c>
      <c r="R161" s="344">
        <f t="shared" si="480"/>
        <v>0</v>
      </c>
      <c r="S161" s="344">
        <f t="shared" si="480"/>
        <v>0</v>
      </c>
      <c r="T161" s="344">
        <f t="shared" si="480"/>
        <v>0</v>
      </c>
      <c r="U161" s="344">
        <f t="shared" si="480"/>
        <v>0</v>
      </c>
      <c r="V161" s="344">
        <f t="shared" si="480"/>
        <v>0</v>
      </c>
      <c r="W161" s="344">
        <f t="shared" si="480"/>
        <v>0</v>
      </c>
      <c r="X161" s="344">
        <f t="shared" si="480"/>
        <v>0</v>
      </c>
    </row>
    <row r="162" spans="3:24" s="48" customFormat="1" ht="14.5" customHeight="1" thickBot="1" x14ac:dyDescent="0.2">
      <c r="C162" s="17" t="str">
        <f>Tekstnøgler!C163</f>
        <v>Egne og leasede transportmidler</v>
      </c>
      <c r="D162" s="347"/>
      <c r="E162" s="347"/>
      <c r="F162" s="347"/>
      <c r="G162" s="347"/>
      <c r="H162" s="347"/>
      <c r="I162" s="347"/>
      <c r="J162" s="347"/>
      <c r="K162" s="347"/>
      <c r="L162" s="347"/>
      <c r="M162" s="347"/>
      <c r="N162" s="347"/>
      <c r="O162" s="347"/>
      <c r="P162" s="347"/>
      <c r="Q162" s="347"/>
      <c r="R162" s="347"/>
      <c r="S162" s="347"/>
      <c r="T162" s="347"/>
      <c r="U162" s="347"/>
      <c r="V162" s="347"/>
      <c r="W162" s="347"/>
      <c r="X162" s="347"/>
    </row>
    <row r="163" spans="3:24" s="48" customFormat="1" ht="14.5" customHeight="1" thickBot="1" x14ac:dyDescent="0.2">
      <c r="C163" s="17" t="str">
        <f>Tekstnøgler!C164</f>
        <v>Fly og Skibe</v>
      </c>
      <c r="D163" s="347"/>
      <c r="E163" s="347"/>
      <c r="F163" s="347"/>
      <c r="G163" s="347"/>
      <c r="H163" s="347"/>
      <c r="I163" s="347"/>
      <c r="J163" s="347"/>
      <c r="K163" s="347"/>
      <c r="L163" s="347"/>
      <c r="M163" s="347"/>
      <c r="N163" s="347"/>
      <c r="O163" s="347"/>
      <c r="P163" s="347"/>
      <c r="Q163" s="347"/>
      <c r="R163" s="347"/>
      <c r="S163" s="347"/>
      <c r="T163" s="347"/>
      <c r="U163" s="347"/>
      <c r="V163" s="347"/>
      <c r="W163" s="347"/>
      <c r="X163" s="347"/>
    </row>
    <row r="164" spans="3:24" s="48" customFormat="1" ht="14.5" customHeight="1" thickBot="1" x14ac:dyDescent="0.2">
      <c r="C164" s="17" t="str">
        <f>Tekstnøgler!C165</f>
        <v>Egne og leasede transportmidler med egne emissionsfaktorer</v>
      </c>
      <c r="D164" s="347"/>
      <c r="E164" s="347"/>
      <c r="F164" s="347"/>
      <c r="G164" s="347"/>
      <c r="H164" s="347"/>
      <c r="I164" s="347"/>
      <c r="J164" s="347"/>
      <c r="K164" s="347"/>
      <c r="L164" s="347"/>
      <c r="M164" s="347"/>
      <c r="N164" s="347"/>
      <c r="O164" s="347"/>
      <c r="P164" s="347"/>
      <c r="Q164" s="347"/>
      <c r="R164" s="347"/>
      <c r="S164" s="347"/>
      <c r="T164" s="347"/>
      <c r="U164" s="347"/>
      <c r="V164" s="347"/>
      <c r="W164" s="347"/>
      <c r="X164" s="347"/>
    </row>
    <row r="165" spans="3:24" s="48" customFormat="1" ht="14.5" customHeight="1" thickBot="1" x14ac:dyDescent="0.2">
      <c r="C165" s="47" t="str">
        <f>Tekstnøgler!C166</f>
        <v>Medarbejdertransport</v>
      </c>
      <c r="D165" s="344">
        <f t="shared" ref="D165:X165" si="481">SUM(D166:D169)</f>
        <v>3</v>
      </c>
      <c r="E165" s="344">
        <f t="shared" si="481"/>
        <v>3</v>
      </c>
      <c r="F165" s="344">
        <f t="shared" si="481"/>
        <v>3</v>
      </c>
      <c r="G165" s="344">
        <f t="shared" si="481"/>
        <v>3</v>
      </c>
      <c r="H165" s="344">
        <f t="shared" si="481"/>
        <v>3</v>
      </c>
      <c r="I165" s="344">
        <f t="shared" si="481"/>
        <v>3</v>
      </c>
      <c r="J165" s="344">
        <f t="shared" si="481"/>
        <v>3</v>
      </c>
      <c r="K165" s="344">
        <f t="shared" si="481"/>
        <v>3</v>
      </c>
      <c r="L165" s="344">
        <f t="shared" si="481"/>
        <v>3</v>
      </c>
      <c r="M165" s="344">
        <f t="shared" si="481"/>
        <v>3</v>
      </c>
      <c r="N165" s="344">
        <f t="shared" si="481"/>
        <v>3</v>
      </c>
      <c r="O165" s="344">
        <f t="shared" si="481"/>
        <v>3</v>
      </c>
      <c r="P165" s="344">
        <f t="shared" si="481"/>
        <v>3</v>
      </c>
      <c r="Q165" s="344">
        <f t="shared" si="481"/>
        <v>3</v>
      </c>
      <c r="R165" s="344">
        <f t="shared" si="481"/>
        <v>3</v>
      </c>
      <c r="S165" s="344">
        <f t="shared" si="481"/>
        <v>3</v>
      </c>
      <c r="T165" s="344">
        <f t="shared" si="481"/>
        <v>3</v>
      </c>
      <c r="U165" s="344">
        <f t="shared" si="481"/>
        <v>3</v>
      </c>
      <c r="V165" s="344">
        <f t="shared" si="481"/>
        <v>3</v>
      </c>
      <c r="W165" s="344">
        <f t="shared" si="481"/>
        <v>3</v>
      </c>
      <c r="X165" s="344">
        <f t="shared" si="481"/>
        <v>3</v>
      </c>
    </row>
    <row r="166" spans="3:24" s="48" customFormat="1" ht="14.5" customHeight="1" thickBot="1" x14ac:dyDescent="0.2">
      <c r="C166" s="17" t="str">
        <f>Tekstnøgler!C167</f>
        <v>Pendling</v>
      </c>
      <c r="D166" s="347"/>
      <c r="E166" s="347"/>
      <c r="F166" s="347"/>
      <c r="G166" s="347"/>
      <c r="H166" s="347"/>
      <c r="I166" s="347"/>
      <c r="J166" s="347"/>
      <c r="K166" s="347"/>
      <c r="L166" s="347"/>
      <c r="M166" s="347"/>
      <c r="N166" s="347"/>
      <c r="O166" s="347"/>
      <c r="P166" s="347"/>
      <c r="Q166" s="347"/>
      <c r="R166" s="347"/>
      <c r="S166" s="347"/>
      <c r="T166" s="347"/>
      <c r="U166" s="347"/>
      <c r="V166" s="347"/>
      <c r="W166" s="347"/>
      <c r="X166" s="347"/>
    </row>
    <row r="167" spans="3:24" s="48" customFormat="1" ht="14.5" customHeight="1" thickBot="1" x14ac:dyDescent="0.2">
      <c r="C167" s="17" t="str">
        <f>Tekstnøgler!C168</f>
        <v>Rejser i forbindelse med arbejder - Fysiske enheder</v>
      </c>
      <c r="D167" s="347"/>
      <c r="E167" s="347"/>
      <c r="F167" s="347"/>
      <c r="G167" s="347"/>
      <c r="H167" s="347"/>
      <c r="I167" s="347"/>
      <c r="J167" s="347"/>
      <c r="K167" s="347"/>
      <c r="L167" s="347"/>
      <c r="M167" s="347"/>
      <c r="N167" s="347"/>
      <c r="O167" s="347"/>
      <c r="P167" s="347"/>
      <c r="Q167" s="347"/>
      <c r="R167" s="347"/>
      <c r="S167" s="347"/>
      <c r="T167" s="347"/>
      <c r="U167" s="347"/>
      <c r="V167" s="347"/>
      <c r="W167" s="347"/>
      <c r="X167" s="347"/>
    </row>
    <row r="168" spans="3:24" s="48" customFormat="1" ht="14.5" customHeight="1" thickBot="1" x14ac:dyDescent="0.2">
      <c r="C168" s="17" t="str">
        <f>Tekstnøgler!C169</f>
        <v>Rejser i forbindelse med arbejder - Monetære enheder (beløb i DKK)</v>
      </c>
      <c r="D168" s="347"/>
      <c r="E168" s="347"/>
      <c r="F168" s="347"/>
      <c r="G168" s="347"/>
      <c r="H168" s="347"/>
      <c r="I168" s="347"/>
      <c r="J168" s="347"/>
      <c r="K168" s="347"/>
      <c r="L168" s="347"/>
      <c r="M168" s="347"/>
      <c r="N168" s="347"/>
      <c r="O168" s="347"/>
      <c r="P168" s="347"/>
      <c r="Q168" s="347"/>
      <c r="R168" s="347"/>
      <c r="S168" s="347"/>
      <c r="T168" s="347"/>
      <c r="U168" s="347"/>
      <c r="V168" s="347"/>
      <c r="W168" s="347"/>
      <c r="X168" s="347"/>
    </row>
    <row r="169" spans="3:24" s="48" customFormat="1" ht="14.5" customHeight="1" thickBot="1" x14ac:dyDescent="0.2">
      <c r="C169" s="17" t="str">
        <f>Tekstnøgler!C170</f>
        <v>Medarbejdertransport med egne emissionsfaktorer</v>
      </c>
      <c r="D169" s="347">
        <v>3</v>
      </c>
      <c r="E169" s="347">
        <v>3</v>
      </c>
      <c r="F169" s="347">
        <v>3</v>
      </c>
      <c r="G169" s="347">
        <v>3</v>
      </c>
      <c r="H169" s="347">
        <v>3</v>
      </c>
      <c r="I169" s="347">
        <v>3</v>
      </c>
      <c r="J169" s="347">
        <v>3</v>
      </c>
      <c r="K169" s="347">
        <v>3</v>
      </c>
      <c r="L169" s="347">
        <v>3</v>
      </c>
      <c r="M169" s="347">
        <v>3</v>
      </c>
      <c r="N169" s="347">
        <v>3</v>
      </c>
      <c r="O169" s="347">
        <v>3</v>
      </c>
      <c r="P169" s="347">
        <v>3</v>
      </c>
      <c r="Q169" s="347">
        <v>3</v>
      </c>
      <c r="R169" s="347">
        <v>3</v>
      </c>
      <c r="S169" s="347">
        <v>3</v>
      </c>
      <c r="T169" s="347">
        <v>3</v>
      </c>
      <c r="U169" s="347">
        <v>3</v>
      </c>
      <c r="V169" s="347">
        <v>3</v>
      </c>
      <c r="W169" s="347">
        <v>3</v>
      </c>
      <c r="X169" s="347">
        <v>3</v>
      </c>
    </row>
    <row r="170" spans="3:24" s="48" customFormat="1" ht="14.5" customHeight="1" thickBot="1" x14ac:dyDescent="0.2">
      <c r="C170" s="47" t="str">
        <f>Tekstnøgler!C171</f>
        <v>Varetransport til virksomhed</v>
      </c>
      <c r="D170" s="344">
        <f t="shared" ref="D170:X170" si="482">SUM(D171:D173)</f>
        <v>0</v>
      </c>
      <c r="E170" s="344">
        <f t="shared" si="482"/>
        <v>0</v>
      </c>
      <c r="F170" s="344">
        <f t="shared" si="482"/>
        <v>0</v>
      </c>
      <c r="G170" s="344">
        <f t="shared" si="482"/>
        <v>0</v>
      </c>
      <c r="H170" s="344">
        <f t="shared" si="482"/>
        <v>0</v>
      </c>
      <c r="I170" s="344">
        <f t="shared" si="482"/>
        <v>0</v>
      </c>
      <c r="J170" s="344">
        <f t="shared" si="482"/>
        <v>0</v>
      </c>
      <c r="K170" s="344">
        <f t="shared" si="482"/>
        <v>0</v>
      </c>
      <c r="L170" s="344">
        <f t="shared" si="482"/>
        <v>0</v>
      </c>
      <c r="M170" s="344">
        <f t="shared" si="482"/>
        <v>0</v>
      </c>
      <c r="N170" s="344">
        <f t="shared" si="482"/>
        <v>0</v>
      </c>
      <c r="O170" s="344">
        <f t="shared" si="482"/>
        <v>0</v>
      </c>
      <c r="P170" s="344">
        <f t="shared" si="482"/>
        <v>0</v>
      </c>
      <c r="Q170" s="344">
        <f t="shared" si="482"/>
        <v>0</v>
      </c>
      <c r="R170" s="344">
        <f t="shared" si="482"/>
        <v>0</v>
      </c>
      <c r="S170" s="344">
        <f t="shared" si="482"/>
        <v>0</v>
      </c>
      <c r="T170" s="344">
        <f t="shared" si="482"/>
        <v>0</v>
      </c>
      <c r="U170" s="344">
        <f t="shared" si="482"/>
        <v>0</v>
      </c>
      <c r="V170" s="344">
        <f t="shared" si="482"/>
        <v>0</v>
      </c>
      <c r="W170" s="344">
        <f t="shared" si="482"/>
        <v>0</v>
      </c>
      <c r="X170" s="344">
        <f t="shared" si="482"/>
        <v>0</v>
      </c>
    </row>
    <row r="171" spans="3:24" s="48" customFormat="1" ht="14.5" customHeight="1" thickBot="1" x14ac:dyDescent="0.2">
      <c r="C171" s="17" t="str">
        <f>Tekstnøgler!C172</f>
        <v>Varetransport i fysiske enheder</v>
      </c>
      <c r="D171" s="347"/>
      <c r="E171" s="347"/>
      <c r="F171" s="347"/>
      <c r="G171" s="347"/>
      <c r="H171" s="347"/>
      <c r="I171" s="347"/>
      <c r="J171" s="347"/>
      <c r="K171" s="347"/>
      <c r="L171" s="347"/>
      <c r="M171" s="347"/>
      <c r="N171" s="347"/>
      <c r="O171" s="347"/>
      <c r="P171" s="347"/>
      <c r="Q171" s="347"/>
      <c r="R171" s="347"/>
      <c r="S171" s="347"/>
      <c r="T171" s="347"/>
      <c r="U171" s="347"/>
      <c r="V171" s="347"/>
      <c r="W171" s="347"/>
      <c r="X171" s="347"/>
    </row>
    <row r="172" spans="3:24" s="48" customFormat="1" ht="14.5" customHeight="1" thickBot="1" x14ac:dyDescent="0.2">
      <c r="C172" s="17" t="str">
        <f>Tekstnøgler!C173</f>
        <v>Varetransport i monetære enheder (beløb i DKK)</v>
      </c>
      <c r="D172" s="347"/>
      <c r="E172" s="347"/>
      <c r="F172" s="347"/>
      <c r="G172" s="347"/>
      <c r="H172" s="347"/>
      <c r="I172" s="347"/>
      <c r="J172" s="347"/>
      <c r="K172" s="347"/>
      <c r="L172" s="347"/>
      <c r="M172" s="347"/>
      <c r="N172" s="347"/>
      <c r="O172" s="347"/>
      <c r="P172" s="347"/>
      <c r="Q172" s="347"/>
      <c r="R172" s="347"/>
      <c r="S172" s="347"/>
      <c r="T172" s="347"/>
      <c r="U172" s="347"/>
      <c r="V172" s="347"/>
      <c r="W172" s="347"/>
      <c r="X172" s="347"/>
    </row>
    <row r="173" spans="3:24" s="48" customFormat="1" ht="14.5" customHeight="1" thickBot="1" x14ac:dyDescent="0.2">
      <c r="C173" s="17" t="str">
        <f>Tekstnøgler!C174</f>
        <v>Varetransport til virksomhed med egne emissionsfaktorer</v>
      </c>
      <c r="D173" s="347"/>
      <c r="E173" s="347"/>
      <c r="F173" s="347"/>
      <c r="G173" s="347"/>
      <c r="H173" s="347"/>
      <c r="I173" s="347"/>
      <c r="J173" s="347"/>
      <c r="K173" s="347"/>
      <c r="L173" s="347"/>
      <c r="M173" s="347"/>
      <c r="N173" s="347"/>
      <c r="O173" s="347"/>
      <c r="P173" s="347"/>
      <c r="Q173" s="347"/>
      <c r="R173" s="347"/>
      <c r="S173" s="347"/>
      <c r="T173" s="347"/>
      <c r="U173" s="347"/>
      <c r="V173" s="347"/>
      <c r="W173" s="347"/>
      <c r="X173" s="347"/>
    </row>
    <row r="174" spans="3:24" s="48" customFormat="1" ht="14.5" customHeight="1" thickBot="1" x14ac:dyDescent="0.2">
      <c r="C174" s="47" t="str">
        <f>Tekstnøgler!C175</f>
        <v>Varetransport fra virksomhed til kunde</v>
      </c>
      <c r="D174" s="344">
        <f t="shared" ref="D174:X174" si="483">SUM(D175:D177)</f>
        <v>0</v>
      </c>
      <c r="E174" s="344">
        <f t="shared" si="483"/>
        <v>0</v>
      </c>
      <c r="F174" s="344">
        <f t="shared" si="483"/>
        <v>0</v>
      </c>
      <c r="G174" s="344">
        <f t="shared" si="483"/>
        <v>0</v>
      </c>
      <c r="H174" s="344">
        <f t="shared" si="483"/>
        <v>0</v>
      </c>
      <c r="I174" s="344">
        <f t="shared" si="483"/>
        <v>0</v>
      </c>
      <c r="J174" s="344">
        <f t="shared" si="483"/>
        <v>0</v>
      </c>
      <c r="K174" s="344">
        <f t="shared" si="483"/>
        <v>0</v>
      </c>
      <c r="L174" s="344">
        <f t="shared" si="483"/>
        <v>0</v>
      </c>
      <c r="M174" s="344">
        <f t="shared" si="483"/>
        <v>0</v>
      </c>
      <c r="N174" s="344">
        <f t="shared" si="483"/>
        <v>0</v>
      </c>
      <c r="O174" s="344">
        <f t="shared" si="483"/>
        <v>0</v>
      </c>
      <c r="P174" s="344">
        <f t="shared" si="483"/>
        <v>0</v>
      </c>
      <c r="Q174" s="344">
        <f t="shared" si="483"/>
        <v>0</v>
      </c>
      <c r="R174" s="344">
        <f t="shared" si="483"/>
        <v>0</v>
      </c>
      <c r="S174" s="344">
        <f t="shared" si="483"/>
        <v>0</v>
      </c>
      <c r="T174" s="344">
        <f t="shared" si="483"/>
        <v>0</v>
      </c>
      <c r="U174" s="344">
        <f t="shared" si="483"/>
        <v>0</v>
      </c>
      <c r="V174" s="344">
        <f t="shared" si="483"/>
        <v>0</v>
      </c>
      <c r="W174" s="344">
        <f t="shared" si="483"/>
        <v>0</v>
      </c>
      <c r="X174" s="344">
        <f t="shared" si="483"/>
        <v>0</v>
      </c>
    </row>
    <row r="175" spans="3:24" s="48" customFormat="1" ht="14.5" customHeight="1" thickBot="1" x14ac:dyDescent="0.2">
      <c r="C175" s="17" t="str">
        <f>Tekstnøgler!C176</f>
        <v>Varetransport i fysiske enheder</v>
      </c>
      <c r="D175" s="347"/>
      <c r="E175" s="347"/>
      <c r="F175" s="347"/>
      <c r="G175" s="347"/>
      <c r="H175" s="347"/>
      <c r="I175" s="347"/>
      <c r="J175" s="347"/>
      <c r="K175" s="347"/>
      <c r="L175" s="347"/>
      <c r="M175" s="347"/>
      <c r="N175" s="347"/>
      <c r="O175" s="347"/>
      <c r="P175" s="347"/>
      <c r="Q175" s="347"/>
      <c r="R175" s="347"/>
      <c r="S175" s="347"/>
      <c r="T175" s="347"/>
      <c r="U175" s="347"/>
      <c r="V175" s="347"/>
      <c r="W175" s="347"/>
      <c r="X175" s="347"/>
    </row>
    <row r="176" spans="3:24" s="48" customFormat="1" ht="14.5" customHeight="1" thickBot="1" x14ac:dyDescent="0.2">
      <c r="C176" s="17" t="str">
        <f>Tekstnøgler!C177</f>
        <v>Varetransport i monetære enheder (beløb i DKK)</v>
      </c>
      <c r="D176" s="347"/>
      <c r="E176" s="347"/>
      <c r="F176" s="347"/>
      <c r="G176" s="347"/>
      <c r="H176" s="347"/>
      <c r="I176" s="347"/>
      <c r="J176" s="347"/>
      <c r="K176" s="347"/>
      <c r="L176" s="347"/>
      <c r="M176" s="347"/>
      <c r="N176" s="347"/>
      <c r="O176" s="347"/>
      <c r="P176" s="347"/>
      <c r="Q176" s="347"/>
      <c r="R176" s="347"/>
      <c r="S176" s="347"/>
      <c r="T176" s="347"/>
      <c r="U176" s="347"/>
      <c r="V176" s="347"/>
      <c r="W176" s="347"/>
      <c r="X176" s="347"/>
    </row>
    <row r="177" spans="3:24" s="48" customFormat="1" ht="14.5" customHeight="1" thickBot="1" x14ac:dyDescent="0.2">
      <c r="C177" s="17" t="str">
        <f>Tekstnøgler!C178</f>
        <v>Varetransport fra virksomhed til kunde med egne emissionsfaktorer</v>
      </c>
      <c r="D177" s="347"/>
      <c r="E177" s="347"/>
      <c r="F177" s="347"/>
      <c r="G177" s="347"/>
      <c r="H177" s="347"/>
      <c r="I177" s="347"/>
      <c r="J177" s="347"/>
      <c r="K177" s="347"/>
      <c r="L177" s="347"/>
      <c r="M177" s="347"/>
      <c r="N177" s="347"/>
      <c r="O177" s="347"/>
      <c r="P177" s="347"/>
      <c r="Q177" s="347"/>
      <c r="R177" s="347"/>
      <c r="S177" s="347"/>
      <c r="T177" s="347"/>
      <c r="U177" s="347"/>
      <c r="V177" s="347"/>
      <c r="W177" s="347"/>
      <c r="X177" s="347"/>
    </row>
    <row r="178" spans="3:24" s="48" customFormat="1" ht="14.5" customHeight="1" thickBot="1" x14ac:dyDescent="0.2">
      <c r="C178" s="47" t="str">
        <f>Tekstnøgler!C179</f>
        <v>Andet udledning ved transport</v>
      </c>
      <c r="D178" s="348"/>
      <c r="E178" s="348"/>
      <c r="F178" s="348"/>
      <c r="G178" s="348"/>
      <c r="H178" s="348"/>
      <c r="I178" s="348"/>
      <c r="J178" s="348"/>
      <c r="K178" s="348"/>
      <c r="L178" s="348"/>
      <c r="M178" s="348"/>
      <c r="N178" s="348"/>
      <c r="O178" s="348"/>
      <c r="P178" s="348"/>
      <c r="Q178" s="348"/>
      <c r="R178" s="348"/>
      <c r="S178" s="348"/>
      <c r="T178" s="348"/>
      <c r="U178" s="348"/>
      <c r="V178" s="348"/>
      <c r="W178" s="348"/>
      <c r="X178" s="348"/>
    </row>
    <row r="179" spans="3:24" s="48" customFormat="1" ht="14.5" customHeight="1" thickBot="1" x14ac:dyDescent="0.2">
      <c r="C179" s="45" t="str">
        <f>Tekstnøgler!C180</f>
        <v>Affald og genbrug</v>
      </c>
      <c r="D179" s="46">
        <f t="shared" ref="D179:X179" si="484">D180+D183</f>
        <v>0</v>
      </c>
      <c r="E179" s="46">
        <f t="shared" si="484"/>
        <v>0</v>
      </c>
      <c r="F179" s="46">
        <f t="shared" si="484"/>
        <v>0</v>
      </c>
      <c r="G179" s="46">
        <f t="shared" si="484"/>
        <v>0</v>
      </c>
      <c r="H179" s="46">
        <f t="shared" si="484"/>
        <v>0</v>
      </c>
      <c r="I179" s="46">
        <f t="shared" si="484"/>
        <v>0</v>
      </c>
      <c r="J179" s="46">
        <f t="shared" si="484"/>
        <v>0</v>
      </c>
      <c r="K179" s="46">
        <f t="shared" si="484"/>
        <v>0</v>
      </c>
      <c r="L179" s="46">
        <f t="shared" si="484"/>
        <v>0</v>
      </c>
      <c r="M179" s="46">
        <f t="shared" si="484"/>
        <v>0</v>
      </c>
      <c r="N179" s="46">
        <f t="shared" si="484"/>
        <v>0</v>
      </c>
      <c r="O179" s="46">
        <f t="shared" si="484"/>
        <v>0</v>
      </c>
      <c r="P179" s="46">
        <f t="shared" si="484"/>
        <v>0</v>
      </c>
      <c r="Q179" s="46">
        <f t="shared" si="484"/>
        <v>0</v>
      </c>
      <c r="R179" s="46">
        <f t="shared" si="484"/>
        <v>0</v>
      </c>
      <c r="S179" s="46">
        <f t="shared" si="484"/>
        <v>0</v>
      </c>
      <c r="T179" s="46">
        <f t="shared" si="484"/>
        <v>0</v>
      </c>
      <c r="U179" s="46">
        <f t="shared" si="484"/>
        <v>0</v>
      </c>
      <c r="V179" s="46">
        <f t="shared" si="484"/>
        <v>0</v>
      </c>
      <c r="W179" s="46">
        <f t="shared" si="484"/>
        <v>0</v>
      </c>
      <c r="X179" s="46">
        <f t="shared" si="484"/>
        <v>0</v>
      </c>
    </row>
    <row r="180" spans="3:24" s="48" customFormat="1" ht="14.5" customHeight="1" thickBot="1" x14ac:dyDescent="0.2">
      <c r="C180" s="47" t="str">
        <f>Tekstnøgler!C181</f>
        <v>Affald</v>
      </c>
      <c r="D180" s="344">
        <f t="shared" ref="D180:X180" si="485">SUM(D181:D182)</f>
        <v>0</v>
      </c>
      <c r="E180" s="344">
        <f t="shared" si="485"/>
        <v>0</v>
      </c>
      <c r="F180" s="344">
        <f t="shared" si="485"/>
        <v>0</v>
      </c>
      <c r="G180" s="344">
        <f t="shared" si="485"/>
        <v>0</v>
      </c>
      <c r="H180" s="344">
        <f t="shared" si="485"/>
        <v>0</v>
      </c>
      <c r="I180" s="344">
        <f t="shared" si="485"/>
        <v>0</v>
      </c>
      <c r="J180" s="344">
        <f t="shared" si="485"/>
        <v>0</v>
      </c>
      <c r="K180" s="344">
        <f t="shared" si="485"/>
        <v>0</v>
      </c>
      <c r="L180" s="344">
        <f t="shared" si="485"/>
        <v>0</v>
      </c>
      <c r="M180" s="344">
        <f t="shared" si="485"/>
        <v>0</v>
      </c>
      <c r="N180" s="344">
        <f t="shared" si="485"/>
        <v>0</v>
      </c>
      <c r="O180" s="344">
        <f t="shared" si="485"/>
        <v>0</v>
      </c>
      <c r="P180" s="344">
        <f t="shared" si="485"/>
        <v>0</v>
      </c>
      <c r="Q180" s="344">
        <f t="shared" si="485"/>
        <v>0</v>
      </c>
      <c r="R180" s="344">
        <f t="shared" si="485"/>
        <v>0</v>
      </c>
      <c r="S180" s="344">
        <f t="shared" si="485"/>
        <v>0</v>
      </c>
      <c r="T180" s="344">
        <f t="shared" si="485"/>
        <v>0</v>
      </c>
      <c r="U180" s="344">
        <f t="shared" si="485"/>
        <v>0</v>
      </c>
      <c r="V180" s="344">
        <f t="shared" si="485"/>
        <v>0</v>
      </c>
      <c r="W180" s="344">
        <f t="shared" si="485"/>
        <v>0</v>
      </c>
      <c r="X180" s="344">
        <f t="shared" si="485"/>
        <v>0</v>
      </c>
    </row>
    <row r="181" spans="3:24" s="48" customFormat="1" ht="14.5" customHeight="1" thickBot="1" x14ac:dyDescent="0.2">
      <c r="C181" s="56" t="str">
        <f>Tekstnøgler!C182</f>
        <v>Affald</v>
      </c>
      <c r="D181" s="347"/>
      <c r="E181" s="347"/>
      <c r="F181" s="347"/>
      <c r="G181" s="347"/>
      <c r="H181" s="347"/>
      <c r="I181" s="347"/>
      <c r="J181" s="347"/>
      <c r="K181" s="347"/>
      <c r="L181" s="347"/>
      <c r="M181" s="347"/>
      <c r="N181" s="347"/>
      <c r="O181" s="347"/>
      <c r="P181" s="347"/>
      <c r="Q181" s="347"/>
      <c r="R181" s="347"/>
      <c r="S181" s="347"/>
      <c r="T181" s="347"/>
      <c r="U181" s="347"/>
      <c r="V181" s="347"/>
      <c r="W181" s="347"/>
      <c r="X181" s="347"/>
    </row>
    <row r="182" spans="3:24" s="48" customFormat="1" ht="14.5" customHeight="1" thickBot="1" x14ac:dyDescent="0.2">
      <c r="C182" s="17" t="str">
        <f>Tekstnøgler!C183</f>
        <v>Affald med egne emissionsfaktorer</v>
      </c>
      <c r="D182" s="347"/>
      <c r="E182" s="347"/>
      <c r="F182" s="347"/>
      <c r="G182" s="347"/>
      <c r="H182" s="347"/>
      <c r="I182" s="347"/>
      <c r="J182" s="347"/>
      <c r="K182" s="347"/>
      <c r="L182" s="347"/>
      <c r="M182" s="347"/>
      <c r="N182" s="347"/>
      <c r="O182" s="347"/>
      <c r="P182" s="347"/>
      <c r="Q182" s="347"/>
      <c r="R182" s="347"/>
      <c r="S182" s="347"/>
      <c r="T182" s="347"/>
      <c r="U182" s="347"/>
      <c r="V182" s="347"/>
      <c r="W182" s="347"/>
      <c r="X182" s="347"/>
    </row>
    <row r="183" spans="3:24" s="48" customFormat="1" ht="14.5" customHeight="1" thickBot="1" x14ac:dyDescent="0.2">
      <c r="C183" s="47" t="str">
        <f>Tekstnøgler!C184</f>
        <v>Andet udledning ved affald</v>
      </c>
      <c r="D183" s="348"/>
      <c r="E183" s="348"/>
      <c r="F183" s="348"/>
      <c r="G183" s="348"/>
      <c r="H183" s="348"/>
      <c r="I183" s="348"/>
      <c r="J183" s="348"/>
      <c r="K183" s="348"/>
      <c r="L183" s="348"/>
      <c r="M183" s="348"/>
      <c r="N183" s="348"/>
      <c r="O183" s="348"/>
      <c r="P183" s="348"/>
      <c r="Q183" s="348"/>
      <c r="R183" s="348"/>
      <c r="S183" s="348"/>
      <c r="T183" s="348"/>
      <c r="U183" s="348"/>
      <c r="V183" s="348"/>
      <c r="W183" s="348"/>
      <c r="X183" s="348"/>
    </row>
    <row r="184" spans="3:24" s="48" customFormat="1" ht="14.5" customHeight="1" thickBot="1" x14ac:dyDescent="0.2">
      <c r="C184" s="45" t="str">
        <f>Tekstnøgler!C185</f>
        <v>Solgte produkter</v>
      </c>
      <c r="D184" s="46">
        <f t="shared" ref="D184:X184" si="486">D185+D186+D189+D192</f>
        <v>0</v>
      </c>
      <c r="E184" s="46">
        <f t="shared" si="486"/>
        <v>0</v>
      </c>
      <c r="F184" s="46">
        <f t="shared" si="486"/>
        <v>0</v>
      </c>
      <c r="G184" s="46">
        <f t="shared" si="486"/>
        <v>0</v>
      </c>
      <c r="H184" s="46">
        <f t="shared" si="486"/>
        <v>0</v>
      </c>
      <c r="I184" s="46">
        <f t="shared" si="486"/>
        <v>0</v>
      </c>
      <c r="J184" s="46">
        <f t="shared" si="486"/>
        <v>0</v>
      </c>
      <c r="K184" s="46">
        <f t="shared" si="486"/>
        <v>0</v>
      </c>
      <c r="L184" s="46">
        <f t="shared" si="486"/>
        <v>0</v>
      </c>
      <c r="M184" s="46">
        <f t="shared" si="486"/>
        <v>0</v>
      </c>
      <c r="N184" s="46">
        <f t="shared" si="486"/>
        <v>0</v>
      </c>
      <c r="O184" s="46">
        <f t="shared" si="486"/>
        <v>0</v>
      </c>
      <c r="P184" s="46">
        <f t="shared" si="486"/>
        <v>0</v>
      </c>
      <c r="Q184" s="46">
        <f t="shared" si="486"/>
        <v>0</v>
      </c>
      <c r="R184" s="46">
        <f t="shared" si="486"/>
        <v>0</v>
      </c>
      <c r="S184" s="46">
        <f t="shared" si="486"/>
        <v>0</v>
      </c>
      <c r="T184" s="46">
        <f t="shared" si="486"/>
        <v>0</v>
      </c>
      <c r="U184" s="46">
        <f t="shared" si="486"/>
        <v>0</v>
      </c>
      <c r="V184" s="46">
        <f t="shared" si="486"/>
        <v>0</v>
      </c>
      <c r="W184" s="46">
        <f t="shared" si="486"/>
        <v>0</v>
      </c>
      <c r="X184" s="46">
        <f t="shared" si="486"/>
        <v>0</v>
      </c>
    </row>
    <row r="185" spans="3:24" s="48" customFormat="1" ht="14.5" customHeight="1" thickBot="1" x14ac:dyDescent="0.2">
      <c r="C185" s="47" t="str">
        <f>Tekstnøgler!C186</f>
        <v>Forarbejdning og processering af solgte produkter</v>
      </c>
      <c r="D185" s="348"/>
      <c r="E185" s="348"/>
      <c r="F185" s="348"/>
      <c r="G185" s="348"/>
      <c r="H185" s="348"/>
      <c r="I185" s="348"/>
      <c r="J185" s="348"/>
      <c r="K185" s="348"/>
      <c r="L185" s="348"/>
      <c r="M185" s="348"/>
      <c r="N185" s="348"/>
      <c r="O185" s="348"/>
      <c r="P185" s="348"/>
      <c r="Q185" s="348"/>
      <c r="R185" s="348"/>
      <c r="S185" s="348"/>
      <c r="T185" s="348"/>
      <c r="U185" s="348"/>
      <c r="V185" s="348"/>
      <c r="W185" s="348"/>
      <c r="X185" s="348"/>
    </row>
    <row r="186" spans="3:24" s="48" customFormat="1" ht="14.5" customHeight="1" thickBot="1" x14ac:dyDescent="0.2">
      <c r="C186" s="47" t="str">
        <f>Tekstnøgler!C187</f>
        <v>Brug af solgte og udlejede produkter</v>
      </c>
      <c r="D186" s="344">
        <f t="shared" ref="D186:X186" si="487">SUM(D187:D188)</f>
        <v>0</v>
      </c>
      <c r="E186" s="344">
        <f t="shared" si="487"/>
        <v>0</v>
      </c>
      <c r="F186" s="344">
        <f t="shared" si="487"/>
        <v>0</v>
      </c>
      <c r="G186" s="344">
        <f t="shared" si="487"/>
        <v>0</v>
      </c>
      <c r="H186" s="344">
        <f t="shared" si="487"/>
        <v>0</v>
      </c>
      <c r="I186" s="344">
        <f t="shared" si="487"/>
        <v>0</v>
      </c>
      <c r="J186" s="344">
        <f t="shared" si="487"/>
        <v>0</v>
      </c>
      <c r="K186" s="344">
        <f t="shared" si="487"/>
        <v>0</v>
      </c>
      <c r="L186" s="344">
        <f t="shared" si="487"/>
        <v>0</v>
      </c>
      <c r="M186" s="344">
        <f t="shared" si="487"/>
        <v>0</v>
      </c>
      <c r="N186" s="344">
        <f t="shared" si="487"/>
        <v>0</v>
      </c>
      <c r="O186" s="344">
        <f t="shared" si="487"/>
        <v>0</v>
      </c>
      <c r="P186" s="344">
        <f t="shared" si="487"/>
        <v>0</v>
      </c>
      <c r="Q186" s="344">
        <f t="shared" si="487"/>
        <v>0</v>
      </c>
      <c r="R186" s="344">
        <f t="shared" si="487"/>
        <v>0</v>
      </c>
      <c r="S186" s="344">
        <f t="shared" si="487"/>
        <v>0</v>
      </c>
      <c r="T186" s="344">
        <f t="shared" si="487"/>
        <v>0</v>
      </c>
      <c r="U186" s="344">
        <f t="shared" si="487"/>
        <v>0</v>
      </c>
      <c r="V186" s="344">
        <f t="shared" si="487"/>
        <v>0</v>
      </c>
      <c r="W186" s="344">
        <f t="shared" si="487"/>
        <v>0</v>
      </c>
      <c r="X186" s="344">
        <f t="shared" si="487"/>
        <v>0</v>
      </c>
    </row>
    <row r="187" spans="3:24" s="48" customFormat="1" ht="14.5" customHeight="1" thickBot="1" x14ac:dyDescent="0.2">
      <c r="C187" s="17" t="str">
        <f>Tekstnøgler!C188</f>
        <v>Brug af solgte og udlejede produkter</v>
      </c>
      <c r="D187" s="347"/>
      <c r="E187" s="347"/>
      <c r="F187" s="347"/>
      <c r="G187" s="347"/>
      <c r="H187" s="347"/>
      <c r="I187" s="347"/>
      <c r="J187" s="347"/>
      <c r="K187" s="347"/>
      <c r="L187" s="347"/>
      <c r="M187" s="347"/>
      <c r="N187" s="347"/>
      <c r="O187" s="347"/>
      <c r="P187" s="347"/>
      <c r="Q187" s="347"/>
      <c r="R187" s="347"/>
      <c r="S187" s="347"/>
      <c r="T187" s="347"/>
      <c r="U187" s="347"/>
      <c r="V187" s="347"/>
      <c r="W187" s="347"/>
      <c r="X187" s="347"/>
    </row>
    <row r="188" spans="3:24" s="48" customFormat="1" ht="14.5" customHeight="1" thickBot="1" x14ac:dyDescent="0.2">
      <c r="C188" s="17" t="str">
        <f>Tekstnøgler!C189</f>
        <v>Brug af solgte og udlejede produkter med egne emissionsfaktorer</v>
      </c>
      <c r="D188" s="347"/>
      <c r="E188" s="347"/>
      <c r="F188" s="347"/>
      <c r="G188" s="347"/>
      <c r="H188" s="347"/>
      <c r="I188" s="347"/>
      <c r="J188" s="347"/>
      <c r="K188" s="347"/>
      <c r="L188" s="347"/>
      <c r="M188" s="347"/>
      <c r="N188" s="347"/>
      <c r="O188" s="347"/>
      <c r="P188" s="347"/>
      <c r="Q188" s="347"/>
      <c r="R188" s="347"/>
      <c r="S188" s="347"/>
      <c r="T188" s="347"/>
      <c r="U188" s="347"/>
      <c r="V188" s="347"/>
      <c r="W188" s="347"/>
      <c r="X188" s="347"/>
    </row>
    <row r="189" spans="3:24" s="48" customFormat="1" ht="14.5" customHeight="1" thickBot="1" x14ac:dyDescent="0.2">
      <c r="C189" s="47" t="str">
        <f>Tekstnøgler!C190</f>
        <v>End-of-life behandling</v>
      </c>
      <c r="D189" s="344">
        <f t="shared" ref="D189:X189" si="488">SUM(D190:D191)</f>
        <v>0</v>
      </c>
      <c r="E189" s="344">
        <f t="shared" si="488"/>
        <v>0</v>
      </c>
      <c r="F189" s="344">
        <f t="shared" si="488"/>
        <v>0</v>
      </c>
      <c r="G189" s="344">
        <f t="shared" si="488"/>
        <v>0</v>
      </c>
      <c r="H189" s="344">
        <f t="shared" si="488"/>
        <v>0</v>
      </c>
      <c r="I189" s="344">
        <f t="shared" si="488"/>
        <v>0</v>
      </c>
      <c r="J189" s="344">
        <f t="shared" si="488"/>
        <v>0</v>
      </c>
      <c r="K189" s="344">
        <f t="shared" si="488"/>
        <v>0</v>
      </c>
      <c r="L189" s="344">
        <f t="shared" si="488"/>
        <v>0</v>
      </c>
      <c r="M189" s="344">
        <f t="shared" si="488"/>
        <v>0</v>
      </c>
      <c r="N189" s="344">
        <f t="shared" si="488"/>
        <v>0</v>
      </c>
      <c r="O189" s="344">
        <f t="shared" si="488"/>
        <v>0</v>
      </c>
      <c r="P189" s="344">
        <f t="shared" si="488"/>
        <v>0</v>
      </c>
      <c r="Q189" s="344">
        <f t="shared" si="488"/>
        <v>0</v>
      </c>
      <c r="R189" s="344">
        <f t="shared" si="488"/>
        <v>0</v>
      </c>
      <c r="S189" s="344">
        <f t="shared" si="488"/>
        <v>0</v>
      </c>
      <c r="T189" s="344">
        <f t="shared" si="488"/>
        <v>0</v>
      </c>
      <c r="U189" s="344">
        <f t="shared" si="488"/>
        <v>0</v>
      </c>
      <c r="V189" s="344">
        <f t="shared" si="488"/>
        <v>0</v>
      </c>
      <c r="W189" s="344">
        <f t="shared" si="488"/>
        <v>0</v>
      </c>
      <c r="X189" s="344">
        <f t="shared" si="488"/>
        <v>0</v>
      </c>
    </row>
    <row r="190" spans="3:24" s="48" customFormat="1" ht="14.5" customHeight="1" thickBot="1" x14ac:dyDescent="0.2">
      <c r="C190" s="17" t="str">
        <f>Tekstnøgler!C191</f>
        <v>Håndtering af affaldsprodukt</v>
      </c>
      <c r="D190" s="347"/>
      <c r="E190" s="347"/>
      <c r="F190" s="347"/>
      <c r="G190" s="347"/>
      <c r="H190" s="347"/>
      <c r="I190" s="347"/>
      <c r="J190" s="347"/>
      <c r="K190" s="347"/>
      <c r="L190" s="347"/>
      <c r="M190" s="347"/>
      <c r="N190" s="347"/>
      <c r="O190" s="347"/>
      <c r="P190" s="347"/>
      <c r="Q190" s="347"/>
      <c r="R190" s="347"/>
      <c r="S190" s="347"/>
      <c r="T190" s="347"/>
      <c r="U190" s="347"/>
      <c r="V190" s="347"/>
      <c r="W190" s="347"/>
      <c r="X190" s="347"/>
    </row>
    <row r="191" spans="3:24" ht="15" thickBot="1" x14ac:dyDescent="0.2">
      <c r="C191" s="17" t="str">
        <f>Tekstnøgler!C192</f>
        <v>Håndtering af affaldsprodukt med egne emissionsfaktorer</v>
      </c>
      <c r="D191" s="347"/>
      <c r="E191" s="347"/>
      <c r="F191" s="347"/>
      <c r="G191" s="347"/>
      <c r="H191" s="347"/>
      <c r="I191" s="347"/>
      <c r="J191" s="347"/>
      <c r="K191" s="347"/>
      <c r="L191" s="347"/>
      <c r="M191" s="347"/>
      <c r="N191" s="347"/>
      <c r="O191" s="347"/>
      <c r="P191" s="347"/>
      <c r="Q191" s="347"/>
      <c r="R191" s="347"/>
      <c r="S191" s="347"/>
      <c r="T191" s="347"/>
      <c r="U191" s="347"/>
      <c r="V191" s="347"/>
      <c r="W191" s="347"/>
      <c r="X191" s="347"/>
    </row>
    <row r="192" spans="3:24" ht="15" thickBot="1" x14ac:dyDescent="0.2">
      <c r="C192" s="83" t="str">
        <f>Tekstnøgler!C193</f>
        <v>Andet udledning ved solgte og udlejede produkter</v>
      </c>
      <c r="D192" s="348"/>
      <c r="E192" s="348"/>
      <c r="F192" s="348"/>
      <c r="G192" s="348"/>
      <c r="H192" s="348"/>
      <c r="I192" s="348"/>
      <c r="J192" s="348"/>
      <c r="K192" s="348"/>
      <c r="L192" s="348"/>
      <c r="M192" s="348"/>
      <c r="N192" s="348"/>
      <c r="O192" s="348"/>
      <c r="P192" s="348"/>
      <c r="Q192" s="348"/>
      <c r="R192" s="348"/>
      <c r="S192" s="348"/>
      <c r="T192" s="348"/>
      <c r="U192" s="348"/>
      <c r="V192" s="348"/>
      <c r="W192" s="348"/>
      <c r="X192" s="348"/>
    </row>
    <row r="193" spans="3:24" ht="15" thickBot="1" x14ac:dyDescent="0.2">
      <c r="C193" s="45" t="str">
        <f>Tekstnøgler!C402</f>
        <v>Total</v>
      </c>
      <c r="D193" s="46">
        <f t="shared" ref="D193:X193" si="489">D119+D131+D160+D179+D184</f>
        <v>8</v>
      </c>
      <c r="E193" s="46">
        <f t="shared" si="489"/>
        <v>8</v>
      </c>
      <c r="F193" s="46">
        <f t="shared" si="489"/>
        <v>8</v>
      </c>
      <c r="G193" s="46">
        <f t="shared" si="489"/>
        <v>8</v>
      </c>
      <c r="H193" s="46">
        <f t="shared" si="489"/>
        <v>8</v>
      </c>
      <c r="I193" s="46">
        <f t="shared" si="489"/>
        <v>8</v>
      </c>
      <c r="J193" s="46">
        <f t="shared" si="489"/>
        <v>8</v>
      </c>
      <c r="K193" s="46">
        <f t="shared" si="489"/>
        <v>8</v>
      </c>
      <c r="L193" s="46">
        <f t="shared" si="489"/>
        <v>8</v>
      </c>
      <c r="M193" s="46">
        <f t="shared" si="489"/>
        <v>8</v>
      </c>
      <c r="N193" s="46">
        <f t="shared" si="489"/>
        <v>8</v>
      </c>
      <c r="O193" s="46">
        <f t="shared" si="489"/>
        <v>8</v>
      </c>
      <c r="P193" s="46">
        <f t="shared" si="489"/>
        <v>8</v>
      </c>
      <c r="Q193" s="46">
        <f t="shared" si="489"/>
        <v>8</v>
      </c>
      <c r="R193" s="46">
        <f t="shared" si="489"/>
        <v>8</v>
      </c>
      <c r="S193" s="46">
        <f t="shared" si="489"/>
        <v>8</v>
      </c>
      <c r="T193" s="46">
        <f t="shared" si="489"/>
        <v>8</v>
      </c>
      <c r="U193" s="46">
        <f t="shared" si="489"/>
        <v>8</v>
      </c>
      <c r="V193" s="46">
        <f t="shared" si="489"/>
        <v>8</v>
      </c>
      <c r="W193" s="46">
        <f t="shared" si="489"/>
        <v>8</v>
      </c>
      <c r="X193" s="46">
        <f t="shared" si="489"/>
        <v>8</v>
      </c>
    </row>
  </sheetData>
  <sheetProtection password="D2FD" sheet="1" objects="1" scenarios="1"/>
  <mergeCells count="27">
    <mergeCell ref="C117:C118"/>
    <mergeCell ref="AZ32:BC32"/>
    <mergeCell ref="AV32:AY32"/>
    <mergeCell ref="AR32:AU32"/>
    <mergeCell ref="AN32:AQ32"/>
    <mergeCell ref="AJ32:AM32"/>
    <mergeCell ref="AF32:AI32"/>
    <mergeCell ref="C114:G114"/>
    <mergeCell ref="D32:G32"/>
    <mergeCell ref="H32:K32"/>
    <mergeCell ref="C6:D6"/>
    <mergeCell ref="BP32:BS32"/>
    <mergeCell ref="BT32:BW32"/>
    <mergeCell ref="BX32:CA32"/>
    <mergeCell ref="CB32:CE32"/>
    <mergeCell ref="AB32:AE32"/>
    <mergeCell ref="C12:K12"/>
    <mergeCell ref="C31:K31"/>
    <mergeCell ref="L32:O32"/>
    <mergeCell ref="P32:S32"/>
    <mergeCell ref="CF32:CI32"/>
    <mergeCell ref="D14:X14"/>
    <mergeCell ref="T32:W32"/>
    <mergeCell ref="X32:AA32"/>
    <mergeCell ref="BL32:BO32"/>
    <mergeCell ref="BH32:BK32"/>
    <mergeCell ref="BD32:BG32"/>
  </mergeCells>
  <hyperlinks>
    <hyperlink ref="J2" location="Forside!A1" display="Gå til forside" xr:uid="{0D5D0D67-3075-4423-9E7B-9A2C777292AA}"/>
  </hyperlinks>
  <pageMargins left="0.7" right="0.7" top="0.75" bottom="0.75" header="0.3" footer="0.3"/>
  <pageSetup paperSize="9" orientation="portrait" r:id="rId1"/>
  <headerFooter>
    <oddHeader>&amp;R&amp;"Calibri"&amp;10&amp;K000000 INTERNAL&amp;1#_x000D_</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90803-C08C-4757-B6BD-246F73396758}">
  <dimension ref="A1:AA151"/>
  <sheetViews>
    <sheetView zoomScaleNormal="100" workbookViewId="0"/>
  </sheetViews>
  <sheetFormatPr baseColWidth="10" defaultColWidth="9.5" defaultRowHeight="13" x14ac:dyDescent="0.15"/>
  <cols>
    <col min="1" max="2" width="2.83203125" style="3" customWidth="1"/>
    <col min="3" max="3" width="35.5" style="3" customWidth="1"/>
    <col min="4" max="4" width="15.6640625" style="3" customWidth="1"/>
    <col min="5" max="5" width="10.5" style="3" customWidth="1"/>
    <col min="6" max="6" width="11.1640625" style="3" customWidth="1"/>
    <col min="7" max="7" width="11" style="3" customWidth="1"/>
    <col min="8" max="8" width="10" style="3" customWidth="1"/>
    <col min="9" max="9" width="11.33203125" style="3" customWidth="1"/>
    <col min="10" max="10" width="10.33203125" style="3" customWidth="1"/>
    <col min="11" max="11" width="12" style="3" customWidth="1"/>
    <col min="12" max="12" width="11.1640625" style="3" customWidth="1"/>
    <col min="13" max="13" width="11.5" style="3" customWidth="1"/>
    <col min="14" max="14" width="12.6640625" style="3" customWidth="1"/>
    <col min="15" max="15" width="13.33203125" style="3" customWidth="1"/>
    <col min="16" max="16" width="12.5" style="3" customWidth="1"/>
    <col min="17" max="19" width="9.5" style="3"/>
    <col min="20" max="20" width="12.1640625" style="3" customWidth="1"/>
    <col min="21" max="16384" width="9.5" style="3"/>
  </cols>
  <sheetData>
    <row r="1" spans="3:22" ht="15" customHeight="1" x14ac:dyDescent="0.15"/>
    <row r="2" spans="3:22" ht="21" customHeight="1" x14ac:dyDescent="0.2">
      <c r="C2" s="26" t="str">
        <f>Tekstnøgler!C419</f>
        <v>Reduktionsmålsætninger</v>
      </c>
      <c r="D2" s="27"/>
      <c r="E2" s="27"/>
      <c r="F2" s="27"/>
      <c r="G2" s="27"/>
      <c r="H2" s="27"/>
      <c r="I2" s="27"/>
      <c r="J2" s="290" t="str">
        <f>Tekstnøgler!$C$2</f>
        <v>&lt;-- Gå til forsiden</v>
      </c>
      <c r="K2" s="27"/>
    </row>
    <row r="3" spans="3:22" ht="15" customHeight="1" x14ac:dyDescent="0.2">
      <c r="C3" s="2"/>
    </row>
    <row r="4" spans="3:22" ht="15" customHeight="1" thickBot="1" x14ac:dyDescent="0.25">
      <c r="C4" s="29"/>
      <c r="D4" s="2"/>
    </row>
    <row r="5" spans="3:22" ht="15" customHeight="1" x14ac:dyDescent="0.15">
      <c r="C5" s="511" t="str">
        <f>Tekstnøgler!C420</f>
        <v>Basisberegning</v>
      </c>
      <c r="D5" s="512"/>
    </row>
    <row r="6" spans="3:22" ht="16.5" customHeight="1" thickBot="1" x14ac:dyDescent="0.2">
      <c r="C6" s="513" t="s">
        <v>32</v>
      </c>
      <c r="D6" s="514"/>
    </row>
    <row r="7" spans="3:22" ht="16.5" customHeight="1" x14ac:dyDescent="0.2">
      <c r="C7" s="29"/>
      <c r="D7" s="2"/>
    </row>
    <row r="9" spans="3:22" ht="20" x14ac:dyDescent="0.2">
      <c r="C9" s="26" t="str">
        <f>Tekstnøgler!C421</f>
        <v>Målsætning baseret på fremskrivning</v>
      </c>
      <c r="E9" s="27"/>
      <c r="J9" s="27"/>
    </row>
    <row r="10" spans="3:22" ht="21.75" customHeight="1" x14ac:dyDescent="0.15">
      <c r="D10" s="31"/>
      <c r="F10" s="31"/>
      <c r="G10" s="31"/>
      <c r="H10" s="31"/>
      <c r="I10" s="31"/>
      <c r="K10" s="31"/>
    </row>
    <row r="11" spans="3:22" ht="42" customHeight="1" x14ac:dyDescent="0.15">
      <c r="C11" s="507" t="str">
        <f>Tekstnøgler!C422</f>
        <v>Resultater er baseret på din virksomheds fremskrevne CO₂e-udledninger samt dit valg målsætningsmetode, målsætningsår og målsætning i procent. Dine valg og
indtastninger er skrevet op i boksen "Parametre" herunder. Du kan læse mere om, hvordan du kan sætte målsætninger i fanen "Reduktionsmålsætninger" på Klimakompassets hjemmeside</v>
      </c>
      <c r="D11" s="508"/>
      <c r="E11" s="508"/>
      <c r="F11" s="508"/>
      <c r="G11" s="508"/>
      <c r="H11" s="508"/>
      <c r="I11" s="508"/>
      <c r="J11" s="508"/>
      <c r="K11" s="508"/>
      <c r="L11" s="508"/>
      <c r="M11" s="508"/>
    </row>
    <row r="12" spans="3:22" ht="14" thickBot="1" x14ac:dyDescent="0.2">
      <c r="R12" s="137"/>
      <c r="S12" s="137"/>
      <c r="U12" s="137"/>
      <c r="V12" s="137"/>
    </row>
    <row r="13" spans="3:22" ht="16.5" customHeight="1" thickBot="1" x14ac:dyDescent="0.2">
      <c r="C13" s="515" t="str">
        <f>Tekstnøgler!$C$423</f>
        <v>Parametre</v>
      </c>
      <c r="D13" s="515"/>
      <c r="T13" s="137"/>
      <c r="U13" s="137"/>
      <c r="V13" s="137"/>
    </row>
    <row r="14" spans="3:22" ht="15.75" customHeight="1" thickBot="1" x14ac:dyDescent="0.2">
      <c r="C14" s="148" t="str">
        <f>Tekstnøgler!$C$424</f>
        <v>Målsætningsmetode</v>
      </c>
      <c r="D14" s="316" t="s">
        <v>39</v>
      </c>
      <c r="S14" s="137"/>
      <c r="T14" s="137"/>
    </row>
    <row r="15" spans="3:22" ht="15.75" customHeight="1" thickBot="1" x14ac:dyDescent="0.2">
      <c r="C15" s="148" t="str">
        <f>Tekstnøgler!$C$425</f>
        <v>Målsætningsår</v>
      </c>
      <c r="D15" s="208">
        <v>2030</v>
      </c>
      <c r="E15" s="201" t="str">
        <f>IF(D15&gt;MAX(2030,'Fremskrivning - Hovedresultater'!C11+10),"Målsætningsår må ikke være større end maks(2030;startår+10)","")</f>
        <v/>
      </c>
    </row>
    <row r="16" spans="3:22" ht="15.75" customHeight="1" x14ac:dyDescent="0.15">
      <c r="C16" s="148" t="str">
        <f>Tekstnøgler!$C$426</f>
        <v>Målsætning</v>
      </c>
      <c r="D16" s="360">
        <v>0.65</v>
      </c>
      <c r="E16" s="3" t="str">
        <f>IF(D16&gt;1,"Målsætning må ikke være større end 100%","")</f>
        <v/>
      </c>
    </row>
    <row r="17" spans="3:20" ht="15.75" customHeight="1" thickBot="1" x14ac:dyDescent="0.2">
      <c r="C17" s="148" t="str">
        <f>Tekstnøgler!$C$427</f>
        <v>Målsætning (Ton CO₂e)</v>
      </c>
      <c r="D17" s="271">
        <f>('Fremskrivning - Hovedresultater'!D25+'Fremskrivning - Hovedresultater'!D26)*(1-Reduktionsmålsætning!D16)</f>
        <v>6.3</v>
      </c>
      <c r="O17" s="135"/>
      <c r="P17" s="135"/>
      <c r="T17" s="137"/>
    </row>
    <row r="18" spans="3:20" ht="15.75" customHeight="1" thickBot="1" x14ac:dyDescent="0.2">
      <c r="C18" s="148" t="str">
        <f>Tekstnøgler!$C$428</f>
        <v>Fremskrevet udledning i målsætningsår</v>
      </c>
      <c r="D18" s="158">
        <f>LOOKUP($D$15,D49:S49,D52:S52)</f>
        <v>8</v>
      </c>
    </row>
    <row r="19" spans="3:20" ht="15.75" customHeight="1" thickBot="1" x14ac:dyDescent="0.2">
      <c r="C19" s="148" t="str">
        <f>IF(D18&gt;D17,Tekstnøgler!$C$430,Tekstnøgler!$C$429)</f>
        <v>Forskel til målet</v>
      </c>
      <c r="D19" s="361">
        <f>IF(D18&gt;D17,V61,V60)</f>
        <v>0.21250000000000002</v>
      </c>
      <c r="E19" s="82"/>
    </row>
    <row r="20" spans="3:20" ht="18.75" customHeight="1" x14ac:dyDescent="0.15">
      <c r="E20" s="9"/>
      <c r="J20" s="126"/>
    </row>
    <row r="21" spans="3:20" ht="42.75" customHeight="1" x14ac:dyDescent="0.15">
      <c r="C21" s="510" t="str">
        <f>IF(AND(V60="",V61&lt;&gt;""),Tekstnøgler!C464&amp;D16*100&amp;Tekstnøgler!C470&amp;D15&amp;", "&amp;CHAR(10)&amp;Tekstnøgler!C465&amp;ROUND(V61*100,0)&amp;Tekstnøgler!C466,Tekstnøgler!C467&amp;D16*100&amp;Tekstnøgler!C469&amp;D15&amp;". "&amp;CHAR(10)&amp;Tekstnøgler!C468)</f>
        <v>For at nå det udledningsniveau, som lever op til jeres egen målsætning om en 65% reduktion af scope 3 CO₂e-udledninger i 2030, 
skal disse CO₂e-udledninger reduceres med yderligere 21% i forhold til jeres fremskrevne udledninger.</v>
      </c>
      <c r="D21" s="510"/>
      <c r="E21" s="510"/>
      <c r="F21" s="510"/>
      <c r="G21" s="510"/>
      <c r="H21" s="510"/>
      <c r="I21" s="510"/>
      <c r="J21" s="510"/>
      <c r="K21" s="510"/>
      <c r="L21" s="332"/>
      <c r="M21" s="332"/>
      <c r="O21" s="190"/>
    </row>
    <row r="22" spans="3:20" ht="11.5" customHeight="1" x14ac:dyDescent="0.15">
      <c r="C22" s="6"/>
      <c r="D22" s="6"/>
      <c r="E22" s="126"/>
      <c r="F22" s="126"/>
      <c r="G22" s="132"/>
      <c r="H22" s="132"/>
      <c r="I22" s="132"/>
      <c r="J22" s="132"/>
      <c r="K22" s="6"/>
      <c r="L22" s="127"/>
      <c r="M22" s="7"/>
    </row>
    <row r="23" spans="3:20" ht="11.5" customHeight="1" x14ac:dyDescent="0.15">
      <c r="C23" s="138" t="str">
        <f>Tekstnøgler!C432</f>
        <v>Figur 1: Fremskrivning og mål for udledninger i scope 1 og 2</v>
      </c>
      <c r="D23" s="126"/>
      <c r="E23" s="6"/>
      <c r="F23" s="6"/>
      <c r="G23" s="81"/>
      <c r="H23" s="138"/>
      <c r="I23" s="138"/>
      <c r="J23" s="138"/>
      <c r="K23" s="138"/>
      <c r="L23" s="7"/>
      <c r="M23" s="7"/>
    </row>
    <row r="24" spans="3:20" ht="11.5" customHeight="1" x14ac:dyDescent="0.15">
      <c r="C24" s="6"/>
      <c r="D24" s="6"/>
      <c r="E24" s="6"/>
      <c r="F24" s="6"/>
      <c r="G24" s="81"/>
      <c r="H24" s="133"/>
      <c r="I24" s="133"/>
      <c r="J24" s="133"/>
      <c r="K24" s="133"/>
      <c r="L24" s="7"/>
      <c r="M24" s="7"/>
    </row>
    <row r="25" spans="3:20" ht="11.5" customHeight="1" x14ac:dyDescent="0.15">
      <c r="C25" s="6"/>
      <c r="D25" s="6"/>
      <c r="E25" s="6"/>
      <c r="F25" s="6"/>
      <c r="G25" s="6"/>
      <c r="H25" s="111"/>
      <c r="I25" s="111"/>
      <c r="J25" s="128"/>
      <c r="K25" s="128"/>
      <c r="L25" s="128"/>
      <c r="M25" s="128"/>
      <c r="N25" s="128"/>
      <c r="O25" s="127"/>
    </row>
    <row r="26" spans="3:20" ht="11.5" customHeight="1" x14ac:dyDescent="0.15">
      <c r="C26" s="6"/>
      <c r="D26" s="6"/>
      <c r="E26" s="6"/>
      <c r="F26" s="6"/>
      <c r="G26" s="6"/>
      <c r="H26" s="128"/>
      <c r="I26" s="128"/>
      <c r="J26" s="128"/>
      <c r="K26" s="128"/>
      <c r="L26" s="128"/>
      <c r="M26" s="128"/>
      <c r="N26" s="128"/>
      <c r="O26" s="127"/>
      <c r="P26" s="134"/>
    </row>
    <row r="27" spans="3:20" ht="11.5" customHeight="1" x14ac:dyDescent="0.15">
      <c r="C27" s="6"/>
      <c r="D27" s="6"/>
      <c r="E27" s="6"/>
      <c r="F27" s="6"/>
      <c r="G27" s="6"/>
      <c r="H27" s="128"/>
      <c r="I27" s="129"/>
      <c r="J27" s="128"/>
      <c r="K27" s="128"/>
      <c r="L27" s="128"/>
      <c r="M27" s="128"/>
      <c r="N27" s="128"/>
      <c r="O27" s="127"/>
      <c r="P27" s="134"/>
    </row>
    <row r="28" spans="3:20" ht="11.5" customHeight="1" x14ac:dyDescent="0.15">
      <c r="C28" s="6"/>
      <c r="D28" s="6"/>
      <c r="E28" s="6"/>
      <c r="F28" s="6"/>
      <c r="G28" s="6"/>
      <c r="H28" s="128"/>
      <c r="I28" s="129"/>
      <c r="J28" s="128"/>
      <c r="K28" s="128"/>
      <c r="L28" s="128"/>
      <c r="M28" s="128"/>
      <c r="N28" s="128"/>
    </row>
    <row r="29" spans="3:20" ht="11.5" customHeight="1" x14ac:dyDescent="0.15">
      <c r="C29" s="6"/>
      <c r="D29" s="6"/>
      <c r="E29" s="6"/>
      <c r="F29" s="6"/>
      <c r="G29" s="6"/>
      <c r="H29" s="111"/>
      <c r="I29" s="111"/>
      <c r="J29" s="128"/>
      <c r="K29" s="128"/>
      <c r="L29" s="128"/>
      <c r="M29" s="128"/>
      <c r="N29" s="128"/>
    </row>
    <row r="30" spans="3:20" ht="11.5" customHeight="1" x14ac:dyDescent="0.15">
      <c r="C30" s="6"/>
      <c r="D30" s="6"/>
      <c r="E30" s="6"/>
      <c r="F30" s="6"/>
      <c r="G30" s="6"/>
      <c r="H30" s="111"/>
      <c r="I30" s="111"/>
      <c r="J30" s="128"/>
      <c r="K30" s="128"/>
      <c r="L30" s="128"/>
      <c r="M30" s="128"/>
      <c r="N30" s="128"/>
    </row>
    <row r="31" spans="3:20" ht="11.5" customHeight="1" x14ac:dyDescent="0.15">
      <c r="C31" s="6"/>
      <c r="D31" s="6"/>
      <c r="E31" s="6"/>
      <c r="F31" s="6"/>
      <c r="H31" s="111"/>
      <c r="I31" s="111"/>
      <c r="J31" s="128"/>
      <c r="K31" s="128"/>
      <c r="L31" s="128"/>
      <c r="M31" s="128"/>
      <c r="N31" s="128"/>
      <c r="O31" s="136"/>
      <c r="P31" s="135"/>
    </row>
    <row r="32" spans="3:20" ht="11.5" customHeight="1" x14ac:dyDescent="0.15">
      <c r="C32" s="6"/>
      <c r="D32" s="6"/>
      <c r="E32" s="6"/>
      <c r="F32" s="6"/>
      <c r="G32" s="6"/>
      <c r="H32" s="6"/>
      <c r="I32" s="6"/>
      <c r="J32" s="128"/>
      <c r="K32" s="128"/>
      <c r="L32" s="128"/>
      <c r="M32" s="128"/>
      <c r="N32" s="128"/>
    </row>
    <row r="33" spans="3:20" ht="11.5" customHeight="1" x14ac:dyDescent="0.15">
      <c r="C33" s="6"/>
      <c r="D33" s="6"/>
      <c r="E33" s="6"/>
      <c r="F33" s="6"/>
      <c r="G33" s="6"/>
      <c r="H33" s="6"/>
      <c r="I33" s="6"/>
      <c r="J33" s="128"/>
      <c r="K33" s="128"/>
      <c r="L33" s="128"/>
      <c r="M33" s="128"/>
      <c r="N33" s="128"/>
      <c r="O33" s="137"/>
      <c r="P33" s="137"/>
    </row>
    <row r="34" spans="3:20" ht="11.5" customHeight="1" x14ac:dyDescent="0.15">
      <c r="C34" s="6"/>
      <c r="D34" s="6"/>
      <c r="E34" s="6"/>
      <c r="F34" s="6"/>
      <c r="G34" s="6"/>
      <c r="H34" s="6"/>
      <c r="I34" s="6"/>
      <c r="J34" s="128"/>
      <c r="K34" s="128"/>
      <c r="L34" s="128"/>
      <c r="M34" s="128"/>
      <c r="N34" s="128"/>
    </row>
    <row r="35" spans="3:20" ht="11.5" customHeight="1" x14ac:dyDescent="0.15">
      <c r="C35" s="6"/>
      <c r="D35" s="6"/>
      <c r="E35" s="6"/>
      <c r="F35" s="6"/>
      <c r="G35" s="6"/>
      <c r="H35" s="6"/>
      <c r="I35" s="6"/>
      <c r="J35" s="128"/>
      <c r="K35" s="128"/>
      <c r="L35" s="128"/>
      <c r="M35" s="128"/>
      <c r="N35" s="128"/>
      <c r="O35" s="127"/>
    </row>
    <row r="36" spans="3:20" ht="11.5" customHeight="1" x14ac:dyDescent="0.15">
      <c r="C36" s="6"/>
      <c r="D36" s="6"/>
      <c r="E36" s="6"/>
      <c r="F36" s="6"/>
      <c r="G36" s="6"/>
      <c r="H36" s="6"/>
      <c r="I36" s="6"/>
      <c r="J36" s="111"/>
      <c r="K36" s="111"/>
      <c r="L36" s="131"/>
      <c r="M36" s="131"/>
      <c r="N36" s="111"/>
      <c r="O36" s="127"/>
      <c r="P36" s="134"/>
    </row>
    <row r="37" spans="3:20" ht="11.5" customHeight="1" x14ac:dyDescent="0.15">
      <c r="C37" s="6"/>
      <c r="D37" s="6"/>
      <c r="E37" s="6"/>
      <c r="F37" s="6"/>
      <c r="G37" s="6"/>
      <c r="H37" s="6"/>
      <c r="J37" s="111"/>
      <c r="K37" s="111"/>
      <c r="L37" s="131"/>
      <c r="M37" s="131"/>
      <c r="N37" s="111"/>
      <c r="O37" s="127"/>
      <c r="P37" s="134"/>
    </row>
    <row r="38" spans="3:20" x14ac:dyDescent="0.15">
      <c r="C38" s="6"/>
      <c r="D38" s="6"/>
      <c r="E38" s="6"/>
      <c r="F38" s="6"/>
      <c r="J38" s="128"/>
      <c r="K38" s="128"/>
      <c r="L38" s="128"/>
      <c r="M38" s="128"/>
      <c r="N38" s="128"/>
    </row>
    <row r="39" spans="3:20" x14ac:dyDescent="0.15">
      <c r="C39" s="6"/>
      <c r="D39" s="6"/>
      <c r="E39" s="6"/>
      <c r="F39" s="6"/>
      <c r="J39" s="128"/>
      <c r="K39" s="128"/>
      <c r="L39" s="128"/>
      <c r="M39" s="128"/>
      <c r="N39" s="128"/>
    </row>
    <row r="40" spans="3:20" x14ac:dyDescent="0.15">
      <c r="C40" s="6"/>
      <c r="D40" s="6"/>
      <c r="J40" s="128"/>
      <c r="K40" s="128"/>
      <c r="L40" s="128"/>
      <c r="M40" s="128"/>
      <c r="N40" s="128"/>
    </row>
    <row r="41" spans="3:20" ht="17.25" customHeight="1" x14ac:dyDescent="0.15">
      <c r="J41" s="128"/>
      <c r="K41" s="128"/>
      <c r="L41" s="128"/>
      <c r="M41" s="128"/>
      <c r="N41" s="128"/>
    </row>
    <row r="42" spans="3:20" x14ac:dyDescent="0.15">
      <c r="J42" s="128"/>
      <c r="K42" s="128"/>
      <c r="L42" s="128"/>
      <c r="M42" s="128"/>
      <c r="N42" s="128"/>
    </row>
    <row r="43" spans="3:20" ht="12.75" customHeight="1" x14ac:dyDescent="0.15">
      <c r="E43" s="126"/>
      <c r="F43" s="126"/>
      <c r="J43" s="128"/>
      <c r="K43" s="128"/>
      <c r="L43" s="128"/>
      <c r="M43" s="128"/>
      <c r="N43" s="128"/>
    </row>
    <row r="44" spans="3:20" x14ac:dyDescent="0.15">
      <c r="C44" s="126"/>
      <c r="D44" s="126"/>
      <c r="J44" s="128"/>
      <c r="K44" s="128"/>
      <c r="L44" s="128"/>
      <c r="M44" s="128"/>
      <c r="N44" s="128"/>
    </row>
    <row r="45" spans="3:20" ht="26.5" customHeight="1" x14ac:dyDescent="0.15">
      <c r="J45" s="128"/>
      <c r="K45" s="128"/>
      <c r="L45" s="128"/>
      <c r="M45" s="128"/>
      <c r="N45" s="128"/>
    </row>
    <row r="46" spans="3:20" ht="24" customHeight="1" thickBot="1" x14ac:dyDescent="0.2">
      <c r="C46" s="422" t="str">
        <f>Tekstnøgler!C433</f>
        <v>Her ses tabelvisning af fremskevne udledninger til grund for målsætningen for scope 1 og 2 år for år</v>
      </c>
      <c r="D46" s="422"/>
      <c r="E46" s="422"/>
      <c r="F46" s="422"/>
      <c r="G46" s="422"/>
      <c r="H46" s="422"/>
      <c r="I46" s="422"/>
      <c r="J46" s="422"/>
      <c r="K46" s="422"/>
    </row>
    <row r="47" spans="3:20" ht="21.75" customHeight="1" thickBot="1" x14ac:dyDescent="0.2">
      <c r="C47" s="516" t="str">
        <f>Tekstnøgler!C434</f>
        <v>Tabel 1. Oversigt over virksomhedens CO₂e-udledninger fordelt på scope 1 og 2</v>
      </c>
      <c r="D47" s="516"/>
      <c r="E47" s="516"/>
      <c r="F47" s="516"/>
      <c r="G47" s="516"/>
      <c r="H47" s="516"/>
      <c r="I47" s="516"/>
      <c r="J47" s="152"/>
      <c r="K47" s="152"/>
      <c r="L47" s="152"/>
      <c r="M47" s="152"/>
      <c r="N47" s="152"/>
      <c r="O47" s="152"/>
      <c r="P47" s="152"/>
      <c r="Q47" s="152"/>
      <c r="R47" s="152"/>
      <c r="S47" s="152"/>
      <c r="T47" s="152"/>
    </row>
    <row r="48" spans="3:20" ht="15.75" customHeight="1" thickBot="1" x14ac:dyDescent="0.2">
      <c r="C48" s="161" t="str">
        <f>Tekstnøgler!C200</f>
        <v>Scope</v>
      </c>
      <c r="D48" s="517" t="str">
        <f>Tekstnøgler!C348</f>
        <v>Ton CO₂e</v>
      </c>
      <c r="E48" s="517"/>
      <c r="F48" s="517"/>
      <c r="G48" s="517"/>
      <c r="H48" s="517"/>
      <c r="I48" s="517"/>
      <c r="J48" s="517"/>
      <c r="K48" s="517"/>
      <c r="L48" s="517"/>
      <c r="M48" s="517"/>
      <c r="N48" s="517"/>
      <c r="O48" s="517"/>
      <c r="P48" s="517"/>
      <c r="Q48" s="517"/>
      <c r="R48" s="517"/>
      <c r="S48" s="517"/>
      <c r="T48" s="517"/>
    </row>
    <row r="49" spans="1:27" ht="15" customHeight="1" thickBot="1" x14ac:dyDescent="0.2">
      <c r="C49" s="162"/>
      <c r="D49" s="153">
        <v>2015</v>
      </c>
      <c r="E49" s="153">
        <v>2016</v>
      </c>
      <c r="F49" s="153">
        <v>2017</v>
      </c>
      <c r="G49" s="153">
        <v>2018</v>
      </c>
      <c r="H49" s="153">
        <v>2019</v>
      </c>
      <c r="I49" s="153">
        <v>2020</v>
      </c>
      <c r="J49" s="153">
        <v>2021</v>
      </c>
      <c r="K49" s="153">
        <v>2022</v>
      </c>
      <c r="L49" s="153">
        <v>2023</v>
      </c>
      <c r="M49" s="153">
        <v>2024</v>
      </c>
      <c r="N49" s="153">
        <v>2025</v>
      </c>
      <c r="O49" s="153">
        <v>2026</v>
      </c>
      <c r="P49" s="153">
        <v>2027</v>
      </c>
      <c r="Q49" s="153">
        <v>2028</v>
      </c>
      <c r="R49" s="153">
        <v>2029</v>
      </c>
      <c r="S49" s="153">
        <v>2030</v>
      </c>
      <c r="T49" s="315" t="str">
        <f>Tekstnøgler!$C$435&amp;" "&amp;$D$15</f>
        <v>Mål 2030</v>
      </c>
    </row>
    <row r="50" spans="1:27" ht="15" thickBot="1" x14ac:dyDescent="0.2">
      <c r="C50" s="156" t="str">
        <f>Tekstnøgler!C203</f>
        <v>Scope 1</v>
      </c>
      <c r="D50" s="155">
        <f>'Fremskrivning - Delresultater'!D16</f>
        <v>11</v>
      </c>
      <c r="E50" s="155">
        <f>'Fremskrivning - Delresultater'!E16</f>
        <v>8</v>
      </c>
      <c r="F50" s="155">
        <f>'Fremskrivning - Delresultater'!F16</f>
        <v>8</v>
      </c>
      <c r="G50" s="155">
        <f>'Fremskrivning - Delresultater'!G16</f>
        <v>8</v>
      </c>
      <c r="H50" s="155">
        <f>'Fremskrivning - Delresultater'!H16</f>
        <v>8</v>
      </c>
      <c r="I50" s="155">
        <f>'Fremskrivning - Delresultater'!I16</f>
        <v>8</v>
      </c>
      <c r="J50" s="155">
        <f>'Fremskrivning - Delresultater'!J16</f>
        <v>8</v>
      </c>
      <c r="K50" s="155">
        <f>'Fremskrivning - Delresultater'!K16</f>
        <v>8</v>
      </c>
      <c r="L50" s="155">
        <f>'Fremskrivning - Delresultater'!L16</f>
        <v>8</v>
      </c>
      <c r="M50" s="155">
        <f>'Fremskrivning - Delresultater'!M16</f>
        <v>8</v>
      </c>
      <c r="N50" s="155">
        <f>'Fremskrivning - Delresultater'!N16</f>
        <v>8</v>
      </c>
      <c r="O50" s="155">
        <f>'Fremskrivning - Delresultater'!O16</f>
        <v>8</v>
      </c>
      <c r="P50" s="155">
        <f>'Fremskrivning - Delresultater'!P16</f>
        <v>8</v>
      </c>
      <c r="Q50" s="155">
        <f>'Fremskrivning - Delresultater'!Q16</f>
        <v>8</v>
      </c>
      <c r="R50" s="155">
        <f>'Fremskrivning - Delresultater'!R16</f>
        <v>8</v>
      </c>
      <c r="S50" s="155">
        <f>'Fremskrivning - Delresultater'!S16</f>
        <v>4</v>
      </c>
      <c r="T50" s="155"/>
    </row>
    <row r="51" spans="1:27" ht="14" x14ac:dyDescent="0.15">
      <c r="C51" s="156" t="str">
        <f>Tekstnøgler!C204</f>
        <v>Scope 2</v>
      </c>
      <c r="D51" s="155">
        <f>'Fremskrivning - Delresultater'!D17</f>
        <v>7</v>
      </c>
      <c r="E51" s="155">
        <f>'Fremskrivning - Delresultater'!E17</f>
        <v>8</v>
      </c>
      <c r="F51" s="155">
        <f>'Fremskrivning - Delresultater'!F17</f>
        <v>8</v>
      </c>
      <c r="G51" s="155">
        <f>'Fremskrivning - Delresultater'!G17</f>
        <v>8</v>
      </c>
      <c r="H51" s="155">
        <f>'Fremskrivning - Delresultater'!H17</f>
        <v>8</v>
      </c>
      <c r="I51" s="155">
        <f>'Fremskrivning - Delresultater'!I17</f>
        <v>20</v>
      </c>
      <c r="J51" s="155">
        <f>'Fremskrivning - Delresultater'!J17</f>
        <v>8</v>
      </c>
      <c r="K51" s="155">
        <f>'Fremskrivning - Delresultater'!K17</f>
        <v>8</v>
      </c>
      <c r="L51" s="155">
        <f>'Fremskrivning - Delresultater'!L17</f>
        <v>8</v>
      </c>
      <c r="M51" s="155">
        <f>'Fremskrivning - Delresultater'!M17</f>
        <v>8</v>
      </c>
      <c r="N51" s="155">
        <f>'Fremskrivning - Delresultater'!N17</f>
        <v>8</v>
      </c>
      <c r="O51" s="155">
        <f>'Fremskrivning - Delresultater'!O17</f>
        <v>8</v>
      </c>
      <c r="P51" s="155">
        <f>'Fremskrivning - Delresultater'!P17</f>
        <v>8</v>
      </c>
      <c r="Q51" s="155">
        <f>'Fremskrivning - Delresultater'!Q17</f>
        <v>8</v>
      </c>
      <c r="R51" s="155">
        <f>'Fremskrivning - Delresultater'!R17</f>
        <v>21</v>
      </c>
      <c r="S51" s="155">
        <f>'Fremskrivning - Delresultater'!S17</f>
        <v>4</v>
      </c>
      <c r="T51" s="155"/>
    </row>
    <row r="52" spans="1:27" ht="14" x14ac:dyDescent="0.15">
      <c r="C52" s="154" t="str">
        <f>Tekstnøgler!C436</f>
        <v>Scope 1 og 2 (total)</v>
      </c>
      <c r="D52" s="157">
        <f t="shared" ref="D52:R52" si="0">SUM(D50:D51)</f>
        <v>18</v>
      </c>
      <c r="E52" s="157">
        <f t="shared" si="0"/>
        <v>16</v>
      </c>
      <c r="F52" s="157">
        <f t="shared" si="0"/>
        <v>16</v>
      </c>
      <c r="G52" s="157">
        <f t="shared" si="0"/>
        <v>16</v>
      </c>
      <c r="H52" s="157">
        <f t="shared" si="0"/>
        <v>16</v>
      </c>
      <c r="I52" s="157">
        <f t="shared" si="0"/>
        <v>28</v>
      </c>
      <c r="J52" s="157">
        <f t="shared" si="0"/>
        <v>16</v>
      </c>
      <c r="K52" s="157">
        <f t="shared" si="0"/>
        <v>16</v>
      </c>
      <c r="L52" s="157">
        <f t="shared" si="0"/>
        <v>16</v>
      </c>
      <c r="M52" s="157">
        <f t="shared" si="0"/>
        <v>16</v>
      </c>
      <c r="N52" s="157">
        <f t="shared" si="0"/>
        <v>16</v>
      </c>
      <c r="O52" s="157">
        <f t="shared" si="0"/>
        <v>16</v>
      </c>
      <c r="P52" s="157">
        <f t="shared" si="0"/>
        <v>16</v>
      </c>
      <c r="Q52" s="157">
        <f t="shared" si="0"/>
        <v>16</v>
      </c>
      <c r="R52" s="157">
        <f t="shared" si="0"/>
        <v>29</v>
      </c>
      <c r="S52" s="157">
        <f>SUM(S50:S51)</f>
        <v>8</v>
      </c>
      <c r="T52" s="157">
        <f>$D$17</f>
        <v>6.3</v>
      </c>
    </row>
    <row r="53" spans="1:27" ht="15" x14ac:dyDescent="0.2">
      <c r="C53" s="265" t="str">
        <f>Tekstnøgler!C426</f>
        <v>Målsætning</v>
      </c>
      <c r="D53" s="199"/>
      <c r="E53" s="203"/>
      <c r="F53" s="204"/>
      <c r="G53" s="204"/>
      <c r="H53" s="199"/>
      <c r="I53" s="199"/>
      <c r="J53" s="199"/>
      <c r="K53" s="199"/>
      <c r="L53" s="199"/>
      <c r="M53" s="199"/>
      <c r="N53" s="199"/>
      <c r="O53" s="199"/>
      <c r="P53" s="199"/>
      <c r="Q53" s="199"/>
      <c r="R53" s="199"/>
      <c r="S53" s="199"/>
      <c r="T53" s="200">
        <f>$D$17</f>
        <v>6.3</v>
      </c>
      <c r="W53" s="198" t="s">
        <v>26</v>
      </c>
      <c r="X53" s="198"/>
      <c r="Y53" s="128"/>
      <c r="Z53" s="128"/>
      <c r="AA53" s="128"/>
    </row>
    <row r="54" spans="1:27" ht="16" thickBot="1" x14ac:dyDescent="0.25">
      <c r="A54" s="198" t="s">
        <v>19</v>
      </c>
      <c r="C54" s="265"/>
      <c r="D54" s="199"/>
      <c r="E54" s="203"/>
      <c r="F54" s="204"/>
      <c r="G54" s="204"/>
      <c r="H54" s="199"/>
      <c r="I54" s="199"/>
      <c r="J54" s="199"/>
      <c r="K54" s="199"/>
      <c r="L54" s="199"/>
      <c r="M54" s="199"/>
      <c r="N54" s="199"/>
      <c r="O54" s="199"/>
      <c r="P54" s="199"/>
      <c r="Q54" s="199"/>
      <c r="R54" s="199"/>
      <c r="S54" s="199"/>
      <c r="T54" s="199"/>
      <c r="U54" s="239">
        <f>MIN($D$17,$D$18)</f>
        <v>6.3</v>
      </c>
      <c r="W54" s="198" t="s">
        <v>26</v>
      </c>
      <c r="X54" s="198"/>
      <c r="Y54" s="128"/>
      <c r="Z54" s="128"/>
      <c r="AA54" s="128"/>
    </row>
    <row r="55" spans="1:27" ht="16" thickBot="1" x14ac:dyDescent="0.25">
      <c r="A55" s="198"/>
      <c r="C55" s="368" t="str">
        <f>IF($D$17&gt;$D$18,Tekstnøgler!C437,Tekstnøgler!C449)</f>
        <v>(ikke relevant)</v>
      </c>
      <c r="D55" s="199"/>
      <c r="E55" s="203"/>
      <c r="F55" s="204"/>
      <c r="G55" s="204"/>
      <c r="H55" s="199"/>
      <c r="I55" s="199"/>
      <c r="J55" s="199"/>
      <c r="K55" s="199"/>
      <c r="L55" s="199"/>
      <c r="M55" s="199"/>
      <c r="N55" s="199"/>
      <c r="O55" s="199"/>
      <c r="P55" s="199"/>
      <c r="Q55" s="199"/>
      <c r="R55" s="199"/>
      <c r="S55" s="199"/>
      <c r="T55" s="199"/>
      <c r="U55" s="239">
        <f>-MIN($D$18-$D$17,0)</f>
        <v>0</v>
      </c>
      <c r="W55" s="198"/>
      <c r="X55" s="198"/>
      <c r="Y55" s="128"/>
      <c r="Z55" s="128"/>
      <c r="AA55" s="128"/>
    </row>
    <row r="56" spans="1:27" ht="16" thickBot="1" x14ac:dyDescent="0.25">
      <c r="A56" s="198" t="s">
        <v>19</v>
      </c>
      <c r="C56" s="272" t="str">
        <f>IF($D$17&lt;=$D$18,Tekstnøgler!C439,Tekstnøgler!C440)</f>
        <v>Forskel til målet</v>
      </c>
      <c r="D56" s="199"/>
      <c r="E56" s="203"/>
      <c r="F56" s="204"/>
      <c r="G56" s="204"/>
      <c r="H56" s="199"/>
      <c r="I56" s="199"/>
      <c r="J56" s="199"/>
      <c r="K56" s="199"/>
      <c r="L56" s="199"/>
      <c r="M56" s="199"/>
      <c r="N56" s="199"/>
      <c r="O56" s="199"/>
      <c r="P56" s="199"/>
      <c r="Q56" s="199"/>
      <c r="R56" s="199"/>
      <c r="S56" s="199"/>
      <c r="T56" s="199"/>
      <c r="U56" s="239">
        <f>MAX($D$18-$D$17,0)</f>
        <v>1.7000000000000002</v>
      </c>
      <c r="W56" s="198" t="s">
        <v>26</v>
      </c>
      <c r="X56" s="198"/>
      <c r="Y56" s="128"/>
      <c r="Z56" s="128"/>
      <c r="AA56" s="128"/>
    </row>
    <row r="57" spans="1:27" ht="16" thickBot="1" x14ac:dyDescent="0.25">
      <c r="A57" s="198"/>
      <c r="C57" s="266" t="str">
        <f>IF($D$18&lt;$D$17,Tekstnøgler!C594,Tekstnøgler!C595)</f>
        <v>Målsætning (%)</v>
      </c>
      <c r="D57" s="199"/>
      <c r="E57" s="203"/>
      <c r="F57" s="204"/>
      <c r="G57" s="204"/>
      <c r="H57" s="199"/>
      <c r="I57" s="199"/>
      <c r="J57" s="199"/>
      <c r="K57" s="199"/>
      <c r="L57" s="199"/>
      <c r="M57" s="199"/>
      <c r="N57" s="199"/>
      <c r="O57" s="199"/>
      <c r="P57" s="199"/>
      <c r="Q57" s="199"/>
      <c r="R57" s="199"/>
      <c r="S57" s="199"/>
      <c r="T57" s="199"/>
      <c r="U57" s="82"/>
      <c r="V57" s="369">
        <f>U54</f>
        <v>6.3</v>
      </c>
      <c r="W57" s="198"/>
      <c r="X57" s="198"/>
      <c r="Y57" s="128"/>
      <c r="Z57" s="128"/>
      <c r="AA57" s="128"/>
    </row>
    <row r="58" spans="1:27" ht="16" thickBot="1" x14ac:dyDescent="0.25">
      <c r="A58" s="198" t="s">
        <v>19</v>
      </c>
      <c r="C58" s="266" t="str">
        <f>IF($D$17&gt;$D$18,Tekstnøgler!C437,"")</f>
        <v/>
      </c>
      <c r="D58" s="199"/>
      <c r="E58" s="203"/>
      <c r="F58" s="204"/>
      <c r="G58" s="204"/>
      <c r="H58" s="199"/>
      <c r="I58" s="199"/>
      <c r="J58" s="199"/>
      <c r="K58" s="199"/>
      <c r="L58" s="199"/>
      <c r="M58" s="199"/>
      <c r="N58" s="199"/>
      <c r="O58" s="199"/>
      <c r="P58" s="199"/>
      <c r="Q58" s="199"/>
      <c r="R58" s="199"/>
      <c r="S58" s="199"/>
      <c r="T58" s="199"/>
      <c r="V58" s="240">
        <f>U55</f>
        <v>0</v>
      </c>
      <c r="W58" s="198" t="s">
        <v>26</v>
      </c>
      <c r="X58" s="198"/>
      <c r="Y58" s="128"/>
      <c r="Z58" s="128"/>
      <c r="AA58" s="128"/>
    </row>
    <row r="59" spans="1:27" ht="16" thickBot="1" x14ac:dyDescent="0.25">
      <c r="A59" s="198"/>
      <c r="C59" s="272" t="str">
        <f>IF($D$17&lt;=$D$18,Tekstnøgler!C596,"")</f>
        <v>Manglende reduction</v>
      </c>
      <c r="D59" s="199"/>
      <c r="E59" s="203"/>
      <c r="F59" s="204"/>
      <c r="G59" s="204"/>
      <c r="H59" s="199"/>
      <c r="I59" s="199"/>
      <c r="J59" s="199"/>
      <c r="K59" s="199"/>
      <c r="L59" s="199"/>
      <c r="M59" s="199"/>
      <c r="N59" s="199"/>
      <c r="O59" s="199"/>
      <c r="P59" s="199"/>
      <c r="Q59" s="199"/>
      <c r="R59" s="199"/>
      <c r="S59" s="199"/>
      <c r="T59" s="199"/>
      <c r="V59" s="240">
        <f>U56</f>
        <v>1.7000000000000002</v>
      </c>
      <c r="W59" s="198"/>
      <c r="X59" s="198"/>
      <c r="Y59" s="128"/>
      <c r="Z59" s="128"/>
      <c r="AA59" s="128"/>
    </row>
    <row r="60" spans="1:27" ht="16" thickBot="1" x14ac:dyDescent="0.25">
      <c r="A60" s="198" t="s">
        <v>19</v>
      </c>
      <c r="C60" s="272" t="s">
        <v>34</v>
      </c>
      <c r="D60" s="199"/>
      <c r="E60" s="203"/>
      <c r="F60" s="204"/>
      <c r="G60" s="204"/>
      <c r="H60" s="199"/>
      <c r="I60" s="199"/>
      <c r="J60" s="199"/>
      <c r="K60" s="199"/>
      <c r="L60" s="199"/>
      <c r="M60" s="199"/>
      <c r="N60" s="199"/>
      <c r="O60" s="199"/>
      <c r="P60" s="199"/>
      <c r="Q60" s="199"/>
      <c r="R60" s="199"/>
      <c r="S60" s="199"/>
      <c r="U60" s="199"/>
      <c r="V60" s="241" t="str">
        <f>IF($D$17&gt;$D$18,ROUND(($D$18-$D$17)/$D$18,3),"")</f>
        <v/>
      </c>
      <c r="W60" s="198" t="s">
        <v>26</v>
      </c>
      <c r="X60" s="198"/>
      <c r="Y60" s="128"/>
      <c r="Z60" s="128"/>
      <c r="AA60" s="128"/>
    </row>
    <row r="61" spans="1:27" ht="16" thickBot="1" x14ac:dyDescent="0.25">
      <c r="A61" s="198" t="s">
        <v>19</v>
      </c>
      <c r="C61" s="272" t="s">
        <v>35</v>
      </c>
      <c r="D61" s="199"/>
      <c r="E61" s="203"/>
      <c r="F61" s="204"/>
      <c r="G61" s="204"/>
      <c r="I61" s="199"/>
      <c r="J61" s="199"/>
      <c r="K61" s="199"/>
      <c r="L61" s="199"/>
      <c r="M61" s="199"/>
      <c r="N61" s="199"/>
      <c r="O61" s="199"/>
      <c r="P61" s="199"/>
      <c r="Q61" s="199"/>
      <c r="R61" s="199"/>
      <c r="S61" s="199"/>
      <c r="U61" s="199"/>
      <c r="V61" s="387">
        <f>IF(AND($D$18&lt;&gt;0,$D$18&gt;=$D$17),($D$18-$D$17)/$D$18,"")</f>
        <v>0.21250000000000002</v>
      </c>
      <c r="W61" s="198" t="s">
        <v>26</v>
      </c>
      <c r="X61" s="198"/>
      <c r="Y61" s="128"/>
      <c r="Z61" s="128"/>
      <c r="AA61" s="128"/>
    </row>
    <row r="62" spans="1:27" ht="37.5" customHeight="1" x14ac:dyDescent="0.15"/>
    <row r="63" spans="1:27" ht="20" x14ac:dyDescent="0.2">
      <c r="C63" s="26" t="str">
        <f>Tekstnøgler!C441</f>
        <v>Reduktionsmålsætning for Scope 3</v>
      </c>
      <c r="E63" s="27"/>
      <c r="J63" s="27"/>
    </row>
    <row r="64" spans="1:27" ht="21.75" customHeight="1" x14ac:dyDescent="0.15">
      <c r="D64" s="31"/>
      <c r="F64" s="31"/>
      <c r="G64" s="31"/>
      <c r="H64" s="31"/>
      <c r="I64" s="31"/>
      <c r="K64" s="31"/>
    </row>
    <row r="65" spans="3:17" ht="45.5" customHeight="1" x14ac:dyDescent="0.15">
      <c r="C65" s="507" t="str">
        <f>Tekstnøgler!C442</f>
        <v>Resultater er baseret på din virksomheds fremskrevne CO₂e-udledninger samt dit valg målsætningsmetode, målsætningsår og målsætning i procent. Dine valg og indtastninger er skrevet op i boksen "Parametre" herunder. Du kan læse mere om, hvordan du kan sætte målsætninger i fanen "Reduktionsmålsætninger" på Klimakompassets hjemmeside</v>
      </c>
      <c r="D65" s="508"/>
      <c r="E65" s="508"/>
      <c r="F65" s="508"/>
      <c r="G65" s="508"/>
      <c r="H65" s="508"/>
      <c r="I65" s="508"/>
      <c r="J65" s="508"/>
      <c r="K65" s="508"/>
      <c r="L65" s="508"/>
      <c r="M65" s="508"/>
    </row>
    <row r="66" spans="3:17" ht="14" thickBot="1" x14ac:dyDescent="0.2"/>
    <row r="67" spans="3:17" ht="16.5" customHeight="1" thickBot="1" x14ac:dyDescent="0.2">
      <c r="C67" s="515" t="str">
        <f>Tekstnøgler!$C$423</f>
        <v>Parametre</v>
      </c>
      <c r="D67" s="515"/>
    </row>
    <row r="68" spans="3:17" ht="15" thickBot="1" x14ac:dyDescent="0.2">
      <c r="C68" s="148" t="str">
        <f>Tekstnøgler!$C$424</f>
        <v>Målsætningsmetode</v>
      </c>
      <c r="D68" s="316" t="s">
        <v>1166</v>
      </c>
    </row>
    <row r="69" spans="3:17" ht="15" thickBot="1" x14ac:dyDescent="0.2">
      <c r="C69" s="148" t="str">
        <f>Tekstnøgler!$C$425</f>
        <v>Målsætningsår</v>
      </c>
      <c r="D69" s="208">
        <v>2030</v>
      </c>
      <c r="E69" s="3" t="str">
        <f>IF(D69&gt;MAX(2030,'Fremskrivning - Hovedresultater'!C11+10),"Målsætningsår må ikke være større end maks(2030;Startår +10)","")</f>
        <v/>
      </c>
    </row>
    <row r="70" spans="3:17" ht="15.75" customHeight="1" x14ac:dyDescent="0.15">
      <c r="C70" s="148" t="str">
        <f>Tekstnøgler!$C$426</f>
        <v>Målsætning</v>
      </c>
      <c r="D70" s="360">
        <v>0.65</v>
      </c>
      <c r="E70" s="3" t="str">
        <f>IF(D70&gt;1,"Målsætning må ikke være større end 100%","")</f>
        <v/>
      </c>
    </row>
    <row r="71" spans="3:17" ht="18" customHeight="1" thickBot="1" x14ac:dyDescent="0.2">
      <c r="C71" s="148" t="str">
        <f>Tekstnøgler!$C$427</f>
        <v>Målsætning (Ton CO₂e)</v>
      </c>
      <c r="D71" s="271">
        <f>D103*(1-Reduktionsmålsætning!D70)</f>
        <v>1.8759999999999999</v>
      </c>
    </row>
    <row r="72" spans="3:17" ht="18.75" customHeight="1" thickBot="1" x14ac:dyDescent="0.2">
      <c r="C72" s="148" t="str">
        <f>Tekstnøgler!$C$428</f>
        <v>Fremskrevet udledning i målsætningsår</v>
      </c>
      <c r="D72" s="158">
        <f>LOOKUP(D69,D102:S102,D103:S103)</f>
        <v>3.35</v>
      </c>
      <c r="E72" s="82"/>
      <c r="K72" s="6"/>
      <c r="L72" s="7"/>
      <c r="M72" s="7"/>
    </row>
    <row r="73" spans="3:17" ht="15.75" customHeight="1" thickBot="1" x14ac:dyDescent="0.2">
      <c r="C73" s="148" t="str">
        <f>IF(D72&gt;D71,Tekstnøgler!$C$430,Tekstnøgler!$C$429)</f>
        <v>Forskel til målet</v>
      </c>
      <c r="D73" s="361">
        <f>IF(D72&gt;D71,V113,V112)</f>
        <v>0.44000000000000006</v>
      </c>
      <c r="E73" s="82"/>
    </row>
    <row r="74" spans="3:17" ht="18.75" customHeight="1" x14ac:dyDescent="0.15">
      <c r="D74" s="331"/>
      <c r="E74" s="331"/>
      <c r="F74" s="331"/>
      <c r="G74" s="331"/>
      <c r="H74" s="331"/>
      <c r="I74" s="331"/>
      <c r="J74" s="331"/>
      <c r="K74" s="331"/>
      <c r="L74" s="7"/>
      <c r="M74" s="7"/>
    </row>
    <row r="75" spans="3:17" ht="36" customHeight="1" x14ac:dyDescent="0.15">
      <c r="C75" s="510" t="str">
        <f>IF(V112="",Tekstnøgler!C464&amp;D70*100&amp;Tekstnøgler!C470&amp;D69&amp;", "&amp;CHAR(10)&amp;Tekstnøgler!C465&amp;ROUND(V113*100,0)&amp;Tekstnøgler!C466,Tekstnøgler!C467&amp;D70*100&amp;Tekstnøgler!C470&amp;D69&amp;". "&amp;CHAR(10)&amp;Tekstnøgler!C468)</f>
        <v>For at nå det udledningsniveau, som lever op til jeres egen målsætning om en 65% reduktion af scope 3 CO₂e-udledninger i 2030, 
skal disse CO₂e-udledninger reduceres med yderligere 44% i forhold til jeres fremskrevne udledninger.</v>
      </c>
      <c r="D75" s="510"/>
      <c r="E75" s="510"/>
      <c r="F75" s="510"/>
      <c r="G75" s="510"/>
      <c r="H75" s="510"/>
      <c r="I75" s="510"/>
      <c r="J75" s="510"/>
      <c r="K75" s="510"/>
      <c r="L75" s="331"/>
      <c r="M75" s="331"/>
    </row>
    <row r="77" spans="3:17" x14ac:dyDescent="0.15">
      <c r="C77" s="138" t="str">
        <f>Tekstnøgler!C444</f>
        <v>Figur 2: Fremskrivning og mål for udledninger i scope 3</v>
      </c>
      <c r="H77" s="138"/>
      <c r="I77" s="138"/>
      <c r="J77" s="138"/>
      <c r="K77" s="138"/>
    </row>
    <row r="78" spans="3:17" x14ac:dyDescent="0.15">
      <c r="K78" s="128"/>
      <c r="L78" s="128"/>
      <c r="M78" s="128"/>
      <c r="N78" s="128"/>
      <c r="O78" s="128"/>
      <c r="P78" s="128"/>
      <c r="Q78" s="128"/>
    </row>
    <row r="79" spans="3:17" x14ac:dyDescent="0.15">
      <c r="K79" s="128"/>
      <c r="L79" s="128"/>
      <c r="M79" s="128"/>
      <c r="N79" s="128"/>
      <c r="O79" s="128"/>
      <c r="P79" s="128"/>
      <c r="Q79" s="128"/>
    </row>
    <row r="80" spans="3:17" x14ac:dyDescent="0.15">
      <c r="K80" s="128"/>
      <c r="L80" s="128"/>
      <c r="M80" s="139"/>
      <c r="N80" s="140"/>
      <c r="O80" s="128"/>
      <c r="P80" s="128"/>
      <c r="Q80" s="128"/>
    </row>
    <row r="81" spans="11:17" x14ac:dyDescent="0.15">
      <c r="K81" s="128"/>
      <c r="L81" s="128"/>
      <c r="M81" s="139"/>
      <c r="N81" s="128"/>
      <c r="O81" s="128"/>
      <c r="P81" s="128"/>
      <c r="Q81" s="128"/>
    </row>
    <row r="82" spans="11:17" x14ac:dyDescent="0.15">
      <c r="K82" s="128"/>
      <c r="L82" s="128"/>
      <c r="M82" s="141"/>
      <c r="N82" s="141"/>
      <c r="O82" s="128"/>
      <c r="P82" s="128"/>
      <c r="Q82" s="128"/>
    </row>
    <row r="83" spans="11:17" x14ac:dyDescent="0.15">
      <c r="K83" s="128"/>
      <c r="L83" s="128"/>
      <c r="M83" s="128"/>
      <c r="N83" s="128"/>
      <c r="P83" s="128"/>
      <c r="Q83" s="128"/>
    </row>
    <row r="84" spans="11:17" x14ac:dyDescent="0.15">
      <c r="K84" s="128"/>
      <c r="L84" s="128"/>
      <c r="M84" s="128"/>
      <c r="N84" s="128"/>
      <c r="O84" s="128"/>
      <c r="P84" s="128"/>
      <c r="Q84" s="128"/>
    </row>
    <row r="85" spans="11:17" x14ac:dyDescent="0.15">
      <c r="K85" s="128"/>
      <c r="L85" s="128"/>
      <c r="M85" s="128"/>
      <c r="N85" s="128"/>
      <c r="O85" s="128"/>
      <c r="P85" s="128"/>
      <c r="Q85" s="128"/>
    </row>
    <row r="86" spans="11:17" x14ac:dyDescent="0.15">
      <c r="K86" s="128"/>
      <c r="L86" s="128"/>
      <c r="M86" s="128"/>
      <c r="N86" s="128"/>
      <c r="O86" s="128"/>
      <c r="P86" s="128"/>
      <c r="Q86" s="128"/>
    </row>
    <row r="87" spans="11:17" x14ac:dyDescent="0.15">
      <c r="K87" s="128"/>
      <c r="L87" s="128"/>
      <c r="M87" s="128"/>
      <c r="N87" s="128"/>
    </row>
    <row r="88" spans="11:17" x14ac:dyDescent="0.15">
      <c r="K88" s="128"/>
    </row>
    <row r="89" spans="11:17" x14ac:dyDescent="0.15">
      <c r="K89" s="128"/>
      <c r="L89" s="128"/>
      <c r="M89" s="128"/>
      <c r="N89" s="128"/>
    </row>
    <row r="90" spans="11:17" x14ac:dyDescent="0.15">
      <c r="K90" s="128"/>
      <c r="L90" s="128"/>
      <c r="M90" s="128"/>
      <c r="N90" s="128"/>
    </row>
    <row r="91" spans="11:17" x14ac:dyDescent="0.15">
      <c r="K91" s="128"/>
      <c r="L91" s="128"/>
      <c r="M91" s="128"/>
      <c r="N91" s="128"/>
    </row>
    <row r="92" spans="11:17" x14ac:dyDescent="0.15">
      <c r="K92" s="128"/>
      <c r="L92" s="128"/>
      <c r="M92" s="128"/>
      <c r="N92" s="128"/>
    </row>
    <row r="93" spans="11:17" x14ac:dyDescent="0.15">
      <c r="K93" s="128"/>
      <c r="L93" s="128"/>
      <c r="M93" s="128"/>
      <c r="N93" s="128"/>
    </row>
    <row r="94" spans="11:17" x14ac:dyDescent="0.15">
      <c r="K94" s="128"/>
      <c r="L94" s="128"/>
      <c r="M94" s="128"/>
      <c r="N94" s="128"/>
    </row>
    <row r="97" spans="1:27" ht="54.75" customHeight="1" x14ac:dyDescent="0.15"/>
    <row r="98" spans="1:27" x14ac:dyDescent="0.15">
      <c r="C98" s="422" t="str">
        <f>Tekstnøgler!C445</f>
        <v>Her ses tabelvisning af fremskevne udledninger til grund for målsætningen for scope 3 år for år</v>
      </c>
      <c r="D98" s="422"/>
      <c r="E98" s="422"/>
      <c r="F98" s="422"/>
      <c r="G98" s="422"/>
      <c r="H98" s="422"/>
      <c r="I98" s="422"/>
      <c r="J98" s="422"/>
      <c r="K98" s="422"/>
    </row>
    <row r="99" spans="1:27" ht="14" thickBot="1" x14ac:dyDescent="0.2"/>
    <row r="100" spans="1:27" ht="20.25" customHeight="1" thickBot="1" x14ac:dyDescent="0.2">
      <c r="C100" s="516" t="str">
        <f>Tekstnøgler!C446</f>
        <v>Tabel 2. Oversigt over virksomhedens CO₂e-udledninger i scope 3</v>
      </c>
      <c r="D100" s="516"/>
      <c r="E100" s="516"/>
      <c r="F100" s="516"/>
      <c r="G100" s="516"/>
      <c r="H100" s="152"/>
      <c r="I100" s="152"/>
      <c r="J100" s="152"/>
      <c r="K100" s="152"/>
      <c r="L100" s="152"/>
      <c r="M100" s="152"/>
      <c r="N100" s="152"/>
      <c r="O100" s="152"/>
      <c r="P100" s="152"/>
      <c r="Q100" s="152"/>
      <c r="R100" s="152"/>
      <c r="S100" s="152"/>
      <c r="T100" s="152"/>
    </row>
    <row r="101" spans="1:27" ht="15.75" customHeight="1" thickBot="1" x14ac:dyDescent="0.2">
      <c r="C101" s="159" t="str">
        <f>Tekstnøgler!C200</f>
        <v>Scope</v>
      </c>
      <c r="D101" s="518" t="str">
        <f>Tekstnøgler!C348</f>
        <v>Ton CO₂e</v>
      </c>
      <c r="E101" s="519"/>
      <c r="F101" s="519"/>
      <c r="G101" s="519"/>
      <c r="H101" s="519"/>
      <c r="I101" s="519"/>
      <c r="J101" s="519"/>
      <c r="K101" s="519"/>
      <c r="L101" s="519"/>
      <c r="M101" s="519"/>
      <c r="N101" s="519"/>
      <c r="O101" s="519"/>
      <c r="P101" s="519"/>
      <c r="Q101" s="519"/>
      <c r="R101" s="519"/>
      <c r="S101" s="519"/>
      <c r="T101" s="520"/>
    </row>
    <row r="102" spans="1:27" ht="15" customHeight="1" thickBot="1" x14ac:dyDescent="0.2">
      <c r="C102" s="160"/>
      <c r="D102" s="153">
        <v>2015</v>
      </c>
      <c r="E102" s="153">
        <v>2016</v>
      </c>
      <c r="F102" s="153">
        <v>2017</v>
      </c>
      <c r="G102" s="153">
        <v>2018</v>
      </c>
      <c r="H102" s="153">
        <v>2019</v>
      </c>
      <c r="I102" s="153">
        <v>2020</v>
      </c>
      <c r="J102" s="153">
        <v>2021</v>
      </c>
      <c r="K102" s="153">
        <v>2022</v>
      </c>
      <c r="L102" s="153">
        <v>2023</v>
      </c>
      <c r="M102" s="153">
        <v>2024</v>
      </c>
      <c r="N102" s="153">
        <v>2025</v>
      </c>
      <c r="O102" s="153">
        <v>2026</v>
      </c>
      <c r="P102" s="153">
        <v>2027</v>
      </c>
      <c r="Q102" s="153">
        <v>2028</v>
      </c>
      <c r="R102" s="153">
        <v>2029</v>
      </c>
      <c r="S102" s="153">
        <v>2030</v>
      </c>
      <c r="T102" s="153" t="str">
        <f>Tekstnøgler!$C$435&amp;" "&amp;$D$69</f>
        <v>Mål 2030</v>
      </c>
    </row>
    <row r="103" spans="1:27" ht="15" thickBot="1" x14ac:dyDescent="0.2">
      <c r="C103" s="154" t="str">
        <f>Tekstnøgler!C205</f>
        <v>Scope 3</v>
      </c>
      <c r="D103" s="207">
        <f>IF($D$68="SBTI",0.67*'Fremskrivning - Delresultater'!D18,'Fremskrivning - Delresultater'!D18)</f>
        <v>5.36</v>
      </c>
      <c r="E103" s="207">
        <f>IF($D$68="SBTI",0.67*'Fremskrivning - Delresultater'!E18,'Fremskrivning - Delresultater'!E18)</f>
        <v>5.36</v>
      </c>
      <c r="F103" s="207">
        <f>IF($D$68="SBTI",0.67*'Fremskrivning - Delresultater'!F18,'Fremskrivning - Delresultater'!F18)</f>
        <v>5.36</v>
      </c>
      <c r="G103" s="207">
        <f>IF($D$68="SBTI",0.67*'Fremskrivning - Delresultater'!G18,'Fremskrivning - Delresultater'!G18)</f>
        <v>5.36</v>
      </c>
      <c r="H103" s="207">
        <f>IF($D$68="SBTI",0.67*'Fremskrivning - Delresultater'!H18,'Fremskrivning - Delresultater'!H18)</f>
        <v>5.36</v>
      </c>
      <c r="I103" s="207">
        <f>IF($D$68="SBTI",0.67*'Fremskrivning - Delresultater'!I18,'Fremskrivning - Delresultater'!I18)</f>
        <v>5.36</v>
      </c>
      <c r="J103" s="207">
        <f>IF($D$68="SBTI",0.67*'Fremskrivning - Delresultater'!J18,'Fremskrivning - Delresultater'!J18)</f>
        <v>5.36</v>
      </c>
      <c r="K103" s="207">
        <f>IF($D$68="SBTI",0.67*'Fremskrivning - Delresultater'!K18,'Fremskrivning - Delresultater'!K18)</f>
        <v>5.36</v>
      </c>
      <c r="L103" s="207">
        <f>IF($D$68="SBTI",0.67*'Fremskrivning - Delresultater'!L18,'Fremskrivning - Delresultater'!L18)</f>
        <v>5.36</v>
      </c>
      <c r="M103" s="207">
        <f>IF($D$68="SBTI",0.67*'Fremskrivning - Delresultater'!M18,'Fremskrivning - Delresultater'!M18)</f>
        <v>5.36</v>
      </c>
      <c r="N103" s="207">
        <f>IF($D$68="SBTI",0.67*'Fremskrivning - Delresultater'!N18,'Fremskrivning - Delresultater'!N18)</f>
        <v>5.36</v>
      </c>
      <c r="O103" s="207">
        <f>IF($D$68="SBTI",0.67*'Fremskrivning - Delresultater'!O18,'Fremskrivning - Delresultater'!O18)</f>
        <v>5.36</v>
      </c>
      <c r="P103" s="207">
        <f>IF($D$68="SBTI",0.67*'Fremskrivning - Delresultater'!P18,'Fremskrivning - Delresultater'!P18)</f>
        <v>5.36</v>
      </c>
      <c r="Q103" s="207">
        <f>IF($D$68="SBTI",0.67*'Fremskrivning - Delresultater'!Q18,'Fremskrivning - Delresultater'!Q18)</f>
        <v>13.4</v>
      </c>
      <c r="R103" s="207">
        <f>IF($D$68="SBTI",0.67*'Fremskrivning - Delresultater'!R18,'Fremskrivning - Delresultater'!R18)</f>
        <v>5.36</v>
      </c>
      <c r="S103" s="207">
        <f>IF($D$68="SBTI",0.67*'Fremskrivning - Delresultater'!S18,'Fremskrivning - Delresultater'!S18)</f>
        <v>3.35</v>
      </c>
      <c r="T103" s="155"/>
    </row>
    <row r="104" spans="1:27" ht="15" thickBot="1" x14ac:dyDescent="0.2">
      <c r="C104" s="154" t="str">
        <f>Tekstnøgler!C599</f>
        <v>Scope 3 andel, udenfor målsætning</v>
      </c>
      <c r="D104" s="367">
        <f>IF($D$68="SBTI",0.33*'Fremskrivning - Delresultater'!D18,"")</f>
        <v>2.64</v>
      </c>
      <c r="E104" s="367">
        <f>IF($D$68="SBTI",0.33*'Fremskrivning - Delresultater'!E18,"")</f>
        <v>2.64</v>
      </c>
      <c r="F104" s="367">
        <f>IF($D$68="SBTI",0.33*'Fremskrivning - Delresultater'!F18,"")</f>
        <v>2.64</v>
      </c>
      <c r="G104" s="367">
        <f>IF($D$68="SBTI",0.33*'Fremskrivning - Delresultater'!G18,"")</f>
        <v>2.64</v>
      </c>
      <c r="H104" s="367">
        <f>IF($D$68="SBTI",0.33*'Fremskrivning - Delresultater'!H18,"")</f>
        <v>2.64</v>
      </c>
      <c r="I104" s="367">
        <f>IF($D$68="SBTI",0.33*'Fremskrivning - Delresultater'!I18,"")</f>
        <v>2.64</v>
      </c>
      <c r="J104" s="367">
        <f>IF($D$68="SBTI",0.33*'Fremskrivning - Delresultater'!J18,"")</f>
        <v>2.64</v>
      </c>
      <c r="K104" s="367">
        <f>IF($D$68="SBTI",0.33*'Fremskrivning - Delresultater'!K18,"")</f>
        <v>2.64</v>
      </c>
      <c r="L104" s="367">
        <f>IF($D$68="SBTI",0.33*'Fremskrivning - Delresultater'!L18,"")</f>
        <v>2.64</v>
      </c>
      <c r="M104" s="367">
        <f>IF($D$68="SBTI",0.33*'Fremskrivning - Delresultater'!M18,"")</f>
        <v>2.64</v>
      </c>
      <c r="N104" s="367">
        <f>IF($D$68="SBTI",0.33*'Fremskrivning - Delresultater'!N18,"")</f>
        <v>2.64</v>
      </c>
      <c r="O104" s="367">
        <f>IF($D$68="SBTI",0.33*'Fremskrivning - Delresultater'!O18,"")</f>
        <v>2.64</v>
      </c>
      <c r="P104" s="367">
        <f>IF($D$68="SBTI",0.33*'Fremskrivning - Delresultater'!P18,"")</f>
        <v>2.64</v>
      </c>
      <c r="Q104" s="367">
        <f>IF($D$68="SBTI",0.33*'Fremskrivning - Delresultater'!Q18,"")</f>
        <v>6.6000000000000005</v>
      </c>
      <c r="R104" s="367">
        <f>IF($D$68="SBTI",0.33*'Fremskrivning - Delresultater'!R18,"")</f>
        <v>2.64</v>
      </c>
      <c r="S104" s="367">
        <f>IF($D$68="SBTI",0.33*'Fremskrivning - Delresultater'!S18,"")</f>
        <v>1.6500000000000001</v>
      </c>
      <c r="T104" s="367"/>
    </row>
    <row r="105" spans="1:27" ht="15" thickBot="1" x14ac:dyDescent="0.2">
      <c r="C105" s="205" t="str">
        <f>Tekstnøgler!C597</f>
        <v>Målsætning for scope 3</v>
      </c>
      <c r="D105" s="200"/>
      <c r="E105" s="200"/>
      <c r="F105" s="200"/>
      <c r="G105" s="200"/>
      <c r="H105" s="200"/>
      <c r="I105" s="200"/>
      <c r="J105" s="200"/>
      <c r="K105" s="200"/>
      <c r="L105" s="200"/>
      <c r="M105" s="200"/>
      <c r="N105" s="200"/>
      <c r="O105" s="200"/>
      <c r="P105" s="200"/>
      <c r="Q105" s="200"/>
      <c r="R105" s="200"/>
      <c r="S105" s="200"/>
      <c r="T105" s="206">
        <f>$D$71</f>
        <v>1.8759999999999999</v>
      </c>
      <c r="Y105" s="128"/>
      <c r="Z105" s="128"/>
      <c r="AA105" s="128"/>
    </row>
    <row r="106" spans="1:27" ht="16" thickBot="1" x14ac:dyDescent="0.25">
      <c r="A106" s="198" t="s">
        <v>19</v>
      </c>
      <c r="C106" s="265" t="str">
        <f>IF($D$71&gt;$D$72,Tekstnøgler!C598,Tekstnøgler!C597)</f>
        <v>Målsætning for scope 3</v>
      </c>
      <c r="D106" s="199"/>
      <c r="F106" s="204"/>
      <c r="G106" s="204"/>
      <c r="H106" s="199"/>
      <c r="I106" s="199"/>
      <c r="J106" s="199"/>
      <c r="K106" s="199"/>
      <c r="L106" s="199"/>
      <c r="M106" s="199"/>
      <c r="N106" s="199"/>
      <c r="O106" s="199"/>
      <c r="P106" s="199"/>
      <c r="Q106" s="199"/>
      <c r="R106" s="199"/>
      <c r="S106" s="199"/>
      <c r="T106" s="199"/>
      <c r="U106" s="239">
        <f>MIN($D$71,$D$72)</f>
        <v>1.8759999999999999</v>
      </c>
      <c r="W106" s="198" t="s">
        <v>26</v>
      </c>
      <c r="X106" s="198"/>
      <c r="Y106" s="128"/>
      <c r="Z106" s="128"/>
      <c r="AA106" s="128"/>
    </row>
    <row r="107" spans="1:27" ht="16" thickBot="1" x14ac:dyDescent="0.25">
      <c r="A107" s="198" t="s">
        <v>19</v>
      </c>
      <c r="C107" s="266" t="str">
        <f>IF($D$71&gt;$D$72,Tekstnøgler!C448,Tekstnøgler!C449)</f>
        <v>(ikke relevant)</v>
      </c>
      <c r="D107" s="199"/>
      <c r="E107" s="204"/>
      <c r="F107" s="204"/>
      <c r="H107" s="199"/>
      <c r="I107" s="199"/>
      <c r="J107" s="199"/>
      <c r="K107" s="199"/>
      <c r="L107" s="199"/>
      <c r="M107" s="199"/>
      <c r="N107" s="199"/>
      <c r="O107" s="199"/>
      <c r="P107" s="199"/>
      <c r="Q107" s="199"/>
      <c r="R107" s="199"/>
      <c r="S107" s="199"/>
      <c r="T107" s="199"/>
      <c r="U107" s="239">
        <f>-MIN($D$72-$D$71,0)</f>
        <v>0</v>
      </c>
      <c r="W107" s="198" t="s">
        <v>26</v>
      </c>
      <c r="X107" s="198"/>
      <c r="Y107" s="128"/>
      <c r="Z107" s="128"/>
      <c r="AA107" s="128"/>
    </row>
    <row r="108" spans="1:27" ht="16" thickBot="1" x14ac:dyDescent="0.25">
      <c r="A108" s="198" t="s">
        <v>19</v>
      </c>
      <c r="C108" s="272" t="str">
        <f>IF($D$71&lt;=$D$72,Tekstnøgler!C450,Tekstnøgler!C451)</f>
        <v>Forskel til målet</v>
      </c>
      <c r="D108" s="199"/>
      <c r="E108" s="204"/>
      <c r="F108" s="204"/>
      <c r="H108" s="199"/>
      <c r="I108" s="199"/>
      <c r="J108" s="199"/>
      <c r="K108" s="199"/>
      <c r="L108" s="199"/>
      <c r="M108" s="199"/>
      <c r="N108" s="199"/>
      <c r="O108" s="199"/>
      <c r="P108" s="199"/>
      <c r="Q108" s="199"/>
      <c r="R108" s="199"/>
      <c r="S108" s="199"/>
      <c r="T108" s="199"/>
      <c r="U108" s="239">
        <f>MAX($D$72-$D$71,0)</f>
        <v>1.4740000000000002</v>
      </c>
      <c r="W108" s="198" t="s">
        <v>26</v>
      </c>
      <c r="X108" s="198"/>
      <c r="Y108" s="128"/>
      <c r="Z108" s="128"/>
      <c r="AA108" s="128"/>
    </row>
    <row r="109" spans="1:27" ht="16" thickBot="1" x14ac:dyDescent="0.25">
      <c r="A109" s="198" t="s">
        <v>19</v>
      </c>
      <c r="C109" s="265" t="str">
        <f>IF($D$72&lt;$D$71,Tekstnøgler!C594,Tekstnøgler!C595)</f>
        <v>Målsætning (%)</v>
      </c>
      <c r="D109" s="199"/>
      <c r="F109" s="204"/>
      <c r="G109" s="204"/>
      <c r="H109" s="199"/>
      <c r="I109" s="199"/>
      <c r="J109" s="199"/>
      <c r="K109" s="199"/>
      <c r="L109" s="199"/>
      <c r="M109" s="199"/>
      <c r="N109" s="199"/>
      <c r="O109" s="199"/>
      <c r="P109" s="199"/>
      <c r="Q109" s="199"/>
      <c r="R109" s="199"/>
      <c r="S109" s="199"/>
      <c r="T109" s="199"/>
      <c r="U109" s="82"/>
      <c r="V109" s="240">
        <f>U106</f>
        <v>1.8759999999999999</v>
      </c>
      <c r="W109" s="198" t="s">
        <v>26</v>
      </c>
      <c r="X109" s="198"/>
      <c r="Y109" s="128"/>
      <c r="Z109" s="128"/>
      <c r="AA109" s="128"/>
    </row>
    <row r="110" spans="1:27" ht="16" thickBot="1" x14ac:dyDescent="0.25">
      <c r="A110" s="198" t="s">
        <v>19</v>
      </c>
      <c r="C110" s="266" t="str">
        <f>IF($D$71&gt;$D$72,Tekstnøgler!C437,"")</f>
        <v/>
      </c>
      <c r="D110" s="199"/>
      <c r="F110" s="204"/>
      <c r="G110" s="204"/>
      <c r="H110" s="199"/>
      <c r="I110" s="199"/>
      <c r="J110" s="199"/>
      <c r="K110" s="199"/>
      <c r="L110" s="199"/>
      <c r="M110" s="199"/>
      <c r="N110" s="199"/>
      <c r="O110" s="199"/>
      <c r="P110" s="199"/>
      <c r="Q110" s="199"/>
      <c r="R110" s="199"/>
      <c r="S110" s="199"/>
      <c r="T110" s="199"/>
      <c r="V110" s="240">
        <f>U107</f>
        <v>0</v>
      </c>
      <c r="W110" s="198" t="s">
        <v>26</v>
      </c>
      <c r="X110" s="198"/>
      <c r="Y110" s="128"/>
      <c r="Z110" s="128"/>
      <c r="AA110" s="128"/>
    </row>
    <row r="111" spans="1:27" ht="16" thickBot="1" x14ac:dyDescent="0.25">
      <c r="A111" s="198" t="s">
        <v>19</v>
      </c>
      <c r="C111" s="272" t="str">
        <f>IF($D$71&lt;=$D$72,Tekstnøgler!C596,"")</f>
        <v>Manglende reduction</v>
      </c>
      <c r="D111" s="199"/>
      <c r="F111" s="204"/>
      <c r="G111" s="204"/>
      <c r="H111" s="199"/>
      <c r="I111" s="199"/>
      <c r="J111" s="199"/>
      <c r="K111" s="199"/>
      <c r="L111" s="199"/>
      <c r="M111" s="199"/>
      <c r="N111" s="199"/>
      <c r="O111" s="199"/>
      <c r="P111" s="199"/>
      <c r="Q111" s="199"/>
      <c r="R111" s="199"/>
      <c r="S111" s="199"/>
      <c r="T111" s="199"/>
      <c r="V111" s="240">
        <f>U108</f>
        <v>1.4740000000000002</v>
      </c>
      <c r="W111" s="198" t="s">
        <v>26</v>
      </c>
      <c r="X111" s="198"/>
      <c r="Y111" s="128"/>
      <c r="Z111" s="128"/>
      <c r="AA111" s="128"/>
    </row>
    <row r="112" spans="1:27" ht="16" thickBot="1" x14ac:dyDescent="0.25">
      <c r="A112" s="198" t="s">
        <v>19</v>
      </c>
      <c r="C112" s="244" t="s">
        <v>24</v>
      </c>
      <c r="D112" s="199"/>
      <c r="F112" s="204"/>
      <c r="G112" s="204"/>
      <c r="H112" s="199"/>
      <c r="I112" s="199"/>
      <c r="J112" s="199"/>
      <c r="K112" s="199"/>
      <c r="L112" s="199"/>
      <c r="M112" s="199"/>
      <c r="N112" s="199"/>
      <c r="O112" s="199"/>
      <c r="P112" s="199"/>
      <c r="Q112" s="199"/>
      <c r="R112" s="199"/>
      <c r="S112" s="199"/>
      <c r="T112" s="128"/>
      <c r="V112" s="241" t="str">
        <f>IF($D$72&lt;$D$71,ROUND(($D$72-$D$71)/$D$72,3),"")</f>
        <v/>
      </c>
      <c r="W112" s="198" t="s">
        <v>26</v>
      </c>
      <c r="X112" s="198"/>
      <c r="Y112" s="128"/>
      <c r="Z112" s="128"/>
      <c r="AA112" s="128"/>
    </row>
    <row r="113" spans="1:27" ht="16" thickBot="1" x14ac:dyDescent="0.25">
      <c r="A113" s="198" t="s">
        <v>19</v>
      </c>
      <c r="C113" s="244" t="s">
        <v>37</v>
      </c>
      <c r="D113" s="199"/>
      <c r="F113" s="204"/>
      <c r="G113" s="204"/>
      <c r="H113" s="199"/>
      <c r="I113" s="199"/>
      <c r="J113" s="199"/>
      <c r="K113" s="199"/>
      <c r="L113" s="199"/>
      <c r="M113" s="199"/>
      <c r="N113" s="199"/>
      <c r="O113" s="199"/>
      <c r="P113" s="199"/>
      <c r="Q113" s="199"/>
      <c r="R113" s="199"/>
      <c r="S113" s="199"/>
      <c r="T113" s="128"/>
      <c r="U113" s="199"/>
      <c r="V113" s="387">
        <f>IF($D$72&gt;=$D$71,($D$72-$D$71)/$D$72,"")</f>
        <v>0.44000000000000006</v>
      </c>
      <c r="W113" s="198" t="s">
        <v>26</v>
      </c>
      <c r="X113" s="198"/>
      <c r="Y113" s="128"/>
      <c r="Z113" s="128"/>
      <c r="AA113" s="128"/>
    </row>
    <row r="115" spans="1:27" s="128" customFormat="1" ht="20" x14ac:dyDescent="0.2">
      <c r="C115" s="142" t="str">
        <f>Tekstnøgler!C452</f>
        <v>Langsigtet net zero målsætning</v>
      </c>
      <c r="E115" s="143"/>
      <c r="J115" s="143"/>
    </row>
    <row r="116" spans="1:27" s="128" customFormat="1" ht="21.75" customHeight="1" x14ac:dyDescent="0.15">
      <c r="D116" s="144"/>
      <c r="F116" s="144"/>
      <c r="G116" s="144"/>
      <c r="H116" s="144"/>
      <c r="I116" s="144"/>
      <c r="K116" s="144"/>
    </row>
    <row r="117" spans="1:27" ht="81" customHeight="1" x14ac:dyDescent="0.15">
      <c r="C117" s="507" t="str">
        <f>Tekstnøgler!C453</f>
        <v>Værd at vide om net zero målsætning:
- Net Zero standarden er SBTi's ramme for en langsigtet målsætning, som følger Paris-aftalens 1,5 graders målsætning.
- Net Zero standarden fastsætter, at virksomheder som minimum skal reducere 90% ift. basisåret senest i 2050.
- Net zero målsætningen skal som minimum dække 95% af en virksomheds scope 1 og 2 udledninger og 90% af virksomhedens scope 3 udledninger.
- Den viste net zero målsætning dækker din virksomheds samlede klimaaftryk.</v>
      </c>
      <c r="D117" s="507"/>
      <c r="E117" s="507"/>
      <c r="F117" s="507"/>
      <c r="G117" s="507"/>
      <c r="H117" s="507"/>
      <c r="I117" s="507"/>
      <c r="J117" s="507"/>
      <c r="K117" s="507"/>
      <c r="L117" s="507"/>
      <c r="M117" s="507"/>
    </row>
    <row r="118" spans="1:27" ht="15" x14ac:dyDescent="0.2">
      <c r="C118" s="3" t="str">
        <f>Tekstnøgler!C454</f>
        <v>Du kan læse mere om net zero standarden her:</v>
      </c>
      <c r="E118" s="166"/>
    </row>
    <row r="119" spans="1:27" ht="15" x14ac:dyDescent="0.2">
      <c r="C119" s="166" t="s">
        <v>38</v>
      </c>
    </row>
    <row r="121" spans="1:27" ht="14" thickBot="1" x14ac:dyDescent="0.2"/>
    <row r="122" spans="1:27" s="128" customFormat="1" ht="16.5" customHeight="1" thickBot="1" x14ac:dyDescent="0.2">
      <c r="C122" s="515" t="str">
        <f>Tekstnøgler!$C$423</f>
        <v>Parametre</v>
      </c>
      <c r="D122" s="515"/>
    </row>
    <row r="123" spans="1:27" s="128" customFormat="1" ht="15" customHeight="1" thickBot="1" x14ac:dyDescent="0.2">
      <c r="C123" s="148" t="str">
        <f>Tekstnøgler!$C$424</f>
        <v>Målsætningsmetode</v>
      </c>
      <c r="D123" s="149" t="s">
        <v>39</v>
      </c>
    </row>
    <row r="124" spans="1:27" s="128" customFormat="1" ht="15" customHeight="1" thickBot="1" x14ac:dyDescent="0.2">
      <c r="C124" s="148" t="str">
        <f>Tekstnøgler!$C$425</f>
        <v>Målsætningsår</v>
      </c>
      <c r="D124" s="209">
        <v>2050</v>
      </c>
      <c r="E124" s="128" t="str">
        <f>IF(D124&gt;2050,"Målsætningsår må ikke være større end 2050","")</f>
        <v/>
      </c>
    </row>
    <row r="125" spans="1:27" s="128" customFormat="1" ht="15.5" customHeight="1" thickBot="1" x14ac:dyDescent="0.2">
      <c r="C125" s="148" t="str">
        <f>Tekstnøgler!$C$426</f>
        <v>Målsætning</v>
      </c>
      <c r="D125" s="362">
        <v>0.9</v>
      </c>
      <c r="E125" s="128" t="str">
        <f>IF(D125&gt;1,"Målsætning må ikke være større end 100%","")</f>
        <v/>
      </c>
    </row>
    <row r="126" spans="1:27" s="128" customFormat="1" ht="16.5" customHeight="1" thickBot="1" x14ac:dyDescent="0.2">
      <c r="C126" s="164" t="str">
        <f>Tekstnøgler!C455</f>
        <v>Resultater</v>
      </c>
      <c r="D126" s="317" t="str">
        <f>Tekstnøgler!C105</f>
        <v>Ton CO₂e</v>
      </c>
    </row>
    <row r="127" spans="1:27" s="128" customFormat="1" ht="18" customHeight="1" thickBot="1" x14ac:dyDescent="0.2">
      <c r="C127" s="148" t="str">
        <f>Tekstnøgler!C456</f>
        <v>Scope 1 - Basisår</v>
      </c>
      <c r="D127" s="151">
        <f>$D$50</f>
        <v>11</v>
      </c>
    </row>
    <row r="128" spans="1:27" s="128" customFormat="1" ht="18.75" customHeight="1" thickBot="1" x14ac:dyDescent="0.2">
      <c r="C128" s="148" t="str">
        <f>Tekstnøgler!C457</f>
        <v>Scope 2 - Basisår</v>
      </c>
      <c r="D128" s="150">
        <f>$D$51</f>
        <v>7</v>
      </c>
      <c r="F128" s="145"/>
      <c r="G128" s="111"/>
      <c r="H128" s="111"/>
      <c r="I128" s="111"/>
      <c r="J128" s="111"/>
      <c r="K128" s="131"/>
      <c r="L128" s="131"/>
    </row>
    <row r="129" spans="3:14" s="128" customFormat="1" ht="18" customHeight="1" thickBot="1" x14ac:dyDescent="0.2">
      <c r="C129" s="148" t="str">
        <f>Tekstnøgler!C458</f>
        <v>Scope 3 - Basisår</v>
      </c>
      <c r="D129" s="150">
        <f>'Fremskrivning - Delresultater'!D18</f>
        <v>8</v>
      </c>
    </row>
    <row r="130" spans="3:14" s="128" customFormat="1" ht="18.75" customHeight="1" thickBot="1" x14ac:dyDescent="0.2">
      <c r="C130" s="163" t="str">
        <f>Tekstnøgler!C459</f>
        <v>Total udledning i basisår</v>
      </c>
      <c r="D130" s="165">
        <f>D127+D128+D129</f>
        <v>26</v>
      </c>
      <c r="F130" s="145"/>
      <c r="G130" s="111"/>
      <c r="H130" s="111"/>
      <c r="I130" s="111"/>
      <c r="J130" s="111"/>
      <c r="K130" s="131"/>
      <c r="L130" s="131"/>
    </row>
    <row r="131" spans="3:14" s="128" customFormat="1" ht="18.75" customHeight="1" thickBot="1" x14ac:dyDescent="0.2">
      <c r="C131" s="148" t="str">
        <f>Tekstnøgler!C460</f>
        <v>Udledning i målsætningsår</v>
      </c>
      <c r="D131" s="150">
        <f>D130*(1-D125)</f>
        <v>2.5999999999999996</v>
      </c>
      <c r="F131" s="145"/>
      <c r="G131" s="111"/>
      <c r="H131" s="111"/>
      <c r="I131" s="111"/>
      <c r="J131" s="111"/>
      <c r="K131" s="131"/>
      <c r="L131" s="131"/>
    </row>
    <row r="132" spans="3:14" s="128" customFormat="1" ht="18.75" customHeight="1" x14ac:dyDescent="0.15">
      <c r="E132" s="146"/>
      <c r="F132" s="146"/>
      <c r="G132" s="476"/>
      <c r="H132" s="476"/>
      <c r="I132" s="476"/>
      <c r="J132" s="476"/>
      <c r="K132" s="111"/>
      <c r="L132" s="131"/>
      <c r="M132" s="131"/>
    </row>
    <row r="133" spans="3:14" s="128" customFormat="1" ht="46.5" customHeight="1" x14ac:dyDescent="0.15">
      <c r="C133" s="509" t="str">
        <f>Tekstnøgler!C461</f>
        <v>Du kan vælge at fastsætte en samlet kortsigtet målsætning for din virksomheds scope 1 og 2. Du kan vælge mellem to metoder: Manuel og Minimum Absolut Emissions Contractions (MAEC). Ved valg af manuel målsætning skal du selv fastsætte målsætningsår samt målsætning. Læs mere om målsætningsmetoderne øverst på siden.</v>
      </c>
      <c r="D133" s="509"/>
      <c r="E133" s="509"/>
      <c r="F133" s="509"/>
      <c r="G133" s="509"/>
      <c r="H133" s="509"/>
      <c r="I133" s="509"/>
      <c r="J133" s="509"/>
      <c r="K133" s="509"/>
      <c r="L133" s="509"/>
      <c r="M133" s="131"/>
    </row>
    <row r="134" spans="3:14" s="128" customFormat="1" x14ac:dyDescent="0.15"/>
    <row r="135" spans="3:14" s="128" customFormat="1" x14ac:dyDescent="0.15">
      <c r="C135" s="147" t="str">
        <f>Tekstnøgler!C462</f>
        <v>Figur 4: Fordeling af udledninger i basisår (ton CO₂e)</v>
      </c>
      <c r="G135" s="147" t="str">
        <f>Tekstnøgler!C463</f>
        <v>Figur 5: Forskel i udledninger fra baisår til målsætningsår (ton CO₂e)</v>
      </c>
      <c r="H135" s="147"/>
      <c r="I135" s="147"/>
      <c r="J135" s="147"/>
      <c r="K135" s="147"/>
    </row>
    <row r="136" spans="3:14" s="128" customFormat="1" x14ac:dyDescent="0.15"/>
    <row r="137" spans="3:14" s="128" customFormat="1" x14ac:dyDescent="0.15"/>
    <row r="138" spans="3:14" s="128" customFormat="1" x14ac:dyDescent="0.15">
      <c r="M138" s="139"/>
      <c r="N138" s="140"/>
    </row>
    <row r="139" spans="3:14" s="128" customFormat="1" x14ac:dyDescent="0.15">
      <c r="M139" s="139"/>
    </row>
    <row r="140" spans="3:14" s="128" customFormat="1" x14ac:dyDescent="0.15">
      <c r="M140" s="141"/>
      <c r="N140" s="141"/>
    </row>
    <row r="141" spans="3:14" s="128" customFormat="1" x14ac:dyDescent="0.15"/>
    <row r="142" spans="3:14" s="128" customFormat="1" x14ac:dyDescent="0.15"/>
    <row r="143" spans="3:14" s="128" customFormat="1" x14ac:dyDescent="0.15"/>
    <row r="144" spans="3:14" s="128" customFormat="1" x14ac:dyDescent="0.15"/>
    <row r="145" s="128" customFormat="1" x14ac:dyDescent="0.15"/>
    <row r="146" s="128" customFormat="1" x14ac:dyDescent="0.15"/>
    <row r="147" s="128" customFormat="1" x14ac:dyDescent="0.15"/>
    <row r="148" s="128" customFormat="1" x14ac:dyDescent="0.15"/>
    <row r="149" s="128" customFormat="1" x14ac:dyDescent="0.15"/>
    <row r="150" s="128" customFormat="1" x14ac:dyDescent="0.15"/>
    <row r="151" s="128" customFormat="1" x14ac:dyDescent="0.15"/>
  </sheetData>
  <sheetProtection password="D2FD" sheet="1" objects="1" scenarios="1"/>
  <mergeCells count="18">
    <mergeCell ref="C5:D5"/>
    <mergeCell ref="C6:D6"/>
    <mergeCell ref="C13:D13"/>
    <mergeCell ref="C11:M11"/>
    <mergeCell ref="C122:D122"/>
    <mergeCell ref="C46:K46"/>
    <mergeCell ref="C47:I47"/>
    <mergeCell ref="D48:T48"/>
    <mergeCell ref="C98:K98"/>
    <mergeCell ref="C100:G100"/>
    <mergeCell ref="D101:T101"/>
    <mergeCell ref="C67:D67"/>
    <mergeCell ref="C65:M65"/>
    <mergeCell ref="C117:M117"/>
    <mergeCell ref="C133:L133"/>
    <mergeCell ref="G132:J132"/>
    <mergeCell ref="C21:K21"/>
    <mergeCell ref="C75:K75"/>
  </mergeCells>
  <conditionalFormatting sqref="E16:H16">
    <cfRule type="expression" dxfId="54" priority="3">
      <formula>IF($D$16&gt;1,TRUE())</formula>
    </cfRule>
  </conditionalFormatting>
  <conditionalFormatting sqref="E70:H70">
    <cfRule type="expression" dxfId="53" priority="2">
      <formula>IF($D$70&gt;1,TRUE())</formula>
    </cfRule>
  </conditionalFormatting>
  <conditionalFormatting sqref="E125:H125">
    <cfRule type="expression" dxfId="52" priority="1">
      <formula>IF($D$125&gt;1,TRUE())</formula>
    </cfRule>
  </conditionalFormatting>
  <conditionalFormatting sqref="E124:I124">
    <cfRule type="expression" dxfId="49" priority="4">
      <formula>IF($D$124&gt;2050,TRUE())</formula>
    </cfRule>
  </conditionalFormatting>
  <hyperlinks>
    <hyperlink ref="C119" r:id="rId1" xr:uid="{0D730955-4C5A-4F7C-924B-29D4963D9A3A}"/>
    <hyperlink ref="J2" location="Forside!A1" display="Gå til forside" xr:uid="{77E09FA1-35D6-43BC-9272-ECCE8FA96E91}"/>
  </hyperlinks>
  <pageMargins left="0.7" right="0.7" top="0.75" bottom="0.75" header="0.3" footer="0.3"/>
  <pageSetup paperSize="9" orientation="portrait" r:id="rId2"/>
  <headerFooter>
    <oddHeader>&amp;R&amp;"Calibri"&amp;10&amp;K000000 INTERNAL&amp;1#_x000D_</oddHeader>
  </headerFooter>
  <drawing r:id="rId3"/>
  <extLst>
    <ext xmlns:x14="http://schemas.microsoft.com/office/spreadsheetml/2009/9/main" uri="{78C0D931-6437-407d-A8EE-F0AAD7539E65}">
      <x14:conditionalFormattings>
        <x14:conditionalFormatting xmlns:xm="http://schemas.microsoft.com/office/excel/2006/main">
          <x14:cfRule type="expression" priority="7" id="{0A9B8363-9541-431D-9754-4B44DCCE795A}">
            <xm:f>IF($D$15&gt;MAX(2030,'Fremskrivning - Hovedresultater'!$C$11+10),TRUE())</xm:f>
            <x14:dxf>
              <fill>
                <patternFill>
                  <bgColor rgb="FFFF9999"/>
                </patternFill>
              </fill>
            </x14:dxf>
          </x14:cfRule>
          <xm:sqref>E15:I15</xm:sqref>
        </x14:conditionalFormatting>
        <x14:conditionalFormatting xmlns:xm="http://schemas.microsoft.com/office/excel/2006/main">
          <x14:cfRule type="expression" priority="5" id="{129CBDC5-7332-47B1-A66C-D757A96E1F5C}">
            <xm:f>IF($D$69&gt;MAX(2030,'Fremskrivning - Hovedresultater'!$C$11+10),TRUE())</xm:f>
            <x14:dxf>
              <fill>
                <patternFill>
                  <bgColor rgb="FFFF9999"/>
                </patternFill>
              </fill>
            </x14:dxf>
          </x14:cfRule>
          <xm:sqref>E69:I69</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434"/>
  <sheetViews>
    <sheetView zoomScaleNormal="100" workbookViewId="0"/>
  </sheetViews>
  <sheetFormatPr baseColWidth="10" defaultColWidth="10.5" defaultRowHeight="12" x14ac:dyDescent="0.15"/>
  <cols>
    <col min="1" max="1" width="4.83203125" style="1" customWidth="1"/>
    <col min="2" max="3" width="31.5" style="1" customWidth="1"/>
    <col min="4" max="4" width="34.5" style="1" customWidth="1"/>
    <col min="5" max="5" width="38.1640625" style="1" customWidth="1"/>
    <col min="6" max="6" width="23.5" style="1" customWidth="1"/>
    <col min="7" max="7" width="20.6640625" style="1" customWidth="1"/>
    <col min="8" max="9" width="20.6640625" style="42" customWidth="1"/>
    <col min="10" max="10" width="19" style="42" bestFit="1" customWidth="1"/>
    <col min="11" max="14" width="20.6640625" style="42" customWidth="1"/>
    <col min="15" max="15" width="28.1640625" style="42" customWidth="1"/>
    <col min="16" max="16" width="14" style="42" customWidth="1"/>
    <col min="17" max="16384" width="10.5" style="1"/>
  </cols>
  <sheetData>
    <row r="1" spans="1:16" s="32" customFormat="1" ht="15" customHeight="1" x14ac:dyDescent="0.2"/>
    <row r="2" spans="1:16" s="32" customFormat="1" ht="21" customHeight="1" x14ac:dyDescent="0.2">
      <c r="B2" s="26" t="str">
        <f>Tekstnøgler!C473</f>
        <v>Emissionsfaktorer</v>
      </c>
      <c r="C2" s="26"/>
      <c r="D2" s="27"/>
      <c r="E2" s="290" t="str">
        <f>Tekstnøgler!$C$2</f>
        <v>&lt;-- Gå til forsiden</v>
      </c>
      <c r="F2" s="27"/>
      <c r="G2" s="27"/>
      <c r="H2" s="27"/>
      <c r="I2" s="27"/>
      <c r="J2" s="27"/>
      <c r="K2" s="27"/>
      <c r="L2" s="27"/>
      <c r="M2" s="27"/>
      <c r="N2" s="27"/>
      <c r="O2" s="27"/>
    </row>
    <row r="3" spans="1:16" s="32" customFormat="1" ht="15" customHeight="1" x14ac:dyDescent="0.2"/>
    <row r="4" spans="1:16" s="32" customFormat="1" ht="15" customHeight="1" x14ac:dyDescent="0.2">
      <c r="B4" s="334" t="str">
        <f>Tekstnøgler!C588</f>
        <v>Emissionsfaktorår</v>
      </c>
      <c r="C4" s="338" t="str">
        <f>Tekstnøgler!C591</f>
        <v xml:space="preserve">Beregningens startår
</v>
      </c>
    </row>
    <row r="5" spans="1:16" s="32" customFormat="1" ht="15" customHeight="1" x14ac:dyDescent="0.2">
      <c r="A5" s="33"/>
      <c r="B5" s="38">
        <v>2021</v>
      </c>
      <c r="C5" s="38">
        <v>2021</v>
      </c>
      <c r="E5" s="270"/>
    </row>
    <row r="6" spans="1:16" s="32" customFormat="1" ht="15" customHeight="1" x14ac:dyDescent="0.2"/>
    <row r="8" spans="1:16" s="32" customFormat="1" ht="17.5" customHeight="1" x14ac:dyDescent="0.2">
      <c r="B8" s="2" t="str">
        <f>Tekstnøgler!C475</f>
        <v>Tabel med emissionsfaktorer</v>
      </c>
      <c r="C8" s="2"/>
    </row>
    <row r="9" spans="1:16" ht="13.5" customHeight="1" x14ac:dyDescent="0.15">
      <c r="B9" s="43"/>
      <c r="C9" s="43"/>
      <c r="K9" s="521" t="str">
        <f>Tekstnøgler!C608</f>
        <v>Til opgørelse af E-nøgletal</v>
      </c>
      <c r="L9" s="522"/>
      <c r="M9" s="522"/>
      <c r="N9" s="523"/>
    </row>
    <row r="10" spans="1:16" s="319" customFormat="1" ht="18.75" customHeight="1" x14ac:dyDescent="0.2">
      <c r="B10" s="319" t="str">
        <f>Tekstnøgler!$C$476</f>
        <v xml:space="preserve">Hovedkategori
</v>
      </c>
      <c r="C10" s="320" t="str">
        <f>Tekstnøgler!$C$491</f>
        <v xml:space="preserve">Kategori
</v>
      </c>
      <c r="D10" s="319" t="str">
        <f>Tekstnøgler!$C$477</f>
        <v>Parameter</v>
      </c>
      <c r="E10" s="319" t="str">
        <f>Tekstnøgler!$C$478</f>
        <v>Parameter 2</v>
      </c>
      <c r="F10" s="319" t="str">
        <f>Tekstnøgler!$C$479</f>
        <v>Enhed</v>
      </c>
      <c r="G10" s="318" t="str">
        <f>Tekstnøgler!C480</f>
        <v>Scope 1 - faktor</v>
      </c>
      <c r="H10" s="318" t="str">
        <f>Tekstnøgler!C481</f>
        <v>Scope 2 - faktor</v>
      </c>
      <c r="I10" s="318" t="str">
        <f>Tekstnøgler!C482</f>
        <v>Scope 3 - faktor</v>
      </c>
      <c r="J10" s="318" t="str">
        <f>Tekstnøgler!C483</f>
        <v>Udenfor scope - faktor</v>
      </c>
      <c r="K10" s="381" t="str">
        <f>Tekstnøgler!C604</f>
        <v>Omregning til MWh</v>
      </c>
      <c r="L10" s="318" t="str">
        <f>Tekstnøgler!C605</f>
        <v>Vedvarende energiandel</v>
      </c>
      <c r="M10" s="318" t="str">
        <f>Tekstnøgler!C606</f>
        <v>Nuklear energiandel</v>
      </c>
      <c r="N10" s="382" t="str">
        <f>Tekstnøgler!C607</f>
        <v>Fossil energiandel</v>
      </c>
      <c r="O10" s="318" t="str">
        <f>Tekstnøgler!C484</f>
        <v xml:space="preserve">Kilde (år)
</v>
      </c>
    </row>
    <row r="11" spans="1:16" ht="12.75" customHeight="1" x14ac:dyDescent="0.15">
      <c r="B11" s="13" t="str">
        <f>Tekstnøgler!C376</f>
        <v>Affald og genbrug</v>
      </c>
      <c r="C11" s="13" t="str">
        <f>Tekstnøgler!C182</f>
        <v>Affald</v>
      </c>
      <c r="D11" s="13" t="s">
        <v>46</v>
      </c>
      <c r="E11" s="13" t="s">
        <v>2457</v>
      </c>
      <c r="F11" s="13" t="str">
        <f>"Kg CO₂-e / "&amp;Tekstnøgler!C750</f>
        <v>Kg CO₂-e / Ton</v>
      </c>
      <c r="G11" s="63">
        <v>0</v>
      </c>
      <c r="H11" s="63">
        <v>0</v>
      </c>
      <c r="I11" s="63">
        <v>0</v>
      </c>
      <c r="J11" s="63">
        <v>591.09109000000001</v>
      </c>
      <c r="K11" s="411" t="str">
        <f>Tekstnøgler!C544</f>
        <v>Ikke relevant</v>
      </c>
      <c r="L11" s="411" t="str">
        <f>Tekstnøgler!C544</f>
        <v>Ikke relevant</v>
      </c>
      <c r="M11" s="411" t="str">
        <f>Tekstnøgler!C544</f>
        <v>Ikke relevant</v>
      </c>
      <c r="N11" s="411" t="str">
        <f>Tekstnøgler!C544</f>
        <v>Ikke relevant</v>
      </c>
      <c r="O11" s="64" t="s">
        <v>2458</v>
      </c>
      <c r="P11" s="1"/>
    </row>
    <row r="12" spans="1:16" ht="12.75" customHeight="1" x14ac:dyDescent="0.15">
      <c r="B12" s="13" t="str">
        <f>Tekstnøgler!C376</f>
        <v>Affald og genbrug</v>
      </c>
      <c r="C12" s="13" t="str">
        <f>Tekstnøgler!C182</f>
        <v>Affald</v>
      </c>
      <c r="D12" s="13" t="s">
        <v>46</v>
      </c>
      <c r="E12" s="13" t="s">
        <v>2457</v>
      </c>
      <c r="F12" s="13" t="str">
        <f>"Kg CO₂-e / "&amp;Tekstnøgler!C750</f>
        <v>Kg CO₂-e / Ton</v>
      </c>
      <c r="G12" s="63">
        <v>0</v>
      </c>
      <c r="H12" s="63">
        <v>0</v>
      </c>
      <c r="I12" s="63">
        <v>0</v>
      </c>
      <c r="J12" s="63">
        <v>-312.10831999999999</v>
      </c>
      <c r="K12" s="411" t="str">
        <f>Tekstnøgler!C544</f>
        <v>Ikke relevant</v>
      </c>
      <c r="L12" s="411" t="str">
        <f>Tekstnøgler!C544</f>
        <v>Ikke relevant</v>
      </c>
      <c r="M12" s="411" t="str">
        <f>Tekstnøgler!C544</f>
        <v>Ikke relevant</v>
      </c>
      <c r="N12" s="411" t="str">
        <f>Tekstnøgler!C544</f>
        <v>Ikke relevant</v>
      </c>
      <c r="O12" s="64" t="s">
        <v>2458</v>
      </c>
      <c r="P12" s="1"/>
    </row>
    <row r="13" spans="1:16" ht="12.75" customHeight="1" x14ac:dyDescent="0.15">
      <c r="B13" s="13" t="str">
        <f>Tekstnøgler!C376</f>
        <v>Affald og genbrug</v>
      </c>
      <c r="C13" s="13" t="str">
        <f>Tekstnøgler!C182</f>
        <v>Affald</v>
      </c>
      <c r="D13" s="13" t="s">
        <v>46</v>
      </c>
      <c r="E13" s="13" t="s">
        <v>2459</v>
      </c>
      <c r="F13" s="13" t="str">
        <f>"Kg CO₂-e / "&amp;Tekstnøgler!C750</f>
        <v>Kg CO₂-e / Ton</v>
      </c>
      <c r="G13" s="63">
        <v>0</v>
      </c>
      <c r="H13" s="63">
        <v>0</v>
      </c>
      <c r="I13" s="63">
        <v>0</v>
      </c>
      <c r="J13" s="63">
        <v>-2654.1136000000001</v>
      </c>
      <c r="K13" s="411" t="str">
        <f>Tekstnøgler!C544</f>
        <v>Ikke relevant</v>
      </c>
      <c r="L13" s="411" t="str">
        <f>Tekstnøgler!C544</f>
        <v>Ikke relevant</v>
      </c>
      <c r="M13" s="411" t="str">
        <f>Tekstnøgler!C544</f>
        <v>Ikke relevant</v>
      </c>
      <c r="N13" s="411" t="str">
        <f>Tekstnøgler!C544</f>
        <v>Ikke relevant</v>
      </c>
      <c r="O13" s="64" t="s">
        <v>2458</v>
      </c>
      <c r="P13" s="1"/>
    </row>
    <row r="14" spans="1:16" ht="12.75" customHeight="1" x14ac:dyDescent="0.15">
      <c r="B14" s="13" t="str">
        <f>Tekstnøgler!C376</f>
        <v>Affald og genbrug</v>
      </c>
      <c r="C14" s="13" t="str">
        <f>Tekstnøgler!C182</f>
        <v>Affald</v>
      </c>
      <c r="D14" s="13" t="s">
        <v>46</v>
      </c>
      <c r="E14" s="13" t="s">
        <v>2459</v>
      </c>
      <c r="F14" s="13" t="str">
        <f>"Kg CO₂-e / "&amp;Tekstnøgler!C750</f>
        <v>Kg CO₂-e / Ton</v>
      </c>
      <c r="G14" s="63">
        <v>0</v>
      </c>
      <c r="H14" s="63">
        <v>0</v>
      </c>
      <c r="I14" s="63">
        <v>0</v>
      </c>
      <c r="J14" s="63">
        <v>-2654.1136000000001</v>
      </c>
      <c r="K14" s="411" t="str">
        <f>Tekstnøgler!C544</f>
        <v>Ikke relevant</v>
      </c>
      <c r="L14" s="411" t="str">
        <f>Tekstnøgler!C544</f>
        <v>Ikke relevant</v>
      </c>
      <c r="M14" s="411" t="str">
        <f>Tekstnøgler!C544</f>
        <v>Ikke relevant</v>
      </c>
      <c r="N14" s="411" t="str">
        <f>Tekstnøgler!C544</f>
        <v>Ikke relevant</v>
      </c>
      <c r="O14" s="64" t="s">
        <v>2458</v>
      </c>
      <c r="P14" s="1"/>
    </row>
    <row r="15" spans="1:16" ht="12.75" customHeight="1" x14ac:dyDescent="0.15">
      <c r="B15" s="13" t="str">
        <f>Tekstnøgler!C376</f>
        <v>Affald og genbrug</v>
      </c>
      <c r="C15" s="13" t="str">
        <f>Tekstnøgler!C182</f>
        <v>Affald</v>
      </c>
      <c r="D15" s="13" t="s">
        <v>46</v>
      </c>
      <c r="E15" s="13" t="str">
        <f>Tekstnøgler!C979</f>
        <v>Træ</v>
      </c>
      <c r="F15" s="13" t="str">
        <f>"Kg CO₂-e / "&amp;Tekstnøgler!C750</f>
        <v>Kg CO₂-e / Ton</v>
      </c>
      <c r="G15" s="63">
        <v>0</v>
      </c>
      <c r="H15" s="63">
        <v>0</v>
      </c>
      <c r="I15" s="63">
        <v>0</v>
      </c>
      <c r="J15" s="63">
        <v>-140.40055000000001</v>
      </c>
      <c r="K15" s="411" t="str">
        <f>Tekstnøgler!C544</f>
        <v>Ikke relevant</v>
      </c>
      <c r="L15" s="411" t="str">
        <f>Tekstnøgler!C544</f>
        <v>Ikke relevant</v>
      </c>
      <c r="M15" s="411" t="str">
        <f>Tekstnøgler!C544</f>
        <v>Ikke relevant</v>
      </c>
      <c r="N15" s="411" t="str">
        <f>Tekstnøgler!C544</f>
        <v>Ikke relevant</v>
      </c>
      <c r="O15" s="64" t="s">
        <v>2458</v>
      </c>
      <c r="P15" s="1"/>
    </row>
    <row r="16" spans="1:16" ht="12.75" customHeight="1" x14ac:dyDescent="0.15">
      <c r="B16" s="13" t="str">
        <f>Tekstnøgler!C376</f>
        <v>Affald og genbrug</v>
      </c>
      <c r="C16" s="13" t="str">
        <f>Tekstnøgler!C182</f>
        <v>Affald</v>
      </c>
      <c r="D16" s="13" t="s">
        <v>46</v>
      </c>
      <c r="E16" s="13" t="str">
        <f>Tekstnøgler!C979</f>
        <v>Træ</v>
      </c>
      <c r="F16" s="13" t="str">
        <f>"Kg CO₂-e / "&amp;Tekstnøgler!C750</f>
        <v>Kg CO₂-e / Ton</v>
      </c>
      <c r="G16" s="63">
        <v>0</v>
      </c>
      <c r="H16" s="63">
        <v>0</v>
      </c>
      <c r="I16" s="63">
        <v>0</v>
      </c>
      <c r="J16" s="63">
        <v>-1501.18</v>
      </c>
      <c r="K16" s="411" t="str">
        <f>Tekstnøgler!C544</f>
        <v>Ikke relevant</v>
      </c>
      <c r="L16" s="411" t="str">
        <f>Tekstnøgler!C544</f>
        <v>Ikke relevant</v>
      </c>
      <c r="M16" s="411" t="str">
        <f>Tekstnøgler!C544</f>
        <v>Ikke relevant</v>
      </c>
      <c r="N16" s="411" t="str">
        <f>Tekstnøgler!C544</f>
        <v>Ikke relevant</v>
      </c>
      <c r="O16" s="64" t="s">
        <v>2460</v>
      </c>
      <c r="P16" s="1"/>
    </row>
    <row r="17" spans="2:16" ht="12.75" customHeight="1" x14ac:dyDescent="0.15">
      <c r="B17" s="13" t="str">
        <f>Tekstnøgler!C373</f>
        <v>Energi og processer</v>
      </c>
      <c r="C17" s="13" t="str">
        <f>Tekstnøgler!C126</f>
        <v>Brændsler</v>
      </c>
      <c r="D17" s="13" t="str">
        <f>Tekstnøgler!C126</f>
        <v>Brændsler</v>
      </c>
      <c r="E17" s="13" t="str">
        <f>Tekstnøgler!C768</f>
        <v>Benzin</v>
      </c>
      <c r="F17" s="13" t="str">
        <f>"Kg CO₂-e / "&amp;Tekstnøgler!C981</f>
        <v>Kg CO₂-e / L</v>
      </c>
      <c r="G17" s="63">
        <v>2.1717501095558704</v>
      </c>
      <c r="H17" s="63">
        <v>0</v>
      </c>
      <c r="I17" s="63">
        <v>0.58412921882668922</v>
      </c>
      <c r="J17" s="63">
        <v>0.15201447876053409</v>
      </c>
      <c r="K17" s="411">
        <v>9.1249999999999994E-3</v>
      </c>
      <c r="L17" s="411">
        <v>0.10000952550035137</v>
      </c>
      <c r="M17" s="411">
        <v>0</v>
      </c>
      <c r="N17" s="411">
        <v>0.89999047449964864</v>
      </c>
      <c r="O17" s="64" t="s">
        <v>2461</v>
      </c>
      <c r="P17" s="1"/>
    </row>
    <row r="18" spans="2:16" ht="12.75" customHeight="1" x14ac:dyDescent="0.15">
      <c r="B18" s="13" t="str">
        <f>Tekstnøgler!C373</f>
        <v>Energi og processer</v>
      </c>
      <c r="C18" s="13" t="str">
        <f>Tekstnøgler!C126</f>
        <v>Brændsler</v>
      </c>
      <c r="D18" s="13" t="str">
        <f>Tekstnøgler!C126</f>
        <v>Brændsler</v>
      </c>
      <c r="E18" s="13" t="str">
        <f>Tekstnøgler!C917</f>
        <v>Biogas</v>
      </c>
      <c r="F18" s="13" t="str">
        <f>"Kg CO₂-e / "&amp;Tekstnøgler!C710</f>
        <v>Kg CO₂-e / m3</v>
      </c>
      <c r="G18" s="63">
        <v>1.4055555555555555E-3</v>
      </c>
      <c r="H18" s="63">
        <v>0</v>
      </c>
      <c r="I18" s="63">
        <v>0.18150833333333333</v>
      </c>
      <c r="J18" s="63">
        <v>1.8837000000000002</v>
      </c>
      <c r="K18" s="411">
        <v>6.0563929177067863E-3</v>
      </c>
      <c r="L18" s="411">
        <v>1</v>
      </c>
      <c r="M18" s="411">
        <v>0</v>
      </c>
      <c r="N18" s="411">
        <v>0</v>
      </c>
      <c r="O18" s="64" t="s">
        <v>2462</v>
      </c>
      <c r="P18" s="1"/>
    </row>
    <row r="19" spans="2:16" ht="12.75" customHeight="1" x14ac:dyDescent="0.15">
      <c r="B19" s="13" t="str">
        <f>Tekstnøgler!C373</f>
        <v>Energi og processer</v>
      </c>
      <c r="C19" s="13" t="str">
        <f>Tekstnøgler!C126</f>
        <v>Brændsler</v>
      </c>
      <c r="D19" s="13" t="str">
        <f>Tekstnøgler!C126</f>
        <v>Brændsler</v>
      </c>
      <c r="E19" s="13" t="s">
        <v>2463</v>
      </c>
      <c r="F19" s="13" t="str">
        <f>"Kg CO₂-e / "&amp;Tekstnøgler!C710</f>
        <v>Kg CO₂-e / m3</v>
      </c>
      <c r="G19" s="63">
        <v>2.14664039586</v>
      </c>
      <c r="H19" s="63">
        <v>0</v>
      </c>
      <c r="I19" s="63">
        <v>0.34339999999999998</v>
      </c>
      <c r="J19" s="63">
        <v>0</v>
      </c>
      <c r="K19" s="411">
        <v>9.8508547413656902E-3</v>
      </c>
      <c r="L19" s="411">
        <v>0</v>
      </c>
      <c r="M19" s="411">
        <v>0</v>
      </c>
      <c r="N19" s="411">
        <v>1</v>
      </c>
      <c r="O19" s="64" t="s">
        <v>2464</v>
      </c>
      <c r="P19" s="1"/>
    </row>
    <row r="20" spans="2:16" ht="12.75" customHeight="1" x14ac:dyDescent="0.15">
      <c r="B20" s="13" t="str">
        <f>Tekstnøgler!C373</f>
        <v>Energi og processer</v>
      </c>
      <c r="C20" s="13" t="str">
        <f>Tekstnøgler!C122</f>
        <v>Forbrug af elektricitet</v>
      </c>
      <c r="D20" s="13" t="s">
        <v>46</v>
      </c>
      <c r="E20" s="13" t="str">
        <f>Tekstnøgler!C79</f>
        <v>Eldeklaration</v>
      </c>
      <c r="F20" s="13" t="str">
        <f>"Kg CO₂-e / "&amp;Tekstnøgler!C837</f>
        <v>Kg CO₂-e / MWh</v>
      </c>
      <c r="G20" s="65">
        <v>0</v>
      </c>
      <c r="H20" s="65">
        <v>411.51</v>
      </c>
      <c r="I20" s="65">
        <v>73.578032338097756</v>
      </c>
      <c r="J20" s="65">
        <v>28.863736494917521</v>
      </c>
      <c r="K20" s="412">
        <v>1</v>
      </c>
      <c r="L20" s="412">
        <v>9.562722933721432E-2</v>
      </c>
      <c r="M20" s="412">
        <v>0.30873119975639907</v>
      </c>
      <c r="N20" s="412">
        <v>0.59564157090638659</v>
      </c>
      <c r="O20" s="64" t="s">
        <v>2465</v>
      </c>
      <c r="P20" s="1"/>
    </row>
    <row r="21" spans="2:16" ht="12.75" customHeight="1" x14ac:dyDescent="0.15">
      <c r="B21" s="13" t="str">
        <f>Tekstnøgler!C374</f>
        <v>Indkøb</v>
      </c>
      <c r="C21" s="13" t="str">
        <f>Tekstnøgler!C135</f>
        <v>Indkøb af materialer i fysiske enheder</v>
      </c>
      <c r="D21" s="13" t="str">
        <f>Tekstnøgler!C743</f>
        <v>Metaller</v>
      </c>
      <c r="E21" s="13" t="str">
        <f>Tekstnøgler!C765</f>
        <v>Stål og jern (nyt)</v>
      </c>
      <c r="F21" s="13" t="str">
        <f>"Kg CO₂-e / "&amp;Tekstnøgler!C750</f>
        <v>Kg CO₂-e / Ton</v>
      </c>
      <c r="G21" s="65">
        <v>0</v>
      </c>
      <c r="H21" s="65">
        <v>0</v>
      </c>
      <c r="I21" s="65">
        <v>2372.3700534350401</v>
      </c>
      <c r="J21" s="65">
        <v>0</v>
      </c>
      <c r="K21" s="412" t="str">
        <f>Tekstnøgler!C544</f>
        <v>Ikke relevant</v>
      </c>
      <c r="L21" s="412" t="str">
        <f>Tekstnøgler!C544</f>
        <v>Ikke relevant</v>
      </c>
      <c r="M21" s="412" t="str">
        <f>Tekstnøgler!C544</f>
        <v>Ikke relevant</v>
      </c>
      <c r="N21" s="412" t="str">
        <f>Tekstnøgler!C544</f>
        <v>Ikke relevant</v>
      </c>
      <c r="O21" s="64" t="s">
        <v>2466</v>
      </c>
      <c r="P21" s="1"/>
    </row>
    <row r="22" spans="2:16" ht="12.75" customHeight="1" x14ac:dyDescent="0.15">
      <c r="B22" s="13" t="str">
        <f>Tekstnøgler!C374</f>
        <v>Indkøb</v>
      </c>
      <c r="C22" s="13" t="str">
        <f>Tekstnøgler!C135</f>
        <v>Indkøb af materialer i fysiske enheder</v>
      </c>
      <c r="D22" s="13" t="str">
        <f>Tekstnøgler!C836</f>
        <v>Øvrige</v>
      </c>
      <c r="E22" s="13" t="str">
        <f>Tekstnøgler!C957</f>
        <v>Glas (nyt)</v>
      </c>
      <c r="F22" s="13" t="str">
        <f>"Kg CO₂-e / "&amp;Tekstnøgler!C750</f>
        <v>Kg CO₂-e / Ton</v>
      </c>
      <c r="G22" s="63">
        <v>0</v>
      </c>
      <c r="H22" s="63">
        <v>0</v>
      </c>
      <c r="I22" s="63">
        <v>1000.0531999999999</v>
      </c>
      <c r="J22" s="63">
        <v>0</v>
      </c>
      <c r="K22" s="411" t="str">
        <f>Tekstnøgler!C544</f>
        <v>Ikke relevant</v>
      </c>
      <c r="L22" s="411" t="str">
        <f>Tekstnøgler!C544</f>
        <v>Ikke relevant</v>
      </c>
      <c r="M22" s="411" t="str">
        <f>Tekstnøgler!C544</f>
        <v>Ikke relevant</v>
      </c>
      <c r="N22" s="411" t="str">
        <f>Tekstnøgler!C544</f>
        <v>Ikke relevant</v>
      </c>
      <c r="O22" s="64" t="s">
        <v>2458</v>
      </c>
      <c r="P22" s="1"/>
    </row>
    <row r="23" spans="2:16" ht="12.75" customHeight="1" x14ac:dyDescent="0.15">
      <c r="B23" s="13" t="str">
        <f>Tekstnøgler!C374</f>
        <v>Indkøb</v>
      </c>
      <c r="C23" s="13" t="str">
        <f>Tekstnøgler!C135</f>
        <v>Indkøb af materialer i fysiske enheder</v>
      </c>
      <c r="D23" s="13" t="str">
        <f>Tekstnøgler!C836</f>
        <v>Øvrige</v>
      </c>
      <c r="E23" s="13" t="str">
        <f>Tekstnøgler!C983</f>
        <v>Træ (nyt)</v>
      </c>
      <c r="F23" s="13" t="str">
        <f>"Kg CO₂-e / "&amp;Tekstnøgler!C750</f>
        <v>Kg CO₂-e / Ton</v>
      </c>
      <c r="G23" s="63">
        <v>0</v>
      </c>
      <c r="H23" s="63">
        <v>0</v>
      </c>
      <c r="I23" s="63">
        <v>946.24262335400795</v>
      </c>
      <c r="J23" s="63">
        <v>0</v>
      </c>
      <c r="K23" s="411" t="str">
        <f>Tekstnøgler!C544</f>
        <v>Ikke relevant</v>
      </c>
      <c r="L23" s="411" t="str">
        <f>Tekstnøgler!C544</f>
        <v>Ikke relevant</v>
      </c>
      <c r="M23" s="411" t="str">
        <f>Tekstnøgler!C544</f>
        <v>Ikke relevant</v>
      </c>
      <c r="N23" s="411" t="str">
        <f>Tekstnøgler!C544</f>
        <v>Ikke relevant</v>
      </c>
      <c r="O23" s="64" t="s">
        <v>2466</v>
      </c>
      <c r="P23" s="1"/>
    </row>
    <row r="24" spans="2:16" ht="12.75" customHeight="1" x14ac:dyDescent="0.15">
      <c r="B24" s="13" t="str">
        <f>Tekstnøgler!C374</f>
        <v>Indkøb</v>
      </c>
      <c r="C24" s="13" t="str">
        <f>Tekstnøgler!C140</f>
        <v>Indkøb af produkter i fysiske enheder</v>
      </c>
      <c r="D24" s="13" t="str">
        <f>Tekstnøgler!C836</f>
        <v>Øvrige</v>
      </c>
      <c r="E24" s="13" t="str">
        <f>Tekstnøgler!C876</f>
        <v>Vandforbrug</v>
      </c>
      <c r="F24" s="13" t="str">
        <f>"Kg CO₂-e / "&amp;Tekstnøgler!C981</f>
        <v>Kg CO₂-e / L</v>
      </c>
      <c r="G24" s="63">
        <v>0</v>
      </c>
      <c r="H24" s="63">
        <v>0</v>
      </c>
      <c r="I24" s="63">
        <v>2.3277182902767899E-3</v>
      </c>
      <c r="J24" s="63">
        <v>0</v>
      </c>
      <c r="K24" s="411" t="str">
        <f>Tekstnøgler!C544</f>
        <v>Ikke relevant</v>
      </c>
      <c r="L24" s="411" t="str">
        <f>Tekstnøgler!C544</f>
        <v>Ikke relevant</v>
      </c>
      <c r="M24" s="411" t="str">
        <f>Tekstnøgler!C544</f>
        <v>Ikke relevant</v>
      </c>
      <c r="N24" s="411" t="str">
        <f>Tekstnøgler!C544</f>
        <v>Ikke relevant</v>
      </c>
      <c r="O24" s="64" t="s">
        <v>2467</v>
      </c>
      <c r="P24" s="1"/>
    </row>
    <row r="25" spans="2:16" ht="12.75" customHeight="1" x14ac:dyDescent="0.15">
      <c r="B25" s="13" t="str">
        <f>Tekstnøgler!C375</f>
        <v>Transport</v>
      </c>
      <c r="C25" s="13" t="str">
        <f>Tekstnøgler!C163</f>
        <v>Egne og leasede transportmidler</v>
      </c>
      <c r="D25" s="13" t="str">
        <f>Tekstnøgler!C928</f>
        <v>Personbiler</v>
      </c>
      <c r="E25" s="13" t="str">
        <f>Tekstnøgler!C768</f>
        <v>Benzin</v>
      </c>
      <c r="F25" s="13" t="s">
        <v>2468</v>
      </c>
      <c r="G25" s="63">
        <v>0.15838270783471731</v>
      </c>
      <c r="H25" s="63">
        <v>0</v>
      </c>
      <c r="I25" s="63">
        <v>4.2599729589547011E-2</v>
      </c>
      <c r="J25" s="63">
        <v>1.1086204011335456E-2</v>
      </c>
      <c r="K25" s="411">
        <v>6.7281105990783406E-4</v>
      </c>
      <c r="L25" s="411">
        <v>0.10000952550035137</v>
      </c>
      <c r="M25" s="411">
        <v>0</v>
      </c>
      <c r="N25" s="411">
        <v>0.89999047449964864</v>
      </c>
      <c r="O25" s="64" t="s">
        <v>2469</v>
      </c>
      <c r="P25" s="1"/>
    </row>
    <row r="26" spans="2:16" ht="12.75" customHeight="1" x14ac:dyDescent="0.15">
      <c r="B26" s="13" t="str">
        <f>Tekstnøgler!C375</f>
        <v>Transport</v>
      </c>
      <c r="C26" s="13" t="str">
        <f>Tekstnøgler!C167</f>
        <v>Pendling</v>
      </c>
      <c r="D26" s="13" t="str">
        <f>Tekstnøgler!C928</f>
        <v>Personbiler</v>
      </c>
      <c r="E26" s="13" t="str">
        <f>Tekstnøgler!C768</f>
        <v>Benzin</v>
      </c>
      <c r="F26" s="13" t="str">
        <f>"Kg CO₂-e / "&amp;Tekstnøgler!C888</f>
        <v>Kg CO₂-e / Person.km</v>
      </c>
      <c r="G26" s="63">
        <v>0</v>
      </c>
      <c r="H26" s="63">
        <v>0</v>
      </c>
      <c r="I26" s="63">
        <v>0.2009824374242643</v>
      </c>
      <c r="J26" s="63">
        <v>1.1086204011335456E-2</v>
      </c>
      <c r="K26" s="411" t="str">
        <f>Tekstnøgler!C544</f>
        <v>Ikke relevant</v>
      </c>
      <c r="L26" s="411" t="str">
        <f>Tekstnøgler!C544</f>
        <v>Ikke relevant</v>
      </c>
      <c r="M26" s="411" t="str">
        <f>Tekstnøgler!C544</f>
        <v>Ikke relevant</v>
      </c>
      <c r="N26" s="411" t="str">
        <f>Tekstnøgler!C544</f>
        <v>Ikke relevant</v>
      </c>
      <c r="O26" s="64" t="s">
        <v>2470</v>
      </c>
      <c r="P26" s="1"/>
    </row>
    <row r="27" spans="2:16" ht="12.75" customHeight="1" x14ac:dyDescent="0.15">
      <c r="B27" s="13" t="str">
        <f>Tekstnøgler!C375</f>
        <v>Transport</v>
      </c>
      <c r="C27" s="13" t="str">
        <f>Tekstnøgler!C172</f>
        <v>Varetransport i fysiske enheder</v>
      </c>
      <c r="D27" s="13" t="str">
        <f>Tekstnøgler!C934</f>
        <v>Lastbiler</v>
      </c>
      <c r="E27" s="13" t="str">
        <f>Tekstnøgler!C893</f>
        <v>Diesel</v>
      </c>
      <c r="F27" s="13" t="str">
        <f>"Kg CO₂-e / "&amp;Tekstnøgler!C906</f>
        <v>Kg CO₂-e / Ton.km</v>
      </c>
      <c r="G27" s="63">
        <v>0</v>
      </c>
      <c r="H27" s="63">
        <v>0</v>
      </c>
      <c r="I27" s="63">
        <v>0.13663999999999998</v>
      </c>
      <c r="J27" s="63">
        <v>7.4906331920635092E-3</v>
      </c>
      <c r="K27" s="411" t="str">
        <f>Tekstnøgler!C544</f>
        <v>Ikke relevant</v>
      </c>
      <c r="L27" s="411" t="str">
        <f>Tekstnøgler!C544</f>
        <v>Ikke relevant</v>
      </c>
      <c r="M27" s="411" t="str">
        <f>Tekstnøgler!C544</f>
        <v>Ikke relevant</v>
      </c>
      <c r="N27" s="411" t="str">
        <f>Tekstnøgler!C544</f>
        <v>Ikke relevant</v>
      </c>
      <c r="O27" s="64" t="s">
        <v>2461</v>
      </c>
      <c r="P27" s="1"/>
    </row>
    <row r="28" spans="2:16" ht="12.75" customHeight="1" x14ac:dyDescent="0.15">
      <c r="B28" s="13"/>
      <c r="C28" s="13"/>
      <c r="D28" s="13"/>
      <c r="E28" s="13"/>
      <c r="F28" s="13"/>
      <c r="G28" s="63"/>
      <c r="H28" s="63"/>
      <c r="I28" s="63"/>
      <c r="J28" s="63"/>
      <c r="K28" s="63"/>
      <c r="L28" s="63"/>
      <c r="M28" s="63"/>
      <c r="N28" s="63"/>
      <c r="O28" s="64"/>
      <c r="P28" s="1"/>
    </row>
    <row r="29" spans="2:16" ht="12.75" customHeight="1" x14ac:dyDescent="0.15">
      <c r="B29" s="13"/>
      <c r="C29" s="13"/>
      <c r="D29" s="13"/>
      <c r="E29" s="13"/>
      <c r="F29" s="13"/>
      <c r="G29" s="63"/>
      <c r="H29" s="63"/>
      <c r="I29" s="63"/>
      <c r="J29" s="63"/>
      <c r="K29" s="63"/>
      <c r="L29" s="63"/>
      <c r="M29" s="63"/>
      <c r="N29" s="63"/>
      <c r="O29" s="64"/>
      <c r="P29" s="1"/>
    </row>
    <row r="30" spans="2:16" ht="12.75" customHeight="1" x14ac:dyDescent="0.15">
      <c r="B30" s="13"/>
      <c r="C30" s="13"/>
      <c r="D30" s="13"/>
      <c r="E30" s="13"/>
      <c r="F30" s="13"/>
      <c r="G30" s="63"/>
      <c r="H30" s="63"/>
      <c r="I30" s="63"/>
      <c r="J30" s="63"/>
      <c r="K30" s="63"/>
      <c r="L30" s="63"/>
      <c r="M30" s="63"/>
      <c r="N30" s="63"/>
      <c r="O30" s="64"/>
      <c r="P30" s="1"/>
    </row>
    <row r="31" spans="2:16" ht="12.75" customHeight="1" x14ac:dyDescent="0.15">
      <c r="B31" s="13"/>
      <c r="C31" s="13"/>
      <c r="D31" s="13"/>
      <c r="E31" s="13"/>
      <c r="F31" s="13"/>
      <c r="G31" s="63"/>
      <c r="H31" s="63"/>
      <c r="I31" s="63"/>
      <c r="J31" s="63"/>
      <c r="K31" s="63"/>
      <c r="L31" s="63"/>
      <c r="M31" s="63"/>
      <c r="N31" s="63"/>
      <c r="O31" s="64"/>
      <c r="P31" s="1"/>
    </row>
    <row r="32" spans="2:16" ht="12.75" customHeight="1" x14ac:dyDescent="0.15">
      <c r="B32" s="13"/>
      <c r="C32" s="13"/>
      <c r="D32" s="13"/>
      <c r="E32" s="13"/>
      <c r="F32" s="13"/>
      <c r="G32" s="63"/>
      <c r="H32" s="63"/>
      <c r="I32" s="63"/>
      <c r="J32" s="63"/>
      <c r="K32" s="63"/>
      <c r="L32" s="63"/>
      <c r="M32" s="63"/>
      <c r="N32" s="63"/>
      <c r="O32" s="64"/>
      <c r="P32" s="1"/>
    </row>
    <row r="33" spans="2:16" ht="12.75" customHeight="1" x14ac:dyDescent="0.15">
      <c r="B33" s="13"/>
      <c r="C33" s="13"/>
      <c r="D33" s="13"/>
      <c r="E33" s="13"/>
      <c r="F33" s="13"/>
      <c r="G33" s="63"/>
      <c r="H33" s="63"/>
      <c r="I33" s="63"/>
      <c r="J33" s="63"/>
      <c r="K33" s="63"/>
      <c r="L33" s="63"/>
      <c r="M33" s="63"/>
      <c r="N33" s="63"/>
      <c r="O33" s="64"/>
      <c r="P33" s="1"/>
    </row>
    <row r="34" spans="2:16" ht="12.75" customHeight="1" x14ac:dyDescent="0.15">
      <c r="B34" s="13"/>
      <c r="C34" s="13"/>
      <c r="D34" s="13"/>
      <c r="E34" s="13"/>
      <c r="F34" s="13"/>
      <c r="G34" s="63"/>
      <c r="H34" s="63"/>
      <c r="I34" s="63"/>
      <c r="J34" s="63"/>
      <c r="K34" s="63"/>
      <c r="L34" s="63"/>
      <c r="M34" s="63"/>
      <c r="N34" s="63"/>
      <c r="O34" s="64"/>
      <c r="P34" s="1"/>
    </row>
    <row r="35" spans="2:16" ht="12.75" customHeight="1" x14ac:dyDescent="0.15">
      <c r="B35" s="13"/>
      <c r="C35" s="13"/>
      <c r="D35" s="13"/>
      <c r="E35" s="13"/>
      <c r="F35" s="13"/>
      <c r="G35" s="63"/>
      <c r="H35" s="63"/>
      <c r="I35" s="63"/>
      <c r="J35" s="63"/>
      <c r="K35" s="63"/>
      <c r="L35" s="63"/>
      <c r="M35" s="63"/>
      <c r="N35" s="63"/>
      <c r="O35" s="64"/>
      <c r="P35" s="1"/>
    </row>
    <row r="36" spans="2:16" ht="12.75" customHeight="1" x14ac:dyDescent="0.15">
      <c r="B36" s="13"/>
      <c r="C36" s="13"/>
      <c r="D36" s="13"/>
      <c r="E36" s="13"/>
      <c r="F36" s="13"/>
      <c r="G36" s="63"/>
      <c r="H36" s="63"/>
      <c r="I36" s="63"/>
      <c r="J36" s="63"/>
      <c r="K36" s="63"/>
      <c r="L36" s="63"/>
      <c r="M36" s="63"/>
      <c r="N36" s="63"/>
      <c r="O36" s="64"/>
      <c r="P36" s="1"/>
    </row>
    <row r="37" spans="2:16" ht="12.75" customHeight="1" x14ac:dyDescent="0.15">
      <c r="B37" s="13"/>
      <c r="C37" s="13"/>
      <c r="D37" s="13"/>
      <c r="E37" s="13"/>
      <c r="F37" s="13"/>
      <c r="G37" s="63"/>
      <c r="H37" s="63"/>
      <c r="I37" s="63"/>
      <c r="J37" s="63"/>
      <c r="K37" s="63"/>
      <c r="L37" s="63"/>
      <c r="M37" s="63"/>
      <c r="N37" s="63"/>
      <c r="O37" s="64"/>
      <c r="P37" s="1"/>
    </row>
    <row r="38" spans="2:16" ht="12.75" customHeight="1" x14ac:dyDescent="0.15">
      <c r="B38" s="13"/>
      <c r="C38" s="13"/>
      <c r="D38" s="13"/>
      <c r="E38" s="13"/>
      <c r="F38" s="13"/>
      <c r="G38" s="63"/>
      <c r="H38" s="63"/>
      <c r="I38" s="63"/>
      <c r="J38" s="63"/>
      <c r="K38" s="63"/>
      <c r="L38" s="63"/>
      <c r="M38" s="63"/>
      <c r="N38" s="63"/>
      <c r="O38" s="64"/>
      <c r="P38" s="1"/>
    </row>
    <row r="39" spans="2:16" ht="12.75" customHeight="1" x14ac:dyDescent="0.15">
      <c r="B39" s="13"/>
      <c r="C39" s="13"/>
      <c r="D39" s="13"/>
      <c r="E39" s="13"/>
      <c r="F39" s="13"/>
      <c r="G39" s="63"/>
      <c r="H39" s="63"/>
      <c r="I39" s="63"/>
      <c r="J39" s="63"/>
      <c r="K39" s="63"/>
      <c r="L39" s="63"/>
      <c r="M39" s="63"/>
      <c r="N39" s="63"/>
      <c r="O39" s="64"/>
      <c r="P39" s="1"/>
    </row>
    <row r="40" spans="2:16" ht="12.75" customHeight="1" x14ac:dyDescent="0.15">
      <c r="B40" s="13"/>
      <c r="C40" s="13"/>
      <c r="D40" s="13"/>
      <c r="E40" s="13"/>
      <c r="F40" s="13"/>
      <c r="G40" s="63"/>
      <c r="H40" s="63"/>
      <c r="I40" s="63"/>
      <c r="J40" s="63"/>
      <c r="K40" s="63"/>
      <c r="L40" s="63"/>
      <c r="M40" s="63"/>
      <c r="N40" s="63"/>
      <c r="O40" s="64"/>
      <c r="P40" s="1"/>
    </row>
    <row r="41" spans="2:16" ht="12.75" customHeight="1" x14ac:dyDescent="0.15">
      <c r="B41" s="13"/>
      <c r="C41" s="13"/>
      <c r="D41" s="13"/>
      <c r="E41" s="13"/>
      <c r="F41" s="13"/>
      <c r="G41" s="63"/>
      <c r="H41" s="63"/>
      <c r="I41" s="63"/>
      <c r="J41" s="63"/>
      <c r="K41" s="63"/>
      <c r="L41" s="63"/>
      <c r="M41" s="63"/>
      <c r="N41" s="63"/>
      <c r="O41" s="64"/>
      <c r="P41" s="1"/>
    </row>
    <row r="42" spans="2:16" ht="12.75" customHeight="1" x14ac:dyDescent="0.15">
      <c r="B42" s="13"/>
      <c r="C42" s="13"/>
      <c r="D42" s="13"/>
      <c r="E42" s="13"/>
      <c r="F42" s="13"/>
      <c r="G42" s="63"/>
      <c r="H42" s="63"/>
      <c r="I42" s="63"/>
      <c r="J42" s="63"/>
      <c r="K42" s="63"/>
      <c r="L42" s="63"/>
      <c r="M42" s="63"/>
      <c r="N42" s="63"/>
      <c r="O42" s="64"/>
      <c r="P42" s="1"/>
    </row>
    <row r="43" spans="2:16" ht="12.75" customHeight="1" x14ac:dyDescent="0.15">
      <c r="B43" s="13"/>
      <c r="C43" s="13"/>
      <c r="D43" s="13"/>
      <c r="E43" s="13"/>
      <c r="F43" s="13"/>
      <c r="G43" s="63"/>
      <c r="H43" s="63"/>
      <c r="I43" s="63"/>
      <c r="J43" s="63"/>
      <c r="K43" s="63"/>
      <c r="L43" s="63"/>
      <c r="M43" s="63"/>
      <c r="N43" s="63"/>
      <c r="O43" s="64"/>
      <c r="P43" s="1"/>
    </row>
    <row r="44" spans="2:16" ht="12.75" customHeight="1" x14ac:dyDescent="0.15">
      <c r="B44" s="13"/>
      <c r="C44" s="13"/>
      <c r="D44" s="13"/>
      <c r="E44" s="13"/>
      <c r="F44" s="13"/>
      <c r="G44" s="63"/>
      <c r="H44" s="63"/>
      <c r="I44" s="63"/>
      <c r="J44" s="63"/>
      <c r="K44" s="63"/>
      <c r="L44" s="63"/>
      <c r="M44" s="63"/>
      <c r="N44" s="63"/>
      <c r="O44" s="64"/>
      <c r="P44" s="1"/>
    </row>
    <row r="45" spans="2:16" ht="12.75" customHeight="1" x14ac:dyDescent="0.15">
      <c r="B45" s="13"/>
      <c r="C45" s="13"/>
      <c r="D45" s="13"/>
      <c r="E45" s="13"/>
      <c r="F45" s="13"/>
      <c r="G45" s="63"/>
      <c r="H45" s="63"/>
      <c r="I45" s="63"/>
      <c r="J45" s="63"/>
      <c r="K45" s="63"/>
      <c r="L45" s="63"/>
      <c r="M45" s="63"/>
      <c r="N45" s="63"/>
      <c r="O45" s="64"/>
      <c r="P45" s="1"/>
    </row>
    <row r="46" spans="2:16" ht="12.75" customHeight="1" x14ac:dyDescent="0.15">
      <c r="B46" s="13"/>
      <c r="C46" s="13"/>
      <c r="D46" s="13"/>
      <c r="E46" s="13"/>
      <c r="F46" s="13"/>
      <c r="G46" s="63"/>
      <c r="H46" s="63"/>
      <c r="I46" s="63"/>
      <c r="J46" s="63"/>
      <c r="K46" s="63"/>
      <c r="L46" s="63"/>
      <c r="M46" s="63"/>
      <c r="N46" s="63"/>
      <c r="O46" s="64"/>
      <c r="P46" s="1"/>
    </row>
    <row r="47" spans="2:16" ht="12.75" customHeight="1" x14ac:dyDescent="0.15">
      <c r="B47" s="13"/>
      <c r="C47" s="13"/>
      <c r="D47" s="13"/>
      <c r="E47" s="13"/>
      <c r="F47" s="13"/>
      <c r="G47" s="63"/>
      <c r="H47" s="63"/>
      <c r="I47" s="63"/>
      <c r="J47" s="63"/>
      <c r="K47" s="63"/>
      <c r="L47" s="63"/>
      <c r="M47" s="63"/>
      <c r="N47" s="63"/>
      <c r="O47" s="64"/>
      <c r="P47" s="1"/>
    </row>
    <row r="48" spans="2:16" ht="12.75" customHeight="1" x14ac:dyDescent="0.15">
      <c r="B48" s="13"/>
      <c r="C48" s="13"/>
      <c r="D48" s="13"/>
      <c r="E48" s="13"/>
      <c r="F48" s="13"/>
      <c r="G48" s="63"/>
      <c r="H48" s="63"/>
      <c r="I48" s="63"/>
      <c r="J48" s="63"/>
      <c r="K48" s="63"/>
      <c r="L48" s="63"/>
      <c r="M48" s="63"/>
      <c r="N48" s="63"/>
      <c r="O48" s="64"/>
      <c r="P48" s="1"/>
    </row>
    <row r="49" spans="2:16" ht="12.75" customHeight="1" x14ac:dyDescent="0.15">
      <c r="B49" s="13"/>
      <c r="C49" s="13"/>
      <c r="D49" s="13"/>
      <c r="E49" s="13"/>
      <c r="F49" s="13"/>
      <c r="G49" s="63"/>
      <c r="H49" s="63"/>
      <c r="I49" s="63"/>
      <c r="J49" s="63"/>
      <c r="K49" s="63"/>
      <c r="L49" s="63"/>
      <c r="M49" s="63"/>
      <c r="N49" s="63"/>
      <c r="O49" s="64"/>
      <c r="P49" s="1"/>
    </row>
    <row r="50" spans="2:16" ht="12.75" customHeight="1" x14ac:dyDescent="0.15">
      <c r="B50" s="13"/>
      <c r="C50" s="13"/>
      <c r="D50" s="13"/>
      <c r="E50" s="13"/>
      <c r="F50" s="13"/>
      <c r="G50" s="63"/>
      <c r="H50" s="63"/>
      <c r="I50" s="63"/>
      <c r="J50" s="63"/>
      <c r="K50" s="63"/>
      <c r="L50" s="63"/>
      <c r="M50" s="63"/>
      <c r="N50" s="63"/>
      <c r="O50" s="64"/>
      <c r="P50" s="1"/>
    </row>
    <row r="51" spans="2:16" ht="12.75" customHeight="1" x14ac:dyDescent="0.15">
      <c r="B51" s="13"/>
      <c r="C51" s="13"/>
      <c r="D51" s="13"/>
      <c r="E51" s="13"/>
      <c r="F51" s="13"/>
      <c r="G51" s="63"/>
      <c r="H51" s="63"/>
      <c r="I51" s="63"/>
      <c r="J51" s="63"/>
      <c r="K51" s="63"/>
      <c r="L51" s="63"/>
      <c r="M51" s="63"/>
      <c r="N51" s="63"/>
      <c r="O51" s="64"/>
      <c r="P51" s="1"/>
    </row>
    <row r="52" spans="2:16" ht="12.75" customHeight="1" x14ac:dyDescent="0.15">
      <c r="B52" s="13"/>
      <c r="C52" s="13"/>
      <c r="D52" s="55"/>
      <c r="E52" s="13"/>
      <c r="F52" s="13"/>
      <c r="G52" s="63"/>
      <c r="H52" s="63"/>
      <c r="I52" s="63"/>
      <c r="J52" s="63"/>
      <c r="K52" s="63"/>
      <c r="L52" s="63"/>
      <c r="M52" s="63"/>
      <c r="N52" s="63"/>
      <c r="O52" s="64"/>
      <c r="P52" s="1"/>
    </row>
    <row r="53" spans="2:16" ht="12.75" customHeight="1" x14ac:dyDescent="0.15">
      <c r="B53" s="13"/>
      <c r="C53" s="13"/>
      <c r="D53" s="55"/>
      <c r="E53" s="13"/>
      <c r="F53" s="13"/>
      <c r="G53" s="63"/>
      <c r="H53" s="63"/>
      <c r="I53" s="63"/>
      <c r="J53" s="63"/>
      <c r="K53" s="63"/>
      <c r="L53" s="63"/>
      <c r="M53" s="63"/>
      <c r="N53" s="63"/>
      <c r="O53" s="64"/>
      <c r="P53" s="1"/>
    </row>
    <row r="54" spans="2:16" ht="12.75" customHeight="1" x14ac:dyDescent="0.15">
      <c r="B54" s="13"/>
      <c r="C54" s="13"/>
      <c r="D54" s="55"/>
      <c r="E54" s="13"/>
      <c r="F54" s="13"/>
      <c r="G54" s="63"/>
      <c r="H54" s="63"/>
      <c r="I54" s="63"/>
      <c r="J54" s="63"/>
      <c r="K54" s="63"/>
      <c r="L54" s="63"/>
      <c r="M54" s="63"/>
      <c r="N54" s="63"/>
      <c r="O54" s="64"/>
      <c r="P54" s="1"/>
    </row>
    <row r="55" spans="2:16" ht="12.75" customHeight="1" x14ac:dyDescent="0.15">
      <c r="B55" s="13"/>
      <c r="C55" s="13"/>
      <c r="D55" s="55"/>
      <c r="E55" s="13"/>
      <c r="F55" s="13"/>
      <c r="G55" s="63"/>
      <c r="H55" s="63"/>
      <c r="I55" s="63"/>
      <c r="J55" s="63"/>
      <c r="K55" s="63"/>
      <c r="L55" s="63"/>
      <c r="M55" s="63"/>
      <c r="N55" s="63"/>
      <c r="O55" s="64"/>
      <c r="P55" s="1"/>
    </row>
    <row r="56" spans="2:16" ht="12.75" customHeight="1" x14ac:dyDescent="0.15">
      <c r="B56" s="13"/>
      <c r="C56" s="13"/>
      <c r="D56" s="55"/>
      <c r="E56" s="13"/>
      <c r="F56" s="13"/>
      <c r="G56" s="63"/>
      <c r="H56" s="63"/>
      <c r="I56" s="63"/>
      <c r="J56" s="63"/>
      <c r="K56" s="63"/>
      <c r="L56" s="63"/>
      <c r="M56" s="63"/>
      <c r="N56" s="63"/>
      <c r="O56" s="64"/>
      <c r="P56" s="1"/>
    </row>
    <row r="57" spans="2:16" ht="12.75" customHeight="1" x14ac:dyDescent="0.15">
      <c r="B57" s="13"/>
      <c r="C57" s="13"/>
      <c r="D57" s="55"/>
      <c r="E57" s="13"/>
      <c r="F57" s="13"/>
      <c r="G57" s="63"/>
      <c r="H57" s="63"/>
      <c r="I57" s="63"/>
      <c r="J57" s="63"/>
      <c r="K57" s="63"/>
      <c r="L57" s="63"/>
      <c r="M57" s="63"/>
      <c r="N57" s="63"/>
      <c r="O57" s="64"/>
      <c r="P57" s="1"/>
    </row>
    <row r="58" spans="2:16" ht="12.75" customHeight="1" x14ac:dyDescent="0.15">
      <c r="B58" s="13"/>
      <c r="C58" s="13"/>
      <c r="D58" s="55"/>
      <c r="E58" s="13"/>
      <c r="F58" s="13"/>
      <c r="G58" s="63"/>
      <c r="H58" s="63"/>
      <c r="I58" s="63"/>
      <c r="J58" s="63"/>
      <c r="K58" s="63"/>
      <c r="L58" s="63"/>
      <c r="M58" s="63"/>
      <c r="N58" s="63"/>
      <c r="O58" s="64"/>
      <c r="P58" s="1"/>
    </row>
    <row r="59" spans="2:16" ht="12.75" customHeight="1" x14ac:dyDescent="0.15">
      <c r="B59" s="13"/>
      <c r="C59" s="13"/>
      <c r="D59" s="55"/>
      <c r="E59" s="13"/>
      <c r="F59" s="13"/>
      <c r="G59" s="63"/>
      <c r="H59" s="63"/>
      <c r="I59" s="63"/>
      <c r="J59" s="63"/>
      <c r="K59" s="63"/>
      <c r="L59" s="63"/>
      <c r="M59" s="63"/>
      <c r="N59" s="63"/>
      <c r="O59" s="64"/>
      <c r="P59" s="1"/>
    </row>
    <row r="60" spans="2:16" ht="12.75" customHeight="1" x14ac:dyDescent="0.15">
      <c r="B60" s="13"/>
      <c r="C60" s="13"/>
      <c r="D60" s="55"/>
      <c r="E60" s="13"/>
      <c r="F60" s="13"/>
      <c r="G60" s="63"/>
      <c r="H60" s="63"/>
      <c r="I60" s="63"/>
      <c r="J60" s="63"/>
      <c r="K60" s="63"/>
      <c r="L60" s="63"/>
      <c r="M60" s="63"/>
      <c r="N60" s="63"/>
      <c r="O60" s="64"/>
      <c r="P60" s="1"/>
    </row>
    <row r="61" spans="2:16" ht="12.75" customHeight="1" x14ac:dyDescent="0.15">
      <c r="B61" s="13"/>
      <c r="C61" s="13"/>
      <c r="D61" s="55"/>
      <c r="E61" s="13"/>
      <c r="F61" s="13"/>
      <c r="G61" s="63"/>
      <c r="H61" s="63"/>
      <c r="I61" s="63"/>
      <c r="J61" s="63"/>
      <c r="K61" s="63"/>
      <c r="L61" s="63"/>
      <c r="M61" s="63"/>
      <c r="N61" s="63"/>
      <c r="O61" s="64"/>
      <c r="P61" s="1"/>
    </row>
    <row r="62" spans="2:16" ht="12.75" customHeight="1" x14ac:dyDescent="0.15">
      <c r="B62" s="13"/>
      <c r="C62" s="13"/>
      <c r="D62" s="55"/>
      <c r="E62" s="13"/>
      <c r="F62" s="13"/>
      <c r="G62" s="63"/>
      <c r="H62" s="63"/>
      <c r="I62" s="63"/>
      <c r="J62" s="63"/>
      <c r="K62" s="63"/>
      <c r="L62" s="63"/>
      <c r="M62" s="63"/>
      <c r="N62" s="63"/>
      <c r="O62" s="64"/>
      <c r="P62" s="1"/>
    </row>
    <row r="63" spans="2:16" ht="12.75" customHeight="1" x14ac:dyDescent="0.15">
      <c r="B63" s="13"/>
      <c r="C63" s="13"/>
      <c r="D63" s="55"/>
      <c r="E63" s="13"/>
      <c r="F63" s="13"/>
      <c r="G63" s="63"/>
      <c r="H63" s="63"/>
      <c r="I63" s="63"/>
      <c r="J63" s="63"/>
      <c r="K63" s="63"/>
      <c r="L63" s="63"/>
      <c r="M63" s="63"/>
      <c r="N63" s="63"/>
      <c r="O63" s="64"/>
      <c r="P63" s="1"/>
    </row>
    <row r="64" spans="2:16" ht="12.75" customHeight="1" x14ac:dyDescent="0.15">
      <c r="B64" s="13"/>
      <c r="C64" s="13"/>
      <c r="D64" s="55"/>
      <c r="E64" s="13"/>
      <c r="F64" s="13"/>
      <c r="G64" s="63"/>
      <c r="H64" s="63"/>
      <c r="I64" s="63"/>
      <c r="J64" s="63"/>
      <c r="K64" s="63"/>
      <c r="L64" s="63"/>
      <c r="M64" s="63"/>
      <c r="N64" s="63"/>
      <c r="O64" s="64"/>
      <c r="P64" s="1"/>
    </row>
    <row r="65" spans="2:16" ht="12.75" customHeight="1" x14ac:dyDescent="0.15">
      <c r="B65" s="13"/>
      <c r="C65" s="13"/>
      <c r="D65" s="55"/>
      <c r="E65" s="13"/>
      <c r="F65" s="13"/>
      <c r="G65" s="63"/>
      <c r="H65" s="63"/>
      <c r="I65" s="63"/>
      <c r="J65" s="63"/>
      <c r="K65" s="63"/>
      <c r="L65" s="63"/>
      <c r="M65" s="63"/>
      <c r="N65" s="63"/>
      <c r="O65" s="64"/>
      <c r="P65" s="1"/>
    </row>
    <row r="66" spans="2:16" ht="12.75" customHeight="1" x14ac:dyDescent="0.15">
      <c r="B66" s="13"/>
      <c r="C66" s="13"/>
      <c r="D66" s="55"/>
      <c r="E66" s="13"/>
      <c r="F66" s="13"/>
      <c r="G66" s="63"/>
      <c r="H66" s="63"/>
      <c r="I66" s="63"/>
      <c r="J66" s="63"/>
      <c r="K66" s="63"/>
      <c r="L66" s="63"/>
      <c r="M66" s="63"/>
      <c r="N66" s="63"/>
      <c r="O66" s="64"/>
      <c r="P66" s="1"/>
    </row>
    <row r="67" spans="2:16" ht="12.75" customHeight="1" x14ac:dyDescent="0.15">
      <c r="B67" s="13"/>
      <c r="C67" s="13"/>
      <c r="D67" s="55"/>
      <c r="E67" s="13"/>
      <c r="F67" s="13"/>
      <c r="G67" s="63"/>
      <c r="H67" s="63"/>
      <c r="I67" s="63"/>
      <c r="J67" s="63"/>
      <c r="K67" s="63"/>
      <c r="L67" s="63"/>
      <c r="M67" s="63"/>
      <c r="N67" s="63"/>
      <c r="O67" s="64"/>
      <c r="P67" s="1"/>
    </row>
    <row r="68" spans="2:16" ht="12.75" customHeight="1" x14ac:dyDescent="0.15">
      <c r="B68" s="13"/>
      <c r="C68" s="13"/>
      <c r="D68" s="55"/>
      <c r="E68" s="13"/>
      <c r="F68" s="13"/>
      <c r="G68" s="63"/>
      <c r="H68" s="63"/>
      <c r="I68" s="63"/>
      <c r="J68" s="63"/>
      <c r="K68" s="63"/>
      <c r="L68" s="63"/>
      <c r="M68" s="63"/>
      <c r="N68" s="63"/>
      <c r="O68" s="64"/>
      <c r="P68" s="1"/>
    </row>
    <row r="69" spans="2:16" ht="12.75" customHeight="1" x14ac:dyDescent="0.15">
      <c r="B69" s="13"/>
      <c r="C69" s="13"/>
      <c r="D69" s="55"/>
      <c r="E69" s="13"/>
      <c r="F69" s="13"/>
      <c r="G69" s="63"/>
      <c r="H69" s="63"/>
      <c r="I69" s="63"/>
      <c r="J69" s="63"/>
      <c r="K69" s="63"/>
      <c r="L69" s="63"/>
      <c r="M69" s="63"/>
      <c r="N69" s="63"/>
      <c r="O69" s="64"/>
      <c r="P69" s="1"/>
    </row>
    <row r="70" spans="2:16" ht="12.75" customHeight="1" x14ac:dyDescent="0.15">
      <c r="B70" s="13"/>
      <c r="C70" s="13"/>
      <c r="D70" s="55"/>
      <c r="E70" s="13"/>
      <c r="F70" s="13"/>
      <c r="G70" s="63"/>
      <c r="H70" s="63"/>
      <c r="I70" s="63"/>
      <c r="J70" s="63"/>
      <c r="K70" s="63"/>
      <c r="L70" s="63"/>
      <c r="M70" s="63"/>
      <c r="N70" s="63"/>
      <c r="O70" s="64"/>
      <c r="P70" s="1"/>
    </row>
    <row r="71" spans="2:16" ht="12.75" customHeight="1" x14ac:dyDescent="0.15">
      <c r="B71" s="13"/>
      <c r="C71" s="13"/>
      <c r="D71" s="55"/>
      <c r="E71" s="13"/>
      <c r="F71" s="13"/>
      <c r="G71" s="63"/>
      <c r="H71" s="63"/>
      <c r="I71" s="63"/>
      <c r="J71" s="63"/>
      <c r="K71" s="63"/>
      <c r="L71" s="63"/>
      <c r="M71" s="63"/>
      <c r="N71" s="63"/>
      <c r="O71" s="64"/>
      <c r="P71" s="1"/>
    </row>
    <row r="72" spans="2:16" ht="12.75" customHeight="1" x14ac:dyDescent="0.15">
      <c r="B72" s="13"/>
      <c r="C72" s="13"/>
      <c r="D72" s="55"/>
      <c r="E72" s="13"/>
      <c r="F72" s="13"/>
      <c r="G72" s="63"/>
      <c r="H72" s="63"/>
      <c r="I72" s="63"/>
      <c r="J72" s="63"/>
      <c r="K72" s="63"/>
      <c r="L72" s="63"/>
      <c r="M72" s="63"/>
      <c r="N72" s="63"/>
      <c r="O72" s="64"/>
      <c r="P72" s="1"/>
    </row>
    <row r="73" spans="2:16" ht="12.75" customHeight="1" x14ac:dyDescent="0.15">
      <c r="B73" s="13"/>
      <c r="C73" s="13"/>
      <c r="D73" s="55"/>
      <c r="E73" s="13"/>
      <c r="F73" s="13"/>
      <c r="G73" s="63"/>
      <c r="H73" s="63"/>
      <c r="I73" s="63"/>
      <c r="J73" s="63"/>
      <c r="K73" s="63"/>
      <c r="L73" s="63"/>
      <c r="M73" s="63"/>
      <c r="N73" s="63"/>
      <c r="O73" s="64"/>
      <c r="P73" s="1"/>
    </row>
    <row r="74" spans="2:16" ht="12.75" customHeight="1" x14ac:dyDescent="0.15">
      <c r="B74" s="13"/>
      <c r="C74" s="13"/>
      <c r="D74" s="55"/>
      <c r="E74" s="13"/>
      <c r="F74" s="13"/>
      <c r="G74" s="63"/>
      <c r="H74" s="63"/>
      <c r="I74" s="63"/>
      <c r="J74" s="63"/>
      <c r="K74" s="63"/>
      <c r="L74" s="63"/>
      <c r="M74" s="63"/>
      <c r="N74" s="63"/>
      <c r="O74" s="64"/>
      <c r="P74" s="1"/>
    </row>
    <row r="75" spans="2:16" ht="12.75" customHeight="1" x14ac:dyDescent="0.15">
      <c r="B75" s="13"/>
      <c r="C75" s="13"/>
      <c r="D75" s="55"/>
      <c r="E75" s="13"/>
      <c r="F75" s="13"/>
      <c r="G75" s="63"/>
      <c r="H75" s="63"/>
      <c r="I75" s="63"/>
      <c r="J75" s="63"/>
      <c r="K75" s="63"/>
      <c r="L75" s="63"/>
      <c r="M75" s="63"/>
      <c r="N75" s="63"/>
      <c r="O75" s="64"/>
      <c r="P75" s="1"/>
    </row>
    <row r="76" spans="2:16" ht="12.75" customHeight="1" x14ac:dyDescent="0.15">
      <c r="B76" s="13"/>
      <c r="C76" s="13"/>
      <c r="D76" s="55"/>
      <c r="E76" s="13"/>
      <c r="F76" s="13"/>
      <c r="G76" s="63"/>
      <c r="H76" s="63"/>
      <c r="I76" s="63"/>
      <c r="J76" s="63"/>
      <c r="K76" s="63"/>
      <c r="L76" s="63"/>
      <c r="M76" s="63"/>
      <c r="N76" s="63"/>
      <c r="O76" s="64"/>
      <c r="P76" s="1"/>
    </row>
    <row r="77" spans="2:16" ht="12.75" customHeight="1" x14ac:dyDescent="0.15">
      <c r="B77" s="13"/>
      <c r="C77" s="13"/>
      <c r="D77" s="55"/>
      <c r="E77" s="13"/>
      <c r="F77" s="13"/>
      <c r="G77" s="63"/>
      <c r="H77" s="63"/>
      <c r="I77" s="63"/>
      <c r="J77" s="63"/>
      <c r="K77" s="63"/>
      <c r="L77" s="63"/>
      <c r="M77" s="63"/>
      <c r="N77" s="63"/>
      <c r="O77" s="64"/>
      <c r="P77" s="1"/>
    </row>
    <row r="78" spans="2:16" ht="12.75" customHeight="1" x14ac:dyDescent="0.15">
      <c r="B78" s="13"/>
      <c r="C78" s="13"/>
      <c r="D78" s="55"/>
      <c r="E78" s="13"/>
      <c r="F78" s="13"/>
      <c r="G78" s="63"/>
      <c r="H78" s="63"/>
      <c r="I78" s="63"/>
      <c r="J78" s="63"/>
      <c r="K78" s="63"/>
      <c r="L78" s="63"/>
      <c r="M78" s="63"/>
      <c r="N78" s="63"/>
      <c r="O78" s="64"/>
      <c r="P78" s="1"/>
    </row>
    <row r="79" spans="2:16" ht="12.75" customHeight="1" x14ac:dyDescent="0.15">
      <c r="B79" s="13"/>
      <c r="C79" s="13"/>
      <c r="D79" s="55"/>
      <c r="E79" s="13"/>
      <c r="F79" s="13"/>
      <c r="G79" s="63"/>
      <c r="H79" s="63"/>
      <c r="I79" s="63"/>
      <c r="J79" s="63"/>
      <c r="K79" s="63"/>
      <c r="L79" s="63"/>
      <c r="M79" s="63"/>
      <c r="N79" s="63"/>
      <c r="O79" s="64"/>
      <c r="P79" s="1"/>
    </row>
    <row r="80" spans="2:16" ht="12.75" customHeight="1" x14ac:dyDescent="0.15">
      <c r="B80" s="13"/>
      <c r="C80" s="13"/>
      <c r="D80" s="13"/>
      <c r="E80" s="13"/>
      <c r="F80" s="13"/>
      <c r="G80" s="63"/>
      <c r="H80" s="63"/>
      <c r="I80" s="63"/>
      <c r="J80" s="63"/>
      <c r="K80" s="63"/>
      <c r="L80" s="63"/>
      <c r="M80" s="63"/>
      <c r="N80" s="63"/>
      <c r="O80" s="64"/>
      <c r="P80" s="1"/>
    </row>
    <row r="81" spans="2:16" ht="12.75" customHeight="1" x14ac:dyDescent="0.15">
      <c r="B81" s="13"/>
      <c r="C81" s="13"/>
      <c r="D81" s="13"/>
      <c r="E81" s="13"/>
      <c r="F81" s="13"/>
      <c r="G81" s="63"/>
      <c r="H81" s="63"/>
      <c r="I81" s="63"/>
      <c r="J81" s="63"/>
      <c r="K81" s="63"/>
      <c r="L81" s="63"/>
      <c r="M81" s="63"/>
      <c r="N81" s="63"/>
      <c r="O81" s="64"/>
      <c r="P81" s="1"/>
    </row>
    <row r="82" spans="2:16" ht="12.75" customHeight="1" x14ac:dyDescent="0.15">
      <c r="B82" s="13"/>
      <c r="C82" s="13"/>
      <c r="D82" s="13"/>
      <c r="E82" s="13"/>
      <c r="F82" s="13"/>
      <c r="G82" s="63"/>
      <c r="H82" s="63"/>
      <c r="I82" s="63"/>
      <c r="J82" s="63"/>
      <c r="K82" s="63"/>
      <c r="L82" s="63"/>
      <c r="M82" s="63"/>
      <c r="N82" s="63"/>
      <c r="O82" s="64"/>
      <c r="P82" s="1"/>
    </row>
    <row r="83" spans="2:16" ht="12.75" customHeight="1" x14ac:dyDescent="0.15">
      <c r="B83" s="13"/>
      <c r="C83" s="13"/>
      <c r="D83" s="13"/>
      <c r="E83" s="13"/>
      <c r="F83" s="13"/>
      <c r="G83" s="63"/>
      <c r="H83" s="63"/>
      <c r="I83" s="63"/>
      <c r="J83" s="63"/>
      <c r="K83" s="63"/>
      <c r="L83" s="63"/>
      <c r="M83" s="63"/>
      <c r="N83" s="63"/>
      <c r="O83" s="64"/>
      <c r="P83" s="1"/>
    </row>
    <row r="84" spans="2:16" ht="12.75" customHeight="1" x14ac:dyDescent="0.15">
      <c r="B84" s="13"/>
      <c r="C84" s="13"/>
      <c r="D84" s="13"/>
      <c r="E84" s="13"/>
      <c r="F84" s="13"/>
      <c r="G84" s="63"/>
      <c r="H84" s="63"/>
      <c r="I84" s="63"/>
      <c r="J84" s="63"/>
      <c r="K84" s="63"/>
      <c r="L84" s="63"/>
      <c r="M84" s="63"/>
      <c r="N84" s="63"/>
      <c r="O84" s="64"/>
      <c r="P84" s="1"/>
    </row>
    <row r="85" spans="2:16" ht="12.75" customHeight="1" x14ac:dyDescent="0.15">
      <c r="B85" s="13"/>
      <c r="C85" s="13"/>
      <c r="D85" s="13"/>
      <c r="E85" s="13"/>
      <c r="F85" s="13"/>
      <c r="G85" s="63"/>
      <c r="H85" s="63"/>
      <c r="I85" s="63"/>
      <c r="J85" s="63"/>
      <c r="K85" s="63"/>
      <c r="L85" s="63"/>
      <c r="M85" s="63"/>
      <c r="N85" s="63"/>
      <c r="O85" s="64"/>
      <c r="P85" s="1"/>
    </row>
    <row r="86" spans="2:16" ht="12.75" customHeight="1" x14ac:dyDescent="0.15">
      <c r="B86" s="13"/>
      <c r="C86" s="13"/>
      <c r="D86" s="13"/>
      <c r="E86" s="13"/>
      <c r="F86" s="13"/>
      <c r="G86" s="63"/>
      <c r="H86" s="63"/>
      <c r="I86" s="63"/>
      <c r="J86" s="63"/>
      <c r="K86" s="63"/>
      <c r="L86" s="63"/>
      <c r="M86" s="63"/>
      <c r="N86" s="63"/>
      <c r="O86" s="64"/>
      <c r="P86" s="1"/>
    </row>
    <row r="87" spans="2:16" ht="12.75" customHeight="1" x14ac:dyDescent="0.15">
      <c r="B87" s="13"/>
      <c r="C87" s="13"/>
      <c r="D87" s="13"/>
      <c r="E87" s="13"/>
      <c r="F87" s="13"/>
      <c r="G87" s="63"/>
      <c r="H87" s="63"/>
      <c r="I87" s="63"/>
      <c r="J87" s="63"/>
      <c r="K87" s="63"/>
      <c r="L87" s="63"/>
      <c r="M87" s="63"/>
      <c r="N87" s="63"/>
      <c r="O87" s="64"/>
      <c r="P87" s="1"/>
    </row>
    <row r="88" spans="2:16" ht="12.75" customHeight="1" x14ac:dyDescent="0.15">
      <c r="B88" s="13"/>
      <c r="C88" s="13"/>
      <c r="D88" s="13"/>
      <c r="E88" s="13"/>
      <c r="F88" s="13"/>
      <c r="G88" s="63"/>
      <c r="H88" s="63"/>
      <c r="I88" s="63"/>
      <c r="J88" s="63"/>
      <c r="K88" s="63"/>
      <c r="L88" s="63"/>
      <c r="M88" s="63"/>
      <c r="N88" s="63"/>
      <c r="O88" s="64"/>
      <c r="P88" s="1"/>
    </row>
    <row r="89" spans="2:16" ht="12.75" customHeight="1" x14ac:dyDescent="0.15">
      <c r="B89" s="13"/>
      <c r="C89" s="13"/>
      <c r="D89" s="13"/>
      <c r="E89" s="13"/>
      <c r="F89" s="13"/>
      <c r="G89" s="63"/>
      <c r="H89" s="63"/>
      <c r="I89" s="63"/>
      <c r="J89" s="63"/>
      <c r="K89" s="63"/>
      <c r="L89" s="63"/>
      <c r="M89" s="63"/>
      <c r="N89" s="63"/>
      <c r="O89" s="64"/>
      <c r="P89" s="1"/>
    </row>
    <row r="90" spans="2:16" ht="12.75" customHeight="1" x14ac:dyDescent="0.15">
      <c r="B90" s="13"/>
      <c r="C90" s="13"/>
      <c r="D90" s="13"/>
      <c r="E90" s="13"/>
      <c r="F90" s="13"/>
      <c r="G90" s="63"/>
      <c r="H90" s="63"/>
      <c r="I90" s="63"/>
      <c r="J90" s="63"/>
      <c r="K90" s="63"/>
      <c r="L90" s="63"/>
      <c r="M90" s="63"/>
      <c r="N90" s="63"/>
      <c r="O90" s="64"/>
      <c r="P90" s="1"/>
    </row>
    <row r="91" spans="2:16" ht="12.75" customHeight="1" x14ac:dyDescent="0.15">
      <c r="B91" s="13"/>
      <c r="C91" s="13"/>
      <c r="D91" s="13"/>
      <c r="E91" s="13"/>
      <c r="F91" s="13"/>
      <c r="G91" s="63"/>
      <c r="H91" s="63"/>
      <c r="I91" s="63"/>
      <c r="J91" s="63"/>
      <c r="K91" s="63"/>
      <c r="L91" s="63"/>
      <c r="M91" s="63"/>
      <c r="N91" s="63"/>
      <c r="O91" s="64"/>
      <c r="P91" s="1"/>
    </row>
    <row r="92" spans="2:16" ht="12.75" customHeight="1" x14ac:dyDescent="0.15">
      <c r="B92" s="13"/>
      <c r="C92" s="13"/>
      <c r="D92" s="13"/>
      <c r="E92" s="13"/>
      <c r="F92" s="13"/>
      <c r="G92" s="63"/>
      <c r="H92" s="63"/>
      <c r="I92" s="63"/>
      <c r="J92" s="63"/>
      <c r="K92" s="63"/>
      <c r="L92" s="63"/>
      <c r="M92" s="63"/>
      <c r="N92" s="63"/>
      <c r="O92" s="64"/>
      <c r="P92" s="1"/>
    </row>
    <row r="93" spans="2:16" ht="12.75" customHeight="1" x14ac:dyDescent="0.15">
      <c r="B93" s="13"/>
      <c r="C93" s="13"/>
      <c r="D93" s="13"/>
      <c r="E93" s="13"/>
      <c r="F93" s="13"/>
      <c r="G93" s="63"/>
      <c r="H93" s="63"/>
      <c r="I93" s="63"/>
      <c r="J93" s="63"/>
      <c r="K93" s="63"/>
      <c r="L93" s="63"/>
      <c r="M93" s="63"/>
      <c r="N93" s="63"/>
      <c r="O93" s="64"/>
      <c r="P93" s="1"/>
    </row>
    <row r="94" spans="2:16" ht="12.75" customHeight="1" x14ac:dyDescent="0.15">
      <c r="B94" s="13"/>
      <c r="C94" s="13"/>
      <c r="D94" s="13"/>
      <c r="E94" s="13"/>
      <c r="F94" s="13"/>
      <c r="G94" s="63"/>
      <c r="H94" s="63"/>
      <c r="I94" s="63"/>
      <c r="J94" s="63"/>
      <c r="K94" s="63"/>
      <c r="L94" s="63"/>
      <c r="M94" s="63"/>
      <c r="N94" s="63"/>
      <c r="O94" s="64"/>
      <c r="P94" s="1"/>
    </row>
    <row r="95" spans="2:16" ht="12.75" customHeight="1" x14ac:dyDescent="0.15">
      <c r="B95" s="13"/>
      <c r="C95" s="13"/>
      <c r="D95" s="13"/>
      <c r="E95" s="13"/>
      <c r="F95" s="13"/>
      <c r="G95" s="63"/>
      <c r="H95" s="63"/>
      <c r="I95" s="63"/>
      <c r="J95" s="63"/>
      <c r="K95" s="63"/>
      <c r="L95" s="63"/>
      <c r="M95" s="63"/>
      <c r="N95" s="63"/>
      <c r="O95" s="64"/>
      <c r="P95" s="1"/>
    </row>
    <row r="96" spans="2:16" ht="12.75" customHeight="1" x14ac:dyDescent="0.15">
      <c r="B96" s="13"/>
      <c r="C96" s="13"/>
      <c r="D96" s="13"/>
      <c r="E96" s="13"/>
      <c r="F96" s="13"/>
      <c r="G96" s="63"/>
      <c r="H96" s="63"/>
      <c r="I96" s="63"/>
      <c r="J96" s="63"/>
      <c r="K96" s="63"/>
      <c r="L96" s="63"/>
      <c r="M96" s="63"/>
      <c r="N96" s="63"/>
      <c r="O96" s="64"/>
      <c r="P96" s="1"/>
    </row>
    <row r="97" spans="2:16" ht="12.75" customHeight="1" x14ac:dyDescent="0.15">
      <c r="B97" s="13"/>
      <c r="C97" s="13"/>
      <c r="D97" s="13"/>
      <c r="E97" s="13"/>
      <c r="F97" s="13"/>
      <c r="G97" s="63"/>
      <c r="H97" s="63"/>
      <c r="I97" s="63"/>
      <c r="J97" s="63"/>
      <c r="K97" s="63"/>
      <c r="L97" s="63"/>
      <c r="M97" s="63"/>
      <c r="N97" s="63"/>
      <c r="O97" s="64"/>
      <c r="P97" s="1"/>
    </row>
    <row r="98" spans="2:16" ht="12.75" customHeight="1" x14ac:dyDescent="0.15">
      <c r="B98" s="13"/>
      <c r="C98" s="13"/>
      <c r="D98" s="13"/>
      <c r="E98" s="13"/>
      <c r="F98" s="13"/>
      <c r="G98" s="63"/>
      <c r="H98" s="63"/>
      <c r="I98" s="63"/>
      <c r="J98" s="63"/>
      <c r="K98" s="63"/>
      <c r="L98" s="63"/>
      <c r="M98" s="63"/>
      <c r="N98" s="63"/>
      <c r="O98" s="64"/>
      <c r="P98" s="1"/>
    </row>
    <row r="99" spans="2:16" ht="12.75" customHeight="1" x14ac:dyDescent="0.15">
      <c r="B99" s="13"/>
      <c r="C99" s="13"/>
      <c r="D99" s="13"/>
      <c r="E99" s="13"/>
      <c r="F99" s="13"/>
      <c r="G99" s="63"/>
      <c r="H99" s="63"/>
      <c r="I99" s="63"/>
      <c r="J99" s="63"/>
      <c r="K99" s="63"/>
      <c r="L99" s="63"/>
      <c r="M99" s="63"/>
      <c r="N99" s="63"/>
      <c r="O99" s="64"/>
      <c r="P99" s="1"/>
    </row>
    <row r="100" spans="2:16" ht="12.75" customHeight="1" x14ac:dyDescent="0.15">
      <c r="B100" s="13"/>
      <c r="C100" s="13"/>
      <c r="D100" s="13"/>
      <c r="E100" s="13"/>
      <c r="F100" s="13"/>
      <c r="G100" s="63"/>
      <c r="H100" s="63"/>
      <c r="I100" s="63"/>
      <c r="J100" s="63"/>
      <c r="K100" s="63"/>
      <c r="L100" s="63"/>
      <c r="M100" s="63"/>
      <c r="N100" s="63"/>
      <c r="O100" s="64"/>
      <c r="P100" s="1"/>
    </row>
    <row r="101" spans="2:16" ht="12.75" customHeight="1" x14ac:dyDescent="0.15">
      <c r="B101" s="13"/>
      <c r="C101" s="13"/>
      <c r="D101" s="13"/>
      <c r="E101" s="13"/>
      <c r="F101" s="13"/>
      <c r="G101" s="63"/>
      <c r="H101" s="63"/>
      <c r="I101" s="63"/>
      <c r="J101" s="63"/>
      <c r="K101" s="63"/>
      <c r="L101" s="63"/>
      <c r="M101" s="63"/>
      <c r="N101" s="63"/>
      <c r="O101" s="64"/>
      <c r="P101" s="1"/>
    </row>
    <row r="102" spans="2:16" ht="12.75" customHeight="1" x14ac:dyDescent="0.15">
      <c r="B102" s="13"/>
      <c r="C102" s="13"/>
      <c r="D102" s="13"/>
      <c r="E102" s="13"/>
      <c r="F102" s="13"/>
      <c r="G102" s="63"/>
      <c r="H102" s="63"/>
      <c r="I102" s="63"/>
      <c r="J102" s="63"/>
      <c r="K102" s="63"/>
      <c r="L102" s="63"/>
      <c r="M102" s="63"/>
      <c r="N102" s="63"/>
      <c r="O102" s="64"/>
      <c r="P102" s="1"/>
    </row>
    <row r="103" spans="2:16" ht="12.75" customHeight="1" x14ac:dyDescent="0.15">
      <c r="B103" s="13"/>
      <c r="C103" s="13"/>
      <c r="D103" s="13"/>
      <c r="E103" s="13"/>
      <c r="F103" s="13"/>
      <c r="G103" s="63"/>
      <c r="H103" s="63"/>
      <c r="I103" s="63"/>
      <c r="J103" s="63"/>
      <c r="K103" s="63"/>
      <c r="L103" s="63"/>
      <c r="M103" s="63"/>
      <c r="N103" s="63"/>
      <c r="O103" s="64"/>
      <c r="P103" s="1"/>
    </row>
    <row r="104" spans="2:16" ht="12.75" customHeight="1" x14ac:dyDescent="0.15">
      <c r="B104" s="13"/>
      <c r="C104" s="13"/>
      <c r="D104" s="13"/>
      <c r="E104" s="13"/>
      <c r="F104" s="13"/>
      <c r="G104" s="63"/>
      <c r="H104" s="63"/>
      <c r="I104" s="63"/>
      <c r="J104" s="63"/>
      <c r="K104" s="63"/>
      <c r="L104" s="63"/>
      <c r="M104" s="63"/>
      <c r="N104" s="63"/>
      <c r="O104" s="64"/>
      <c r="P104" s="1"/>
    </row>
    <row r="105" spans="2:16" ht="12.75" customHeight="1" x14ac:dyDescent="0.15">
      <c r="B105" s="13"/>
      <c r="C105" s="13"/>
      <c r="D105" s="13"/>
      <c r="E105" s="13"/>
      <c r="F105" s="13"/>
      <c r="G105" s="63"/>
      <c r="H105" s="63"/>
      <c r="I105" s="63"/>
      <c r="J105" s="63"/>
      <c r="K105" s="63"/>
      <c r="L105" s="63"/>
      <c r="M105" s="63"/>
      <c r="N105" s="63"/>
      <c r="O105" s="64"/>
      <c r="P105" s="1"/>
    </row>
    <row r="106" spans="2:16" ht="12.75" customHeight="1" x14ac:dyDescent="0.15">
      <c r="B106" s="13"/>
      <c r="C106" s="13"/>
      <c r="D106" s="13"/>
      <c r="E106" s="13"/>
      <c r="F106" s="13"/>
      <c r="G106" s="63"/>
      <c r="H106" s="63"/>
      <c r="I106" s="63"/>
      <c r="J106" s="63"/>
      <c r="K106" s="63"/>
      <c r="L106" s="63"/>
      <c r="M106" s="63"/>
      <c r="N106" s="63"/>
      <c r="O106" s="64"/>
      <c r="P106" s="1"/>
    </row>
    <row r="107" spans="2:16" ht="12.75" customHeight="1" x14ac:dyDescent="0.15">
      <c r="B107" s="13"/>
      <c r="C107" s="13"/>
      <c r="D107" s="13"/>
      <c r="E107" s="13"/>
      <c r="F107" s="13"/>
      <c r="G107" s="63"/>
      <c r="H107" s="63"/>
      <c r="I107" s="63"/>
      <c r="J107" s="63"/>
      <c r="K107" s="63"/>
      <c r="L107" s="63"/>
      <c r="M107" s="63"/>
      <c r="N107" s="63"/>
      <c r="O107" s="64"/>
      <c r="P107" s="1"/>
    </row>
    <row r="108" spans="2:16" ht="12.75" customHeight="1" x14ac:dyDescent="0.15">
      <c r="B108" s="13"/>
      <c r="C108" s="13"/>
      <c r="D108" s="13"/>
      <c r="E108" s="13"/>
      <c r="F108" s="13"/>
      <c r="G108" s="63"/>
      <c r="H108" s="63"/>
      <c r="I108" s="63"/>
      <c r="J108" s="63"/>
      <c r="K108" s="63"/>
      <c r="L108" s="63"/>
      <c r="M108" s="63"/>
      <c r="N108" s="63"/>
      <c r="O108" s="64"/>
      <c r="P108" s="1"/>
    </row>
    <row r="109" spans="2:16" ht="12.75" customHeight="1" x14ac:dyDescent="0.15">
      <c r="B109" s="13"/>
      <c r="C109" s="13"/>
      <c r="D109" s="13"/>
      <c r="E109" s="13"/>
      <c r="F109" s="13"/>
      <c r="G109" s="63"/>
      <c r="H109" s="63"/>
      <c r="I109" s="63"/>
      <c r="J109" s="63"/>
      <c r="K109" s="63"/>
      <c r="L109" s="63"/>
      <c r="M109" s="63"/>
      <c r="N109" s="63"/>
      <c r="O109" s="64"/>
      <c r="P109" s="1"/>
    </row>
    <row r="110" spans="2:16" ht="12.75" customHeight="1" x14ac:dyDescent="0.15">
      <c r="B110" s="13"/>
      <c r="C110" s="13"/>
      <c r="D110" s="13"/>
      <c r="E110" s="13"/>
      <c r="F110" s="13"/>
      <c r="G110" s="63"/>
      <c r="H110" s="63"/>
      <c r="I110" s="63"/>
      <c r="J110" s="63"/>
      <c r="K110" s="63"/>
      <c r="L110" s="63"/>
      <c r="M110" s="63"/>
      <c r="N110" s="63"/>
      <c r="O110" s="64"/>
      <c r="P110" s="1"/>
    </row>
    <row r="111" spans="2:16" ht="12.75" customHeight="1" x14ac:dyDescent="0.15">
      <c r="B111" s="13"/>
      <c r="C111" s="13"/>
      <c r="D111" s="13"/>
      <c r="E111" s="13"/>
      <c r="F111" s="13"/>
      <c r="G111" s="63"/>
      <c r="H111" s="63"/>
      <c r="I111" s="63"/>
      <c r="J111" s="63"/>
      <c r="K111" s="63"/>
      <c r="L111" s="63"/>
      <c r="M111" s="63"/>
      <c r="N111" s="63"/>
      <c r="O111" s="64"/>
      <c r="P111" s="1"/>
    </row>
    <row r="112" spans="2:16" ht="12.75" customHeight="1" x14ac:dyDescent="0.15">
      <c r="B112" s="13"/>
      <c r="C112" s="13"/>
      <c r="D112" s="13"/>
      <c r="E112" s="13"/>
      <c r="F112" s="13"/>
      <c r="G112" s="63"/>
      <c r="H112" s="63"/>
      <c r="I112" s="63"/>
      <c r="J112" s="63"/>
      <c r="K112" s="63"/>
      <c r="L112" s="63"/>
      <c r="M112" s="63"/>
      <c r="N112" s="63"/>
      <c r="O112" s="64"/>
      <c r="P112" s="1"/>
    </row>
    <row r="113" spans="2:16" ht="12.75" customHeight="1" x14ac:dyDescent="0.15">
      <c r="B113" s="13"/>
      <c r="C113" s="13"/>
      <c r="D113" s="13"/>
      <c r="E113" s="13"/>
      <c r="F113" s="13"/>
      <c r="G113" s="63"/>
      <c r="H113" s="63"/>
      <c r="I113" s="63"/>
      <c r="J113" s="63"/>
      <c r="K113" s="63"/>
      <c r="L113" s="63"/>
      <c r="M113" s="63"/>
      <c r="N113" s="63"/>
      <c r="O113" s="64"/>
      <c r="P113" s="1"/>
    </row>
    <row r="114" spans="2:16" ht="12.75" customHeight="1" x14ac:dyDescent="0.15">
      <c r="B114" s="13"/>
      <c r="C114" s="13"/>
      <c r="D114" s="13"/>
      <c r="E114" s="13"/>
      <c r="F114" s="13"/>
      <c r="G114" s="63"/>
      <c r="H114" s="63"/>
      <c r="I114" s="63"/>
      <c r="J114" s="63"/>
      <c r="K114" s="63"/>
      <c r="L114" s="63"/>
      <c r="M114" s="63"/>
      <c r="N114" s="63"/>
      <c r="O114" s="64"/>
      <c r="P114" s="1"/>
    </row>
    <row r="115" spans="2:16" ht="12.75" customHeight="1" x14ac:dyDescent="0.15">
      <c r="B115" s="13"/>
      <c r="C115" s="13"/>
      <c r="D115" s="13"/>
      <c r="E115" s="13"/>
      <c r="F115" s="13"/>
      <c r="G115" s="63"/>
      <c r="H115" s="63"/>
      <c r="I115" s="63"/>
      <c r="J115" s="63"/>
      <c r="K115" s="63"/>
      <c r="L115" s="63"/>
      <c r="M115" s="63"/>
      <c r="N115" s="63"/>
      <c r="O115" s="64"/>
      <c r="P115" s="1"/>
    </row>
    <row r="116" spans="2:16" ht="12.75" customHeight="1" x14ac:dyDescent="0.15">
      <c r="B116" s="13"/>
      <c r="C116" s="13"/>
      <c r="D116" s="13"/>
      <c r="E116" s="13"/>
      <c r="F116" s="13"/>
      <c r="G116" s="63"/>
      <c r="H116" s="63"/>
      <c r="I116" s="63"/>
      <c r="J116" s="63"/>
      <c r="K116" s="63"/>
      <c r="L116" s="63"/>
      <c r="M116" s="63"/>
      <c r="N116" s="63"/>
      <c r="O116" s="64"/>
      <c r="P116" s="1"/>
    </row>
    <row r="117" spans="2:16" ht="12.75" customHeight="1" x14ac:dyDescent="0.15">
      <c r="B117" s="13"/>
      <c r="C117" s="13"/>
      <c r="D117" s="13"/>
      <c r="E117" s="13"/>
      <c r="F117" s="13"/>
      <c r="G117" s="63"/>
      <c r="H117" s="63"/>
      <c r="I117" s="63"/>
      <c r="J117" s="63"/>
      <c r="K117" s="63"/>
      <c r="L117" s="63"/>
      <c r="M117" s="63"/>
      <c r="N117" s="63"/>
      <c r="O117" s="64"/>
      <c r="P117" s="1"/>
    </row>
    <row r="118" spans="2:16" ht="12.75" customHeight="1" x14ac:dyDescent="0.15">
      <c r="B118" s="13"/>
      <c r="C118" s="13"/>
      <c r="D118" s="13"/>
      <c r="E118" s="13"/>
      <c r="F118" s="13"/>
      <c r="G118" s="63"/>
      <c r="H118" s="63"/>
      <c r="I118" s="63"/>
      <c r="J118" s="63"/>
      <c r="K118" s="63"/>
      <c r="L118" s="63"/>
      <c r="M118" s="63"/>
      <c r="N118" s="63"/>
      <c r="O118" s="64"/>
      <c r="P118" s="1"/>
    </row>
    <row r="119" spans="2:16" ht="12.75" customHeight="1" x14ac:dyDescent="0.15">
      <c r="B119" s="13"/>
      <c r="C119" s="13"/>
      <c r="D119" s="13"/>
      <c r="E119" s="13"/>
      <c r="F119" s="13"/>
      <c r="G119" s="63"/>
      <c r="H119" s="63"/>
      <c r="I119" s="63"/>
      <c r="J119" s="63"/>
      <c r="K119" s="63"/>
      <c r="L119" s="63"/>
      <c r="M119" s="63"/>
      <c r="N119" s="63"/>
      <c r="O119" s="64"/>
      <c r="P119" s="1"/>
    </row>
    <row r="120" spans="2:16" ht="12.75" customHeight="1" x14ac:dyDescent="0.15">
      <c r="B120" s="13"/>
      <c r="C120" s="13"/>
      <c r="D120" s="13"/>
      <c r="E120" s="13"/>
      <c r="F120" s="13"/>
      <c r="G120" s="63"/>
      <c r="H120" s="63"/>
      <c r="I120" s="63"/>
      <c r="J120" s="63"/>
      <c r="K120" s="63"/>
      <c r="L120" s="63"/>
      <c r="M120" s="63"/>
      <c r="N120" s="63"/>
      <c r="O120" s="64"/>
      <c r="P120" s="1"/>
    </row>
    <row r="121" spans="2:16" ht="12.75" customHeight="1" x14ac:dyDescent="0.15">
      <c r="B121" s="13"/>
      <c r="C121" s="13"/>
      <c r="D121" s="13"/>
      <c r="E121" s="13"/>
      <c r="F121" s="13"/>
      <c r="G121" s="63"/>
      <c r="H121" s="63"/>
      <c r="I121" s="63"/>
      <c r="J121" s="63"/>
      <c r="K121" s="63"/>
      <c r="L121" s="63"/>
      <c r="M121" s="63"/>
      <c r="N121" s="63"/>
      <c r="O121" s="64"/>
      <c r="P121" s="1"/>
    </row>
    <row r="122" spans="2:16" ht="12.75" customHeight="1" x14ac:dyDescent="0.15">
      <c r="B122" s="13"/>
      <c r="C122" s="13"/>
      <c r="D122" s="13"/>
      <c r="E122" s="13"/>
      <c r="F122" s="13"/>
      <c r="G122" s="63"/>
      <c r="H122" s="63"/>
      <c r="I122" s="63"/>
      <c r="J122" s="63"/>
      <c r="K122" s="63"/>
      <c r="L122" s="63"/>
      <c r="M122" s="63"/>
      <c r="N122" s="63"/>
      <c r="O122" s="64"/>
      <c r="P122" s="1"/>
    </row>
    <row r="123" spans="2:16" ht="12.75" customHeight="1" x14ac:dyDescent="0.15">
      <c r="B123" s="13"/>
      <c r="C123" s="13"/>
      <c r="D123" s="13"/>
      <c r="E123" s="13"/>
      <c r="F123" s="13"/>
      <c r="G123" s="63"/>
      <c r="H123" s="63"/>
      <c r="I123" s="63"/>
      <c r="J123" s="63"/>
      <c r="K123" s="63"/>
      <c r="L123" s="63"/>
      <c r="M123" s="63"/>
      <c r="N123" s="63"/>
      <c r="O123" s="64"/>
      <c r="P123" s="1"/>
    </row>
    <row r="124" spans="2:16" ht="12.75" customHeight="1" x14ac:dyDescent="0.15">
      <c r="B124" s="13"/>
      <c r="C124" s="13"/>
      <c r="D124" s="13"/>
      <c r="E124" s="13"/>
      <c r="F124" s="13"/>
      <c r="G124" s="63"/>
      <c r="H124" s="63"/>
      <c r="I124" s="63"/>
      <c r="J124" s="63"/>
      <c r="K124" s="63"/>
      <c r="L124" s="63"/>
      <c r="M124" s="63"/>
      <c r="N124" s="63"/>
      <c r="O124" s="64"/>
      <c r="P124" s="1"/>
    </row>
    <row r="125" spans="2:16" ht="12.75" customHeight="1" x14ac:dyDescent="0.15">
      <c r="B125" s="13"/>
      <c r="C125" s="13"/>
      <c r="D125" s="13"/>
      <c r="E125" s="13"/>
      <c r="F125" s="13"/>
      <c r="G125" s="63"/>
      <c r="H125" s="63"/>
      <c r="I125" s="63"/>
      <c r="J125" s="63"/>
      <c r="K125" s="63"/>
      <c r="L125" s="63"/>
      <c r="M125" s="63"/>
      <c r="N125" s="63"/>
      <c r="O125" s="64"/>
      <c r="P125" s="1"/>
    </row>
    <row r="126" spans="2:16" ht="12.75" customHeight="1" x14ac:dyDescent="0.15">
      <c r="B126" s="13"/>
      <c r="C126" s="13"/>
      <c r="D126" s="13"/>
      <c r="E126" s="13"/>
      <c r="F126" s="13"/>
      <c r="G126" s="63"/>
      <c r="H126" s="63"/>
      <c r="I126" s="63"/>
      <c r="J126" s="63"/>
      <c r="K126" s="63"/>
      <c r="L126" s="63"/>
      <c r="M126" s="63"/>
      <c r="N126" s="63"/>
      <c r="O126" s="64"/>
      <c r="P126" s="1"/>
    </row>
    <row r="127" spans="2:16" ht="12.75" customHeight="1" x14ac:dyDescent="0.15">
      <c r="B127" s="13"/>
      <c r="C127" s="13"/>
      <c r="D127" s="13"/>
      <c r="E127" s="13"/>
      <c r="F127" s="13"/>
      <c r="G127" s="63"/>
      <c r="H127" s="63"/>
      <c r="I127" s="63"/>
      <c r="J127" s="63"/>
      <c r="K127" s="63"/>
      <c r="L127" s="63"/>
      <c r="M127" s="63"/>
      <c r="N127" s="63"/>
      <c r="O127" s="64"/>
      <c r="P127" s="1"/>
    </row>
    <row r="128" spans="2:16" ht="12.75" customHeight="1" x14ac:dyDescent="0.15">
      <c r="B128" s="13"/>
      <c r="C128" s="13"/>
      <c r="D128" s="13"/>
      <c r="E128" s="13"/>
      <c r="F128" s="13"/>
      <c r="G128" s="63"/>
      <c r="H128" s="63"/>
      <c r="I128" s="63"/>
      <c r="J128" s="63"/>
      <c r="K128" s="63"/>
      <c r="L128" s="63"/>
      <c r="M128" s="63"/>
      <c r="N128" s="63"/>
      <c r="O128" s="64"/>
      <c r="P128" s="1"/>
    </row>
    <row r="129" spans="2:16" ht="12.75" customHeight="1" x14ac:dyDescent="0.15">
      <c r="B129" s="13"/>
      <c r="C129" s="13"/>
      <c r="D129" s="13"/>
      <c r="E129" s="13"/>
      <c r="F129" s="13"/>
      <c r="G129" s="63"/>
      <c r="H129" s="63"/>
      <c r="I129" s="63"/>
      <c r="J129" s="63"/>
      <c r="K129" s="63"/>
      <c r="L129" s="63"/>
      <c r="M129" s="63"/>
      <c r="N129" s="63"/>
      <c r="O129" s="64"/>
      <c r="P129" s="1"/>
    </row>
    <row r="130" spans="2:16" ht="12.75" customHeight="1" x14ac:dyDescent="0.15">
      <c r="B130" s="13"/>
      <c r="C130" s="13"/>
      <c r="D130" s="13"/>
      <c r="E130" s="13"/>
      <c r="F130" s="13"/>
      <c r="G130" s="63"/>
      <c r="H130" s="63"/>
      <c r="I130" s="63"/>
      <c r="J130" s="63"/>
      <c r="K130" s="63"/>
      <c r="L130" s="63"/>
      <c r="M130" s="63"/>
      <c r="N130" s="63"/>
      <c r="O130" s="64"/>
      <c r="P130" s="1"/>
    </row>
    <row r="131" spans="2:16" ht="12.75" customHeight="1" x14ac:dyDescent="0.15">
      <c r="B131" s="13"/>
      <c r="C131" s="13"/>
      <c r="D131" s="13"/>
      <c r="E131" s="13"/>
      <c r="F131" s="13"/>
      <c r="G131" s="63"/>
      <c r="H131" s="63"/>
      <c r="I131" s="63"/>
      <c r="J131" s="63"/>
      <c r="K131" s="63"/>
      <c r="L131" s="63"/>
      <c r="M131" s="63"/>
      <c r="N131" s="63"/>
      <c r="O131" s="64"/>
      <c r="P131" s="1"/>
    </row>
    <row r="132" spans="2:16" ht="12.75" customHeight="1" x14ac:dyDescent="0.15">
      <c r="B132" s="13"/>
      <c r="C132" s="13"/>
      <c r="D132" s="13"/>
      <c r="E132" s="13"/>
      <c r="F132" s="13"/>
      <c r="G132" s="63"/>
      <c r="H132" s="63"/>
      <c r="I132" s="63"/>
      <c r="J132" s="63"/>
      <c r="K132" s="63"/>
      <c r="L132" s="63"/>
      <c r="M132" s="63"/>
      <c r="N132" s="63"/>
      <c r="O132" s="64"/>
      <c r="P132" s="1"/>
    </row>
    <row r="133" spans="2:16" ht="12.75" customHeight="1" x14ac:dyDescent="0.15">
      <c r="B133" s="13"/>
      <c r="C133" s="13"/>
      <c r="D133" s="13"/>
      <c r="E133" s="13"/>
      <c r="F133" s="13"/>
      <c r="G133" s="63"/>
      <c r="H133" s="63"/>
      <c r="I133" s="63"/>
      <c r="J133" s="63"/>
      <c r="K133" s="63"/>
      <c r="L133" s="63"/>
      <c r="M133" s="63"/>
      <c r="N133" s="63"/>
      <c r="O133" s="64"/>
      <c r="P133" s="1"/>
    </row>
    <row r="134" spans="2:16" ht="12.75" customHeight="1" x14ac:dyDescent="0.15">
      <c r="B134" s="13"/>
      <c r="C134" s="13"/>
      <c r="D134" s="13"/>
      <c r="E134" s="13"/>
      <c r="F134" s="13"/>
      <c r="G134" s="63"/>
      <c r="H134" s="63"/>
      <c r="I134" s="63"/>
      <c r="J134" s="63"/>
      <c r="K134" s="63"/>
      <c r="L134" s="63"/>
      <c r="M134" s="63"/>
      <c r="N134" s="63"/>
      <c r="O134" s="64"/>
      <c r="P134" s="1"/>
    </row>
    <row r="135" spans="2:16" ht="12.75" customHeight="1" x14ac:dyDescent="0.15">
      <c r="B135" s="13"/>
      <c r="C135" s="13"/>
      <c r="D135" s="13"/>
      <c r="E135" s="13"/>
      <c r="F135" s="13"/>
      <c r="G135" s="63"/>
      <c r="H135" s="63"/>
      <c r="I135" s="63"/>
      <c r="J135" s="63"/>
      <c r="K135" s="63"/>
      <c r="L135" s="63"/>
      <c r="M135" s="63"/>
      <c r="N135" s="63"/>
      <c r="O135" s="64"/>
      <c r="P135" s="1"/>
    </row>
    <row r="136" spans="2:16" ht="12.75" customHeight="1" x14ac:dyDescent="0.15">
      <c r="B136" s="13"/>
      <c r="C136" s="13"/>
      <c r="D136" s="13"/>
      <c r="E136" s="13"/>
      <c r="F136" s="13"/>
      <c r="G136" s="63"/>
      <c r="H136" s="63"/>
      <c r="I136" s="63"/>
      <c r="J136" s="63"/>
      <c r="K136" s="63"/>
      <c r="L136" s="63"/>
      <c r="M136" s="63"/>
      <c r="N136" s="63"/>
      <c r="O136" s="64"/>
      <c r="P136" s="1"/>
    </row>
    <row r="137" spans="2:16" ht="12.75" customHeight="1" x14ac:dyDescent="0.15">
      <c r="B137" s="13"/>
      <c r="C137" s="13"/>
      <c r="D137" s="13"/>
      <c r="E137" s="13"/>
      <c r="F137" s="13"/>
      <c r="G137" s="63"/>
      <c r="H137" s="63"/>
      <c r="I137" s="63"/>
      <c r="J137" s="63"/>
      <c r="K137" s="63"/>
      <c r="L137" s="63"/>
      <c r="M137" s="63"/>
      <c r="N137" s="63"/>
      <c r="O137" s="64"/>
      <c r="P137" s="1"/>
    </row>
    <row r="138" spans="2:16" ht="12.75" customHeight="1" x14ac:dyDescent="0.15">
      <c r="B138" s="13"/>
      <c r="C138" s="13"/>
      <c r="D138" s="13"/>
      <c r="E138" s="13"/>
      <c r="F138" s="13"/>
      <c r="G138" s="63"/>
      <c r="H138" s="63"/>
      <c r="I138" s="63"/>
      <c r="J138" s="63"/>
      <c r="K138" s="63"/>
      <c r="L138" s="63"/>
      <c r="M138" s="63"/>
      <c r="N138" s="63"/>
      <c r="O138" s="64"/>
      <c r="P138" s="1"/>
    </row>
    <row r="139" spans="2:16" ht="12.75" customHeight="1" x14ac:dyDescent="0.15">
      <c r="B139" s="13"/>
      <c r="C139" s="13"/>
      <c r="D139" s="13"/>
      <c r="E139" s="13"/>
      <c r="F139" s="13"/>
      <c r="G139" s="63"/>
      <c r="H139" s="63"/>
      <c r="I139" s="63"/>
      <c r="J139" s="63"/>
      <c r="K139" s="63"/>
      <c r="L139" s="63"/>
      <c r="M139" s="63"/>
      <c r="N139" s="63"/>
      <c r="O139" s="64"/>
      <c r="P139" s="1"/>
    </row>
    <row r="140" spans="2:16" ht="12.75" customHeight="1" x14ac:dyDescent="0.15">
      <c r="B140" s="13"/>
      <c r="C140" s="13"/>
      <c r="D140" s="13"/>
      <c r="E140" s="13"/>
      <c r="F140" s="13"/>
      <c r="G140" s="63"/>
      <c r="H140" s="63"/>
      <c r="I140" s="63"/>
      <c r="J140" s="63"/>
      <c r="K140" s="63"/>
      <c r="L140" s="63"/>
      <c r="M140" s="63"/>
      <c r="N140" s="63"/>
      <c r="O140" s="64"/>
      <c r="P140" s="1"/>
    </row>
    <row r="141" spans="2:16" ht="12.75" customHeight="1" x14ac:dyDescent="0.15">
      <c r="B141" s="13"/>
      <c r="C141" s="13"/>
      <c r="D141" s="13"/>
      <c r="E141" s="13"/>
      <c r="F141" s="13"/>
      <c r="G141" s="63"/>
      <c r="H141" s="63"/>
      <c r="I141" s="63"/>
      <c r="J141" s="63"/>
      <c r="K141" s="63"/>
      <c r="L141" s="63"/>
      <c r="M141" s="63"/>
      <c r="N141" s="63"/>
      <c r="O141" s="64"/>
      <c r="P141" s="1"/>
    </row>
    <row r="142" spans="2:16" ht="12.75" customHeight="1" x14ac:dyDescent="0.15">
      <c r="B142" s="13"/>
      <c r="C142" s="13"/>
      <c r="D142" s="13"/>
      <c r="E142" s="13"/>
      <c r="F142" s="13"/>
      <c r="G142" s="63"/>
      <c r="H142" s="63"/>
      <c r="I142" s="63"/>
      <c r="J142" s="63"/>
      <c r="K142" s="63"/>
      <c r="L142" s="63"/>
      <c r="M142" s="63"/>
      <c r="N142" s="63"/>
      <c r="O142" s="64"/>
      <c r="P142" s="1"/>
    </row>
    <row r="143" spans="2:16" ht="12.75" customHeight="1" x14ac:dyDescent="0.15">
      <c r="B143" s="13"/>
      <c r="C143" s="13"/>
      <c r="D143" s="13"/>
      <c r="E143" s="13"/>
      <c r="F143" s="13"/>
      <c r="G143" s="63"/>
      <c r="H143" s="63"/>
      <c r="I143" s="63"/>
      <c r="J143" s="63"/>
      <c r="K143" s="63"/>
      <c r="L143" s="63"/>
      <c r="M143" s="63"/>
      <c r="N143" s="63"/>
      <c r="O143" s="64"/>
      <c r="P143" s="1"/>
    </row>
    <row r="144" spans="2:16" ht="12.75" customHeight="1" x14ac:dyDescent="0.15">
      <c r="B144" s="13"/>
      <c r="C144" s="13"/>
      <c r="D144" s="13"/>
      <c r="E144" s="13"/>
      <c r="F144" s="13"/>
      <c r="G144" s="63"/>
      <c r="H144" s="63"/>
      <c r="I144" s="63"/>
      <c r="J144" s="63"/>
      <c r="K144" s="63"/>
      <c r="L144" s="63"/>
      <c r="M144" s="63"/>
      <c r="N144" s="63"/>
      <c r="O144" s="64"/>
      <c r="P144" s="1"/>
    </row>
    <row r="145" spans="2:16" ht="12.75" customHeight="1" x14ac:dyDescent="0.15">
      <c r="B145" s="13"/>
      <c r="C145" s="13"/>
      <c r="D145" s="13"/>
      <c r="E145" s="13"/>
      <c r="F145" s="13"/>
      <c r="G145" s="63"/>
      <c r="H145" s="63"/>
      <c r="I145" s="63"/>
      <c r="J145" s="63"/>
      <c r="K145" s="63"/>
      <c r="L145" s="63"/>
      <c r="M145" s="63"/>
      <c r="N145" s="63"/>
      <c r="O145" s="64"/>
      <c r="P145" s="1"/>
    </row>
    <row r="146" spans="2:16" ht="12.75" customHeight="1" x14ac:dyDescent="0.15">
      <c r="B146" s="13"/>
      <c r="C146" s="13"/>
      <c r="D146" s="13"/>
      <c r="E146" s="13"/>
      <c r="F146" s="13"/>
      <c r="G146" s="63"/>
      <c r="H146" s="63"/>
      <c r="I146" s="63"/>
      <c r="J146" s="63"/>
      <c r="K146" s="63"/>
      <c r="L146" s="63"/>
      <c r="M146" s="63"/>
      <c r="N146" s="63"/>
      <c r="O146" s="64"/>
      <c r="P146" s="1"/>
    </row>
    <row r="147" spans="2:16" ht="12.75" customHeight="1" x14ac:dyDescent="0.15">
      <c r="B147" s="13"/>
      <c r="C147" s="13"/>
      <c r="D147" s="13"/>
      <c r="E147" s="13"/>
      <c r="F147" s="13"/>
      <c r="G147" s="63"/>
      <c r="H147" s="63"/>
      <c r="I147" s="63"/>
      <c r="J147" s="63"/>
      <c r="K147" s="63"/>
      <c r="L147" s="63"/>
      <c r="M147" s="63"/>
      <c r="N147" s="63"/>
      <c r="O147" s="64"/>
      <c r="P147" s="1"/>
    </row>
    <row r="148" spans="2:16" ht="12.75" customHeight="1" x14ac:dyDescent="0.15">
      <c r="B148" s="13"/>
      <c r="C148" s="13"/>
      <c r="D148" s="13"/>
      <c r="E148" s="13"/>
      <c r="F148" s="13"/>
      <c r="G148" s="63"/>
      <c r="H148" s="63"/>
      <c r="I148" s="63"/>
      <c r="J148" s="63"/>
      <c r="K148" s="63"/>
      <c r="L148" s="63"/>
      <c r="M148" s="63"/>
      <c r="N148" s="63"/>
      <c r="O148" s="64"/>
      <c r="P148" s="1"/>
    </row>
    <row r="149" spans="2:16" ht="12.75" customHeight="1" x14ac:dyDescent="0.15">
      <c r="B149" s="13"/>
      <c r="C149" s="13"/>
      <c r="D149" s="13"/>
      <c r="E149" s="13"/>
      <c r="F149" s="13"/>
      <c r="G149" s="63"/>
      <c r="H149" s="63"/>
      <c r="I149" s="63"/>
      <c r="J149" s="63"/>
      <c r="K149" s="63"/>
      <c r="L149" s="63"/>
      <c r="M149" s="63"/>
      <c r="N149" s="63"/>
      <c r="O149" s="64"/>
      <c r="P149" s="1"/>
    </row>
    <row r="150" spans="2:16" ht="12.75" customHeight="1" x14ac:dyDescent="0.15">
      <c r="B150" s="13"/>
      <c r="C150" s="13"/>
      <c r="D150" s="13"/>
      <c r="E150" s="13"/>
      <c r="F150" s="13"/>
      <c r="G150" s="63"/>
      <c r="H150" s="63"/>
      <c r="I150" s="63"/>
      <c r="J150" s="63"/>
      <c r="K150" s="63"/>
      <c r="L150" s="63"/>
      <c r="M150" s="63"/>
      <c r="N150" s="63"/>
      <c r="O150" s="64"/>
      <c r="P150" s="1"/>
    </row>
    <row r="151" spans="2:16" ht="12.75" customHeight="1" x14ac:dyDescent="0.15">
      <c r="B151" s="13"/>
      <c r="C151" s="13"/>
      <c r="D151" s="13"/>
      <c r="E151" s="13"/>
      <c r="F151" s="13"/>
      <c r="G151" s="63"/>
      <c r="H151" s="63"/>
      <c r="I151" s="63"/>
      <c r="J151" s="63"/>
      <c r="K151" s="63"/>
      <c r="L151" s="63"/>
      <c r="M151" s="63"/>
      <c r="N151" s="63"/>
      <c r="O151" s="64"/>
      <c r="P151" s="1"/>
    </row>
    <row r="152" spans="2:16" ht="12.75" customHeight="1" x14ac:dyDescent="0.15">
      <c r="B152" s="13"/>
      <c r="C152" s="13"/>
      <c r="D152" s="13"/>
      <c r="E152" s="13"/>
      <c r="F152" s="13"/>
      <c r="G152" s="63"/>
      <c r="H152" s="63"/>
      <c r="I152" s="63"/>
      <c r="J152" s="63"/>
      <c r="K152" s="63"/>
      <c r="L152" s="63"/>
      <c r="M152" s="63"/>
      <c r="N152" s="63"/>
      <c r="O152" s="64"/>
      <c r="P152" s="1"/>
    </row>
    <row r="153" spans="2:16" ht="12.75" customHeight="1" x14ac:dyDescent="0.15">
      <c r="B153" s="13"/>
      <c r="C153" s="13"/>
      <c r="D153" s="13"/>
      <c r="E153" s="13"/>
      <c r="F153" s="13"/>
      <c r="G153" s="63"/>
      <c r="H153" s="63"/>
      <c r="I153" s="63"/>
      <c r="J153" s="63"/>
      <c r="K153" s="63"/>
      <c r="L153" s="63"/>
      <c r="M153" s="63"/>
      <c r="N153" s="63"/>
      <c r="O153" s="64"/>
      <c r="P153" s="1"/>
    </row>
    <row r="154" spans="2:16" ht="12.75" customHeight="1" x14ac:dyDescent="0.15">
      <c r="B154" s="13"/>
      <c r="C154" s="13"/>
      <c r="D154" s="13"/>
      <c r="E154" s="13"/>
      <c r="F154" s="13"/>
      <c r="G154" s="63"/>
      <c r="H154" s="63"/>
      <c r="I154" s="63"/>
      <c r="J154" s="63"/>
      <c r="K154" s="63"/>
      <c r="L154" s="63"/>
      <c r="M154" s="63"/>
      <c r="N154" s="63"/>
      <c r="O154" s="64"/>
      <c r="P154" s="1"/>
    </row>
    <row r="155" spans="2:16" ht="12.75" customHeight="1" x14ac:dyDescent="0.15">
      <c r="B155" s="13"/>
      <c r="C155" s="13"/>
      <c r="D155" s="13"/>
      <c r="E155" s="13"/>
      <c r="F155" s="13"/>
      <c r="G155" s="63"/>
      <c r="H155" s="63"/>
      <c r="I155" s="63"/>
      <c r="J155" s="63"/>
      <c r="K155" s="63"/>
      <c r="L155" s="63"/>
      <c r="M155" s="63"/>
      <c r="N155" s="63"/>
      <c r="O155" s="64"/>
      <c r="P155" s="1"/>
    </row>
    <row r="156" spans="2:16" ht="12.75" customHeight="1" x14ac:dyDescent="0.15">
      <c r="B156" s="13"/>
      <c r="C156" s="13"/>
      <c r="D156" s="13"/>
      <c r="E156" s="13"/>
      <c r="F156" s="13"/>
      <c r="G156" s="63"/>
      <c r="H156" s="63"/>
      <c r="I156" s="63"/>
      <c r="J156" s="63"/>
      <c r="K156" s="63"/>
      <c r="L156" s="63"/>
      <c r="M156" s="63"/>
      <c r="N156" s="63"/>
      <c r="O156" s="64"/>
      <c r="P156" s="1"/>
    </row>
    <row r="157" spans="2:16" ht="12.75" customHeight="1" x14ac:dyDescent="0.15">
      <c r="B157" s="13"/>
      <c r="C157" s="13"/>
      <c r="D157" s="13"/>
      <c r="E157" s="13"/>
      <c r="F157" s="13"/>
      <c r="G157" s="63"/>
      <c r="H157" s="63"/>
      <c r="I157" s="63"/>
      <c r="J157" s="63"/>
      <c r="K157" s="63"/>
      <c r="L157" s="63"/>
      <c r="M157" s="63"/>
      <c r="N157" s="63"/>
      <c r="O157" s="64"/>
      <c r="P157" s="1"/>
    </row>
    <row r="158" spans="2:16" ht="12.75" customHeight="1" x14ac:dyDescent="0.15">
      <c r="B158" s="13"/>
      <c r="C158" s="13"/>
      <c r="D158" s="13"/>
      <c r="E158" s="13"/>
      <c r="F158" s="13"/>
      <c r="G158" s="63"/>
      <c r="H158" s="63"/>
      <c r="I158" s="63"/>
      <c r="J158" s="63"/>
      <c r="K158" s="63"/>
      <c r="L158" s="63"/>
      <c r="M158" s="63"/>
      <c r="N158" s="63"/>
      <c r="O158" s="64"/>
      <c r="P158" s="1"/>
    </row>
    <row r="159" spans="2:16" ht="12.75" customHeight="1" x14ac:dyDescent="0.15">
      <c r="B159" s="13"/>
      <c r="C159" s="13"/>
      <c r="D159" s="13"/>
      <c r="E159" s="13"/>
      <c r="F159" s="13"/>
      <c r="G159" s="63"/>
      <c r="H159" s="63"/>
      <c r="I159" s="63"/>
      <c r="J159" s="63"/>
      <c r="K159" s="63"/>
      <c r="L159" s="63"/>
      <c r="M159" s="63"/>
      <c r="N159" s="63"/>
      <c r="O159" s="64"/>
      <c r="P159" s="1"/>
    </row>
    <row r="160" spans="2:16" ht="12.75" customHeight="1" x14ac:dyDescent="0.15">
      <c r="B160" s="13"/>
      <c r="C160" s="13"/>
      <c r="D160" s="13"/>
      <c r="E160" s="13"/>
      <c r="F160" s="13"/>
      <c r="G160" s="63"/>
      <c r="H160" s="63"/>
      <c r="I160" s="63"/>
      <c r="J160" s="63"/>
      <c r="K160" s="63"/>
      <c r="L160" s="63"/>
      <c r="M160" s="63"/>
      <c r="N160" s="63"/>
      <c r="O160" s="64"/>
      <c r="P160" s="1"/>
    </row>
    <row r="161" spans="2:16" ht="12.75" customHeight="1" x14ac:dyDescent="0.15">
      <c r="B161" s="13"/>
      <c r="C161" s="13"/>
      <c r="D161" s="13"/>
      <c r="E161" s="13"/>
      <c r="F161" s="13"/>
      <c r="G161" s="63"/>
      <c r="H161" s="63"/>
      <c r="I161" s="63"/>
      <c r="J161" s="63"/>
      <c r="K161" s="63"/>
      <c r="L161" s="63"/>
      <c r="M161" s="63"/>
      <c r="N161" s="63"/>
      <c r="O161" s="64"/>
      <c r="P161" s="1"/>
    </row>
    <row r="162" spans="2:16" ht="12.75" customHeight="1" x14ac:dyDescent="0.15">
      <c r="B162" s="13"/>
      <c r="C162" s="13"/>
      <c r="D162" s="13"/>
      <c r="E162" s="13"/>
      <c r="F162" s="13"/>
      <c r="G162" s="63"/>
      <c r="H162" s="63"/>
      <c r="I162" s="63"/>
      <c r="J162" s="63"/>
      <c r="K162" s="63"/>
      <c r="L162" s="63"/>
      <c r="M162" s="63"/>
      <c r="N162" s="63"/>
      <c r="O162" s="64"/>
      <c r="P162" s="1"/>
    </row>
    <row r="163" spans="2:16" ht="12.75" customHeight="1" x14ac:dyDescent="0.15">
      <c r="B163" s="13"/>
      <c r="C163" s="13"/>
      <c r="D163" s="13"/>
      <c r="E163" s="13"/>
      <c r="F163" s="13"/>
      <c r="G163" s="63"/>
      <c r="H163" s="63"/>
      <c r="I163" s="63"/>
      <c r="J163" s="63"/>
      <c r="K163" s="63"/>
      <c r="L163" s="63"/>
      <c r="M163" s="63"/>
      <c r="N163" s="63"/>
      <c r="O163" s="64"/>
      <c r="P163" s="1"/>
    </row>
    <row r="164" spans="2:16" ht="12.75" customHeight="1" x14ac:dyDescent="0.15">
      <c r="B164" s="13"/>
      <c r="C164" s="13"/>
      <c r="D164" s="13"/>
      <c r="E164" s="13"/>
      <c r="F164" s="13"/>
      <c r="G164" s="63"/>
      <c r="H164" s="63"/>
      <c r="I164" s="63"/>
      <c r="J164" s="63"/>
      <c r="K164" s="63"/>
      <c r="L164" s="63"/>
      <c r="M164" s="63"/>
      <c r="N164" s="63"/>
      <c r="O164" s="64"/>
      <c r="P164" s="1"/>
    </row>
    <row r="165" spans="2:16" ht="12.75" customHeight="1" x14ac:dyDescent="0.15">
      <c r="B165" s="13"/>
      <c r="C165" s="13"/>
      <c r="D165" s="13"/>
      <c r="E165" s="13"/>
      <c r="F165" s="13"/>
      <c r="G165" s="63"/>
      <c r="H165" s="63"/>
      <c r="I165" s="63"/>
      <c r="J165" s="63"/>
      <c r="K165" s="63"/>
      <c r="L165" s="63"/>
      <c r="M165" s="63"/>
      <c r="N165" s="63"/>
      <c r="O165" s="64"/>
      <c r="P165" s="1"/>
    </row>
    <row r="166" spans="2:16" ht="12.75" customHeight="1" x14ac:dyDescent="0.15">
      <c r="B166" s="13"/>
      <c r="C166" s="13"/>
      <c r="D166" s="13"/>
      <c r="E166" s="13"/>
      <c r="F166" s="13"/>
      <c r="G166" s="63"/>
      <c r="H166" s="63"/>
      <c r="I166" s="63"/>
      <c r="J166" s="63"/>
      <c r="K166" s="63"/>
      <c r="L166" s="63"/>
      <c r="M166" s="63"/>
      <c r="N166" s="63"/>
      <c r="O166" s="64"/>
      <c r="P166" s="1"/>
    </row>
    <row r="167" spans="2:16" ht="12.75" customHeight="1" x14ac:dyDescent="0.15">
      <c r="B167" s="13"/>
      <c r="C167" s="13"/>
      <c r="D167" s="13"/>
      <c r="E167" s="13"/>
      <c r="F167" s="13"/>
      <c r="G167" s="63"/>
      <c r="H167" s="63"/>
      <c r="I167" s="63"/>
      <c r="J167" s="63"/>
      <c r="K167" s="63"/>
      <c r="L167" s="63"/>
      <c r="M167" s="63"/>
      <c r="N167" s="63"/>
      <c r="O167" s="64"/>
      <c r="P167" s="1"/>
    </row>
    <row r="168" spans="2:16" ht="12.75" customHeight="1" x14ac:dyDescent="0.15">
      <c r="B168" s="13"/>
      <c r="C168" s="13"/>
      <c r="D168" s="13"/>
      <c r="E168" s="13"/>
      <c r="F168" s="13"/>
      <c r="G168" s="63"/>
      <c r="H168" s="63"/>
      <c r="I168" s="63"/>
      <c r="J168" s="63"/>
      <c r="K168" s="63"/>
      <c r="L168" s="63"/>
      <c r="M168" s="63"/>
      <c r="N168" s="63"/>
      <c r="O168" s="64"/>
      <c r="P168" s="1"/>
    </row>
    <row r="169" spans="2:16" ht="12.75" customHeight="1" x14ac:dyDescent="0.15">
      <c r="B169" s="13"/>
      <c r="C169" s="13"/>
      <c r="D169" s="13"/>
      <c r="E169" s="13"/>
      <c r="F169" s="13"/>
      <c r="G169" s="63"/>
      <c r="H169" s="63"/>
      <c r="I169" s="63"/>
      <c r="J169" s="63"/>
      <c r="K169" s="63"/>
      <c r="L169" s="63"/>
      <c r="M169" s="63"/>
      <c r="N169" s="63"/>
      <c r="O169" s="64"/>
      <c r="P169" s="1"/>
    </row>
    <row r="170" spans="2:16" ht="12.75" customHeight="1" x14ac:dyDescent="0.15">
      <c r="B170" s="13"/>
      <c r="C170" s="13"/>
      <c r="D170" s="13"/>
      <c r="E170" s="13"/>
      <c r="F170" s="13"/>
      <c r="G170" s="63"/>
      <c r="H170" s="63"/>
      <c r="I170" s="63"/>
      <c r="J170" s="63"/>
      <c r="K170" s="63"/>
      <c r="L170" s="63"/>
      <c r="M170" s="63"/>
      <c r="N170" s="63"/>
      <c r="O170" s="64"/>
      <c r="P170" s="1"/>
    </row>
    <row r="171" spans="2:16" ht="12.75" customHeight="1" x14ac:dyDescent="0.15">
      <c r="B171" s="13"/>
      <c r="C171" s="13"/>
      <c r="D171" s="13"/>
      <c r="E171" s="13"/>
      <c r="F171" s="13"/>
      <c r="G171" s="63"/>
      <c r="H171" s="63"/>
      <c r="I171" s="63"/>
      <c r="J171" s="63"/>
      <c r="K171" s="63"/>
      <c r="L171" s="63"/>
      <c r="M171" s="63"/>
      <c r="N171" s="63"/>
      <c r="O171" s="64"/>
      <c r="P171" s="1"/>
    </row>
    <row r="172" spans="2:16" ht="12.75" customHeight="1" x14ac:dyDescent="0.15">
      <c r="B172" s="13"/>
      <c r="C172" s="13"/>
      <c r="D172" s="13"/>
      <c r="E172" s="13"/>
      <c r="F172" s="13"/>
      <c r="G172" s="63"/>
      <c r="H172" s="63"/>
      <c r="I172" s="63"/>
      <c r="J172" s="63"/>
      <c r="K172" s="63"/>
      <c r="L172" s="63"/>
      <c r="M172" s="63"/>
      <c r="N172" s="63"/>
      <c r="O172" s="64"/>
      <c r="P172" s="1"/>
    </row>
    <row r="173" spans="2:16" ht="12.75" customHeight="1" x14ac:dyDescent="0.15">
      <c r="B173" s="13"/>
      <c r="C173" s="13"/>
      <c r="D173" s="13"/>
      <c r="E173" s="13"/>
      <c r="F173" s="13"/>
      <c r="G173" s="63"/>
      <c r="H173" s="63"/>
      <c r="I173" s="63"/>
      <c r="J173" s="63"/>
      <c r="K173" s="63"/>
      <c r="L173" s="63"/>
      <c r="M173" s="63"/>
      <c r="N173" s="63"/>
      <c r="O173" s="64"/>
      <c r="P173" s="1"/>
    </row>
    <row r="174" spans="2:16" ht="12.75" customHeight="1" x14ac:dyDescent="0.15">
      <c r="B174" s="13"/>
      <c r="C174" s="13"/>
      <c r="D174" s="13"/>
      <c r="E174" s="13"/>
      <c r="F174" s="13"/>
      <c r="G174" s="63"/>
      <c r="H174" s="63"/>
      <c r="I174" s="63"/>
      <c r="J174" s="63"/>
      <c r="K174" s="63"/>
      <c r="L174" s="63"/>
      <c r="M174" s="63"/>
      <c r="N174" s="63"/>
      <c r="O174" s="64"/>
      <c r="P174" s="1"/>
    </row>
    <row r="175" spans="2:16" ht="12.75" customHeight="1" x14ac:dyDescent="0.15">
      <c r="B175" s="13"/>
      <c r="C175" s="13"/>
      <c r="D175" s="13"/>
      <c r="E175" s="13"/>
      <c r="F175" s="13"/>
      <c r="G175" s="63"/>
      <c r="H175" s="63"/>
      <c r="I175" s="63"/>
      <c r="J175" s="63"/>
      <c r="K175" s="63"/>
      <c r="L175" s="63"/>
      <c r="M175" s="63"/>
      <c r="N175" s="63"/>
      <c r="O175" s="64"/>
      <c r="P175" s="1"/>
    </row>
    <row r="176" spans="2:16" ht="12.75" customHeight="1" x14ac:dyDescent="0.15">
      <c r="B176" s="13"/>
      <c r="C176" s="13"/>
      <c r="D176" s="13"/>
      <c r="E176" s="13"/>
      <c r="F176" s="13"/>
      <c r="G176" s="63"/>
      <c r="H176" s="63"/>
      <c r="I176" s="63"/>
      <c r="J176" s="63"/>
      <c r="K176" s="63"/>
      <c r="L176" s="63"/>
      <c r="M176" s="63"/>
      <c r="N176" s="63"/>
      <c r="O176" s="64"/>
      <c r="P176" s="1"/>
    </row>
    <row r="177" spans="2:16" ht="12.75" customHeight="1" x14ac:dyDescent="0.15">
      <c r="B177" s="13"/>
      <c r="C177" s="13"/>
      <c r="D177" s="13"/>
      <c r="E177" s="13"/>
      <c r="F177" s="13"/>
      <c r="G177" s="63"/>
      <c r="H177" s="63"/>
      <c r="I177" s="63"/>
      <c r="J177" s="63"/>
      <c r="K177" s="63"/>
      <c r="L177" s="63"/>
      <c r="M177" s="63"/>
      <c r="N177" s="63"/>
      <c r="O177" s="64"/>
      <c r="P177" s="1"/>
    </row>
    <row r="178" spans="2:16" ht="12.75" customHeight="1" x14ac:dyDescent="0.15">
      <c r="B178" s="13"/>
      <c r="C178" s="13"/>
      <c r="D178" s="13"/>
      <c r="E178" s="13"/>
      <c r="F178" s="13"/>
      <c r="G178" s="63"/>
      <c r="H178" s="63"/>
      <c r="I178" s="63"/>
      <c r="J178" s="63"/>
      <c r="K178" s="63"/>
      <c r="L178" s="63"/>
      <c r="M178" s="63"/>
      <c r="N178" s="63"/>
      <c r="O178" s="64"/>
      <c r="P178" s="1"/>
    </row>
    <row r="179" spans="2:16" ht="12.75" customHeight="1" x14ac:dyDescent="0.15">
      <c r="B179" s="13"/>
      <c r="C179" s="13"/>
      <c r="D179" s="13"/>
      <c r="E179" s="13"/>
      <c r="F179" s="13"/>
      <c r="G179" s="63"/>
      <c r="H179" s="63"/>
      <c r="I179" s="63"/>
      <c r="J179" s="63"/>
      <c r="K179" s="63"/>
      <c r="L179" s="63"/>
      <c r="M179" s="63"/>
      <c r="N179" s="63"/>
      <c r="O179" s="64"/>
      <c r="P179" s="1"/>
    </row>
    <row r="180" spans="2:16" ht="12.75" customHeight="1" x14ac:dyDescent="0.15">
      <c r="B180" s="13"/>
      <c r="C180" s="13"/>
      <c r="D180" s="13"/>
      <c r="E180" s="13"/>
      <c r="F180" s="13"/>
      <c r="G180" s="63"/>
      <c r="H180" s="63"/>
      <c r="I180" s="63"/>
      <c r="J180" s="63"/>
      <c r="K180" s="63"/>
      <c r="L180" s="63"/>
      <c r="M180" s="63"/>
      <c r="N180" s="63"/>
      <c r="O180" s="64"/>
      <c r="P180" s="1"/>
    </row>
    <row r="181" spans="2:16" ht="12.75" customHeight="1" x14ac:dyDescent="0.15">
      <c r="B181" s="13"/>
      <c r="C181" s="13"/>
      <c r="D181" s="13"/>
      <c r="E181" s="13"/>
      <c r="F181" s="13"/>
      <c r="G181" s="63"/>
      <c r="H181" s="63"/>
      <c r="I181" s="63"/>
      <c r="J181" s="63"/>
      <c r="K181" s="63"/>
      <c r="L181" s="63"/>
      <c r="M181" s="63"/>
      <c r="N181" s="63"/>
      <c r="O181" s="64"/>
      <c r="P181" s="1"/>
    </row>
    <row r="182" spans="2:16" ht="12.75" customHeight="1" x14ac:dyDescent="0.15">
      <c r="B182" s="13"/>
      <c r="C182" s="13"/>
      <c r="D182" s="13"/>
      <c r="E182" s="13"/>
      <c r="F182" s="13"/>
      <c r="G182" s="63"/>
      <c r="H182" s="63"/>
      <c r="I182" s="63"/>
      <c r="J182" s="63"/>
      <c r="K182" s="63"/>
      <c r="L182" s="63"/>
      <c r="M182" s="63"/>
      <c r="N182" s="63"/>
      <c r="O182" s="64"/>
      <c r="P182" s="1"/>
    </row>
    <row r="183" spans="2:16" ht="12.75" customHeight="1" x14ac:dyDescent="0.15">
      <c r="B183" s="13"/>
      <c r="C183" s="13"/>
      <c r="D183" s="13"/>
      <c r="E183" s="13"/>
      <c r="F183" s="13"/>
      <c r="G183" s="63"/>
      <c r="H183" s="63"/>
      <c r="I183" s="63"/>
      <c r="J183" s="63"/>
      <c r="K183" s="63"/>
      <c r="L183" s="63"/>
      <c r="M183" s="63"/>
      <c r="N183" s="63"/>
      <c r="O183" s="64"/>
      <c r="P183" s="1"/>
    </row>
    <row r="184" spans="2:16" ht="12.75" customHeight="1" x14ac:dyDescent="0.15">
      <c r="B184" s="13"/>
      <c r="C184" s="13"/>
      <c r="D184" s="13"/>
      <c r="E184" s="13"/>
      <c r="F184" s="13"/>
      <c r="G184" s="63"/>
      <c r="H184" s="63"/>
      <c r="I184" s="63"/>
      <c r="J184" s="63"/>
      <c r="K184" s="63"/>
      <c r="L184" s="63"/>
      <c r="M184" s="63"/>
      <c r="N184" s="63"/>
      <c r="O184" s="64"/>
      <c r="P184" s="1"/>
    </row>
    <row r="185" spans="2:16" ht="12.75" customHeight="1" x14ac:dyDescent="0.15">
      <c r="B185" s="13"/>
      <c r="C185" s="13"/>
      <c r="D185" s="13"/>
      <c r="E185" s="13"/>
      <c r="F185" s="13"/>
      <c r="G185" s="63"/>
      <c r="H185" s="63"/>
      <c r="I185" s="63"/>
      <c r="J185" s="63"/>
      <c r="K185" s="63"/>
      <c r="L185" s="63"/>
      <c r="M185" s="63"/>
      <c r="N185" s="63"/>
      <c r="O185" s="64"/>
      <c r="P185" s="1"/>
    </row>
    <row r="186" spans="2:16" ht="12.75" customHeight="1" x14ac:dyDescent="0.15">
      <c r="B186" s="13"/>
      <c r="C186" s="13"/>
      <c r="D186" s="13"/>
      <c r="E186" s="13"/>
      <c r="F186" s="13"/>
      <c r="G186" s="63"/>
      <c r="H186" s="63"/>
      <c r="I186" s="63"/>
      <c r="J186" s="63"/>
      <c r="K186" s="63"/>
      <c r="L186" s="63"/>
      <c r="M186" s="63"/>
      <c r="N186" s="63"/>
      <c r="O186" s="64"/>
      <c r="P186" s="1"/>
    </row>
    <row r="187" spans="2:16" ht="12.75" customHeight="1" x14ac:dyDescent="0.15">
      <c r="B187" s="13"/>
      <c r="C187" s="13"/>
      <c r="D187" s="13"/>
      <c r="E187" s="13"/>
      <c r="F187" s="13"/>
      <c r="G187" s="63"/>
      <c r="H187" s="63"/>
      <c r="I187" s="63"/>
      <c r="J187" s="63"/>
      <c r="K187" s="63"/>
      <c r="L187" s="63"/>
      <c r="M187" s="63"/>
      <c r="N187" s="63"/>
      <c r="O187" s="64"/>
      <c r="P187" s="1"/>
    </row>
    <row r="188" spans="2:16" ht="12.75" customHeight="1" x14ac:dyDescent="0.15">
      <c r="B188" s="13"/>
      <c r="C188" s="13"/>
      <c r="D188" s="13"/>
      <c r="E188" s="13"/>
      <c r="F188" s="13"/>
      <c r="G188" s="63"/>
      <c r="H188" s="63"/>
      <c r="I188" s="63"/>
      <c r="J188" s="63"/>
      <c r="K188" s="63"/>
      <c r="L188" s="63"/>
      <c r="M188" s="63"/>
      <c r="N188" s="63"/>
      <c r="O188" s="64"/>
      <c r="P188" s="1"/>
    </row>
    <row r="189" spans="2:16" ht="12.75" customHeight="1" x14ac:dyDescent="0.15">
      <c r="B189" s="13"/>
      <c r="C189" s="13"/>
      <c r="D189" s="13"/>
      <c r="E189" s="13"/>
      <c r="F189" s="13"/>
      <c r="G189" s="63"/>
      <c r="H189" s="63"/>
      <c r="I189" s="63"/>
      <c r="J189" s="63"/>
      <c r="K189" s="63"/>
      <c r="L189" s="63"/>
      <c r="M189" s="63"/>
      <c r="N189" s="63"/>
      <c r="O189" s="64"/>
      <c r="P189" s="1"/>
    </row>
    <row r="190" spans="2:16" ht="12.75" customHeight="1" x14ac:dyDescent="0.15">
      <c r="B190" s="13"/>
      <c r="C190" s="13"/>
      <c r="D190" s="13"/>
      <c r="E190" s="13"/>
      <c r="F190" s="13"/>
      <c r="G190" s="63"/>
      <c r="H190" s="63"/>
      <c r="I190" s="63"/>
      <c r="J190" s="63"/>
      <c r="K190" s="63"/>
      <c r="L190" s="63"/>
      <c r="M190" s="63"/>
      <c r="N190" s="63"/>
      <c r="O190" s="64"/>
      <c r="P190" s="1"/>
    </row>
    <row r="191" spans="2:16" ht="12.75" customHeight="1" x14ac:dyDescent="0.15">
      <c r="B191" s="13"/>
      <c r="C191" s="13"/>
      <c r="D191" s="13"/>
      <c r="E191" s="13"/>
      <c r="F191" s="13"/>
      <c r="G191" s="63"/>
      <c r="H191" s="63"/>
      <c r="I191" s="63"/>
      <c r="J191" s="63"/>
      <c r="K191" s="63"/>
      <c r="L191" s="63"/>
      <c r="M191" s="63"/>
      <c r="N191" s="63"/>
      <c r="O191" s="64"/>
      <c r="P191" s="1"/>
    </row>
    <row r="192" spans="2:16" ht="12.75" customHeight="1" x14ac:dyDescent="0.15">
      <c r="B192" s="13"/>
      <c r="C192" s="13"/>
      <c r="D192" s="13"/>
      <c r="E192" s="13"/>
      <c r="F192" s="13"/>
      <c r="G192" s="63"/>
      <c r="H192" s="63"/>
      <c r="I192" s="63"/>
      <c r="J192" s="63"/>
      <c r="K192" s="63"/>
      <c r="L192" s="63"/>
      <c r="M192" s="63"/>
      <c r="N192" s="63"/>
      <c r="O192" s="64"/>
      <c r="P192" s="1"/>
    </row>
    <row r="193" spans="2:16" ht="12.75" customHeight="1" x14ac:dyDescent="0.15">
      <c r="B193" s="13"/>
      <c r="C193" s="13"/>
      <c r="D193" s="13"/>
      <c r="E193" s="13"/>
      <c r="F193" s="13"/>
      <c r="G193" s="63"/>
      <c r="H193" s="63"/>
      <c r="I193" s="63"/>
      <c r="J193" s="63"/>
      <c r="K193" s="63"/>
      <c r="L193" s="63"/>
      <c r="M193" s="63"/>
      <c r="N193" s="63"/>
      <c r="O193" s="64"/>
      <c r="P193" s="1"/>
    </row>
    <row r="194" spans="2:16" ht="12.75" customHeight="1" x14ac:dyDescent="0.15">
      <c r="B194" s="13"/>
      <c r="C194" s="13"/>
      <c r="D194" s="13"/>
      <c r="E194" s="13"/>
      <c r="F194" s="13"/>
      <c r="G194" s="63"/>
      <c r="H194" s="63"/>
      <c r="I194" s="63"/>
      <c r="J194" s="63"/>
      <c r="K194" s="63"/>
      <c r="L194" s="63"/>
      <c r="M194" s="63"/>
      <c r="N194" s="63"/>
      <c r="O194" s="64"/>
      <c r="P194" s="1"/>
    </row>
    <row r="195" spans="2:16" ht="12.75" customHeight="1" x14ac:dyDescent="0.15">
      <c r="B195" s="13"/>
      <c r="C195" s="13"/>
      <c r="D195" s="13"/>
      <c r="E195" s="13"/>
      <c r="F195" s="13"/>
      <c r="G195" s="63"/>
      <c r="H195" s="63"/>
      <c r="I195" s="63"/>
      <c r="J195" s="63"/>
      <c r="K195" s="63"/>
      <c r="L195" s="63"/>
      <c r="M195" s="63"/>
      <c r="N195" s="63"/>
      <c r="O195" s="64"/>
      <c r="P195" s="1"/>
    </row>
    <row r="196" spans="2:16" ht="12.75" customHeight="1" x14ac:dyDescent="0.15">
      <c r="B196" s="13"/>
      <c r="C196" s="13"/>
      <c r="D196" s="13"/>
      <c r="E196" s="13"/>
      <c r="F196" s="13"/>
      <c r="G196" s="63"/>
      <c r="H196" s="63"/>
      <c r="I196" s="63"/>
      <c r="J196" s="63"/>
      <c r="K196" s="63"/>
      <c r="L196" s="63"/>
      <c r="M196" s="63"/>
      <c r="N196" s="63"/>
      <c r="O196" s="64"/>
      <c r="P196" s="1"/>
    </row>
    <row r="197" spans="2:16" ht="12.75" customHeight="1" x14ac:dyDescent="0.15">
      <c r="B197" s="13"/>
      <c r="C197" s="13"/>
      <c r="D197" s="13"/>
      <c r="E197" s="13"/>
      <c r="F197" s="13"/>
      <c r="G197" s="63"/>
      <c r="H197" s="63"/>
      <c r="I197" s="63"/>
      <c r="J197" s="63"/>
      <c r="K197" s="63"/>
      <c r="L197" s="63"/>
      <c r="M197" s="63"/>
      <c r="N197" s="63"/>
      <c r="O197" s="64"/>
      <c r="P197" s="1"/>
    </row>
    <row r="198" spans="2:16" ht="12.75" customHeight="1" x14ac:dyDescent="0.15">
      <c r="B198" s="13"/>
      <c r="C198" s="13"/>
      <c r="D198" s="13"/>
      <c r="E198" s="13"/>
      <c r="F198" s="13"/>
      <c r="G198" s="63"/>
      <c r="H198" s="63"/>
      <c r="I198" s="63"/>
      <c r="J198" s="63"/>
      <c r="K198" s="63"/>
      <c r="L198" s="63"/>
      <c r="M198" s="63"/>
      <c r="N198" s="63"/>
      <c r="O198" s="64"/>
      <c r="P198" s="1"/>
    </row>
    <row r="199" spans="2:16" ht="12.75" customHeight="1" x14ac:dyDescent="0.15">
      <c r="B199" s="13"/>
      <c r="C199" s="13"/>
      <c r="D199" s="13"/>
      <c r="E199" s="13"/>
      <c r="F199" s="13"/>
      <c r="G199" s="63"/>
      <c r="H199" s="63"/>
      <c r="I199" s="63"/>
      <c r="J199" s="63"/>
      <c r="K199" s="63"/>
      <c r="L199" s="63"/>
      <c r="M199" s="63"/>
      <c r="N199" s="63"/>
      <c r="O199" s="64"/>
      <c r="P199" s="1"/>
    </row>
    <row r="200" spans="2:16" ht="12.75" customHeight="1" x14ac:dyDescent="0.15">
      <c r="B200" s="13"/>
      <c r="C200" s="13"/>
      <c r="D200" s="13"/>
      <c r="E200" s="13"/>
      <c r="F200" s="13"/>
      <c r="G200" s="63"/>
      <c r="H200" s="63"/>
      <c r="I200" s="63"/>
      <c r="J200" s="63"/>
      <c r="K200" s="63"/>
      <c r="L200" s="63"/>
      <c r="M200" s="63"/>
      <c r="N200" s="63"/>
      <c r="O200" s="64"/>
      <c r="P200" s="1"/>
    </row>
    <row r="201" spans="2:16" ht="12.75" customHeight="1" x14ac:dyDescent="0.15">
      <c r="B201" s="13"/>
      <c r="C201" s="13"/>
      <c r="D201" s="13"/>
      <c r="E201" s="13"/>
      <c r="F201" s="13"/>
      <c r="G201" s="63"/>
      <c r="H201" s="63"/>
      <c r="I201" s="63"/>
      <c r="J201" s="63"/>
      <c r="K201" s="63"/>
      <c r="L201" s="63"/>
      <c r="M201" s="63"/>
      <c r="N201" s="63"/>
      <c r="O201" s="64"/>
      <c r="P201" s="1"/>
    </row>
    <row r="202" spans="2:16" ht="12.75" customHeight="1" x14ac:dyDescent="0.15">
      <c r="B202" s="13"/>
      <c r="C202" s="13"/>
      <c r="D202" s="13"/>
      <c r="E202" s="13"/>
      <c r="F202" s="13"/>
      <c r="G202" s="63"/>
      <c r="H202" s="63"/>
      <c r="I202" s="63"/>
      <c r="J202" s="63"/>
      <c r="K202" s="63"/>
      <c r="L202" s="63"/>
      <c r="M202" s="63"/>
      <c r="N202" s="63"/>
      <c r="O202" s="64"/>
      <c r="P202" s="1"/>
    </row>
    <row r="203" spans="2:16" ht="12.75" customHeight="1" x14ac:dyDescent="0.15">
      <c r="B203" s="13"/>
      <c r="C203" s="13"/>
      <c r="D203" s="13"/>
      <c r="E203" s="13"/>
      <c r="F203" s="13"/>
      <c r="G203" s="63"/>
      <c r="H203" s="63"/>
      <c r="I203" s="63"/>
      <c r="J203" s="63"/>
      <c r="K203" s="63"/>
      <c r="L203" s="63"/>
      <c r="M203" s="63"/>
      <c r="N203" s="63"/>
      <c r="O203" s="64"/>
      <c r="P203" s="1"/>
    </row>
    <row r="204" spans="2:16" ht="12.75" customHeight="1" x14ac:dyDescent="0.15">
      <c r="B204" s="13"/>
      <c r="C204" s="13"/>
      <c r="D204" s="13"/>
      <c r="E204" s="13"/>
      <c r="F204" s="13"/>
      <c r="G204" s="63"/>
      <c r="H204" s="63"/>
      <c r="I204" s="63"/>
      <c r="J204" s="63"/>
      <c r="K204" s="63"/>
      <c r="L204" s="63"/>
      <c r="M204" s="63"/>
      <c r="N204" s="63"/>
      <c r="O204" s="64"/>
      <c r="P204" s="1"/>
    </row>
    <row r="205" spans="2:16" ht="12.75" customHeight="1" x14ac:dyDescent="0.15">
      <c r="B205" s="13"/>
      <c r="C205" s="13"/>
      <c r="D205" s="13"/>
      <c r="E205" s="13"/>
      <c r="F205" s="13"/>
      <c r="G205" s="63"/>
      <c r="H205" s="63"/>
      <c r="I205" s="63"/>
      <c r="J205" s="63"/>
      <c r="K205" s="63"/>
      <c r="L205" s="63"/>
      <c r="M205" s="63"/>
      <c r="N205" s="63"/>
      <c r="O205" s="64"/>
      <c r="P205" s="1"/>
    </row>
    <row r="206" spans="2:16" ht="12.75" customHeight="1" x14ac:dyDescent="0.15">
      <c r="B206" s="13"/>
      <c r="C206" s="13"/>
      <c r="D206" s="13"/>
      <c r="E206" s="13"/>
      <c r="F206" s="13"/>
      <c r="G206" s="63"/>
      <c r="H206" s="63"/>
      <c r="I206" s="63"/>
      <c r="J206" s="63"/>
      <c r="K206" s="63"/>
      <c r="L206" s="63"/>
      <c r="M206" s="63"/>
      <c r="N206" s="63"/>
      <c r="O206" s="64"/>
      <c r="P206" s="1"/>
    </row>
    <row r="207" spans="2:16" ht="12.75" customHeight="1" x14ac:dyDescent="0.15">
      <c r="B207" s="13"/>
      <c r="C207" s="13"/>
      <c r="D207" s="13"/>
      <c r="E207" s="13"/>
      <c r="F207" s="13"/>
      <c r="G207" s="63"/>
      <c r="H207" s="63"/>
      <c r="I207" s="63"/>
      <c r="J207" s="63"/>
      <c r="K207" s="63"/>
      <c r="L207" s="63"/>
      <c r="M207" s="63"/>
      <c r="N207" s="63"/>
      <c r="O207" s="64"/>
      <c r="P207" s="1"/>
    </row>
    <row r="208" spans="2:16" ht="12.75" customHeight="1" x14ac:dyDescent="0.15">
      <c r="B208" s="13"/>
      <c r="C208" s="13"/>
      <c r="D208" s="13"/>
      <c r="E208" s="13"/>
      <c r="F208" s="13"/>
      <c r="G208" s="63"/>
      <c r="H208" s="63"/>
      <c r="I208" s="63"/>
      <c r="J208" s="63"/>
      <c r="K208" s="63"/>
      <c r="L208" s="63"/>
      <c r="M208" s="63"/>
      <c r="N208" s="63"/>
      <c r="O208" s="64"/>
      <c r="P208" s="1"/>
    </row>
    <row r="209" spans="2:16" ht="12.75" customHeight="1" x14ac:dyDescent="0.15">
      <c r="B209" s="13"/>
      <c r="C209" s="13"/>
      <c r="D209" s="13"/>
      <c r="E209" s="13"/>
      <c r="F209" s="13"/>
      <c r="G209" s="63"/>
      <c r="H209" s="63"/>
      <c r="I209" s="63"/>
      <c r="J209" s="63"/>
      <c r="K209" s="63"/>
      <c r="L209" s="63"/>
      <c r="M209" s="63"/>
      <c r="N209" s="63"/>
      <c r="O209" s="64"/>
      <c r="P209" s="1"/>
    </row>
    <row r="210" spans="2:16" ht="12.75" customHeight="1" x14ac:dyDescent="0.15">
      <c r="B210" s="13"/>
      <c r="C210" s="13"/>
      <c r="D210" s="13"/>
      <c r="E210" s="13"/>
      <c r="F210" s="13"/>
      <c r="G210" s="63"/>
      <c r="H210" s="63"/>
      <c r="I210" s="63"/>
      <c r="J210" s="63"/>
      <c r="K210" s="63"/>
      <c r="L210" s="63"/>
      <c r="M210" s="63"/>
      <c r="N210" s="63"/>
      <c r="O210" s="64"/>
      <c r="P210" s="1"/>
    </row>
    <row r="211" spans="2:16" ht="12.75" customHeight="1" x14ac:dyDescent="0.15">
      <c r="B211" s="13"/>
      <c r="C211" s="13"/>
      <c r="D211" s="13"/>
      <c r="E211" s="13"/>
      <c r="F211" s="13"/>
      <c r="G211" s="63"/>
      <c r="H211" s="63"/>
      <c r="I211" s="63"/>
      <c r="J211" s="63"/>
      <c r="K211" s="63"/>
      <c r="L211" s="63"/>
      <c r="M211" s="63"/>
      <c r="N211" s="63"/>
      <c r="O211" s="64"/>
      <c r="P211" s="1"/>
    </row>
    <row r="212" spans="2:16" ht="12.75" customHeight="1" x14ac:dyDescent="0.15">
      <c r="B212" s="13"/>
      <c r="C212" s="13"/>
      <c r="D212" s="13"/>
      <c r="E212" s="13"/>
      <c r="F212" s="13"/>
      <c r="G212" s="63"/>
      <c r="H212" s="63"/>
      <c r="I212" s="63"/>
      <c r="J212" s="63"/>
      <c r="K212" s="63"/>
      <c r="L212" s="63"/>
      <c r="M212" s="63"/>
      <c r="N212" s="63"/>
      <c r="O212" s="64"/>
      <c r="P212" s="1"/>
    </row>
    <row r="213" spans="2:16" ht="12.75" customHeight="1" x14ac:dyDescent="0.15">
      <c r="B213" s="13"/>
      <c r="C213" s="13"/>
      <c r="D213" s="13"/>
      <c r="E213" s="13"/>
      <c r="F213" s="13"/>
      <c r="G213" s="63"/>
      <c r="H213" s="63"/>
      <c r="I213" s="63"/>
      <c r="J213" s="63"/>
      <c r="K213" s="63"/>
      <c r="L213" s="63"/>
      <c r="M213" s="63"/>
      <c r="N213" s="63"/>
      <c r="O213" s="64"/>
      <c r="P213" s="1"/>
    </row>
    <row r="214" spans="2:16" ht="12.75" customHeight="1" x14ac:dyDescent="0.15">
      <c r="B214" s="13"/>
      <c r="C214" s="13"/>
      <c r="D214" s="13"/>
      <c r="E214" s="13"/>
      <c r="F214" s="13"/>
      <c r="G214" s="63"/>
      <c r="H214" s="63"/>
      <c r="I214" s="63"/>
      <c r="J214" s="63"/>
      <c r="K214" s="63"/>
      <c r="L214" s="63"/>
      <c r="M214" s="63"/>
      <c r="N214" s="63"/>
      <c r="O214" s="64"/>
      <c r="P214" s="1"/>
    </row>
    <row r="215" spans="2:16" ht="12.75" customHeight="1" x14ac:dyDescent="0.15">
      <c r="B215" s="13"/>
      <c r="C215" s="13"/>
      <c r="D215" s="13"/>
      <c r="E215" s="13"/>
      <c r="F215" s="13"/>
      <c r="G215" s="63"/>
      <c r="H215" s="63"/>
      <c r="I215" s="63"/>
      <c r="J215" s="63"/>
      <c r="K215" s="63"/>
      <c r="L215" s="63"/>
      <c r="M215" s="63"/>
      <c r="N215" s="63"/>
      <c r="O215" s="64"/>
      <c r="P215" s="1"/>
    </row>
    <row r="216" spans="2:16" ht="12.75" customHeight="1" x14ac:dyDescent="0.15">
      <c r="B216" s="13"/>
      <c r="C216" s="13"/>
      <c r="D216" s="13"/>
      <c r="E216" s="13"/>
      <c r="F216" s="13"/>
      <c r="G216" s="63"/>
      <c r="H216" s="63"/>
      <c r="I216" s="63"/>
      <c r="J216" s="63"/>
      <c r="K216" s="63"/>
      <c r="L216" s="63"/>
      <c r="M216" s="63"/>
      <c r="N216" s="63"/>
      <c r="O216" s="64"/>
      <c r="P216" s="1"/>
    </row>
    <row r="217" spans="2:16" ht="12.75" customHeight="1" x14ac:dyDescent="0.15">
      <c r="B217" s="13"/>
      <c r="C217" s="13"/>
      <c r="D217" s="13"/>
      <c r="E217" s="13"/>
      <c r="F217" s="13"/>
      <c r="G217" s="63"/>
      <c r="H217" s="63"/>
      <c r="I217" s="63"/>
      <c r="J217" s="63"/>
      <c r="K217" s="63"/>
      <c r="L217" s="63"/>
      <c r="M217" s="63"/>
      <c r="N217" s="63"/>
      <c r="O217" s="64"/>
      <c r="P217" s="1"/>
    </row>
    <row r="218" spans="2:16" ht="12.75" customHeight="1" x14ac:dyDescent="0.15">
      <c r="B218" s="13"/>
      <c r="C218" s="13"/>
      <c r="D218" s="13"/>
      <c r="E218" s="13"/>
      <c r="F218" s="13"/>
      <c r="G218" s="63"/>
      <c r="H218" s="63"/>
      <c r="I218" s="63"/>
      <c r="J218" s="63"/>
      <c r="K218" s="63"/>
      <c r="L218" s="63"/>
      <c r="M218" s="63"/>
      <c r="N218" s="63"/>
      <c r="O218" s="64"/>
      <c r="P218" s="1"/>
    </row>
    <row r="219" spans="2:16" ht="12.75" customHeight="1" x14ac:dyDescent="0.15">
      <c r="B219" s="13"/>
      <c r="C219" s="13"/>
      <c r="D219" s="13"/>
      <c r="E219" s="13"/>
      <c r="F219" s="13"/>
      <c r="G219" s="63"/>
      <c r="H219" s="63"/>
      <c r="I219" s="63"/>
      <c r="J219" s="63"/>
      <c r="K219" s="63"/>
      <c r="L219" s="63"/>
      <c r="M219" s="63"/>
      <c r="N219" s="63"/>
      <c r="O219" s="64"/>
      <c r="P219" s="1"/>
    </row>
    <row r="220" spans="2:16" ht="12.75" customHeight="1" x14ac:dyDescent="0.15">
      <c r="B220" s="13"/>
      <c r="C220" s="13"/>
      <c r="D220" s="13"/>
      <c r="E220" s="13"/>
      <c r="F220" s="13"/>
      <c r="G220" s="63"/>
      <c r="H220" s="63"/>
      <c r="I220" s="63"/>
      <c r="J220" s="63"/>
      <c r="K220" s="63"/>
      <c r="L220" s="63"/>
      <c r="M220" s="63"/>
      <c r="N220" s="63"/>
      <c r="O220" s="64"/>
      <c r="P220" s="1"/>
    </row>
    <row r="221" spans="2:16" ht="12.75" customHeight="1" x14ac:dyDescent="0.15">
      <c r="B221" s="13"/>
      <c r="C221" s="13"/>
      <c r="D221" s="13"/>
      <c r="E221" s="13"/>
      <c r="F221" s="13"/>
      <c r="G221" s="63"/>
      <c r="H221" s="63"/>
      <c r="I221" s="63"/>
      <c r="J221" s="63"/>
      <c r="K221" s="63"/>
      <c r="L221" s="63"/>
      <c r="M221" s="63"/>
      <c r="N221" s="63"/>
      <c r="O221" s="64"/>
      <c r="P221" s="1"/>
    </row>
    <row r="222" spans="2:16" ht="12.75" customHeight="1" x14ac:dyDescent="0.15">
      <c r="B222" s="13"/>
      <c r="C222" s="13"/>
      <c r="D222" s="13"/>
      <c r="E222" s="13"/>
      <c r="F222" s="13"/>
      <c r="G222" s="63"/>
      <c r="H222" s="63"/>
      <c r="I222" s="63"/>
      <c r="J222" s="63"/>
      <c r="K222" s="63"/>
      <c r="L222" s="63"/>
      <c r="M222" s="63"/>
      <c r="N222" s="63"/>
      <c r="O222" s="64"/>
      <c r="P222" s="1"/>
    </row>
    <row r="223" spans="2:16" ht="12.75" customHeight="1" x14ac:dyDescent="0.15">
      <c r="B223" s="13"/>
      <c r="C223" s="13"/>
      <c r="D223" s="13"/>
      <c r="E223" s="13"/>
      <c r="F223" s="13"/>
      <c r="G223" s="63"/>
      <c r="H223" s="63"/>
      <c r="I223" s="63"/>
      <c r="J223" s="63"/>
      <c r="K223" s="63"/>
      <c r="L223" s="63"/>
      <c r="M223" s="63"/>
      <c r="N223" s="63"/>
      <c r="O223" s="64"/>
      <c r="P223" s="1"/>
    </row>
    <row r="224" spans="2:16" ht="12.75" customHeight="1" x14ac:dyDescent="0.15">
      <c r="B224" s="13"/>
      <c r="C224" s="13"/>
      <c r="D224" s="13"/>
      <c r="E224" s="13"/>
      <c r="F224" s="13"/>
      <c r="G224" s="63"/>
      <c r="H224" s="63"/>
      <c r="I224" s="63"/>
      <c r="J224" s="63"/>
      <c r="K224" s="63"/>
      <c r="L224" s="63"/>
      <c r="M224" s="63"/>
      <c r="N224" s="63"/>
      <c r="O224" s="64"/>
      <c r="P224" s="1"/>
    </row>
    <row r="225" spans="2:16" ht="12.75" customHeight="1" x14ac:dyDescent="0.15">
      <c r="B225" s="13"/>
      <c r="C225" s="13"/>
      <c r="D225" s="13"/>
      <c r="E225" s="13"/>
      <c r="F225" s="13"/>
      <c r="G225" s="63"/>
      <c r="H225" s="63"/>
      <c r="I225" s="63"/>
      <c r="J225" s="63"/>
      <c r="K225" s="63"/>
      <c r="L225" s="63"/>
      <c r="M225" s="63"/>
      <c r="N225" s="63"/>
      <c r="O225" s="64"/>
      <c r="P225" s="1"/>
    </row>
    <row r="226" spans="2:16" ht="12.75" customHeight="1" x14ac:dyDescent="0.15">
      <c r="B226" s="13"/>
      <c r="C226" s="13"/>
      <c r="D226" s="13"/>
      <c r="E226" s="13"/>
      <c r="F226" s="13"/>
      <c r="G226" s="63"/>
      <c r="H226" s="63"/>
      <c r="I226" s="63"/>
      <c r="J226" s="63"/>
      <c r="K226" s="63"/>
      <c r="L226" s="63"/>
      <c r="M226" s="63"/>
      <c r="N226" s="63"/>
      <c r="O226" s="64"/>
      <c r="P226" s="1"/>
    </row>
    <row r="227" spans="2:16" ht="12.75" customHeight="1" x14ac:dyDescent="0.15">
      <c r="B227" s="13"/>
      <c r="C227" s="13"/>
      <c r="D227" s="13"/>
      <c r="E227" s="13"/>
      <c r="F227" s="13"/>
      <c r="G227" s="63"/>
      <c r="H227" s="63"/>
      <c r="I227" s="63"/>
      <c r="J227" s="63"/>
      <c r="K227" s="63"/>
      <c r="L227" s="63"/>
      <c r="M227" s="63"/>
      <c r="N227" s="63"/>
      <c r="O227" s="64"/>
      <c r="P227" s="1"/>
    </row>
    <row r="228" spans="2:16" ht="12.75" customHeight="1" x14ac:dyDescent="0.15">
      <c r="B228" s="13"/>
      <c r="C228" s="13"/>
      <c r="D228" s="13"/>
      <c r="E228" s="13"/>
      <c r="F228" s="13"/>
      <c r="G228" s="63"/>
      <c r="H228" s="63"/>
      <c r="I228" s="63"/>
      <c r="J228" s="63"/>
      <c r="K228" s="63"/>
      <c r="L228" s="63"/>
      <c r="M228" s="63"/>
      <c r="N228" s="63"/>
      <c r="O228" s="64"/>
      <c r="P228" s="1"/>
    </row>
    <row r="229" spans="2:16" ht="12.75" customHeight="1" x14ac:dyDescent="0.15">
      <c r="B229" s="13"/>
      <c r="C229" s="13"/>
      <c r="D229" s="13"/>
      <c r="E229" s="13"/>
      <c r="F229" s="13"/>
      <c r="G229" s="63"/>
      <c r="H229" s="63"/>
      <c r="I229" s="63"/>
      <c r="J229" s="63"/>
      <c r="K229" s="63"/>
      <c r="L229" s="63"/>
      <c r="M229" s="63"/>
      <c r="N229" s="63"/>
      <c r="O229" s="64"/>
      <c r="P229" s="1"/>
    </row>
    <row r="230" spans="2:16" ht="12.75" customHeight="1" x14ac:dyDescent="0.15">
      <c r="B230" s="13"/>
      <c r="C230" s="13"/>
      <c r="D230" s="13"/>
      <c r="E230" s="13"/>
      <c r="F230" s="13"/>
      <c r="G230" s="63"/>
      <c r="H230" s="63"/>
      <c r="I230" s="63"/>
      <c r="J230" s="63"/>
      <c r="K230" s="63"/>
      <c r="L230" s="63"/>
      <c r="M230" s="63"/>
      <c r="N230" s="63"/>
      <c r="O230" s="64"/>
      <c r="P230" s="1"/>
    </row>
    <row r="231" spans="2:16" ht="12.75" customHeight="1" x14ac:dyDescent="0.15">
      <c r="B231" s="13"/>
      <c r="C231" s="13"/>
      <c r="D231" s="13"/>
      <c r="E231" s="13"/>
      <c r="F231" s="13"/>
      <c r="G231" s="63"/>
      <c r="H231" s="63"/>
      <c r="I231" s="63"/>
      <c r="J231" s="63"/>
      <c r="K231" s="63"/>
      <c r="L231" s="63"/>
      <c r="M231" s="63"/>
      <c r="N231" s="63"/>
      <c r="O231" s="64"/>
      <c r="P231" s="1"/>
    </row>
    <row r="232" spans="2:16" ht="12.75" customHeight="1" x14ac:dyDescent="0.15">
      <c r="B232" s="13"/>
      <c r="C232" s="13"/>
      <c r="D232" s="13"/>
      <c r="E232" s="13"/>
      <c r="F232" s="13"/>
      <c r="G232" s="63"/>
      <c r="H232" s="63"/>
      <c r="I232" s="63"/>
      <c r="J232" s="63"/>
      <c r="K232" s="63"/>
      <c r="L232" s="63"/>
      <c r="M232" s="63"/>
      <c r="N232" s="63"/>
      <c r="O232" s="64"/>
      <c r="P232" s="1"/>
    </row>
    <row r="233" spans="2:16" ht="12.75" customHeight="1" x14ac:dyDescent="0.15">
      <c r="B233" s="13"/>
      <c r="C233" s="13"/>
      <c r="D233" s="13"/>
      <c r="E233" s="13"/>
      <c r="F233" s="13"/>
      <c r="G233" s="63"/>
      <c r="H233" s="63"/>
      <c r="I233" s="63"/>
      <c r="J233" s="63"/>
      <c r="K233" s="63"/>
      <c r="L233" s="63"/>
      <c r="M233" s="63"/>
      <c r="N233" s="63"/>
      <c r="O233" s="64"/>
      <c r="P233" s="1"/>
    </row>
    <row r="234" spans="2:16" ht="12.75" customHeight="1" x14ac:dyDescent="0.15">
      <c r="B234" s="13"/>
      <c r="C234" s="13"/>
      <c r="D234" s="13"/>
      <c r="E234" s="13"/>
      <c r="F234" s="13"/>
      <c r="G234" s="63"/>
      <c r="H234" s="63"/>
      <c r="I234" s="63"/>
      <c r="J234" s="63"/>
      <c r="K234" s="63"/>
      <c r="L234" s="63"/>
      <c r="M234" s="63"/>
      <c r="N234" s="63"/>
      <c r="O234" s="64"/>
      <c r="P234" s="1"/>
    </row>
    <row r="235" spans="2:16" ht="12.75" customHeight="1" x14ac:dyDescent="0.15">
      <c r="B235" s="13"/>
      <c r="C235" s="13"/>
      <c r="D235" s="13"/>
      <c r="E235" s="13"/>
      <c r="F235" s="13"/>
      <c r="G235" s="63"/>
      <c r="H235" s="63"/>
      <c r="I235" s="63"/>
      <c r="J235" s="63"/>
      <c r="K235" s="63"/>
      <c r="L235" s="63"/>
      <c r="M235" s="63"/>
      <c r="N235" s="63"/>
      <c r="O235" s="64"/>
      <c r="P235" s="1"/>
    </row>
    <row r="236" spans="2:16" ht="12.75" customHeight="1" x14ac:dyDescent="0.15">
      <c r="B236" s="13"/>
      <c r="C236" s="13"/>
      <c r="D236" s="13"/>
      <c r="E236" s="13"/>
      <c r="F236" s="13"/>
      <c r="G236" s="63"/>
      <c r="H236" s="63"/>
      <c r="I236" s="63"/>
      <c r="J236" s="63"/>
      <c r="K236" s="63"/>
      <c r="L236" s="63"/>
      <c r="M236" s="63"/>
      <c r="N236" s="63"/>
      <c r="O236" s="64"/>
      <c r="P236" s="1"/>
    </row>
    <row r="237" spans="2:16" ht="12.75" customHeight="1" x14ac:dyDescent="0.15">
      <c r="B237" s="13"/>
      <c r="C237" s="13"/>
      <c r="D237" s="13"/>
      <c r="E237" s="13"/>
      <c r="F237" s="13"/>
      <c r="G237" s="63"/>
      <c r="H237" s="63"/>
      <c r="I237" s="63"/>
      <c r="J237" s="63"/>
      <c r="K237" s="63"/>
      <c r="L237" s="63"/>
      <c r="M237" s="63"/>
      <c r="N237" s="63"/>
      <c r="O237" s="64"/>
      <c r="P237" s="1"/>
    </row>
    <row r="238" spans="2:16" ht="12.75" customHeight="1" x14ac:dyDescent="0.15">
      <c r="B238" s="13"/>
      <c r="C238" s="13"/>
      <c r="D238" s="13"/>
      <c r="E238" s="13"/>
      <c r="F238" s="13"/>
      <c r="G238" s="63"/>
      <c r="H238" s="63"/>
      <c r="I238" s="63"/>
      <c r="J238" s="63"/>
      <c r="K238" s="63"/>
      <c r="L238" s="63"/>
      <c r="M238" s="63"/>
      <c r="N238" s="63"/>
      <c r="O238" s="64"/>
      <c r="P238" s="1"/>
    </row>
    <row r="239" spans="2:16" ht="12.75" customHeight="1" x14ac:dyDescent="0.15">
      <c r="B239" s="13"/>
      <c r="C239" s="13"/>
      <c r="D239" s="13"/>
      <c r="E239" s="13"/>
      <c r="F239" s="13"/>
      <c r="G239" s="63"/>
      <c r="H239" s="63"/>
      <c r="I239" s="63"/>
      <c r="J239" s="63"/>
      <c r="K239" s="63"/>
      <c r="L239" s="63"/>
      <c r="M239" s="63"/>
      <c r="N239" s="63"/>
      <c r="O239" s="64"/>
      <c r="P239" s="1"/>
    </row>
    <row r="240" spans="2:16" ht="12.75" customHeight="1" x14ac:dyDescent="0.15">
      <c r="B240" s="13"/>
      <c r="C240" s="13"/>
      <c r="D240" s="13"/>
      <c r="E240" s="13"/>
      <c r="F240" s="13"/>
      <c r="G240" s="63"/>
      <c r="H240" s="63"/>
      <c r="I240" s="63"/>
      <c r="J240" s="63"/>
      <c r="K240" s="63"/>
      <c r="L240" s="63"/>
      <c r="M240" s="63"/>
      <c r="N240" s="63"/>
      <c r="O240" s="64"/>
      <c r="P240" s="1"/>
    </row>
    <row r="241" spans="2:16" ht="12.75" customHeight="1" x14ac:dyDescent="0.15">
      <c r="B241" s="13"/>
      <c r="C241" s="13"/>
      <c r="D241" s="13"/>
      <c r="E241" s="13"/>
      <c r="F241" s="13"/>
      <c r="G241" s="63"/>
      <c r="H241" s="63"/>
      <c r="I241" s="63"/>
      <c r="J241" s="63"/>
      <c r="K241" s="63"/>
      <c r="L241" s="63"/>
      <c r="M241" s="63"/>
      <c r="N241" s="63"/>
      <c r="O241" s="64"/>
      <c r="P241" s="1"/>
    </row>
    <row r="242" spans="2:16" ht="12.75" customHeight="1" x14ac:dyDescent="0.15">
      <c r="B242" s="13"/>
      <c r="C242" s="13"/>
      <c r="D242" s="13"/>
      <c r="E242" s="13"/>
      <c r="F242" s="13"/>
      <c r="G242" s="63"/>
      <c r="H242" s="63"/>
      <c r="I242" s="63"/>
      <c r="J242" s="63"/>
      <c r="K242" s="63"/>
      <c r="L242" s="63"/>
      <c r="M242" s="63"/>
      <c r="N242" s="63"/>
      <c r="O242" s="64"/>
      <c r="P242" s="1"/>
    </row>
    <row r="243" spans="2:16" ht="12.75" customHeight="1" x14ac:dyDescent="0.15">
      <c r="B243" s="13"/>
      <c r="C243" s="13"/>
      <c r="D243" s="13"/>
      <c r="E243" s="13"/>
      <c r="F243" s="13"/>
      <c r="G243" s="63"/>
      <c r="H243" s="63"/>
      <c r="I243" s="63"/>
      <c r="J243" s="63"/>
      <c r="K243" s="63"/>
      <c r="L243" s="63"/>
      <c r="M243" s="63"/>
      <c r="N243" s="63"/>
      <c r="O243" s="64"/>
      <c r="P243" s="1"/>
    </row>
    <row r="244" spans="2:16" ht="12.75" customHeight="1" x14ac:dyDescent="0.15">
      <c r="B244" s="13"/>
      <c r="C244" s="13"/>
      <c r="D244" s="13"/>
      <c r="E244" s="13"/>
      <c r="F244" s="13"/>
      <c r="G244" s="63"/>
      <c r="H244" s="63"/>
      <c r="I244" s="63"/>
      <c r="J244" s="63"/>
      <c r="K244" s="63"/>
      <c r="L244" s="63"/>
      <c r="M244" s="63"/>
      <c r="N244" s="63"/>
      <c r="O244" s="64"/>
      <c r="P244" s="1"/>
    </row>
    <row r="245" spans="2:16" ht="12.75" customHeight="1" x14ac:dyDescent="0.15">
      <c r="B245" s="13"/>
      <c r="C245" s="13"/>
      <c r="D245" s="13"/>
      <c r="E245" s="13"/>
      <c r="F245" s="13"/>
      <c r="G245" s="63"/>
      <c r="H245" s="63"/>
      <c r="I245" s="63"/>
      <c r="J245" s="63"/>
      <c r="K245" s="63"/>
      <c r="L245" s="63"/>
      <c r="M245" s="63"/>
      <c r="N245" s="63"/>
      <c r="O245" s="64"/>
      <c r="P245" s="1"/>
    </row>
    <row r="246" spans="2:16" ht="12.75" customHeight="1" x14ac:dyDescent="0.15">
      <c r="B246" s="13"/>
      <c r="C246" s="13"/>
      <c r="D246" s="13"/>
      <c r="E246" s="13"/>
      <c r="F246" s="13"/>
      <c r="G246" s="63"/>
      <c r="H246" s="63"/>
      <c r="I246" s="63"/>
      <c r="J246" s="63"/>
      <c r="K246" s="63"/>
      <c r="L246" s="63"/>
      <c r="M246" s="63"/>
      <c r="N246" s="63"/>
      <c r="O246" s="64"/>
      <c r="P246" s="1"/>
    </row>
    <row r="247" spans="2:16" ht="12.75" customHeight="1" x14ac:dyDescent="0.15">
      <c r="B247" s="13"/>
      <c r="C247" s="13"/>
      <c r="D247" s="13"/>
      <c r="E247" s="13"/>
      <c r="F247" s="13"/>
      <c r="G247" s="63"/>
      <c r="H247" s="63"/>
      <c r="I247" s="63"/>
      <c r="J247" s="63"/>
      <c r="K247" s="63"/>
      <c r="L247" s="63"/>
      <c r="M247" s="63"/>
      <c r="N247" s="63"/>
      <c r="O247" s="64"/>
      <c r="P247" s="1"/>
    </row>
    <row r="248" spans="2:16" ht="12.75" customHeight="1" x14ac:dyDescent="0.15">
      <c r="B248" s="13"/>
      <c r="C248" s="13"/>
      <c r="D248" s="13"/>
      <c r="E248" s="13"/>
      <c r="F248" s="13"/>
      <c r="G248" s="63"/>
      <c r="H248" s="63"/>
      <c r="I248" s="63"/>
      <c r="J248" s="63"/>
      <c r="K248" s="63"/>
      <c r="L248" s="63"/>
      <c r="M248" s="63"/>
      <c r="N248" s="63"/>
      <c r="O248" s="64"/>
      <c r="P248" s="1"/>
    </row>
    <row r="249" spans="2:16" ht="12.75" customHeight="1" x14ac:dyDescent="0.15">
      <c r="B249" s="13"/>
      <c r="C249" s="13"/>
      <c r="D249" s="13"/>
      <c r="E249" s="13"/>
      <c r="F249" s="13"/>
      <c r="G249" s="63"/>
      <c r="H249" s="63"/>
      <c r="I249" s="63"/>
      <c r="J249" s="63"/>
      <c r="K249" s="63"/>
      <c r="L249" s="63"/>
      <c r="M249" s="63"/>
      <c r="N249" s="63"/>
      <c r="O249" s="64"/>
      <c r="P249" s="1"/>
    </row>
    <row r="250" spans="2:16" ht="12.75" customHeight="1" x14ac:dyDescent="0.15">
      <c r="B250" s="13"/>
      <c r="C250" s="13"/>
      <c r="D250" s="13"/>
      <c r="E250" s="13"/>
      <c r="F250" s="13"/>
      <c r="G250" s="63"/>
      <c r="H250" s="63"/>
      <c r="I250" s="63"/>
      <c r="J250" s="63"/>
      <c r="K250" s="63"/>
      <c r="L250" s="63"/>
      <c r="M250" s="63"/>
      <c r="N250" s="63"/>
      <c r="O250" s="64"/>
      <c r="P250" s="1"/>
    </row>
    <row r="251" spans="2:16" ht="12.75" customHeight="1" x14ac:dyDescent="0.15">
      <c r="B251" s="13"/>
      <c r="C251" s="13"/>
      <c r="D251" s="13"/>
      <c r="E251" s="13"/>
      <c r="F251" s="13"/>
      <c r="G251" s="63"/>
      <c r="H251" s="63"/>
      <c r="I251" s="63"/>
      <c r="J251" s="63"/>
      <c r="K251" s="63"/>
      <c r="L251" s="63"/>
      <c r="M251" s="63"/>
      <c r="N251" s="63"/>
      <c r="O251" s="64"/>
      <c r="P251" s="1"/>
    </row>
    <row r="252" spans="2:16" ht="12.75" customHeight="1" x14ac:dyDescent="0.15">
      <c r="B252" s="13"/>
      <c r="C252" s="13"/>
      <c r="D252" s="13"/>
      <c r="E252" s="13"/>
      <c r="F252" s="13"/>
      <c r="G252" s="63"/>
      <c r="H252" s="63"/>
      <c r="I252" s="63"/>
      <c r="J252" s="63"/>
      <c r="K252" s="63"/>
      <c r="L252" s="63"/>
      <c r="M252" s="63"/>
      <c r="N252" s="63"/>
      <c r="O252" s="64"/>
      <c r="P252" s="1"/>
    </row>
    <row r="253" spans="2:16" ht="12.75" customHeight="1" x14ac:dyDescent="0.15">
      <c r="B253" s="13"/>
      <c r="C253" s="13"/>
      <c r="D253" s="13"/>
      <c r="E253" s="13"/>
      <c r="F253" s="13"/>
      <c r="G253" s="63"/>
      <c r="H253" s="63"/>
      <c r="I253" s="63"/>
      <c r="J253" s="63"/>
      <c r="K253" s="63"/>
      <c r="L253" s="63"/>
      <c r="M253" s="63"/>
      <c r="N253" s="63"/>
      <c r="O253" s="64"/>
      <c r="P253" s="1"/>
    </row>
    <row r="254" spans="2:16" ht="12.75" customHeight="1" x14ac:dyDescent="0.15">
      <c r="B254" s="13"/>
      <c r="C254" s="13"/>
      <c r="D254" s="13"/>
      <c r="E254" s="13"/>
      <c r="F254" s="13"/>
      <c r="G254" s="63"/>
      <c r="H254" s="63"/>
      <c r="I254" s="63"/>
      <c r="J254" s="63"/>
      <c r="K254" s="63"/>
      <c r="L254" s="63"/>
      <c r="M254" s="63"/>
      <c r="N254" s="63"/>
      <c r="O254" s="64"/>
      <c r="P254" s="1"/>
    </row>
    <row r="255" spans="2:16" ht="12.75" customHeight="1" x14ac:dyDescent="0.15">
      <c r="B255" s="13"/>
      <c r="C255" s="13"/>
      <c r="D255" s="13"/>
      <c r="E255" s="13"/>
      <c r="F255" s="13"/>
      <c r="G255" s="63"/>
      <c r="H255" s="63"/>
      <c r="I255" s="63"/>
      <c r="J255" s="63"/>
      <c r="K255" s="63"/>
      <c r="L255" s="63"/>
      <c r="M255" s="63"/>
      <c r="N255" s="63"/>
      <c r="O255" s="64"/>
      <c r="P255" s="1"/>
    </row>
    <row r="256" spans="2:16" ht="12.75" customHeight="1" x14ac:dyDescent="0.15">
      <c r="B256" s="13"/>
      <c r="C256" s="13"/>
      <c r="D256" s="13"/>
      <c r="E256" s="13"/>
      <c r="F256" s="13"/>
      <c r="G256" s="63"/>
      <c r="H256" s="63"/>
      <c r="I256" s="63"/>
      <c r="J256" s="63"/>
      <c r="K256" s="63"/>
      <c r="L256" s="63"/>
      <c r="M256" s="63"/>
      <c r="N256" s="63"/>
      <c r="O256" s="64"/>
      <c r="P256" s="1"/>
    </row>
    <row r="257" spans="2:16" ht="12.75" customHeight="1" x14ac:dyDescent="0.15">
      <c r="B257" s="13"/>
      <c r="C257" s="13"/>
      <c r="D257" s="13"/>
      <c r="E257" s="13"/>
      <c r="F257" s="13"/>
      <c r="G257" s="63"/>
      <c r="H257" s="63"/>
      <c r="I257" s="63"/>
      <c r="J257" s="63"/>
      <c r="K257" s="63"/>
      <c r="L257" s="63"/>
      <c r="M257" s="63"/>
      <c r="N257" s="63"/>
      <c r="O257" s="64"/>
      <c r="P257" s="1"/>
    </row>
    <row r="258" spans="2:16" ht="12.75" customHeight="1" x14ac:dyDescent="0.15">
      <c r="B258" s="13"/>
      <c r="C258" s="13"/>
      <c r="D258" s="14"/>
      <c r="E258" s="13"/>
      <c r="F258" s="13"/>
      <c r="G258" s="63"/>
      <c r="H258" s="63"/>
      <c r="I258" s="63"/>
      <c r="J258" s="63"/>
      <c r="K258" s="63"/>
      <c r="L258" s="63"/>
      <c r="M258" s="63"/>
      <c r="N258" s="63"/>
      <c r="O258" s="64"/>
      <c r="P258" s="1"/>
    </row>
    <row r="259" spans="2:16" ht="12.75" customHeight="1" x14ac:dyDescent="0.15">
      <c r="B259" s="13"/>
      <c r="C259" s="13"/>
      <c r="D259" s="14"/>
      <c r="E259" s="13"/>
      <c r="F259" s="13"/>
      <c r="G259" s="63"/>
      <c r="H259" s="63"/>
      <c r="I259" s="63"/>
      <c r="J259" s="63"/>
      <c r="K259" s="63"/>
      <c r="L259" s="63"/>
      <c r="M259" s="63"/>
      <c r="N259" s="63"/>
      <c r="O259" s="64"/>
      <c r="P259" s="1"/>
    </row>
    <row r="260" spans="2:16" ht="12.75" customHeight="1" x14ac:dyDescent="0.15">
      <c r="B260" s="13"/>
      <c r="C260" s="13"/>
      <c r="D260" s="14"/>
      <c r="E260" s="13"/>
      <c r="F260" s="13"/>
      <c r="G260" s="63"/>
      <c r="H260" s="63"/>
      <c r="I260" s="63"/>
      <c r="J260" s="63"/>
      <c r="K260" s="63"/>
      <c r="L260" s="63"/>
      <c r="M260" s="63"/>
      <c r="N260" s="63"/>
      <c r="O260" s="64"/>
      <c r="P260" s="1"/>
    </row>
    <row r="261" spans="2:16" ht="12.75" customHeight="1" x14ac:dyDescent="0.15">
      <c r="B261" s="13"/>
      <c r="C261" s="13"/>
      <c r="D261" s="14"/>
      <c r="E261" s="13"/>
      <c r="F261" s="13"/>
      <c r="G261" s="63"/>
      <c r="H261" s="63"/>
      <c r="I261" s="63"/>
      <c r="J261" s="63"/>
      <c r="K261" s="63"/>
      <c r="L261" s="63"/>
      <c r="M261" s="63"/>
      <c r="N261" s="63"/>
      <c r="O261" s="64"/>
      <c r="P261" s="1"/>
    </row>
    <row r="262" spans="2:16" ht="12.75" customHeight="1" x14ac:dyDescent="0.15">
      <c r="B262" s="13"/>
      <c r="C262" s="13"/>
      <c r="D262" s="14"/>
      <c r="E262" s="13"/>
      <c r="F262" s="13"/>
      <c r="G262" s="63"/>
      <c r="H262" s="63"/>
      <c r="I262" s="63"/>
      <c r="J262" s="63"/>
      <c r="K262" s="63"/>
      <c r="L262" s="63"/>
      <c r="M262" s="63"/>
      <c r="N262" s="63"/>
      <c r="O262" s="64"/>
      <c r="P262" s="1"/>
    </row>
    <row r="263" spans="2:16" ht="12.75" customHeight="1" x14ac:dyDescent="0.15">
      <c r="B263" s="13"/>
      <c r="C263" s="13"/>
      <c r="D263" s="14"/>
      <c r="E263" s="13"/>
      <c r="F263" s="13"/>
      <c r="G263" s="63"/>
      <c r="H263" s="63"/>
      <c r="I263" s="63"/>
      <c r="J263" s="63"/>
      <c r="K263" s="63"/>
      <c r="L263" s="63"/>
      <c r="M263" s="63"/>
      <c r="N263" s="63"/>
      <c r="O263" s="64"/>
      <c r="P263" s="1"/>
    </row>
    <row r="264" spans="2:16" ht="12.75" customHeight="1" x14ac:dyDescent="0.15">
      <c r="B264" s="13"/>
      <c r="C264" s="13"/>
      <c r="D264" s="14"/>
      <c r="E264" s="13"/>
      <c r="F264" s="13"/>
      <c r="G264" s="63"/>
      <c r="H264" s="63"/>
      <c r="I264" s="63"/>
      <c r="J264" s="63"/>
      <c r="K264" s="63"/>
      <c r="L264" s="63"/>
      <c r="M264" s="63"/>
      <c r="N264" s="63"/>
      <c r="O264" s="64"/>
      <c r="P264" s="1"/>
    </row>
    <row r="265" spans="2:16" ht="12.75" customHeight="1" x14ac:dyDescent="0.15">
      <c r="B265" s="13"/>
      <c r="C265" s="13"/>
      <c r="D265" s="13"/>
      <c r="E265" s="13"/>
      <c r="F265" s="13"/>
      <c r="G265" s="63"/>
      <c r="H265" s="63"/>
      <c r="I265" s="63"/>
      <c r="J265" s="63"/>
      <c r="K265" s="63"/>
      <c r="L265" s="63"/>
      <c r="M265" s="63"/>
      <c r="N265" s="63"/>
      <c r="O265" s="64"/>
      <c r="P265" s="1"/>
    </row>
    <row r="266" spans="2:16" ht="12.75" customHeight="1" x14ac:dyDescent="0.15">
      <c r="B266" s="13"/>
      <c r="C266" s="13"/>
      <c r="D266" s="13"/>
      <c r="E266" s="13"/>
      <c r="F266" s="13"/>
      <c r="G266" s="63"/>
      <c r="H266" s="63"/>
      <c r="I266" s="63"/>
      <c r="J266" s="63"/>
      <c r="K266" s="63"/>
      <c r="L266" s="63"/>
      <c r="M266" s="63"/>
      <c r="N266" s="63"/>
      <c r="O266" s="64"/>
      <c r="P266" s="1"/>
    </row>
    <row r="267" spans="2:16" ht="12.75" customHeight="1" x14ac:dyDescent="0.15">
      <c r="B267" s="13"/>
      <c r="C267" s="13"/>
      <c r="D267" s="13"/>
      <c r="E267" s="13"/>
      <c r="F267" s="13"/>
      <c r="G267" s="63"/>
      <c r="H267" s="63"/>
      <c r="I267" s="63"/>
      <c r="J267" s="63"/>
      <c r="K267" s="63"/>
      <c r="L267" s="63"/>
      <c r="M267" s="63"/>
      <c r="N267" s="63"/>
      <c r="O267" s="64"/>
      <c r="P267" s="1"/>
    </row>
    <row r="268" spans="2:16" ht="12.75" customHeight="1" x14ac:dyDescent="0.15">
      <c r="B268" s="13"/>
      <c r="C268" s="13"/>
      <c r="D268" s="13"/>
      <c r="E268" s="13"/>
      <c r="F268" s="13"/>
      <c r="G268" s="63"/>
      <c r="H268" s="63"/>
      <c r="I268" s="63"/>
      <c r="J268" s="63"/>
      <c r="K268" s="63"/>
      <c r="L268" s="63"/>
      <c r="M268" s="63"/>
      <c r="N268" s="63"/>
      <c r="O268" s="64"/>
      <c r="P268" s="1"/>
    </row>
    <row r="269" spans="2:16" ht="12.75" customHeight="1" x14ac:dyDescent="0.15">
      <c r="B269" s="13"/>
      <c r="C269" s="13"/>
      <c r="D269" s="13"/>
      <c r="E269" s="13"/>
      <c r="F269" s="13"/>
      <c r="G269" s="63"/>
      <c r="H269" s="63"/>
      <c r="I269" s="63"/>
      <c r="J269" s="63"/>
      <c r="K269" s="63"/>
      <c r="L269" s="63"/>
      <c r="M269" s="63"/>
      <c r="N269" s="63"/>
      <c r="O269" s="64"/>
      <c r="P269" s="1"/>
    </row>
    <row r="270" spans="2:16" ht="12.75" customHeight="1" x14ac:dyDescent="0.15">
      <c r="B270" s="13"/>
      <c r="C270" s="13"/>
      <c r="D270" s="13"/>
      <c r="E270" s="13"/>
      <c r="F270" s="13"/>
      <c r="G270" s="63"/>
      <c r="H270" s="63"/>
      <c r="I270" s="63"/>
      <c r="J270" s="63"/>
      <c r="K270" s="63"/>
      <c r="L270" s="63"/>
      <c r="M270" s="63"/>
      <c r="N270" s="63"/>
      <c r="O270" s="64"/>
      <c r="P270" s="1"/>
    </row>
    <row r="271" spans="2:16" ht="12.75" customHeight="1" x14ac:dyDescent="0.15">
      <c r="B271" s="13"/>
      <c r="C271" s="13"/>
      <c r="D271" s="13"/>
      <c r="E271" s="13"/>
      <c r="F271" s="13"/>
      <c r="G271" s="63"/>
      <c r="H271" s="63"/>
      <c r="I271" s="63"/>
      <c r="J271" s="63"/>
      <c r="K271" s="63"/>
      <c r="L271" s="63"/>
      <c r="M271" s="63"/>
      <c r="N271" s="63"/>
      <c r="O271" s="64"/>
      <c r="P271" s="1"/>
    </row>
    <row r="272" spans="2:16" ht="12.75" customHeight="1" x14ac:dyDescent="0.15">
      <c r="B272" s="13"/>
      <c r="C272" s="13"/>
      <c r="D272" s="13"/>
      <c r="E272" s="13"/>
      <c r="F272" s="13"/>
      <c r="G272" s="63"/>
      <c r="H272" s="63"/>
      <c r="I272" s="63"/>
      <c r="J272" s="63"/>
      <c r="K272" s="63"/>
      <c r="L272" s="63"/>
      <c r="M272" s="63"/>
      <c r="N272" s="63"/>
      <c r="O272" s="64"/>
      <c r="P272" s="1"/>
    </row>
    <row r="273" spans="2:16" ht="12.75" customHeight="1" x14ac:dyDescent="0.15">
      <c r="B273" s="13"/>
      <c r="C273" s="13"/>
      <c r="D273" s="13"/>
      <c r="E273" s="13"/>
      <c r="F273" s="13"/>
      <c r="G273" s="63"/>
      <c r="H273" s="63"/>
      <c r="I273" s="63"/>
      <c r="J273" s="63"/>
      <c r="K273" s="63"/>
      <c r="L273" s="63"/>
      <c r="M273" s="63"/>
      <c r="N273" s="63"/>
      <c r="O273" s="64"/>
      <c r="P273" s="1"/>
    </row>
    <row r="274" spans="2:16" ht="12.75" customHeight="1" x14ac:dyDescent="0.15">
      <c r="B274" s="13"/>
      <c r="C274" s="13"/>
      <c r="D274" s="13"/>
      <c r="E274" s="13"/>
      <c r="F274" s="13"/>
      <c r="G274" s="63"/>
      <c r="H274" s="63"/>
      <c r="I274" s="63"/>
      <c r="J274" s="63"/>
      <c r="K274" s="63"/>
      <c r="L274" s="63"/>
      <c r="M274" s="63"/>
      <c r="N274" s="63"/>
      <c r="O274" s="64"/>
      <c r="P274" s="1"/>
    </row>
    <row r="275" spans="2:16" ht="12.75" customHeight="1" x14ac:dyDescent="0.15">
      <c r="B275" s="13"/>
      <c r="C275" s="13"/>
      <c r="D275" s="13"/>
      <c r="E275" s="13"/>
      <c r="F275" s="13"/>
      <c r="G275" s="63"/>
      <c r="H275" s="63"/>
      <c r="I275" s="63"/>
      <c r="J275" s="63"/>
      <c r="K275" s="63"/>
      <c r="L275" s="63"/>
      <c r="M275" s="63"/>
      <c r="N275" s="63"/>
      <c r="O275" s="64"/>
      <c r="P275" s="1"/>
    </row>
    <row r="276" spans="2:16" ht="12.75" customHeight="1" x14ac:dyDescent="0.15">
      <c r="B276" s="13"/>
      <c r="C276" s="13"/>
      <c r="D276" s="13"/>
      <c r="E276" s="13"/>
      <c r="F276" s="13"/>
      <c r="G276" s="63"/>
      <c r="H276" s="63"/>
      <c r="I276" s="63"/>
      <c r="J276" s="63"/>
      <c r="K276" s="63"/>
      <c r="L276" s="63"/>
      <c r="M276" s="63"/>
      <c r="N276" s="63"/>
      <c r="O276" s="64"/>
      <c r="P276" s="1"/>
    </row>
    <row r="277" spans="2:16" ht="12.75" customHeight="1" x14ac:dyDescent="0.15">
      <c r="B277" s="13"/>
      <c r="C277" s="13"/>
      <c r="D277" s="13"/>
      <c r="E277" s="13"/>
      <c r="F277" s="13"/>
      <c r="G277" s="63"/>
      <c r="H277" s="63"/>
      <c r="I277" s="63"/>
      <c r="J277" s="63"/>
      <c r="K277" s="63"/>
      <c r="L277" s="63"/>
      <c r="M277" s="63"/>
      <c r="N277" s="63"/>
      <c r="O277" s="64"/>
      <c r="P277" s="1"/>
    </row>
    <row r="278" spans="2:16" ht="12.75" customHeight="1" x14ac:dyDescent="0.15">
      <c r="B278" s="13"/>
      <c r="C278" s="13"/>
      <c r="D278" s="13"/>
      <c r="E278" s="13"/>
      <c r="F278" s="13"/>
      <c r="G278" s="63"/>
      <c r="H278" s="63"/>
      <c r="I278" s="63"/>
      <c r="J278" s="63"/>
      <c r="K278" s="63"/>
      <c r="L278" s="63"/>
      <c r="M278" s="63"/>
      <c r="N278" s="63"/>
      <c r="O278" s="64"/>
      <c r="P278" s="1"/>
    </row>
    <row r="279" spans="2:16" ht="12.75" customHeight="1" x14ac:dyDescent="0.15">
      <c r="B279" s="13"/>
      <c r="C279" s="13"/>
      <c r="D279" s="13"/>
      <c r="E279" s="13"/>
      <c r="F279" s="13"/>
      <c r="G279" s="63"/>
      <c r="H279" s="63"/>
      <c r="I279" s="63"/>
      <c r="J279" s="63"/>
      <c r="K279" s="63"/>
      <c r="L279" s="63"/>
      <c r="M279" s="63"/>
      <c r="N279" s="63"/>
      <c r="O279" s="64"/>
      <c r="P279" s="1"/>
    </row>
    <row r="280" spans="2:16" ht="12.75" customHeight="1" x14ac:dyDescent="0.15">
      <c r="B280" s="13"/>
      <c r="C280" s="13"/>
      <c r="D280" s="13"/>
      <c r="E280" s="13"/>
      <c r="F280" s="13"/>
      <c r="G280" s="63"/>
      <c r="H280" s="63"/>
      <c r="I280" s="63"/>
      <c r="J280" s="63"/>
      <c r="K280" s="63"/>
      <c r="L280" s="63"/>
      <c r="M280" s="63"/>
      <c r="N280" s="63"/>
      <c r="O280" s="64"/>
      <c r="P280" s="1"/>
    </row>
    <row r="281" spans="2:16" ht="12.75" customHeight="1" x14ac:dyDescent="0.15">
      <c r="B281" s="13"/>
      <c r="C281" s="13"/>
      <c r="D281" s="13"/>
      <c r="E281" s="13"/>
      <c r="F281" s="13"/>
      <c r="G281" s="63"/>
      <c r="H281" s="63"/>
      <c r="I281" s="63"/>
      <c r="J281" s="63"/>
      <c r="K281" s="63"/>
      <c r="L281" s="63"/>
      <c r="M281" s="63"/>
      <c r="N281" s="63"/>
      <c r="O281" s="64"/>
      <c r="P281" s="1"/>
    </row>
    <row r="282" spans="2:16" ht="12.75" customHeight="1" x14ac:dyDescent="0.15">
      <c r="B282" s="13"/>
      <c r="C282" s="13"/>
      <c r="D282" s="13"/>
      <c r="E282" s="13"/>
      <c r="F282" s="13"/>
      <c r="G282" s="63"/>
      <c r="H282" s="63"/>
      <c r="I282" s="63"/>
      <c r="J282" s="63"/>
      <c r="K282" s="63"/>
      <c r="L282" s="63"/>
      <c r="M282" s="63"/>
      <c r="N282" s="63"/>
      <c r="O282" s="64"/>
      <c r="P282" s="1"/>
    </row>
    <row r="283" spans="2:16" ht="12.75" customHeight="1" x14ac:dyDescent="0.15">
      <c r="B283" s="13"/>
      <c r="C283" s="13"/>
      <c r="D283" s="13"/>
      <c r="E283" s="13"/>
      <c r="F283" s="13"/>
      <c r="G283" s="63"/>
      <c r="H283" s="63"/>
      <c r="I283" s="63"/>
      <c r="J283" s="63"/>
      <c r="K283" s="63"/>
      <c r="L283" s="63"/>
      <c r="M283" s="63"/>
      <c r="N283" s="63"/>
      <c r="O283" s="64"/>
      <c r="P283" s="1"/>
    </row>
    <row r="284" spans="2:16" ht="12.75" customHeight="1" x14ac:dyDescent="0.15">
      <c r="B284" s="13"/>
      <c r="C284" s="13"/>
      <c r="D284" s="13"/>
      <c r="E284" s="13"/>
      <c r="F284" s="13"/>
      <c r="G284" s="63"/>
      <c r="H284" s="63"/>
      <c r="I284" s="63"/>
      <c r="J284" s="63"/>
      <c r="K284" s="63"/>
      <c r="L284" s="63"/>
      <c r="M284" s="63"/>
      <c r="N284" s="63"/>
      <c r="O284" s="64"/>
      <c r="P284" s="1"/>
    </row>
    <row r="285" spans="2:16" ht="12.75" customHeight="1" x14ac:dyDescent="0.15">
      <c r="B285" s="13"/>
      <c r="C285" s="13"/>
      <c r="D285" s="13"/>
      <c r="E285" s="13"/>
      <c r="F285" s="13"/>
      <c r="G285" s="63"/>
      <c r="H285" s="63"/>
      <c r="I285" s="63"/>
      <c r="J285" s="63"/>
      <c r="K285" s="63"/>
      <c r="L285" s="63"/>
      <c r="M285" s="63"/>
      <c r="N285" s="63"/>
      <c r="O285" s="64"/>
      <c r="P285" s="1"/>
    </row>
    <row r="286" spans="2:16" ht="12.75" customHeight="1" x14ac:dyDescent="0.15">
      <c r="B286" s="13"/>
      <c r="C286" s="13"/>
      <c r="D286" s="13"/>
      <c r="E286" s="13"/>
      <c r="F286" s="13"/>
      <c r="G286" s="63"/>
      <c r="H286" s="63"/>
      <c r="I286" s="63"/>
      <c r="J286" s="63"/>
      <c r="K286" s="63"/>
      <c r="L286" s="63"/>
      <c r="M286" s="63"/>
      <c r="N286" s="63"/>
      <c r="O286" s="64"/>
      <c r="P286" s="1"/>
    </row>
    <row r="287" spans="2:16" ht="12.75" customHeight="1" x14ac:dyDescent="0.15">
      <c r="B287" s="13"/>
      <c r="C287" s="13"/>
      <c r="D287" s="13"/>
      <c r="E287" s="13"/>
      <c r="F287" s="13"/>
      <c r="G287" s="63"/>
      <c r="H287" s="63"/>
      <c r="I287" s="63"/>
      <c r="J287" s="63"/>
      <c r="K287" s="63"/>
      <c r="L287" s="63"/>
      <c r="M287" s="63"/>
      <c r="N287" s="63"/>
      <c r="O287" s="64"/>
      <c r="P287" s="1"/>
    </row>
    <row r="288" spans="2:16" ht="12.75" customHeight="1" x14ac:dyDescent="0.15">
      <c r="B288" s="13"/>
      <c r="C288" s="13"/>
      <c r="D288" s="13"/>
      <c r="E288" s="13"/>
      <c r="F288" s="13"/>
      <c r="G288" s="63"/>
      <c r="H288" s="63"/>
      <c r="I288" s="63"/>
      <c r="J288" s="63"/>
      <c r="K288" s="63"/>
      <c r="L288" s="63"/>
      <c r="M288" s="63"/>
      <c r="N288" s="63"/>
      <c r="O288" s="64"/>
      <c r="P288" s="1"/>
    </row>
    <row r="289" spans="2:16" ht="12.75" customHeight="1" x14ac:dyDescent="0.15">
      <c r="B289" s="13"/>
      <c r="C289" s="13"/>
      <c r="D289" s="13"/>
      <c r="E289" s="13"/>
      <c r="F289" s="13"/>
      <c r="G289" s="63"/>
      <c r="H289" s="63"/>
      <c r="I289" s="63"/>
      <c r="J289" s="63"/>
      <c r="K289" s="63"/>
      <c r="L289" s="63"/>
      <c r="M289" s="63"/>
      <c r="N289" s="63"/>
      <c r="O289" s="64"/>
      <c r="P289" s="1"/>
    </row>
    <row r="290" spans="2:16" ht="12.75" customHeight="1" x14ac:dyDescent="0.15">
      <c r="B290" s="13"/>
      <c r="C290" s="13"/>
      <c r="D290" s="13"/>
      <c r="E290" s="13"/>
      <c r="F290" s="13"/>
      <c r="G290" s="63"/>
      <c r="H290" s="63"/>
      <c r="I290" s="63"/>
      <c r="J290" s="63"/>
      <c r="K290" s="63"/>
      <c r="L290" s="63"/>
      <c r="M290" s="63"/>
      <c r="N290" s="63"/>
      <c r="O290" s="64"/>
      <c r="P290" s="1"/>
    </row>
    <row r="291" spans="2:16" ht="12.75" customHeight="1" x14ac:dyDescent="0.15">
      <c r="B291" s="13"/>
      <c r="C291" s="13"/>
      <c r="D291" s="13"/>
      <c r="E291" s="13"/>
      <c r="F291" s="13"/>
      <c r="G291" s="63"/>
      <c r="H291" s="63"/>
      <c r="I291" s="63"/>
      <c r="J291" s="63"/>
      <c r="K291" s="63"/>
      <c r="L291" s="63"/>
      <c r="M291" s="63"/>
      <c r="N291" s="63"/>
      <c r="O291" s="64"/>
      <c r="P291" s="1"/>
    </row>
    <row r="292" spans="2:16" ht="12.75" customHeight="1" x14ac:dyDescent="0.15">
      <c r="B292" s="13"/>
      <c r="C292" s="13"/>
      <c r="D292" s="13"/>
      <c r="E292" s="13"/>
      <c r="F292" s="13"/>
      <c r="G292" s="63"/>
      <c r="H292" s="63"/>
      <c r="I292" s="63"/>
      <c r="J292" s="63"/>
      <c r="K292" s="63"/>
      <c r="L292" s="63"/>
      <c r="M292" s="63"/>
      <c r="N292" s="63"/>
      <c r="O292" s="64"/>
      <c r="P292" s="1"/>
    </row>
    <row r="293" spans="2:16" ht="12.75" customHeight="1" x14ac:dyDescent="0.15">
      <c r="B293" s="13"/>
      <c r="C293" s="13"/>
      <c r="D293" s="13"/>
      <c r="E293" s="13"/>
      <c r="F293" s="13"/>
      <c r="G293" s="63"/>
      <c r="H293" s="63"/>
      <c r="I293" s="63"/>
      <c r="J293" s="63"/>
      <c r="K293" s="63"/>
      <c r="L293" s="63"/>
      <c r="M293" s="63"/>
      <c r="N293" s="63"/>
      <c r="O293" s="64"/>
      <c r="P293" s="1"/>
    </row>
    <row r="294" spans="2:16" ht="12.75" customHeight="1" x14ac:dyDescent="0.15">
      <c r="B294" s="13"/>
      <c r="C294" s="13"/>
      <c r="D294" s="13"/>
      <c r="E294" s="13"/>
      <c r="F294" s="13"/>
      <c r="G294" s="63"/>
      <c r="H294" s="63"/>
      <c r="I294" s="63"/>
      <c r="J294" s="63"/>
      <c r="K294" s="63"/>
      <c r="L294" s="63"/>
      <c r="M294" s="63"/>
      <c r="N294" s="63"/>
      <c r="O294" s="64"/>
      <c r="P294" s="1"/>
    </row>
    <row r="295" spans="2:16" ht="12.75" customHeight="1" x14ac:dyDescent="0.15">
      <c r="B295" s="13"/>
      <c r="C295" s="13"/>
      <c r="D295" s="13"/>
      <c r="E295" s="13"/>
      <c r="F295" s="13"/>
      <c r="G295" s="63"/>
      <c r="H295" s="63"/>
      <c r="I295" s="63"/>
      <c r="J295" s="63"/>
      <c r="K295" s="63"/>
      <c r="L295" s="63"/>
      <c r="M295" s="63"/>
      <c r="N295" s="63"/>
      <c r="O295" s="64"/>
      <c r="P295" s="1"/>
    </row>
    <row r="296" spans="2:16" ht="12.75" customHeight="1" x14ac:dyDescent="0.15">
      <c r="B296" s="13"/>
      <c r="C296" s="13"/>
      <c r="D296" s="13"/>
      <c r="E296" s="13"/>
      <c r="F296" s="13"/>
      <c r="G296" s="63"/>
      <c r="H296" s="63"/>
      <c r="I296" s="63"/>
      <c r="J296" s="63"/>
      <c r="K296" s="63"/>
      <c r="L296" s="63"/>
      <c r="M296" s="63"/>
      <c r="N296" s="63"/>
      <c r="O296" s="64"/>
      <c r="P296" s="1"/>
    </row>
    <row r="297" spans="2:16" ht="12.75" customHeight="1" x14ac:dyDescent="0.15">
      <c r="B297" s="13"/>
      <c r="C297" s="13"/>
      <c r="D297" s="13"/>
      <c r="E297" s="13"/>
      <c r="F297" s="13"/>
      <c r="G297" s="63"/>
      <c r="H297" s="63"/>
      <c r="I297" s="63"/>
      <c r="J297" s="63"/>
      <c r="K297" s="63"/>
      <c r="L297" s="63"/>
      <c r="M297" s="63"/>
      <c r="N297" s="63"/>
      <c r="O297" s="64"/>
      <c r="P297" s="1"/>
    </row>
    <row r="298" spans="2:16" ht="12.75" customHeight="1" x14ac:dyDescent="0.15">
      <c r="B298" s="13"/>
      <c r="C298" s="13"/>
      <c r="D298" s="13"/>
      <c r="E298" s="13"/>
      <c r="F298" s="13"/>
      <c r="G298" s="63"/>
      <c r="H298" s="63"/>
      <c r="I298" s="63"/>
      <c r="J298" s="63"/>
      <c r="K298" s="63"/>
      <c r="L298" s="63"/>
      <c r="M298" s="63"/>
      <c r="N298" s="63"/>
      <c r="O298" s="64"/>
      <c r="P298" s="1"/>
    </row>
    <row r="299" spans="2:16" ht="12.75" customHeight="1" x14ac:dyDescent="0.15">
      <c r="B299" s="13"/>
      <c r="C299" s="13"/>
      <c r="D299" s="13"/>
      <c r="E299" s="13"/>
      <c r="F299" s="13"/>
      <c r="G299" s="63"/>
      <c r="H299" s="63"/>
      <c r="I299" s="63"/>
      <c r="J299" s="63"/>
      <c r="K299" s="63"/>
      <c r="L299" s="63"/>
      <c r="M299" s="63"/>
      <c r="N299" s="63"/>
      <c r="O299" s="64"/>
      <c r="P299" s="1"/>
    </row>
    <row r="300" spans="2:16" ht="12.75" customHeight="1" x14ac:dyDescent="0.15">
      <c r="B300" s="13"/>
      <c r="C300" s="13"/>
      <c r="D300" s="13"/>
      <c r="E300" s="13"/>
      <c r="F300" s="13"/>
      <c r="G300" s="63"/>
      <c r="H300" s="63"/>
      <c r="I300" s="63"/>
      <c r="J300" s="63"/>
      <c r="K300" s="63"/>
      <c r="L300" s="63"/>
      <c r="M300" s="63"/>
      <c r="N300" s="63"/>
      <c r="O300" s="64"/>
      <c r="P300" s="1"/>
    </row>
    <row r="301" spans="2:16" ht="12.75" customHeight="1" x14ac:dyDescent="0.15">
      <c r="B301" s="13"/>
      <c r="C301" s="13"/>
      <c r="D301" s="13"/>
      <c r="E301" s="13"/>
      <c r="F301" s="13"/>
      <c r="G301" s="63"/>
      <c r="H301" s="63"/>
      <c r="I301" s="63"/>
      <c r="J301" s="63"/>
      <c r="K301" s="63"/>
      <c r="L301" s="63"/>
      <c r="M301" s="63"/>
      <c r="N301" s="63"/>
      <c r="O301" s="64"/>
      <c r="P301" s="1"/>
    </row>
    <row r="302" spans="2:16" ht="12.75" customHeight="1" x14ac:dyDescent="0.15">
      <c r="B302" s="13"/>
      <c r="C302" s="13"/>
      <c r="D302" s="13"/>
      <c r="E302" s="13"/>
      <c r="F302" s="13"/>
      <c r="G302" s="63"/>
      <c r="H302" s="63"/>
      <c r="I302" s="63"/>
      <c r="J302" s="63"/>
      <c r="K302" s="63"/>
      <c r="L302" s="63"/>
      <c r="M302" s="63"/>
      <c r="N302" s="63"/>
      <c r="O302" s="64"/>
      <c r="P302" s="1"/>
    </row>
    <row r="303" spans="2:16" ht="12.75" customHeight="1" x14ac:dyDescent="0.15">
      <c r="B303" s="13"/>
      <c r="C303" s="13"/>
      <c r="D303" s="13"/>
      <c r="E303" s="13"/>
      <c r="F303" s="13"/>
      <c r="G303" s="63"/>
      <c r="H303" s="63"/>
      <c r="I303" s="63"/>
      <c r="J303" s="63"/>
      <c r="K303" s="63"/>
      <c r="L303" s="63"/>
      <c r="M303" s="63"/>
      <c r="N303" s="63"/>
      <c r="O303" s="64"/>
      <c r="P303" s="1"/>
    </row>
    <row r="304" spans="2:16" ht="12.75" customHeight="1" x14ac:dyDescent="0.15">
      <c r="B304" s="13"/>
      <c r="C304" s="13"/>
      <c r="D304" s="13"/>
      <c r="E304" s="13"/>
      <c r="F304" s="13"/>
      <c r="G304" s="63"/>
      <c r="H304" s="63"/>
      <c r="I304" s="63"/>
      <c r="J304" s="63"/>
      <c r="K304" s="63"/>
      <c r="L304" s="63"/>
      <c r="M304" s="63"/>
      <c r="N304" s="63"/>
      <c r="O304" s="64"/>
      <c r="P304" s="1"/>
    </row>
    <row r="305" spans="2:16" ht="12.75" customHeight="1" x14ac:dyDescent="0.15">
      <c r="B305" s="13"/>
      <c r="C305" s="13"/>
      <c r="D305" s="13"/>
      <c r="E305" s="13"/>
      <c r="F305" s="13"/>
      <c r="G305" s="63"/>
      <c r="H305" s="63"/>
      <c r="I305" s="63"/>
      <c r="J305" s="63"/>
      <c r="K305" s="63"/>
      <c r="L305" s="63"/>
      <c r="M305" s="63"/>
      <c r="N305" s="63"/>
      <c r="O305" s="64"/>
      <c r="P305" s="1"/>
    </row>
    <row r="306" spans="2:16" ht="12.75" customHeight="1" x14ac:dyDescent="0.15">
      <c r="B306" s="13"/>
      <c r="C306" s="13"/>
      <c r="D306" s="13"/>
      <c r="E306" s="13"/>
      <c r="F306" s="13"/>
      <c r="G306" s="63"/>
      <c r="H306" s="63"/>
      <c r="I306" s="63"/>
      <c r="J306" s="63"/>
      <c r="K306" s="63"/>
      <c r="L306" s="63"/>
      <c r="M306" s="63"/>
      <c r="N306" s="63"/>
      <c r="O306" s="64"/>
      <c r="P306" s="1"/>
    </row>
    <row r="307" spans="2:16" ht="12.75" customHeight="1" x14ac:dyDescent="0.15">
      <c r="B307" s="13"/>
      <c r="C307" s="13"/>
      <c r="D307" s="13"/>
      <c r="E307" s="13"/>
      <c r="F307" s="13"/>
      <c r="G307" s="63"/>
      <c r="H307" s="63"/>
      <c r="I307" s="63"/>
      <c r="J307" s="63"/>
      <c r="K307" s="63"/>
      <c r="L307" s="63"/>
      <c r="M307" s="63"/>
      <c r="N307" s="63"/>
      <c r="O307" s="64"/>
      <c r="P307" s="1"/>
    </row>
    <row r="308" spans="2:16" ht="12.75" customHeight="1" x14ac:dyDescent="0.15">
      <c r="B308" s="13"/>
      <c r="C308" s="13"/>
      <c r="D308" s="13"/>
      <c r="E308" s="13"/>
      <c r="F308" s="13"/>
      <c r="G308" s="63"/>
      <c r="H308" s="63"/>
      <c r="I308" s="63"/>
      <c r="J308" s="63"/>
      <c r="K308" s="63"/>
      <c r="L308" s="63"/>
      <c r="M308" s="63"/>
      <c r="N308" s="63"/>
      <c r="O308" s="64"/>
      <c r="P308" s="1"/>
    </row>
    <row r="309" spans="2:16" ht="12.75" customHeight="1" x14ac:dyDescent="0.15">
      <c r="B309" s="13"/>
      <c r="C309" s="13"/>
      <c r="D309" s="13"/>
      <c r="E309" s="13"/>
      <c r="F309" s="13"/>
      <c r="G309" s="63"/>
      <c r="H309" s="63"/>
      <c r="I309" s="63"/>
      <c r="J309" s="63"/>
      <c r="K309" s="63"/>
      <c r="L309" s="63"/>
      <c r="M309" s="63"/>
      <c r="N309" s="63"/>
      <c r="O309" s="64"/>
      <c r="P309" s="1"/>
    </row>
    <row r="310" spans="2:16" ht="12.75" customHeight="1" x14ac:dyDescent="0.15">
      <c r="B310" s="13"/>
      <c r="C310" s="13"/>
      <c r="D310" s="13"/>
      <c r="E310" s="13"/>
      <c r="F310" s="13"/>
      <c r="G310" s="63"/>
      <c r="H310" s="63"/>
      <c r="I310" s="63"/>
      <c r="J310" s="63"/>
      <c r="K310" s="63"/>
      <c r="L310" s="63"/>
      <c r="M310" s="63"/>
      <c r="N310" s="63"/>
      <c r="O310" s="64"/>
      <c r="P310" s="1"/>
    </row>
    <row r="311" spans="2:16" ht="12.75" customHeight="1" x14ac:dyDescent="0.15">
      <c r="B311" s="13"/>
      <c r="C311" s="13"/>
      <c r="D311" s="13"/>
      <c r="E311" s="13"/>
      <c r="F311" s="13"/>
      <c r="G311" s="63"/>
      <c r="H311" s="63"/>
      <c r="I311" s="63"/>
      <c r="J311" s="63"/>
      <c r="K311" s="63"/>
      <c r="L311" s="63"/>
      <c r="M311" s="63"/>
      <c r="N311" s="63"/>
      <c r="O311" s="64"/>
      <c r="P311" s="1"/>
    </row>
    <row r="312" spans="2:16" ht="12.75" customHeight="1" x14ac:dyDescent="0.15">
      <c r="B312" s="13"/>
      <c r="C312" s="13"/>
      <c r="D312" s="14"/>
      <c r="E312" s="14"/>
      <c r="F312" s="14"/>
      <c r="G312" s="63"/>
      <c r="H312" s="63"/>
      <c r="I312" s="63"/>
      <c r="J312" s="63"/>
      <c r="K312" s="63"/>
      <c r="L312" s="63"/>
      <c r="M312" s="63"/>
      <c r="N312" s="63"/>
      <c r="O312" s="64"/>
      <c r="P312" s="1"/>
    </row>
    <row r="313" spans="2:16" ht="12.75" customHeight="1" x14ac:dyDescent="0.15">
      <c r="B313" s="13"/>
      <c r="C313" s="13"/>
      <c r="D313" s="14"/>
      <c r="E313" s="14"/>
      <c r="F313" s="14"/>
      <c r="G313" s="63"/>
      <c r="H313" s="63"/>
      <c r="I313" s="63"/>
      <c r="J313" s="63"/>
      <c r="K313" s="63"/>
      <c r="L313" s="63"/>
      <c r="M313" s="63"/>
      <c r="N313" s="63"/>
      <c r="O313" s="64"/>
      <c r="P313" s="1"/>
    </row>
    <row r="314" spans="2:16" ht="12.75" customHeight="1" x14ac:dyDescent="0.15">
      <c r="B314" s="13"/>
      <c r="C314" s="13"/>
      <c r="D314" s="14"/>
      <c r="E314" s="14"/>
      <c r="F314" s="14"/>
      <c r="G314" s="63"/>
      <c r="H314" s="63"/>
      <c r="I314" s="63"/>
      <c r="J314" s="63"/>
      <c r="K314" s="63"/>
      <c r="L314" s="63"/>
      <c r="M314" s="63"/>
      <c r="N314" s="63"/>
      <c r="O314" s="64"/>
      <c r="P314" s="1"/>
    </row>
    <row r="315" spans="2:16" ht="12.75" customHeight="1" x14ac:dyDescent="0.15">
      <c r="B315" s="13"/>
      <c r="C315" s="13"/>
      <c r="D315" s="14"/>
      <c r="E315" s="14"/>
      <c r="F315" s="14"/>
      <c r="G315" s="63"/>
      <c r="H315" s="63"/>
      <c r="I315" s="63"/>
      <c r="J315" s="63"/>
      <c r="K315" s="63"/>
      <c r="L315" s="63"/>
      <c r="M315" s="63"/>
      <c r="N315" s="63"/>
      <c r="O315" s="64"/>
      <c r="P315" s="1"/>
    </row>
    <row r="316" spans="2:16" ht="12.75" customHeight="1" x14ac:dyDescent="0.15">
      <c r="B316" s="13"/>
      <c r="C316" s="13"/>
      <c r="D316" s="14"/>
      <c r="E316" s="14"/>
      <c r="F316" s="14"/>
      <c r="G316" s="63"/>
      <c r="H316" s="63"/>
      <c r="I316" s="63"/>
      <c r="J316" s="63"/>
      <c r="K316" s="63"/>
      <c r="L316" s="63"/>
      <c r="M316" s="63"/>
      <c r="N316" s="63"/>
      <c r="O316" s="64"/>
      <c r="P316" s="1"/>
    </row>
    <row r="317" spans="2:16" ht="12.75" customHeight="1" x14ac:dyDescent="0.15">
      <c r="B317" s="13"/>
      <c r="C317" s="13"/>
      <c r="D317" s="14"/>
      <c r="E317" s="14"/>
      <c r="F317" s="14"/>
      <c r="G317" s="63"/>
      <c r="H317" s="63"/>
      <c r="I317" s="63"/>
      <c r="J317" s="63"/>
      <c r="K317" s="63"/>
      <c r="L317" s="63"/>
      <c r="M317" s="63"/>
      <c r="N317" s="63"/>
      <c r="O317" s="64"/>
      <c r="P317" s="1"/>
    </row>
    <row r="318" spans="2:16" ht="12.75" customHeight="1" x14ac:dyDescent="0.15">
      <c r="B318" s="13"/>
      <c r="C318" s="13"/>
      <c r="D318" s="14"/>
      <c r="E318" s="14"/>
      <c r="F318" s="14"/>
      <c r="G318" s="63"/>
      <c r="H318" s="63"/>
      <c r="I318" s="63"/>
      <c r="J318" s="63"/>
      <c r="K318" s="63"/>
      <c r="L318" s="63"/>
      <c r="M318" s="63"/>
      <c r="N318" s="63"/>
      <c r="O318" s="64"/>
      <c r="P318" s="1"/>
    </row>
    <row r="319" spans="2:16" ht="12.75" customHeight="1" x14ac:dyDescent="0.15">
      <c r="B319" s="13"/>
      <c r="C319" s="13"/>
      <c r="D319" s="14"/>
      <c r="E319" s="14"/>
      <c r="F319" s="14"/>
      <c r="G319" s="63"/>
      <c r="H319" s="63"/>
      <c r="I319" s="63"/>
      <c r="J319" s="63"/>
      <c r="K319" s="63"/>
      <c r="L319" s="63"/>
      <c r="M319" s="63"/>
      <c r="N319" s="63"/>
      <c r="O319" s="64"/>
      <c r="P319" s="1"/>
    </row>
    <row r="320" spans="2:16" ht="12.75" customHeight="1" x14ac:dyDescent="0.15">
      <c r="B320" s="13"/>
      <c r="C320" s="13"/>
      <c r="D320" s="14"/>
      <c r="E320" s="14"/>
      <c r="F320" s="14"/>
      <c r="G320" s="63"/>
      <c r="H320" s="63"/>
      <c r="I320" s="63"/>
      <c r="J320" s="63"/>
      <c r="K320" s="63"/>
      <c r="L320" s="63"/>
      <c r="M320" s="63"/>
      <c r="N320" s="63"/>
      <c r="O320" s="64"/>
      <c r="P320" s="1"/>
    </row>
    <row r="321" spans="2:16" ht="12.75" customHeight="1" x14ac:dyDescent="0.15">
      <c r="B321" s="13"/>
      <c r="C321" s="13"/>
      <c r="D321" s="14"/>
      <c r="E321" s="14"/>
      <c r="F321" s="14"/>
      <c r="G321" s="63"/>
      <c r="H321" s="63"/>
      <c r="I321" s="63"/>
      <c r="J321" s="63"/>
      <c r="K321" s="63"/>
      <c r="L321" s="63"/>
      <c r="M321" s="63"/>
      <c r="N321" s="63"/>
      <c r="O321" s="64"/>
      <c r="P321" s="1"/>
    </row>
    <row r="322" spans="2:16" ht="12.75" customHeight="1" x14ac:dyDescent="0.15">
      <c r="B322" s="13"/>
      <c r="C322" s="13"/>
      <c r="D322" s="14"/>
      <c r="E322" s="14"/>
      <c r="F322" s="14"/>
      <c r="G322" s="63"/>
      <c r="H322" s="63"/>
      <c r="I322" s="63"/>
      <c r="J322" s="63"/>
      <c r="K322" s="63"/>
      <c r="L322" s="63"/>
      <c r="M322" s="63"/>
      <c r="N322" s="63"/>
      <c r="O322" s="64"/>
      <c r="P322" s="1"/>
    </row>
    <row r="323" spans="2:16" ht="12.75" customHeight="1" x14ac:dyDescent="0.15">
      <c r="B323" s="13"/>
      <c r="C323" s="13"/>
      <c r="D323" s="14"/>
      <c r="E323" s="14"/>
      <c r="F323" s="14"/>
      <c r="G323" s="63"/>
      <c r="H323" s="63"/>
      <c r="I323" s="63"/>
      <c r="J323" s="63"/>
      <c r="K323" s="63"/>
      <c r="L323" s="63"/>
      <c r="M323" s="63"/>
      <c r="N323" s="63"/>
      <c r="O323" s="64"/>
      <c r="P323" s="1"/>
    </row>
    <row r="324" spans="2:16" ht="12.75" customHeight="1" x14ac:dyDescent="0.15">
      <c r="B324" s="13"/>
      <c r="C324" s="13"/>
      <c r="D324" s="14"/>
      <c r="E324" s="14"/>
      <c r="F324" s="14"/>
      <c r="G324" s="63"/>
      <c r="H324" s="63"/>
      <c r="I324" s="63"/>
      <c r="J324" s="63"/>
      <c r="K324" s="63"/>
      <c r="L324" s="63"/>
      <c r="M324" s="63"/>
      <c r="N324" s="63"/>
      <c r="O324" s="64"/>
      <c r="P324" s="1"/>
    </row>
    <row r="325" spans="2:16" ht="12.75" customHeight="1" x14ac:dyDescent="0.15">
      <c r="B325" s="13"/>
      <c r="C325" s="13"/>
      <c r="D325" s="14"/>
      <c r="E325" s="14"/>
      <c r="F325" s="14"/>
      <c r="G325" s="63"/>
      <c r="H325" s="63"/>
      <c r="I325" s="63"/>
      <c r="J325" s="63"/>
      <c r="K325" s="63"/>
      <c r="L325" s="63"/>
      <c r="M325" s="63"/>
      <c r="N325" s="63"/>
      <c r="O325" s="64"/>
      <c r="P325" s="1"/>
    </row>
    <row r="326" spans="2:16" ht="12.75" customHeight="1" x14ac:dyDescent="0.15">
      <c r="B326" s="13"/>
      <c r="C326" s="13"/>
      <c r="D326" s="14"/>
      <c r="E326" s="14"/>
      <c r="F326" s="14"/>
      <c r="G326" s="63"/>
      <c r="H326" s="63"/>
      <c r="I326" s="63"/>
      <c r="J326" s="63"/>
      <c r="K326" s="63"/>
      <c r="L326" s="63"/>
      <c r="M326" s="63"/>
      <c r="N326" s="63"/>
      <c r="O326" s="64"/>
      <c r="P326" s="1"/>
    </row>
    <row r="327" spans="2:16" ht="12.75" customHeight="1" x14ac:dyDescent="0.15">
      <c r="B327" s="13"/>
      <c r="C327" s="13"/>
      <c r="D327" s="14"/>
      <c r="E327" s="14"/>
      <c r="F327" s="14"/>
      <c r="G327" s="63"/>
      <c r="H327" s="63"/>
      <c r="I327" s="63"/>
      <c r="J327" s="63"/>
      <c r="K327" s="63"/>
      <c r="L327" s="63"/>
      <c r="M327" s="63"/>
      <c r="N327" s="63"/>
      <c r="O327" s="64"/>
      <c r="P327" s="1"/>
    </row>
    <row r="328" spans="2:16" ht="12.75" customHeight="1" x14ac:dyDescent="0.15">
      <c r="B328" s="13"/>
      <c r="C328" s="13"/>
      <c r="D328" s="14"/>
      <c r="E328" s="14"/>
      <c r="F328" s="14"/>
      <c r="G328" s="63"/>
      <c r="H328" s="63"/>
      <c r="I328" s="63"/>
      <c r="J328" s="63"/>
      <c r="K328" s="63"/>
      <c r="L328" s="63"/>
      <c r="M328" s="63"/>
      <c r="N328" s="63"/>
      <c r="O328" s="64"/>
      <c r="P328" s="1"/>
    </row>
    <row r="329" spans="2:16" ht="12.75" customHeight="1" x14ac:dyDescent="0.15">
      <c r="B329" s="13"/>
      <c r="C329" s="13"/>
      <c r="D329" s="14"/>
      <c r="E329" s="14"/>
      <c r="F329" s="14"/>
      <c r="G329" s="63"/>
      <c r="H329" s="63"/>
      <c r="I329" s="63"/>
      <c r="J329" s="63"/>
      <c r="K329" s="63"/>
      <c r="L329" s="63"/>
      <c r="M329" s="63"/>
      <c r="N329" s="63"/>
      <c r="O329" s="64"/>
      <c r="P329" s="1"/>
    </row>
    <row r="330" spans="2:16" ht="12.75" customHeight="1" x14ac:dyDescent="0.15">
      <c r="B330" s="13"/>
      <c r="C330" s="13"/>
      <c r="D330" s="14"/>
      <c r="E330" s="14"/>
      <c r="F330" s="14"/>
      <c r="G330" s="63"/>
      <c r="H330" s="63"/>
      <c r="I330" s="63"/>
      <c r="J330" s="63"/>
      <c r="K330" s="63"/>
      <c r="L330" s="63"/>
      <c r="M330" s="63"/>
      <c r="N330" s="63"/>
      <c r="O330" s="64"/>
      <c r="P330" s="1"/>
    </row>
    <row r="331" spans="2:16" ht="12.75" customHeight="1" x14ac:dyDescent="0.15">
      <c r="B331" s="13"/>
      <c r="C331" s="13"/>
      <c r="D331" s="14"/>
      <c r="E331" s="14"/>
      <c r="F331" s="14"/>
      <c r="G331" s="63"/>
      <c r="H331" s="63"/>
      <c r="I331" s="63"/>
      <c r="J331" s="63"/>
      <c r="K331" s="63"/>
      <c r="L331" s="63"/>
      <c r="M331" s="63"/>
      <c r="N331" s="63"/>
      <c r="O331" s="64"/>
      <c r="P331" s="1"/>
    </row>
    <row r="332" spans="2:16" ht="12.75" customHeight="1" x14ac:dyDescent="0.15">
      <c r="B332" s="13"/>
      <c r="C332" s="13"/>
      <c r="D332" s="14"/>
      <c r="E332" s="14"/>
      <c r="F332" s="14"/>
      <c r="G332" s="63"/>
      <c r="H332" s="63"/>
      <c r="I332" s="63"/>
      <c r="J332" s="63"/>
      <c r="K332" s="63"/>
      <c r="L332" s="63"/>
      <c r="M332" s="63"/>
      <c r="N332" s="63"/>
      <c r="O332" s="64"/>
      <c r="P332" s="1"/>
    </row>
    <row r="333" spans="2:16" ht="12.75" customHeight="1" x14ac:dyDescent="0.15">
      <c r="B333" s="13"/>
      <c r="C333" s="13"/>
      <c r="D333" s="14"/>
      <c r="E333" s="14"/>
      <c r="F333" s="14"/>
      <c r="G333" s="63"/>
      <c r="H333" s="63"/>
      <c r="I333" s="63"/>
      <c r="J333" s="63"/>
      <c r="K333" s="63"/>
      <c r="L333" s="63"/>
      <c r="M333" s="63"/>
      <c r="N333" s="63"/>
      <c r="O333" s="64"/>
      <c r="P333" s="1"/>
    </row>
    <row r="334" spans="2:16" ht="12.75" customHeight="1" x14ac:dyDescent="0.15">
      <c r="B334" s="13"/>
      <c r="C334" s="13"/>
      <c r="D334" s="14"/>
      <c r="E334" s="14"/>
      <c r="F334" s="14"/>
      <c r="G334" s="63"/>
      <c r="H334" s="63"/>
      <c r="I334" s="63"/>
      <c r="J334" s="63"/>
      <c r="K334" s="63"/>
      <c r="L334" s="63"/>
      <c r="M334" s="63"/>
      <c r="N334" s="63"/>
      <c r="O334" s="64"/>
      <c r="P334" s="1"/>
    </row>
    <row r="335" spans="2:16" ht="12.75" customHeight="1" x14ac:dyDescent="0.15">
      <c r="B335" s="13"/>
      <c r="C335" s="13"/>
      <c r="D335" s="14"/>
      <c r="E335" s="14"/>
      <c r="F335" s="14"/>
      <c r="G335" s="63"/>
      <c r="H335" s="63"/>
      <c r="I335" s="63"/>
      <c r="J335" s="63"/>
      <c r="K335" s="63"/>
      <c r="L335" s="63"/>
      <c r="M335" s="63"/>
      <c r="N335" s="63"/>
      <c r="O335" s="64"/>
      <c r="P335" s="1"/>
    </row>
    <row r="336" spans="2:16" ht="12.75" customHeight="1" x14ac:dyDescent="0.15">
      <c r="B336" s="13"/>
      <c r="C336" s="13"/>
      <c r="D336" s="14"/>
      <c r="E336" s="14"/>
      <c r="F336" s="14"/>
      <c r="G336" s="63"/>
      <c r="H336" s="63"/>
      <c r="I336" s="63"/>
      <c r="J336" s="63"/>
      <c r="K336" s="63"/>
      <c r="L336" s="63"/>
      <c r="M336" s="63"/>
      <c r="N336" s="63"/>
      <c r="O336" s="64"/>
      <c r="P336" s="1"/>
    </row>
    <row r="337" spans="2:16" ht="12.75" customHeight="1" x14ac:dyDescent="0.15">
      <c r="B337" s="13"/>
      <c r="C337" s="13"/>
      <c r="D337" s="14"/>
      <c r="E337" s="14"/>
      <c r="F337" s="14"/>
      <c r="G337" s="63"/>
      <c r="H337" s="63"/>
      <c r="I337" s="63"/>
      <c r="J337" s="63"/>
      <c r="K337" s="63"/>
      <c r="L337" s="63"/>
      <c r="M337" s="63"/>
      <c r="N337" s="63"/>
      <c r="O337" s="64"/>
      <c r="P337" s="1"/>
    </row>
    <row r="338" spans="2:16" ht="12.75" customHeight="1" x14ac:dyDescent="0.15">
      <c r="B338" s="13"/>
      <c r="C338" s="13"/>
      <c r="D338" s="14"/>
      <c r="E338" s="14"/>
      <c r="F338" s="14"/>
      <c r="G338" s="63"/>
      <c r="H338" s="63"/>
      <c r="I338" s="63"/>
      <c r="J338" s="63"/>
      <c r="K338" s="63"/>
      <c r="L338" s="63"/>
      <c r="M338" s="63"/>
      <c r="N338" s="63"/>
      <c r="O338" s="64"/>
      <c r="P338" s="1"/>
    </row>
    <row r="339" spans="2:16" ht="12.75" customHeight="1" x14ac:dyDescent="0.15">
      <c r="B339" s="13"/>
      <c r="C339" s="13"/>
      <c r="D339" s="14"/>
      <c r="E339" s="14"/>
      <c r="F339" s="14"/>
      <c r="G339" s="63"/>
      <c r="H339" s="63"/>
      <c r="I339" s="63"/>
      <c r="J339" s="63"/>
      <c r="K339" s="63"/>
      <c r="L339" s="63"/>
      <c r="M339" s="63"/>
      <c r="N339" s="63"/>
      <c r="O339" s="64"/>
      <c r="P339" s="1"/>
    </row>
    <row r="340" spans="2:16" ht="12.75" customHeight="1" x14ac:dyDescent="0.15">
      <c r="B340" s="13"/>
      <c r="C340" s="13"/>
      <c r="D340" s="14"/>
      <c r="E340" s="14"/>
      <c r="F340" s="14"/>
      <c r="G340" s="63"/>
      <c r="H340" s="63"/>
      <c r="I340" s="63"/>
      <c r="J340" s="63"/>
      <c r="K340" s="63"/>
      <c r="L340" s="63"/>
      <c r="M340" s="63"/>
      <c r="N340" s="63"/>
      <c r="O340" s="64"/>
      <c r="P340" s="1"/>
    </row>
    <row r="341" spans="2:16" ht="12.75" customHeight="1" x14ac:dyDescent="0.15">
      <c r="B341" s="13"/>
      <c r="C341" s="13"/>
      <c r="D341" s="14"/>
      <c r="E341" s="14"/>
      <c r="F341" s="14"/>
      <c r="G341" s="63"/>
      <c r="H341" s="63"/>
      <c r="I341" s="63"/>
      <c r="J341" s="63"/>
      <c r="K341" s="63"/>
      <c r="L341" s="63"/>
      <c r="M341" s="63"/>
      <c r="N341" s="63"/>
      <c r="O341" s="64"/>
      <c r="P341" s="1"/>
    </row>
    <row r="342" spans="2:16" ht="12.75" customHeight="1" x14ac:dyDescent="0.15">
      <c r="B342" s="13"/>
      <c r="C342" s="13"/>
      <c r="D342" s="14"/>
      <c r="E342" s="14"/>
      <c r="F342" s="14"/>
      <c r="G342" s="63"/>
      <c r="H342" s="63"/>
      <c r="I342" s="63"/>
      <c r="J342" s="63"/>
      <c r="K342" s="63"/>
      <c r="L342" s="63"/>
      <c r="M342" s="63"/>
      <c r="N342" s="63"/>
      <c r="O342" s="64"/>
      <c r="P342" s="1"/>
    </row>
    <row r="343" spans="2:16" ht="12.75" customHeight="1" x14ac:dyDescent="0.15">
      <c r="B343" s="13"/>
      <c r="C343" s="13"/>
      <c r="D343" s="14"/>
      <c r="E343" s="14"/>
      <c r="F343" s="14"/>
      <c r="G343" s="63"/>
      <c r="H343" s="63"/>
      <c r="I343" s="63"/>
      <c r="J343" s="63"/>
      <c r="K343" s="63"/>
      <c r="L343" s="63"/>
      <c r="M343" s="63"/>
      <c r="N343" s="63"/>
      <c r="O343" s="64"/>
      <c r="P343" s="1"/>
    </row>
    <row r="344" spans="2:16" ht="12.75" customHeight="1" x14ac:dyDescent="0.15">
      <c r="B344" s="13"/>
      <c r="C344" s="13"/>
      <c r="D344" s="14"/>
      <c r="E344" s="14"/>
      <c r="F344" s="14"/>
      <c r="G344" s="63"/>
      <c r="H344" s="63"/>
      <c r="I344" s="63"/>
      <c r="J344" s="63"/>
      <c r="K344" s="63"/>
      <c r="L344" s="63"/>
      <c r="M344" s="63"/>
      <c r="N344" s="63"/>
      <c r="O344" s="64"/>
      <c r="P344" s="1"/>
    </row>
    <row r="345" spans="2:16" ht="12.75" customHeight="1" x14ac:dyDescent="0.15">
      <c r="B345" s="13"/>
      <c r="C345" s="13"/>
      <c r="D345" s="14"/>
      <c r="E345" s="14"/>
      <c r="F345" s="14"/>
      <c r="G345" s="63"/>
      <c r="H345" s="63"/>
      <c r="I345" s="63"/>
      <c r="J345" s="63"/>
      <c r="K345" s="63"/>
      <c r="L345" s="63"/>
      <c r="M345" s="63"/>
      <c r="N345" s="63"/>
      <c r="O345" s="64"/>
      <c r="P345" s="1"/>
    </row>
    <row r="346" spans="2:16" ht="12.75" customHeight="1" x14ac:dyDescent="0.15">
      <c r="B346" s="13"/>
      <c r="C346" s="13"/>
      <c r="D346" s="14"/>
      <c r="E346" s="14"/>
      <c r="F346" s="14"/>
      <c r="G346" s="63"/>
      <c r="H346" s="63"/>
      <c r="I346" s="63"/>
      <c r="J346" s="63"/>
      <c r="K346" s="63"/>
      <c r="L346" s="63"/>
      <c r="M346" s="63"/>
      <c r="N346" s="63"/>
      <c r="O346" s="64"/>
      <c r="P346" s="1"/>
    </row>
    <row r="347" spans="2:16" ht="12.75" customHeight="1" x14ac:dyDescent="0.15">
      <c r="B347" s="13"/>
      <c r="C347" s="13"/>
      <c r="D347" s="14"/>
      <c r="E347" s="14"/>
      <c r="F347" s="14"/>
      <c r="G347" s="63"/>
      <c r="H347" s="63"/>
      <c r="I347" s="63"/>
      <c r="J347" s="63"/>
      <c r="K347" s="63"/>
      <c r="L347" s="63"/>
      <c r="M347" s="63"/>
      <c r="N347" s="63"/>
      <c r="O347" s="64"/>
      <c r="P347" s="1"/>
    </row>
    <row r="348" spans="2:16" ht="12.75" customHeight="1" x14ac:dyDescent="0.15">
      <c r="B348" s="13"/>
      <c r="C348" s="13"/>
      <c r="D348" s="14"/>
      <c r="E348" s="14"/>
      <c r="F348" s="14"/>
      <c r="G348" s="63"/>
      <c r="H348" s="63"/>
      <c r="I348" s="63"/>
      <c r="J348" s="63"/>
      <c r="K348" s="63"/>
      <c r="L348" s="63"/>
      <c r="M348" s="63"/>
      <c r="N348" s="63"/>
      <c r="O348" s="64"/>
      <c r="P348" s="1"/>
    </row>
    <row r="349" spans="2:16" ht="12.75" customHeight="1" x14ac:dyDescent="0.15">
      <c r="B349" s="13"/>
      <c r="C349" s="13"/>
      <c r="D349" s="14"/>
      <c r="E349" s="14"/>
      <c r="F349" s="14"/>
      <c r="G349" s="63"/>
      <c r="H349" s="63"/>
      <c r="I349" s="63"/>
      <c r="J349" s="63"/>
      <c r="K349" s="63"/>
      <c r="L349" s="63"/>
      <c r="M349" s="63"/>
      <c r="N349" s="63"/>
      <c r="O349" s="64"/>
      <c r="P349" s="1"/>
    </row>
    <row r="350" spans="2:16" ht="12.75" customHeight="1" x14ac:dyDescent="0.15">
      <c r="B350" s="13"/>
      <c r="C350" s="13"/>
      <c r="D350" s="14"/>
      <c r="E350" s="14"/>
      <c r="F350" s="14"/>
      <c r="G350" s="63"/>
      <c r="H350" s="63"/>
      <c r="I350" s="63"/>
      <c r="J350" s="63"/>
      <c r="K350" s="63"/>
      <c r="L350" s="63"/>
      <c r="M350" s="63"/>
      <c r="N350" s="63"/>
      <c r="O350" s="64"/>
      <c r="P350" s="1"/>
    </row>
    <row r="351" spans="2:16" ht="12.75" customHeight="1" x14ac:dyDescent="0.15">
      <c r="B351" s="13"/>
      <c r="C351" s="13"/>
      <c r="D351" s="14"/>
      <c r="E351" s="14"/>
      <c r="F351" s="14"/>
      <c r="G351" s="63"/>
      <c r="H351" s="63"/>
      <c r="I351" s="63"/>
      <c r="J351" s="63"/>
      <c r="K351" s="63"/>
      <c r="L351" s="63"/>
      <c r="M351" s="63"/>
      <c r="N351" s="63"/>
      <c r="O351" s="64"/>
      <c r="P351" s="1"/>
    </row>
    <row r="352" spans="2:16" ht="12.75" customHeight="1" x14ac:dyDescent="0.15">
      <c r="B352" s="13"/>
      <c r="C352" s="13"/>
      <c r="D352" s="14"/>
      <c r="E352" s="14"/>
      <c r="F352" s="14"/>
      <c r="G352" s="63"/>
      <c r="H352" s="63"/>
      <c r="I352" s="63"/>
      <c r="J352" s="63"/>
      <c r="K352" s="63"/>
      <c r="L352" s="63"/>
      <c r="M352" s="63"/>
      <c r="N352" s="63"/>
      <c r="O352" s="64"/>
      <c r="P352" s="1"/>
    </row>
    <row r="353" spans="2:16" ht="12.75" customHeight="1" x14ac:dyDescent="0.15">
      <c r="B353" s="13"/>
      <c r="C353" s="13"/>
      <c r="D353" s="14"/>
      <c r="E353" s="14"/>
      <c r="F353" s="14"/>
      <c r="G353" s="63"/>
      <c r="H353" s="63"/>
      <c r="I353" s="63"/>
      <c r="J353" s="63"/>
      <c r="K353" s="63"/>
      <c r="L353" s="63"/>
      <c r="M353" s="63"/>
      <c r="N353" s="63"/>
      <c r="O353" s="64"/>
      <c r="P353" s="1"/>
    </row>
    <row r="354" spans="2:16" ht="12.75" customHeight="1" x14ac:dyDescent="0.15">
      <c r="B354" s="13"/>
      <c r="C354" s="13"/>
      <c r="D354" s="14"/>
      <c r="E354" s="14"/>
      <c r="F354" s="14"/>
      <c r="G354" s="63"/>
      <c r="H354" s="63"/>
      <c r="I354" s="63"/>
      <c r="J354" s="63"/>
      <c r="K354" s="63"/>
      <c r="L354" s="63"/>
      <c r="M354" s="63"/>
      <c r="N354" s="63"/>
      <c r="O354" s="64"/>
      <c r="P354" s="1"/>
    </row>
    <row r="355" spans="2:16" ht="12.75" customHeight="1" x14ac:dyDescent="0.15">
      <c r="B355" s="13"/>
      <c r="C355" s="13"/>
      <c r="D355" s="14"/>
      <c r="E355" s="14"/>
      <c r="F355" s="14"/>
      <c r="G355" s="63"/>
      <c r="H355" s="63"/>
      <c r="I355" s="63"/>
      <c r="J355" s="63"/>
      <c r="K355" s="63"/>
      <c r="L355" s="63"/>
      <c r="M355" s="63"/>
      <c r="N355" s="63"/>
      <c r="O355" s="64"/>
      <c r="P355" s="1"/>
    </row>
    <row r="356" spans="2:16" ht="12.75" customHeight="1" x14ac:dyDescent="0.15">
      <c r="B356" s="13"/>
      <c r="C356" s="13"/>
      <c r="D356" s="14"/>
      <c r="E356" s="14"/>
      <c r="F356" s="14"/>
      <c r="G356" s="63"/>
      <c r="H356" s="63"/>
      <c r="I356" s="63"/>
      <c r="J356" s="63"/>
      <c r="K356" s="63"/>
      <c r="L356" s="63"/>
      <c r="M356" s="63"/>
      <c r="N356" s="63"/>
      <c r="O356" s="64"/>
      <c r="P356" s="1"/>
    </row>
    <row r="357" spans="2:16" ht="12.75" customHeight="1" x14ac:dyDescent="0.15">
      <c r="B357" s="13"/>
      <c r="C357" s="13"/>
      <c r="D357" s="14"/>
      <c r="E357" s="14"/>
      <c r="F357" s="14"/>
      <c r="G357" s="63"/>
      <c r="H357" s="63"/>
      <c r="I357" s="63"/>
      <c r="J357" s="63"/>
      <c r="K357" s="63"/>
      <c r="L357" s="63"/>
      <c r="M357" s="63"/>
      <c r="N357" s="63"/>
      <c r="O357" s="64"/>
      <c r="P357" s="1"/>
    </row>
    <row r="358" spans="2:16" ht="12.75" customHeight="1" x14ac:dyDescent="0.15">
      <c r="B358" s="13"/>
      <c r="C358" s="13"/>
      <c r="D358" s="14"/>
      <c r="E358" s="14"/>
      <c r="F358" s="14"/>
      <c r="G358" s="63"/>
      <c r="H358" s="63"/>
      <c r="I358" s="63"/>
      <c r="J358" s="63"/>
      <c r="K358" s="63"/>
      <c r="L358" s="63"/>
      <c r="M358" s="63"/>
      <c r="N358" s="63"/>
      <c r="O358" s="64"/>
      <c r="P358" s="1"/>
    </row>
    <row r="359" spans="2:16" ht="12.75" customHeight="1" x14ac:dyDescent="0.15">
      <c r="B359" s="13"/>
      <c r="C359" s="13"/>
      <c r="D359" s="14"/>
      <c r="E359" s="14"/>
      <c r="F359" s="14"/>
      <c r="G359" s="63"/>
      <c r="H359" s="63"/>
      <c r="I359" s="63"/>
      <c r="J359" s="63"/>
      <c r="K359" s="63"/>
      <c r="L359" s="63"/>
      <c r="M359" s="63"/>
      <c r="N359" s="63"/>
      <c r="O359" s="64"/>
      <c r="P359" s="1"/>
    </row>
    <row r="360" spans="2:16" ht="12.75" customHeight="1" x14ac:dyDescent="0.15">
      <c r="B360" s="13"/>
      <c r="C360" s="13"/>
      <c r="D360" s="14"/>
      <c r="E360" s="14"/>
      <c r="F360" s="14"/>
      <c r="G360" s="63"/>
      <c r="H360" s="63"/>
      <c r="I360" s="63"/>
      <c r="J360" s="63"/>
      <c r="K360" s="63"/>
      <c r="L360" s="63"/>
      <c r="M360" s="63"/>
      <c r="N360" s="63"/>
      <c r="O360" s="64"/>
      <c r="P360" s="1"/>
    </row>
    <row r="361" spans="2:16" ht="12.75" customHeight="1" x14ac:dyDescent="0.15">
      <c r="B361" s="13"/>
      <c r="C361" s="13"/>
      <c r="D361" s="14"/>
      <c r="E361" s="14"/>
      <c r="F361" s="14"/>
      <c r="G361" s="63"/>
      <c r="H361" s="63"/>
      <c r="I361" s="63"/>
      <c r="J361" s="63"/>
      <c r="K361" s="63"/>
      <c r="L361" s="63"/>
      <c r="M361" s="63"/>
      <c r="N361" s="63"/>
      <c r="O361" s="64"/>
      <c r="P361" s="1"/>
    </row>
    <row r="362" spans="2:16" ht="12.75" customHeight="1" x14ac:dyDescent="0.15">
      <c r="B362" s="13"/>
      <c r="C362" s="13"/>
      <c r="D362" s="14"/>
      <c r="E362" s="14"/>
      <c r="F362" s="14"/>
      <c r="G362" s="63"/>
      <c r="H362" s="63"/>
      <c r="I362" s="63"/>
      <c r="J362" s="63"/>
      <c r="K362" s="63"/>
      <c r="L362" s="63"/>
      <c r="M362" s="63"/>
      <c r="N362" s="63"/>
      <c r="O362" s="64"/>
      <c r="P362" s="1"/>
    </row>
    <row r="363" spans="2:16" ht="12.75" customHeight="1" x14ac:dyDescent="0.15">
      <c r="B363" s="13"/>
      <c r="C363" s="13"/>
      <c r="D363" s="14"/>
      <c r="E363" s="14"/>
      <c r="F363" s="14"/>
      <c r="G363" s="63"/>
      <c r="H363" s="63"/>
      <c r="I363" s="63"/>
      <c r="J363" s="63"/>
      <c r="K363" s="63"/>
      <c r="L363" s="63"/>
      <c r="M363" s="63"/>
      <c r="N363" s="63"/>
      <c r="O363" s="64"/>
      <c r="P363" s="1"/>
    </row>
    <row r="364" spans="2:16" ht="12.75" customHeight="1" x14ac:dyDescent="0.15">
      <c r="B364" s="13"/>
      <c r="C364" s="13"/>
      <c r="D364" s="14"/>
      <c r="E364" s="14"/>
      <c r="F364" s="14"/>
      <c r="G364" s="63"/>
      <c r="H364" s="63"/>
      <c r="I364" s="63"/>
      <c r="J364" s="63"/>
      <c r="K364" s="63"/>
      <c r="L364" s="63"/>
      <c r="M364" s="63"/>
      <c r="N364" s="63"/>
      <c r="O364" s="64"/>
      <c r="P364" s="1"/>
    </row>
    <row r="365" spans="2:16" ht="12.75" customHeight="1" x14ac:dyDescent="0.15">
      <c r="B365" s="13"/>
      <c r="C365" s="13"/>
      <c r="D365" s="14"/>
      <c r="E365" s="14"/>
      <c r="F365" s="14"/>
      <c r="G365" s="63"/>
      <c r="H365" s="63"/>
      <c r="I365" s="63"/>
      <c r="J365" s="63"/>
      <c r="K365" s="63"/>
      <c r="L365" s="63"/>
      <c r="M365" s="63"/>
      <c r="N365" s="63"/>
      <c r="O365" s="64"/>
      <c r="P365" s="1"/>
    </row>
    <row r="366" spans="2:16" ht="12.75" customHeight="1" x14ac:dyDescent="0.15">
      <c r="B366" s="13"/>
      <c r="C366" s="13"/>
      <c r="D366" s="14"/>
      <c r="E366" s="14"/>
      <c r="F366" s="14"/>
      <c r="G366" s="63"/>
      <c r="H366" s="63"/>
      <c r="I366" s="63"/>
      <c r="J366" s="63"/>
      <c r="K366" s="63"/>
      <c r="L366" s="63"/>
      <c r="M366" s="63"/>
      <c r="N366" s="63"/>
      <c r="O366" s="64"/>
      <c r="P366" s="1"/>
    </row>
    <row r="367" spans="2:16" ht="12.75" customHeight="1" x14ac:dyDescent="0.15">
      <c r="B367" s="13"/>
      <c r="C367" s="13"/>
      <c r="D367" s="14"/>
      <c r="E367" s="14"/>
      <c r="F367" s="14"/>
      <c r="G367" s="63"/>
      <c r="H367" s="63"/>
      <c r="I367" s="63"/>
      <c r="J367" s="63"/>
      <c r="K367" s="63"/>
      <c r="L367" s="63"/>
      <c r="M367" s="63"/>
      <c r="N367" s="63"/>
      <c r="O367" s="64"/>
      <c r="P367" s="1"/>
    </row>
    <row r="368" spans="2:16" ht="12.75" customHeight="1" x14ac:dyDescent="0.15">
      <c r="B368" s="13"/>
      <c r="C368" s="13"/>
      <c r="D368" s="14"/>
      <c r="E368" s="14"/>
      <c r="F368" s="14"/>
      <c r="G368" s="63"/>
      <c r="H368" s="63"/>
      <c r="I368" s="63"/>
      <c r="J368" s="63"/>
      <c r="K368" s="63"/>
      <c r="L368" s="63"/>
      <c r="M368" s="63"/>
      <c r="N368" s="63"/>
      <c r="O368" s="64"/>
      <c r="P368" s="1"/>
    </row>
    <row r="369" spans="2:16" ht="12.75" customHeight="1" x14ac:dyDescent="0.15">
      <c r="B369" s="13"/>
      <c r="C369" s="13"/>
      <c r="D369" s="14"/>
      <c r="E369" s="14"/>
      <c r="F369" s="14"/>
      <c r="G369" s="63"/>
      <c r="H369" s="63"/>
      <c r="I369" s="63"/>
      <c r="J369" s="63"/>
      <c r="K369" s="63"/>
      <c r="L369" s="63"/>
      <c r="M369" s="63"/>
      <c r="N369" s="63"/>
      <c r="O369" s="64"/>
      <c r="P369" s="1"/>
    </row>
    <row r="370" spans="2:16" ht="12.75" customHeight="1" x14ac:dyDescent="0.15">
      <c r="B370" s="13"/>
      <c r="C370" s="13"/>
      <c r="D370" s="14"/>
      <c r="E370" s="14"/>
      <c r="F370" s="14"/>
      <c r="G370" s="63"/>
      <c r="H370" s="63"/>
      <c r="I370" s="63"/>
      <c r="J370" s="63"/>
      <c r="K370" s="63"/>
      <c r="L370" s="63"/>
      <c r="M370" s="63"/>
      <c r="N370" s="63"/>
      <c r="O370" s="64"/>
      <c r="P370" s="1"/>
    </row>
    <row r="371" spans="2:16" ht="12.75" customHeight="1" x14ac:dyDescent="0.15">
      <c r="B371" s="13"/>
      <c r="C371" s="13"/>
      <c r="D371" s="14"/>
      <c r="E371" s="14"/>
      <c r="F371" s="14"/>
      <c r="G371" s="63"/>
      <c r="H371" s="63"/>
      <c r="I371" s="63"/>
      <c r="J371" s="63"/>
      <c r="K371" s="63"/>
      <c r="L371" s="63"/>
      <c r="M371" s="63"/>
      <c r="N371" s="63"/>
      <c r="O371" s="64"/>
      <c r="P371" s="1"/>
    </row>
    <row r="372" spans="2:16" ht="12.75" customHeight="1" x14ac:dyDescent="0.15">
      <c r="B372" s="13"/>
      <c r="C372" s="13"/>
      <c r="D372" s="14"/>
      <c r="E372" s="14"/>
      <c r="F372" s="14"/>
      <c r="G372" s="63"/>
      <c r="H372" s="63"/>
      <c r="I372" s="63"/>
      <c r="J372" s="63"/>
      <c r="K372" s="63"/>
      <c r="L372" s="63"/>
      <c r="M372" s="63"/>
      <c r="N372" s="63"/>
      <c r="O372" s="64"/>
      <c r="P372" s="1"/>
    </row>
    <row r="373" spans="2:16" ht="12.75" customHeight="1" x14ac:dyDescent="0.15">
      <c r="B373" s="13"/>
      <c r="C373" s="13"/>
      <c r="D373" s="14"/>
      <c r="E373" s="14"/>
      <c r="F373" s="14"/>
      <c r="G373" s="63"/>
      <c r="H373" s="63"/>
      <c r="I373" s="63"/>
      <c r="J373" s="63"/>
      <c r="K373" s="63"/>
      <c r="L373" s="63"/>
      <c r="M373" s="63"/>
      <c r="N373" s="63"/>
      <c r="O373" s="64"/>
      <c r="P373" s="1"/>
    </row>
    <row r="374" spans="2:16" ht="12.75" customHeight="1" x14ac:dyDescent="0.15">
      <c r="B374" s="13"/>
      <c r="C374" s="13"/>
      <c r="D374" s="14"/>
      <c r="E374" s="14"/>
      <c r="F374" s="14"/>
      <c r="G374" s="63"/>
      <c r="H374" s="63"/>
      <c r="I374" s="63"/>
      <c r="J374" s="63"/>
      <c r="K374" s="63"/>
      <c r="L374" s="63"/>
      <c r="M374" s="63"/>
      <c r="N374" s="63"/>
      <c r="O374" s="64"/>
      <c r="P374" s="1"/>
    </row>
    <row r="375" spans="2:16" ht="12.75" customHeight="1" x14ac:dyDescent="0.15">
      <c r="B375" s="13"/>
      <c r="C375" s="13"/>
      <c r="D375" s="14"/>
      <c r="E375" s="14"/>
      <c r="F375" s="14"/>
      <c r="G375" s="63"/>
      <c r="H375" s="63"/>
      <c r="I375" s="63"/>
      <c r="J375" s="63"/>
      <c r="K375" s="63"/>
      <c r="L375" s="63"/>
      <c r="M375" s="63"/>
      <c r="N375" s="63"/>
      <c r="O375" s="64"/>
      <c r="P375" s="1"/>
    </row>
    <row r="376" spans="2:16" ht="12.75" customHeight="1" x14ac:dyDescent="0.15">
      <c r="B376" s="13"/>
      <c r="C376" s="13"/>
      <c r="D376" s="14"/>
      <c r="E376" s="14"/>
      <c r="F376" s="14"/>
      <c r="G376" s="63"/>
      <c r="H376" s="63"/>
      <c r="I376" s="63"/>
      <c r="J376" s="63"/>
      <c r="K376" s="63"/>
      <c r="L376" s="63"/>
      <c r="M376" s="63"/>
      <c r="N376" s="63"/>
      <c r="O376" s="64"/>
      <c r="P376" s="1"/>
    </row>
    <row r="377" spans="2:16" ht="12.75" customHeight="1" x14ac:dyDescent="0.15">
      <c r="B377" s="13"/>
      <c r="C377" s="13"/>
      <c r="D377" s="14"/>
      <c r="E377" s="14"/>
      <c r="F377" s="14"/>
      <c r="G377" s="63"/>
      <c r="H377" s="63"/>
      <c r="I377" s="63"/>
      <c r="J377" s="63"/>
      <c r="K377" s="63"/>
      <c r="L377" s="63"/>
      <c r="M377" s="63"/>
      <c r="N377" s="63"/>
      <c r="O377" s="64"/>
      <c r="P377" s="1"/>
    </row>
    <row r="378" spans="2:16" ht="12.75" customHeight="1" x14ac:dyDescent="0.15">
      <c r="B378" s="13"/>
      <c r="C378" s="13"/>
      <c r="D378" s="14"/>
      <c r="E378" s="14"/>
      <c r="F378" s="14"/>
      <c r="G378" s="63"/>
      <c r="H378" s="63"/>
      <c r="I378" s="63"/>
      <c r="J378" s="63"/>
      <c r="K378" s="63"/>
      <c r="L378" s="63"/>
      <c r="M378" s="63"/>
      <c r="N378" s="63"/>
      <c r="O378" s="64"/>
      <c r="P378" s="1"/>
    </row>
    <row r="379" spans="2:16" ht="12.75" customHeight="1" x14ac:dyDescent="0.15">
      <c r="B379" s="13"/>
      <c r="C379" s="13"/>
      <c r="D379" s="14"/>
      <c r="E379" s="14"/>
      <c r="F379" s="14"/>
      <c r="G379" s="63"/>
      <c r="H379" s="63"/>
      <c r="I379" s="63"/>
      <c r="J379" s="63"/>
      <c r="K379" s="63"/>
      <c r="L379" s="63"/>
      <c r="M379" s="63"/>
      <c r="N379" s="63"/>
      <c r="O379" s="64"/>
      <c r="P379" s="1"/>
    </row>
    <row r="380" spans="2:16" ht="12.75" customHeight="1" x14ac:dyDescent="0.15">
      <c r="B380" s="13"/>
      <c r="C380" s="13"/>
      <c r="D380" s="14"/>
      <c r="E380" s="14"/>
      <c r="F380" s="14"/>
      <c r="G380" s="63"/>
      <c r="H380" s="63"/>
      <c r="I380" s="63"/>
      <c r="J380" s="63"/>
      <c r="K380" s="63"/>
      <c r="L380" s="63"/>
      <c r="M380" s="63"/>
      <c r="N380" s="63"/>
      <c r="O380" s="64"/>
      <c r="P380" s="1"/>
    </row>
    <row r="381" spans="2:16" ht="12.75" customHeight="1" x14ac:dyDescent="0.15">
      <c r="B381" s="13"/>
      <c r="C381" s="13"/>
      <c r="D381" s="14"/>
      <c r="E381" s="14"/>
      <c r="F381" s="14"/>
      <c r="G381" s="63"/>
      <c r="H381" s="63"/>
      <c r="I381" s="63"/>
      <c r="J381" s="63"/>
      <c r="K381" s="63"/>
      <c r="L381" s="63"/>
      <c r="M381" s="63"/>
      <c r="N381" s="63"/>
      <c r="O381" s="64"/>
      <c r="P381" s="1"/>
    </row>
    <row r="382" spans="2:16" ht="12.75" customHeight="1" x14ac:dyDescent="0.15">
      <c r="B382" s="13"/>
      <c r="C382" s="13"/>
      <c r="D382" s="14"/>
      <c r="E382" s="14"/>
      <c r="F382" s="14"/>
      <c r="G382" s="63"/>
      <c r="H382" s="63"/>
      <c r="I382" s="63"/>
      <c r="J382" s="63"/>
      <c r="K382" s="63"/>
      <c r="L382" s="63"/>
      <c r="M382" s="63"/>
      <c r="N382" s="63"/>
      <c r="O382" s="64"/>
      <c r="P382" s="1"/>
    </row>
    <row r="383" spans="2:16" ht="12.75" customHeight="1" x14ac:dyDescent="0.15">
      <c r="B383" s="13"/>
      <c r="C383" s="13"/>
      <c r="D383" s="14"/>
      <c r="E383" s="14"/>
      <c r="F383" s="14"/>
      <c r="G383" s="63"/>
      <c r="H383" s="63"/>
      <c r="I383" s="63"/>
      <c r="J383" s="63"/>
      <c r="K383" s="63"/>
      <c r="L383" s="63"/>
      <c r="M383" s="63"/>
      <c r="N383" s="63"/>
      <c r="O383" s="64"/>
      <c r="P383" s="1"/>
    </row>
    <row r="384" spans="2:16" ht="12.75" customHeight="1" x14ac:dyDescent="0.15">
      <c r="B384" s="13"/>
      <c r="C384" s="13"/>
      <c r="D384" s="14"/>
      <c r="E384" s="14"/>
      <c r="F384" s="14"/>
      <c r="G384" s="63"/>
      <c r="H384" s="63"/>
      <c r="I384" s="63"/>
      <c r="J384" s="63"/>
      <c r="K384" s="63"/>
      <c r="L384" s="63"/>
      <c r="M384" s="63"/>
      <c r="N384" s="63"/>
      <c r="O384" s="64"/>
      <c r="P384" s="1"/>
    </row>
    <row r="385" spans="2:16" ht="12.75" customHeight="1" x14ac:dyDescent="0.15">
      <c r="B385" s="13"/>
      <c r="C385" s="13"/>
      <c r="D385" s="14"/>
      <c r="E385" s="14"/>
      <c r="F385" s="14"/>
      <c r="G385" s="63"/>
      <c r="H385" s="63"/>
      <c r="I385" s="63"/>
      <c r="J385" s="63"/>
      <c r="K385" s="63"/>
      <c r="L385" s="63"/>
      <c r="M385" s="63"/>
      <c r="N385" s="63"/>
      <c r="O385" s="64"/>
      <c r="P385" s="1"/>
    </row>
    <row r="386" spans="2:16" ht="12.75" customHeight="1" x14ac:dyDescent="0.15">
      <c r="B386" s="13"/>
      <c r="C386" s="13"/>
      <c r="D386" s="14"/>
      <c r="E386" s="14"/>
      <c r="F386" s="14"/>
      <c r="G386" s="63"/>
      <c r="H386" s="63"/>
      <c r="I386" s="63"/>
      <c r="J386" s="63"/>
      <c r="K386" s="63"/>
      <c r="L386" s="63"/>
      <c r="M386" s="63"/>
      <c r="N386" s="63"/>
      <c r="O386" s="64"/>
      <c r="P386" s="1"/>
    </row>
    <row r="387" spans="2:16" ht="12.75" customHeight="1" x14ac:dyDescent="0.15">
      <c r="B387" s="13"/>
      <c r="C387" s="13"/>
      <c r="D387" s="14"/>
      <c r="E387" s="14"/>
      <c r="F387" s="14"/>
      <c r="G387" s="63"/>
      <c r="H387" s="63"/>
      <c r="I387" s="63"/>
      <c r="J387" s="63"/>
      <c r="K387" s="63"/>
      <c r="L387" s="63"/>
      <c r="M387" s="63"/>
      <c r="N387" s="63"/>
      <c r="O387" s="64"/>
      <c r="P387" s="1"/>
    </row>
    <row r="388" spans="2:16" ht="12.75" customHeight="1" x14ac:dyDescent="0.15">
      <c r="B388" s="13"/>
      <c r="C388" s="13"/>
      <c r="D388" s="14"/>
      <c r="E388" s="14"/>
      <c r="F388" s="14"/>
      <c r="G388" s="63"/>
      <c r="H388" s="63"/>
      <c r="I388" s="63"/>
      <c r="J388" s="63"/>
      <c r="K388" s="63"/>
      <c r="L388" s="63"/>
      <c r="M388" s="63"/>
      <c r="N388" s="63"/>
      <c r="O388" s="64"/>
      <c r="P388" s="1"/>
    </row>
    <row r="389" spans="2:16" ht="12.75" customHeight="1" x14ac:dyDescent="0.15">
      <c r="B389" s="13"/>
      <c r="C389" s="13"/>
      <c r="D389" s="14"/>
      <c r="E389" s="14"/>
      <c r="F389" s="14"/>
      <c r="G389" s="63"/>
      <c r="H389" s="63"/>
      <c r="I389" s="63"/>
      <c r="J389" s="63"/>
      <c r="K389" s="63"/>
      <c r="L389" s="63"/>
      <c r="M389" s="63"/>
      <c r="N389" s="63"/>
      <c r="O389" s="64"/>
      <c r="P389" s="1"/>
    </row>
    <row r="390" spans="2:16" ht="12.75" customHeight="1" x14ac:dyDescent="0.15">
      <c r="B390" s="13"/>
      <c r="C390" s="13"/>
      <c r="D390" s="14"/>
      <c r="E390" s="14"/>
      <c r="F390" s="14"/>
      <c r="G390" s="63"/>
      <c r="H390" s="63"/>
      <c r="I390" s="63"/>
      <c r="J390" s="63"/>
      <c r="K390" s="63"/>
      <c r="L390" s="63"/>
      <c r="M390" s="63"/>
      <c r="N390" s="63"/>
      <c r="O390" s="64"/>
      <c r="P390" s="1"/>
    </row>
    <row r="391" spans="2:16" ht="12.75" customHeight="1" x14ac:dyDescent="0.15">
      <c r="B391" s="13"/>
      <c r="C391" s="13"/>
      <c r="D391" s="14"/>
      <c r="E391" s="14"/>
      <c r="F391" s="14"/>
      <c r="G391" s="63"/>
      <c r="H391" s="63"/>
      <c r="I391" s="63"/>
      <c r="J391" s="63"/>
      <c r="K391" s="63"/>
      <c r="L391" s="63"/>
      <c r="M391" s="63"/>
      <c r="N391" s="63"/>
      <c r="O391" s="64"/>
      <c r="P391" s="1"/>
    </row>
    <row r="392" spans="2:16" ht="12.75" customHeight="1" x14ac:dyDescent="0.15">
      <c r="B392" s="13"/>
      <c r="C392" s="13"/>
      <c r="D392" s="14"/>
      <c r="E392" s="14"/>
      <c r="F392" s="14"/>
      <c r="G392" s="63"/>
      <c r="H392" s="63"/>
      <c r="I392" s="63"/>
      <c r="J392" s="63"/>
      <c r="K392" s="63"/>
      <c r="L392" s="63"/>
      <c r="M392" s="63"/>
      <c r="N392" s="63"/>
      <c r="O392" s="64"/>
      <c r="P392" s="1"/>
    </row>
    <row r="393" spans="2:16" ht="12.75" customHeight="1" x14ac:dyDescent="0.15">
      <c r="B393" s="13"/>
      <c r="C393" s="13"/>
      <c r="D393" s="14"/>
      <c r="E393" s="14"/>
      <c r="F393" s="14"/>
      <c r="G393" s="63"/>
      <c r="H393" s="63"/>
      <c r="I393" s="63"/>
      <c r="J393" s="63"/>
      <c r="K393" s="63"/>
      <c r="L393" s="63"/>
      <c r="M393" s="63"/>
      <c r="N393" s="63"/>
      <c r="O393" s="64"/>
      <c r="P393" s="1"/>
    </row>
    <row r="394" spans="2:16" ht="12.75" customHeight="1" x14ac:dyDescent="0.15">
      <c r="B394" s="13"/>
      <c r="C394" s="13"/>
      <c r="D394" s="14"/>
      <c r="E394" s="14"/>
      <c r="F394" s="14"/>
      <c r="G394" s="63"/>
      <c r="H394" s="63"/>
      <c r="I394" s="63"/>
      <c r="J394" s="63"/>
      <c r="K394" s="63"/>
      <c r="L394" s="63"/>
      <c r="M394" s="63"/>
      <c r="N394" s="63"/>
      <c r="O394" s="64"/>
      <c r="P394" s="1"/>
    </row>
    <row r="395" spans="2:16" ht="12.75" customHeight="1" x14ac:dyDescent="0.15">
      <c r="B395" s="13"/>
      <c r="C395" s="13"/>
      <c r="D395" s="14"/>
      <c r="E395" s="14"/>
      <c r="F395" s="14"/>
      <c r="G395" s="63"/>
      <c r="H395" s="63"/>
      <c r="I395" s="63"/>
      <c r="J395" s="63"/>
      <c r="K395" s="63"/>
      <c r="L395" s="63"/>
      <c r="M395" s="63"/>
      <c r="N395" s="63"/>
      <c r="O395" s="64"/>
      <c r="P395" s="1"/>
    </row>
    <row r="396" spans="2:16" ht="12.75" customHeight="1" x14ac:dyDescent="0.15">
      <c r="B396" s="13"/>
      <c r="C396" s="13"/>
      <c r="D396" s="14"/>
      <c r="E396" s="14"/>
      <c r="F396" s="14"/>
      <c r="G396" s="63"/>
      <c r="H396" s="63"/>
      <c r="I396" s="63"/>
      <c r="J396" s="63"/>
      <c r="K396" s="63"/>
      <c r="L396" s="63"/>
      <c r="M396" s="63"/>
      <c r="N396" s="63"/>
      <c r="O396" s="64"/>
      <c r="P396" s="1"/>
    </row>
    <row r="397" spans="2:16" ht="12.75" customHeight="1" x14ac:dyDescent="0.15">
      <c r="B397" s="13"/>
      <c r="C397" s="13"/>
      <c r="D397" s="14"/>
      <c r="E397" s="14"/>
      <c r="F397" s="14"/>
      <c r="G397" s="63"/>
      <c r="H397" s="63"/>
      <c r="I397" s="63"/>
      <c r="J397" s="63"/>
      <c r="K397" s="63"/>
      <c r="L397" s="63"/>
      <c r="M397" s="63"/>
      <c r="N397" s="63"/>
      <c r="O397" s="64"/>
      <c r="P397" s="1"/>
    </row>
    <row r="398" spans="2:16" ht="12.75" customHeight="1" x14ac:dyDescent="0.15">
      <c r="B398" s="13"/>
      <c r="C398" s="13"/>
      <c r="D398" s="14"/>
      <c r="E398" s="14"/>
      <c r="F398" s="14"/>
      <c r="G398" s="63"/>
      <c r="H398" s="63"/>
      <c r="I398" s="63"/>
      <c r="J398" s="63"/>
      <c r="K398" s="63"/>
      <c r="L398" s="63"/>
      <c r="M398" s="63"/>
      <c r="N398" s="63"/>
      <c r="O398" s="64"/>
      <c r="P398" s="1"/>
    </row>
    <row r="399" spans="2:16" ht="12.75" customHeight="1" x14ac:dyDescent="0.15">
      <c r="B399" s="13"/>
      <c r="C399" s="13"/>
      <c r="D399" s="14"/>
      <c r="E399" s="14"/>
      <c r="F399" s="14"/>
      <c r="G399" s="63"/>
      <c r="H399" s="63"/>
      <c r="I399" s="63"/>
      <c r="J399" s="63"/>
      <c r="K399" s="63"/>
      <c r="L399" s="63"/>
      <c r="M399" s="63"/>
      <c r="N399" s="63"/>
      <c r="O399" s="64"/>
      <c r="P399" s="1"/>
    </row>
    <row r="400" spans="2:16" ht="12.75" customHeight="1" x14ac:dyDescent="0.15">
      <c r="B400" s="13"/>
      <c r="C400" s="13"/>
      <c r="D400" s="14"/>
      <c r="E400" s="14"/>
      <c r="F400" s="14"/>
      <c r="G400" s="63"/>
      <c r="H400" s="63"/>
      <c r="I400" s="63"/>
      <c r="J400" s="63"/>
      <c r="K400" s="63"/>
      <c r="L400" s="63"/>
      <c r="M400" s="63"/>
      <c r="N400" s="63"/>
      <c r="O400" s="64"/>
      <c r="P400" s="1"/>
    </row>
    <row r="401" spans="2:16" ht="12.75" customHeight="1" x14ac:dyDescent="0.15">
      <c r="B401" s="13"/>
      <c r="C401" s="13"/>
      <c r="D401" s="14"/>
      <c r="E401" s="14"/>
      <c r="F401" s="14"/>
      <c r="G401" s="63"/>
      <c r="H401" s="63"/>
      <c r="I401" s="63"/>
      <c r="J401" s="63"/>
      <c r="K401" s="63"/>
      <c r="L401" s="63"/>
      <c r="M401" s="63"/>
      <c r="N401" s="63"/>
      <c r="O401" s="64"/>
      <c r="P401" s="1"/>
    </row>
    <row r="402" spans="2:16" ht="12.75" customHeight="1" x14ac:dyDescent="0.15">
      <c r="B402" s="13"/>
      <c r="C402" s="13"/>
      <c r="D402" s="14"/>
      <c r="E402" s="14"/>
      <c r="F402" s="14"/>
      <c r="G402" s="63"/>
      <c r="H402" s="63"/>
      <c r="I402" s="63"/>
      <c r="J402" s="63"/>
      <c r="K402" s="63"/>
      <c r="L402" s="63"/>
      <c r="M402" s="63"/>
      <c r="N402" s="63"/>
      <c r="O402" s="64"/>
      <c r="P402" s="1"/>
    </row>
    <row r="403" spans="2:16" ht="12.75" customHeight="1" x14ac:dyDescent="0.15">
      <c r="B403" s="13"/>
      <c r="C403" s="13"/>
      <c r="D403" s="14"/>
      <c r="E403" s="14"/>
      <c r="F403" s="14"/>
      <c r="G403" s="63"/>
      <c r="H403" s="63"/>
      <c r="I403" s="63"/>
      <c r="J403" s="63"/>
      <c r="K403" s="63"/>
      <c r="L403" s="63"/>
      <c r="M403" s="63"/>
      <c r="N403" s="63"/>
      <c r="O403" s="64"/>
      <c r="P403" s="1"/>
    </row>
    <row r="404" spans="2:16" ht="12.75" customHeight="1" x14ac:dyDescent="0.15">
      <c r="B404" s="13"/>
      <c r="C404" s="13"/>
      <c r="D404" s="14"/>
      <c r="E404" s="14"/>
      <c r="F404" s="14"/>
      <c r="G404" s="63"/>
      <c r="H404" s="63"/>
      <c r="I404" s="63"/>
      <c r="J404" s="63"/>
      <c r="K404" s="63"/>
      <c r="L404" s="63"/>
      <c r="M404" s="63"/>
      <c r="N404" s="63"/>
      <c r="O404" s="64"/>
      <c r="P404" s="1"/>
    </row>
    <row r="405" spans="2:16" ht="12.75" customHeight="1" x14ac:dyDescent="0.15">
      <c r="B405" s="13"/>
      <c r="C405" s="13"/>
      <c r="D405" s="14"/>
      <c r="E405" s="14"/>
      <c r="F405" s="14"/>
      <c r="G405" s="63"/>
      <c r="H405" s="63"/>
      <c r="I405" s="63"/>
      <c r="J405" s="63"/>
      <c r="K405" s="63"/>
      <c r="L405" s="63"/>
      <c r="M405" s="63"/>
      <c r="N405" s="63"/>
      <c r="O405" s="64"/>
      <c r="P405" s="1"/>
    </row>
    <row r="406" spans="2:16" ht="12.75" customHeight="1" x14ac:dyDescent="0.15">
      <c r="B406" s="13"/>
      <c r="C406" s="13"/>
      <c r="D406" s="14"/>
      <c r="E406" s="14"/>
      <c r="F406" s="14"/>
      <c r="G406" s="63"/>
      <c r="H406" s="63"/>
      <c r="I406" s="63"/>
      <c r="J406" s="63"/>
      <c r="K406" s="63"/>
      <c r="L406" s="63"/>
      <c r="M406" s="63"/>
      <c r="N406" s="63"/>
      <c r="O406" s="64"/>
      <c r="P406" s="1"/>
    </row>
    <row r="407" spans="2:16" ht="12.75" customHeight="1" x14ac:dyDescent="0.15">
      <c r="B407" s="13"/>
      <c r="C407" s="13"/>
      <c r="D407" s="14"/>
      <c r="E407" s="14"/>
      <c r="F407" s="14"/>
      <c r="G407" s="63"/>
      <c r="H407" s="63"/>
      <c r="I407" s="63"/>
      <c r="J407" s="63"/>
      <c r="K407" s="63"/>
      <c r="L407" s="63"/>
      <c r="M407" s="63"/>
      <c r="N407" s="63"/>
      <c r="O407" s="64"/>
      <c r="P407" s="1"/>
    </row>
    <row r="408" spans="2:16" ht="12.75" customHeight="1" x14ac:dyDescent="0.15">
      <c r="B408" s="13"/>
      <c r="C408" s="13"/>
      <c r="D408" s="14"/>
      <c r="E408" s="14"/>
      <c r="F408" s="14"/>
      <c r="G408" s="63"/>
      <c r="H408" s="63"/>
      <c r="I408" s="63"/>
      <c r="J408" s="63"/>
      <c r="K408" s="63"/>
      <c r="L408" s="63"/>
      <c r="M408" s="63"/>
      <c r="N408" s="63"/>
      <c r="O408" s="64"/>
      <c r="P408" s="1"/>
    </row>
    <row r="409" spans="2:16" ht="12.75" customHeight="1" x14ac:dyDescent="0.15">
      <c r="B409" s="13"/>
      <c r="C409" s="13"/>
      <c r="D409" s="14"/>
      <c r="E409" s="14"/>
      <c r="F409" s="14"/>
      <c r="G409" s="63"/>
      <c r="H409" s="63"/>
      <c r="I409" s="63"/>
      <c r="J409" s="63"/>
      <c r="K409" s="63"/>
      <c r="L409" s="63"/>
      <c r="M409" s="63"/>
      <c r="N409" s="63"/>
      <c r="O409" s="64"/>
      <c r="P409" s="1"/>
    </row>
    <row r="410" spans="2:16" ht="12.75" customHeight="1" x14ac:dyDescent="0.15">
      <c r="B410" s="13"/>
      <c r="C410" s="13"/>
      <c r="D410" s="14"/>
      <c r="E410" s="14"/>
      <c r="F410" s="14"/>
      <c r="G410" s="63"/>
      <c r="H410" s="63"/>
      <c r="I410" s="63"/>
      <c r="J410" s="63"/>
      <c r="K410" s="63"/>
      <c r="L410" s="63"/>
      <c r="M410" s="63"/>
      <c r="N410" s="63"/>
      <c r="O410" s="64"/>
      <c r="P410" s="1"/>
    </row>
    <row r="411" spans="2:16" ht="12.75" customHeight="1" x14ac:dyDescent="0.15">
      <c r="B411" s="13"/>
      <c r="C411" s="13"/>
      <c r="D411" s="14"/>
      <c r="E411" s="14"/>
      <c r="F411" s="14"/>
      <c r="G411" s="63"/>
      <c r="H411" s="63"/>
      <c r="I411" s="63"/>
      <c r="J411" s="63"/>
      <c r="K411" s="63"/>
      <c r="L411" s="63"/>
      <c r="M411" s="63"/>
      <c r="N411" s="63"/>
      <c r="O411" s="64"/>
      <c r="P411" s="1"/>
    </row>
    <row r="412" spans="2:16" ht="12.75" customHeight="1" x14ac:dyDescent="0.15">
      <c r="B412" s="13"/>
      <c r="C412" s="13"/>
      <c r="D412" s="14"/>
      <c r="E412" s="14"/>
      <c r="F412" s="14"/>
      <c r="G412" s="63"/>
      <c r="H412" s="63"/>
      <c r="I412" s="63"/>
      <c r="J412" s="63"/>
      <c r="K412" s="63"/>
      <c r="L412" s="63"/>
      <c r="M412" s="63"/>
      <c r="N412" s="63"/>
      <c r="O412" s="64"/>
      <c r="P412" s="1"/>
    </row>
    <row r="413" spans="2:16" ht="12.75" customHeight="1" x14ac:dyDescent="0.15">
      <c r="B413" s="13"/>
      <c r="C413" s="13"/>
      <c r="D413" s="14"/>
      <c r="E413" s="14"/>
      <c r="F413" s="14"/>
      <c r="G413" s="63"/>
      <c r="H413" s="63"/>
      <c r="I413" s="63"/>
      <c r="J413" s="63"/>
      <c r="K413" s="63"/>
      <c r="L413" s="63"/>
      <c r="M413" s="63"/>
      <c r="N413" s="63"/>
      <c r="O413" s="64"/>
      <c r="P413" s="1"/>
    </row>
    <row r="414" spans="2:16" ht="12.75" customHeight="1" x14ac:dyDescent="0.15">
      <c r="B414" s="13"/>
      <c r="C414" s="13"/>
      <c r="D414" s="14"/>
      <c r="E414" s="14"/>
      <c r="F414" s="14"/>
      <c r="G414" s="63"/>
      <c r="H414" s="63"/>
      <c r="I414" s="63"/>
      <c r="J414" s="63"/>
      <c r="K414" s="63"/>
      <c r="L414" s="63"/>
      <c r="M414" s="63"/>
      <c r="N414" s="63"/>
      <c r="O414" s="64"/>
      <c r="P414" s="1"/>
    </row>
    <row r="415" spans="2:16" ht="12.75" customHeight="1" x14ac:dyDescent="0.15">
      <c r="B415" s="13"/>
      <c r="C415" s="13"/>
      <c r="D415" s="14"/>
      <c r="E415" s="14"/>
      <c r="F415" s="14"/>
      <c r="G415" s="63"/>
      <c r="H415" s="63"/>
      <c r="I415" s="63"/>
      <c r="J415" s="63"/>
      <c r="K415" s="63"/>
      <c r="L415" s="63"/>
      <c r="M415" s="63"/>
      <c r="N415" s="63"/>
      <c r="O415" s="64"/>
      <c r="P415" s="1"/>
    </row>
    <row r="416" spans="2:16" ht="12.75" customHeight="1" x14ac:dyDescent="0.15">
      <c r="B416" s="13"/>
      <c r="C416" s="13"/>
      <c r="D416" s="14"/>
      <c r="E416" s="14"/>
      <c r="F416" s="14"/>
      <c r="G416" s="63"/>
      <c r="H416" s="63"/>
      <c r="I416" s="63"/>
      <c r="J416" s="63"/>
      <c r="K416" s="63"/>
      <c r="L416" s="63"/>
      <c r="M416" s="63"/>
      <c r="N416" s="63"/>
      <c r="O416" s="64"/>
      <c r="P416" s="1"/>
    </row>
    <row r="417" spans="2:16" ht="12.75" customHeight="1" x14ac:dyDescent="0.15">
      <c r="B417" s="13"/>
      <c r="C417" s="13"/>
      <c r="D417" s="14"/>
      <c r="E417" s="14"/>
      <c r="F417" s="14"/>
      <c r="G417" s="63"/>
      <c r="H417" s="63"/>
      <c r="I417" s="63"/>
      <c r="J417" s="63"/>
      <c r="K417" s="63"/>
      <c r="L417" s="63"/>
      <c r="M417" s="63"/>
      <c r="N417" s="63"/>
      <c r="O417" s="64"/>
      <c r="P417" s="1"/>
    </row>
    <row r="418" spans="2:16" ht="12.75" customHeight="1" x14ac:dyDescent="0.15">
      <c r="B418" s="13"/>
      <c r="C418" s="13"/>
      <c r="D418" s="14"/>
      <c r="E418" s="14"/>
      <c r="F418" s="14"/>
      <c r="G418" s="63"/>
      <c r="H418" s="63"/>
      <c r="I418" s="63"/>
      <c r="J418" s="63"/>
      <c r="K418" s="63"/>
      <c r="L418" s="63"/>
      <c r="M418" s="63"/>
      <c r="N418" s="63"/>
      <c r="O418" s="64"/>
      <c r="P418" s="1"/>
    </row>
    <row r="419" spans="2:16" ht="12.75" customHeight="1" x14ac:dyDescent="0.15">
      <c r="B419" s="13"/>
      <c r="C419" s="13"/>
      <c r="D419" s="14"/>
      <c r="E419" s="14"/>
      <c r="F419" s="14"/>
      <c r="G419" s="63"/>
      <c r="H419" s="63"/>
      <c r="I419" s="63"/>
      <c r="J419" s="63"/>
      <c r="K419" s="63"/>
      <c r="L419" s="63"/>
      <c r="M419" s="63"/>
      <c r="N419" s="63"/>
      <c r="O419" s="64"/>
      <c r="P419" s="1"/>
    </row>
    <row r="420" spans="2:16" ht="12.75" customHeight="1" x14ac:dyDescent="0.15">
      <c r="B420" s="13"/>
      <c r="C420" s="13"/>
      <c r="D420" s="14"/>
      <c r="E420" s="14"/>
      <c r="F420" s="14"/>
      <c r="G420" s="63"/>
      <c r="H420" s="63"/>
      <c r="I420" s="63"/>
      <c r="J420" s="63"/>
      <c r="K420" s="63"/>
      <c r="L420" s="63"/>
      <c r="M420" s="63"/>
      <c r="N420" s="63"/>
      <c r="O420" s="64"/>
      <c r="P420" s="1"/>
    </row>
    <row r="421" spans="2:16" ht="12.75" customHeight="1" x14ac:dyDescent="0.15">
      <c r="B421" s="13"/>
      <c r="C421" s="13"/>
      <c r="D421" s="14"/>
      <c r="E421" s="14"/>
      <c r="F421" s="14"/>
      <c r="G421" s="63"/>
      <c r="H421" s="63"/>
      <c r="I421" s="63"/>
      <c r="J421" s="63"/>
      <c r="K421" s="63"/>
      <c r="L421" s="63"/>
      <c r="M421" s="63"/>
      <c r="N421" s="63"/>
      <c r="O421" s="64"/>
      <c r="P421" s="1"/>
    </row>
    <row r="422" spans="2:16" ht="12.75" customHeight="1" x14ac:dyDescent="0.15">
      <c r="B422" s="13"/>
      <c r="C422" s="13"/>
      <c r="D422" s="14"/>
      <c r="E422" s="14"/>
      <c r="F422" s="14"/>
      <c r="G422" s="63"/>
      <c r="H422" s="63"/>
      <c r="I422" s="63"/>
      <c r="J422" s="63"/>
      <c r="K422" s="63"/>
      <c r="L422" s="63"/>
      <c r="M422" s="63"/>
      <c r="N422" s="63"/>
      <c r="O422" s="64"/>
      <c r="P422" s="1"/>
    </row>
    <row r="423" spans="2:16" ht="12.75" customHeight="1" x14ac:dyDescent="0.15">
      <c r="B423" s="13"/>
      <c r="C423" s="13"/>
      <c r="D423" s="14"/>
      <c r="E423" s="14"/>
      <c r="F423" s="14"/>
      <c r="G423" s="63"/>
      <c r="H423" s="63"/>
      <c r="I423" s="63"/>
      <c r="J423" s="63"/>
      <c r="K423" s="63"/>
      <c r="L423" s="63"/>
      <c r="M423" s="63"/>
      <c r="N423" s="63"/>
      <c r="O423" s="64"/>
      <c r="P423" s="1"/>
    </row>
    <row r="424" spans="2:16" ht="12.75" customHeight="1" x14ac:dyDescent="0.15">
      <c r="B424" s="13"/>
      <c r="C424" s="13"/>
      <c r="D424" s="14"/>
      <c r="E424" s="14"/>
      <c r="F424" s="14"/>
      <c r="G424" s="63"/>
      <c r="H424" s="63"/>
      <c r="I424" s="63"/>
      <c r="J424" s="63"/>
      <c r="K424" s="63"/>
      <c r="L424" s="63"/>
      <c r="M424" s="63"/>
      <c r="N424" s="63"/>
      <c r="O424" s="64"/>
      <c r="P424" s="1"/>
    </row>
    <row r="425" spans="2:16" ht="12.75" customHeight="1" x14ac:dyDescent="0.15">
      <c r="B425" s="13"/>
      <c r="C425" s="13"/>
      <c r="D425" s="14"/>
      <c r="E425" s="14"/>
      <c r="F425" s="14"/>
      <c r="G425" s="63"/>
      <c r="H425" s="63"/>
      <c r="I425" s="63"/>
      <c r="J425" s="63"/>
      <c r="K425" s="63"/>
      <c r="L425" s="63"/>
      <c r="M425" s="63"/>
      <c r="N425" s="63"/>
      <c r="O425" s="64"/>
      <c r="P425" s="1"/>
    </row>
    <row r="426" spans="2:16" ht="12.75" customHeight="1" x14ac:dyDescent="0.15">
      <c r="B426" s="13"/>
      <c r="C426" s="13"/>
      <c r="D426" s="14"/>
      <c r="E426" s="14"/>
      <c r="F426" s="14"/>
      <c r="G426" s="63"/>
      <c r="H426" s="63"/>
      <c r="I426" s="63"/>
      <c r="J426" s="63"/>
      <c r="K426" s="63"/>
      <c r="L426" s="63"/>
      <c r="M426" s="63"/>
      <c r="N426" s="63"/>
      <c r="O426" s="64"/>
      <c r="P426" s="1"/>
    </row>
    <row r="427" spans="2:16" ht="12.75" customHeight="1" x14ac:dyDescent="0.15">
      <c r="B427" s="13"/>
      <c r="C427" s="13"/>
      <c r="D427" s="14"/>
      <c r="E427" s="14"/>
      <c r="F427" s="14"/>
      <c r="G427" s="63"/>
      <c r="H427" s="63"/>
      <c r="I427" s="63"/>
      <c r="J427" s="63"/>
      <c r="K427" s="63"/>
      <c r="L427" s="63"/>
      <c r="M427" s="63"/>
      <c r="N427" s="63"/>
      <c r="O427" s="64"/>
      <c r="P427" s="1"/>
    </row>
    <row r="428" spans="2:16" ht="12.75" customHeight="1" x14ac:dyDescent="0.15">
      <c r="B428" s="13"/>
      <c r="C428" s="13"/>
      <c r="D428" s="14"/>
      <c r="E428" s="14"/>
      <c r="F428" s="14"/>
      <c r="G428" s="63"/>
      <c r="H428" s="63"/>
      <c r="I428" s="63"/>
      <c r="J428" s="63"/>
      <c r="K428" s="63"/>
      <c r="L428" s="63"/>
      <c r="M428" s="63"/>
      <c r="N428" s="63"/>
      <c r="O428" s="64"/>
      <c r="P428" s="1"/>
    </row>
    <row r="429" spans="2:16" ht="12.75" customHeight="1" x14ac:dyDescent="0.15">
      <c r="B429" s="13"/>
      <c r="C429" s="13"/>
      <c r="D429" s="14"/>
      <c r="E429" s="14"/>
      <c r="F429" s="14"/>
      <c r="G429" s="63"/>
      <c r="H429" s="63"/>
      <c r="I429" s="63"/>
      <c r="J429" s="63"/>
      <c r="K429" s="63"/>
      <c r="L429" s="63"/>
      <c r="M429" s="63"/>
      <c r="N429" s="63"/>
      <c r="O429" s="64"/>
      <c r="P429" s="1"/>
    </row>
    <row r="430" spans="2:16" ht="12.75" customHeight="1" x14ac:dyDescent="0.15">
      <c r="B430" s="13"/>
      <c r="C430" s="13"/>
      <c r="D430" s="14"/>
      <c r="E430" s="14"/>
      <c r="F430" s="14"/>
      <c r="G430" s="63"/>
      <c r="H430" s="63"/>
      <c r="I430" s="63"/>
      <c r="J430" s="63"/>
      <c r="K430" s="63"/>
      <c r="L430" s="63"/>
      <c r="M430" s="63"/>
      <c r="N430" s="63"/>
      <c r="O430" s="64"/>
      <c r="P430" s="1"/>
    </row>
    <row r="431" spans="2:16" ht="12.75" customHeight="1" x14ac:dyDescent="0.15">
      <c r="B431" s="13"/>
      <c r="C431" s="13"/>
      <c r="D431" s="14"/>
      <c r="E431" s="14"/>
      <c r="F431" s="14"/>
      <c r="G431" s="63"/>
      <c r="H431" s="63"/>
      <c r="I431" s="63"/>
      <c r="J431" s="63"/>
      <c r="K431" s="63"/>
      <c r="L431" s="63"/>
      <c r="M431" s="63"/>
      <c r="N431" s="63"/>
      <c r="O431" s="64"/>
      <c r="P431" s="1"/>
    </row>
    <row r="432" spans="2:16" ht="12.75" customHeight="1" x14ac:dyDescent="0.15">
      <c r="B432" s="13"/>
      <c r="C432" s="13"/>
      <c r="D432" s="14"/>
      <c r="E432" s="14"/>
      <c r="F432" s="14"/>
      <c r="G432" s="63"/>
      <c r="H432" s="63"/>
      <c r="I432" s="63"/>
      <c r="J432" s="63"/>
      <c r="K432" s="63"/>
      <c r="L432" s="63"/>
      <c r="M432" s="63"/>
      <c r="N432" s="63"/>
      <c r="O432" s="64"/>
      <c r="P432" s="1"/>
    </row>
    <row r="433" spans="2:16" ht="12.75" customHeight="1" x14ac:dyDescent="0.15">
      <c r="B433" s="13"/>
      <c r="C433" s="13"/>
      <c r="D433" s="14"/>
      <c r="E433" s="14"/>
      <c r="F433" s="14"/>
      <c r="G433" s="63"/>
      <c r="H433" s="63"/>
      <c r="I433" s="63"/>
      <c r="J433" s="63"/>
      <c r="K433" s="63"/>
      <c r="L433" s="63"/>
      <c r="M433" s="63"/>
      <c r="N433" s="63"/>
      <c r="O433" s="64"/>
      <c r="P433" s="1"/>
    </row>
    <row r="434" spans="2:16" ht="12.75" customHeight="1" x14ac:dyDescent="0.15">
      <c r="B434" s="13"/>
      <c r="C434" s="13"/>
      <c r="D434" s="14"/>
      <c r="E434" s="14"/>
      <c r="F434" s="14"/>
      <c r="G434" s="63"/>
      <c r="H434" s="63"/>
      <c r="I434" s="63"/>
      <c r="J434" s="63"/>
      <c r="K434" s="63"/>
      <c r="L434" s="63"/>
      <c r="M434" s="63"/>
      <c r="N434" s="63"/>
      <c r="O434" s="64"/>
      <c r="P434" s="1"/>
    </row>
  </sheetData>
  <mergeCells count="1">
    <mergeCell ref="K9:N9"/>
  </mergeCells>
  <hyperlinks>
    <hyperlink ref="E2" location="Forside!A1" display="Gå til forside" xr:uid="{6D8C652D-25EE-4225-932B-8A49F389E778}"/>
  </hyperlinks>
  <pageMargins left="0.7" right="0.7" top="0.75" bottom="0.75" header="0.3" footer="0.3"/>
  <pageSetup paperSize="9" orientation="portrait" r:id="rId1"/>
  <headerFooter>
    <oddHeader>&amp;R&amp;"Calibri"&amp;10&amp;K000000 INTERNAL&amp;1#_x000D_</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L500"/>
  <sheetViews>
    <sheetView workbookViewId="0"/>
  </sheetViews>
  <sheetFormatPr baseColWidth="10" defaultColWidth="10.5" defaultRowHeight="12.75" customHeight="1" x14ac:dyDescent="0.15"/>
  <cols>
    <col min="1" max="1" width="4.83203125" style="1" customWidth="1"/>
    <col min="2" max="2" width="31.5" style="1" customWidth="1"/>
    <col min="3" max="3" width="33.33203125" style="1" customWidth="1"/>
    <col min="4" max="4" width="36.6640625" style="1" customWidth="1"/>
    <col min="5" max="5" width="20.6640625" style="1" customWidth="1"/>
    <col min="6" max="9" width="21.1640625" style="1" customWidth="1"/>
    <col min="10" max="14" width="20.6640625" style="1" customWidth="1"/>
    <col min="15" max="90" width="21.1640625" style="1" customWidth="1"/>
    <col min="91" max="16384" width="10.5" style="1"/>
  </cols>
  <sheetData>
    <row r="1" spans="1:90" s="32" customFormat="1" ht="15" customHeight="1" x14ac:dyDescent="0.2"/>
    <row r="2" spans="1:90" s="32" customFormat="1" ht="21" customHeight="1" x14ac:dyDescent="0.2">
      <c r="B2" s="26" t="str">
        <f>Tekstnøgler!C487</f>
        <v xml:space="preserve">Tabel med egne emissionsfaktorer
</v>
      </c>
      <c r="C2" s="27"/>
      <c r="D2" s="27"/>
      <c r="E2" s="290" t="str">
        <f>Tekstnøgler!$C$2</f>
        <v>&lt;-- Gå til forsiden</v>
      </c>
      <c r="F2" s="27"/>
      <c r="G2" s="27"/>
    </row>
    <row r="3" spans="1:90" s="32" customFormat="1" ht="15" customHeight="1" x14ac:dyDescent="0.2"/>
    <row r="4" spans="1:90" s="32" customFormat="1" ht="15" customHeight="1" x14ac:dyDescent="0.2">
      <c r="B4" s="334" t="str">
        <f>Tekstnøgler!C591</f>
        <v xml:space="preserve">Beregningens startår
</v>
      </c>
    </row>
    <row r="5" spans="1:90" s="32" customFormat="1" ht="15" customHeight="1" x14ac:dyDescent="0.2">
      <c r="A5" s="33"/>
      <c r="B5" s="38">
        <f>YEAR(Stamdata!B14)</f>
        <v>2021</v>
      </c>
    </row>
    <row r="6" spans="1:90" s="32" customFormat="1" ht="15" customHeight="1" x14ac:dyDescent="0.2"/>
    <row r="7" spans="1:90" ht="12" x14ac:dyDescent="0.15">
      <c r="F7" s="42"/>
      <c r="G7" s="42"/>
      <c r="H7" s="42"/>
    </row>
    <row r="8" spans="1:90" s="32" customFormat="1" ht="17" customHeight="1" x14ac:dyDescent="0.2">
      <c r="B8" s="2" t="str">
        <f>Tekstnøgler!C489</f>
        <v>Tabel med egne emissionsfaktorer</v>
      </c>
      <c r="I8" s="44"/>
    </row>
    <row r="9" spans="1:90" ht="13.5" customHeight="1" x14ac:dyDescent="0.15">
      <c r="B9" s="43"/>
      <c r="F9" s="525"/>
      <c r="G9" s="525"/>
      <c r="H9" s="525"/>
      <c r="I9" s="525"/>
      <c r="J9" s="521" t="str">
        <f>Tekstnøgler!C608</f>
        <v>Til opgørelse af E-nøgletal</v>
      </c>
      <c r="K9" s="522"/>
      <c r="L9" s="522"/>
      <c r="M9" s="522"/>
      <c r="N9" s="523"/>
      <c r="O9" s="525"/>
      <c r="P9" s="525"/>
      <c r="Q9" s="525"/>
      <c r="R9" s="525"/>
      <c r="S9" s="524"/>
      <c r="T9" s="524"/>
      <c r="U9" s="524"/>
      <c r="V9" s="524"/>
      <c r="W9" s="525"/>
      <c r="X9" s="525"/>
      <c r="Y9" s="525"/>
      <c r="Z9" s="525"/>
      <c r="AA9" s="524"/>
      <c r="AB9" s="524"/>
      <c r="AC9" s="524"/>
      <c r="AD9" s="524"/>
      <c r="AE9" s="525"/>
      <c r="AF9" s="525"/>
      <c r="AG9" s="525"/>
      <c r="AH9" s="525"/>
      <c r="AI9" s="524"/>
      <c r="AJ9" s="524"/>
      <c r="AK9" s="524"/>
      <c r="AL9" s="524"/>
      <c r="AM9" s="525"/>
      <c r="AN9" s="525"/>
      <c r="AO9" s="525"/>
      <c r="AP9" s="525"/>
      <c r="AQ9" s="524"/>
      <c r="AR9" s="524"/>
      <c r="AS9" s="524"/>
      <c r="AT9" s="524"/>
      <c r="AU9" s="525"/>
      <c r="AV9" s="525"/>
      <c r="AW9" s="525"/>
      <c r="AX9" s="525"/>
      <c r="AY9" s="524"/>
      <c r="AZ9" s="524"/>
      <c r="BA9" s="524"/>
      <c r="BB9" s="524"/>
      <c r="BC9" s="525"/>
      <c r="BD9" s="525"/>
      <c r="BE9" s="525"/>
      <c r="BF9" s="525"/>
      <c r="BG9" s="524"/>
      <c r="BH9" s="524"/>
      <c r="BI9" s="524"/>
      <c r="BJ9" s="524"/>
      <c r="BK9" s="525"/>
      <c r="BL9" s="525"/>
      <c r="BM9" s="525"/>
      <c r="BN9" s="525"/>
      <c r="BO9" s="524"/>
      <c r="BP9" s="524"/>
      <c r="BQ9" s="524"/>
      <c r="BR9" s="524"/>
      <c r="BS9" s="525"/>
      <c r="BT9" s="525"/>
      <c r="BU9" s="525"/>
      <c r="BV9" s="525"/>
      <c r="BW9" s="524"/>
      <c r="BX9" s="524"/>
      <c r="BY9" s="524"/>
      <c r="BZ9" s="524"/>
      <c r="CA9" s="525"/>
      <c r="CB9" s="525"/>
      <c r="CC9" s="525"/>
      <c r="CD9" s="525"/>
      <c r="CE9" s="524"/>
      <c r="CF9" s="524"/>
      <c r="CG9" s="524"/>
      <c r="CH9" s="524"/>
      <c r="CI9" s="525"/>
      <c r="CJ9" s="525"/>
      <c r="CK9" s="525"/>
      <c r="CL9" s="525"/>
    </row>
    <row r="10" spans="1:90" s="35" customFormat="1" ht="18" customHeight="1" x14ac:dyDescent="0.2">
      <c r="B10" s="320" t="str">
        <f>Tekstnøgler!$C$490</f>
        <v xml:space="preserve">Hovedkategori
</v>
      </c>
      <c r="C10" s="320" t="str">
        <f>Tekstnøgler!$C$491</f>
        <v xml:space="preserve">Kategori
</v>
      </c>
      <c r="D10" s="321" t="str">
        <f>Tekstnøgler!$C$492</f>
        <v xml:space="preserve">Beskrivelse
</v>
      </c>
      <c r="E10" s="321" t="str">
        <f>Tekstnøgler!$C$493</f>
        <v>Enhed</v>
      </c>
      <c r="F10" s="390" t="str">
        <f>Tekstnøgler!$C$494</f>
        <v>Scope 1 - faktor</v>
      </c>
      <c r="G10" s="390" t="str">
        <f>Tekstnøgler!$C$495</f>
        <v>Scope 2 - faktor</v>
      </c>
      <c r="H10" s="390" t="str">
        <f>Tekstnøgler!$C$496</f>
        <v>Scope 3 - faktor</v>
      </c>
      <c r="I10" s="391" t="str">
        <f>Tekstnøgler!$C$497</f>
        <v>Udenfor scope - faktor</v>
      </c>
      <c r="J10" s="381" t="str">
        <f>Tekstnøgler!C609</f>
        <v>Medtaget i E-nøgletal</v>
      </c>
      <c r="K10" s="318" t="str">
        <f>Tekstnøgler!C604</f>
        <v>Omregning til MWh</v>
      </c>
      <c r="L10" s="318" t="str">
        <f>Tekstnøgler!C605</f>
        <v>Vedvarende energiandel</v>
      </c>
      <c r="M10" s="318" t="str">
        <f>Tekstnøgler!C606</f>
        <v>Nuklear energiandel</v>
      </c>
      <c r="N10" s="382" t="str">
        <f>Tekstnøgler!C607</f>
        <v>Fossil energiandel</v>
      </c>
      <c r="O10" s="384"/>
      <c r="P10" s="384"/>
      <c r="Q10" s="384"/>
      <c r="R10" s="384"/>
      <c r="S10" s="384"/>
      <c r="T10" s="384"/>
      <c r="U10" s="384"/>
      <c r="V10" s="384"/>
      <c r="W10" s="384"/>
      <c r="X10" s="384"/>
      <c r="Y10" s="384"/>
      <c r="Z10" s="384"/>
      <c r="AA10" s="384"/>
      <c r="AB10" s="384"/>
      <c r="AC10" s="384"/>
      <c r="AD10" s="384"/>
      <c r="AE10" s="384"/>
      <c r="AF10" s="384"/>
      <c r="AG10" s="384"/>
      <c r="AH10" s="384"/>
      <c r="AI10" s="384"/>
      <c r="AJ10" s="384"/>
      <c r="AK10" s="384"/>
      <c r="AL10" s="384"/>
      <c r="AM10" s="384"/>
      <c r="AN10" s="384"/>
      <c r="AO10" s="384"/>
      <c r="AP10" s="384"/>
      <c r="AQ10" s="384"/>
      <c r="AR10" s="384"/>
      <c r="AS10" s="384"/>
      <c r="AT10" s="384"/>
      <c r="AU10" s="384"/>
      <c r="AV10" s="384"/>
      <c r="AW10" s="384"/>
      <c r="AX10" s="384"/>
      <c r="AY10" s="384"/>
      <c r="AZ10" s="384"/>
      <c r="BA10" s="384"/>
      <c r="BB10" s="384"/>
      <c r="BC10" s="384"/>
      <c r="BD10" s="384"/>
      <c r="BE10" s="384"/>
      <c r="BF10" s="384"/>
      <c r="BG10" s="384"/>
      <c r="BH10" s="384"/>
      <c r="BI10" s="384"/>
      <c r="BJ10" s="384"/>
      <c r="BK10" s="384"/>
      <c r="BL10" s="384"/>
      <c r="BM10" s="384"/>
      <c r="BN10" s="384"/>
      <c r="BO10" s="384"/>
      <c r="BP10" s="384"/>
      <c r="BQ10" s="384"/>
      <c r="BR10" s="384"/>
      <c r="BS10" s="384"/>
      <c r="BT10" s="384"/>
      <c r="BU10" s="384"/>
      <c r="BV10" s="384"/>
      <c r="BW10" s="384"/>
      <c r="BX10" s="384"/>
      <c r="BY10" s="384"/>
      <c r="BZ10" s="384"/>
      <c r="CA10" s="384"/>
      <c r="CB10" s="384"/>
      <c r="CC10" s="384"/>
      <c r="CD10" s="384"/>
      <c r="CE10" s="384"/>
      <c r="CF10" s="384"/>
      <c r="CG10" s="384"/>
      <c r="CH10" s="384"/>
      <c r="CI10" s="384"/>
      <c r="CJ10" s="384"/>
      <c r="CK10" s="384"/>
      <c r="CL10" s="384"/>
    </row>
    <row r="11" spans="1:90" ht="12.75" customHeight="1" x14ac:dyDescent="0.15">
      <c r="B11" s="57"/>
      <c r="C11" s="57"/>
      <c r="D11" s="58"/>
      <c r="E11" s="59"/>
      <c r="F11" s="65"/>
      <c r="G11" s="65"/>
      <c r="H11" s="65"/>
      <c r="I11" s="65"/>
      <c r="J11" s="65"/>
      <c r="K11" s="392"/>
      <c r="L11" s="65"/>
      <c r="M11" s="65"/>
      <c r="N11" s="65"/>
      <c r="O11" s="385"/>
      <c r="P11" s="385"/>
      <c r="Q11" s="385"/>
      <c r="R11" s="385"/>
      <c r="S11" s="385"/>
      <c r="T11" s="385"/>
      <c r="U11" s="385"/>
      <c r="V11" s="385"/>
      <c r="W11" s="385"/>
      <c r="X11" s="385"/>
      <c r="Y11" s="385"/>
      <c r="Z11" s="385"/>
      <c r="AA11" s="385"/>
      <c r="AB11" s="385"/>
      <c r="AC11" s="385"/>
      <c r="AD11" s="385"/>
      <c r="AE11" s="385"/>
      <c r="AF11" s="385"/>
      <c r="AG11" s="385"/>
      <c r="AH11" s="385"/>
      <c r="AI11" s="385"/>
      <c r="AJ11" s="385"/>
      <c r="AK11" s="385"/>
      <c r="AL11" s="385"/>
      <c r="AM11" s="385"/>
      <c r="AN11" s="385"/>
      <c r="AO11" s="385"/>
      <c r="AP11" s="385"/>
      <c r="AQ11" s="385"/>
      <c r="AR11" s="385"/>
      <c r="AS11" s="385"/>
      <c r="AT11" s="385"/>
      <c r="AU11" s="385"/>
      <c r="AV11" s="385"/>
      <c r="AW11" s="385"/>
      <c r="AX11" s="385"/>
      <c r="AY11" s="385"/>
      <c r="AZ11" s="385"/>
      <c r="BA11" s="385"/>
      <c r="BB11" s="385"/>
      <c r="BC11" s="385"/>
      <c r="BD11" s="385"/>
      <c r="BE11" s="385"/>
      <c r="BF11" s="385"/>
      <c r="BG11" s="385"/>
      <c r="BH11" s="385"/>
      <c r="BI11" s="385"/>
      <c r="BJ11" s="385"/>
      <c r="BK11" s="385"/>
      <c r="BL11" s="385"/>
      <c r="BM11" s="385"/>
      <c r="BN11" s="385"/>
      <c r="BO11" s="385"/>
      <c r="BP11" s="385"/>
      <c r="BQ11" s="385"/>
      <c r="BR11" s="385"/>
      <c r="BS11" s="385"/>
      <c r="BT11" s="385"/>
      <c r="BU11" s="385"/>
      <c r="BV11" s="385"/>
      <c r="BW11" s="385"/>
      <c r="BX11" s="385"/>
      <c r="BY11" s="385"/>
      <c r="BZ11" s="385"/>
      <c r="CA11" s="385"/>
      <c r="CB11" s="385"/>
      <c r="CC11" s="385"/>
      <c r="CD11" s="385"/>
      <c r="CE11" s="385"/>
      <c r="CF11" s="385"/>
      <c r="CG11" s="385"/>
      <c r="CH11" s="385"/>
      <c r="CI11" s="385"/>
      <c r="CJ11" s="385"/>
      <c r="CK11" s="385"/>
      <c r="CL11" s="385"/>
    </row>
    <row r="12" spans="1:90" ht="12.75" customHeight="1" x14ac:dyDescent="0.15">
      <c r="B12" s="57"/>
      <c r="C12" s="57"/>
      <c r="D12" s="58"/>
      <c r="E12" s="59"/>
      <c r="F12" s="65"/>
      <c r="G12" s="65"/>
      <c r="H12" s="65"/>
      <c r="I12" s="65"/>
      <c r="J12" s="65"/>
      <c r="K12" s="392"/>
      <c r="L12" s="65"/>
      <c r="M12" s="65"/>
      <c r="N12" s="65"/>
      <c r="O12" s="385"/>
      <c r="P12" s="385"/>
      <c r="Q12" s="385"/>
      <c r="R12" s="385"/>
      <c r="S12" s="385"/>
      <c r="T12" s="385"/>
      <c r="U12" s="385"/>
      <c r="V12" s="385"/>
      <c r="W12" s="385"/>
      <c r="X12" s="385"/>
      <c r="Y12" s="385"/>
      <c r="Z12" s="385"/>
      <c r="AA12" s="385"/>
      <c r="AB12" s="385"/>
      <c r="AC12" s="385"/>
      <c r="AD12" s="385"/>
      <c r="AE12" s="385"/>
      <c r="AF12" s="385"/>
      <c r="AG12" s="385"/>
      <c r="AH12" s="385"/>
      <c r="AI12" s="385"/>
      <c r="AJ12" s="385"/>
      <c r="AK12" s="385"/>
      <c r="AL12" s="385"/>
      <c r="AM12" s="385"/>
      <c r="AN12" s="385"/>
      <c r="AO12" s="385"/>
      <c r="AP12" s="385"/>
      <c r="AQ12" s="385"/>
      <c r="AR12" s="385"/>
      <c r="AS12" s="385"/>
      <c r="AT12" s="385"/>
      <c r="AU12" s="385"/>
      <c r="AV12" s="385"/>
      <c r="AW12" s="385"/>
      <c r="AX12" s="385"/>
      <c r="AY12" s="385"/>
      <c r="AZ12" s="385"/>
      <c r="BA12" s="385"/>
      <c r="BB12" s="385"/>
      <c r="BC12" s="385"/>
      <c r="BD12" s="385"/>
      <c r="BE12" s="385"/>
      <c r="BF12" s="385"/>
      <c r="BG12" s="385"/>
      <c r="BH12" s="385"/>
      <c r="BI12" s="385"/>
      <c r="BJ12" s="385"/>
      <c r="BK12" s="385"/>
      <c r="BL12" s="385"/>
      <c r="BM12" s="385"/>
      <c r="BN12" s="385"/>
      <c r="BO12" s="385"/>
      <c r="BP12" s="385"/>
      <c r="BQ12" s="385"/>
      <c r="BR12" s="385"/>
      <c r="BS12" s="385"/>
      <c r="BT12" s="385"/>
      <c r="BU12" s="385"/>
      <c r="BV12" s="385"/>
      <c r="BW12" s="385"/>
      <c r="BX12" s="385"/>
      <c r="BY12" s="385"/>
      <c r="BZ12" s="385"/>
      <c r="CA12" s="385"/>
      <c r="CB12" s="385"/>
      <c r="CC12" s="385"/>
      <c r="CD12" s="385"/>
      <c r="CE12" s="385"/>
      <c r="CF12" s="385"/>
      <c r="CG12" s="385"/>
      <c r="CH12" s="385"/>
      <c r="CI12" s="385"/>
      <c r="CJ12" s="385"/>
      <c r="CK12" s="385"/>
      <c r="CL12" s="385"/>
    </row>
    <row r="13" spans="1:90" ht="12.75" customHeight="1" x14ac:dyDescent="0.15">
      <c r="B13" s="57"/>
      <c r="C13" s="57"/>
      <c r="D13" s="58"/>
      <c r="E13" s="59"/>
      <c r="F13" s="65"/>
      <c r="G13" s="65"/>
      <c r="H13" s="65"/>
      <c r="I13" s="65"/>
      <c r="J13" s="65"/>
      <c r="K13" s="392"/>
      <c r="L13" s="65"/>
      <c r="M13" s="65"/>
      <c r="N13" s="65"/>
      <c r="O13" s="385"/>
      <c r="P13" s="385"/>
      <c r="Q13" s="385"/>
      <c r="R13" s="385"/>
      <c r="S13" s="385"/>
      <c r="T13" s="385"/>
      <c r="U13" s="385"/>
      <c r="V13" s="385"/>
      <c r="W13" s="385"/>
      <c r="X13" s="385"/>
      <c r="Y13" s="385"/>
      <c r="Z13" s="385"/>
      <c r="AA13" s="385"/>
      <c r="AB13" s="385"/>
      <c r="AC13" s="385"/>
      <c r="AD13" s="385"/>
      <c r="AE13" s="385"/>
      <c r="AF13" s="385"/>
      <c r="AG13" s="385"/>
      <c r="AH13" s="385"/>
      <c r="AI13" s="385"/>
      <c r="AJ13" s="385"/>
      <c r="AK13" s="385"/>
      <c r="AL13" s="385"/>
      <c r="AM13" s="385"/>
      <c r="AN13" s="385"/>
      <c r="AO13" s="385"/>
      <c r="AP13" s="385"/>
      <c r="AQ13" s="385"/>
      <c r="AR13" s="385"/>
      <c r="AS13" s="385"/>
      <c r="AT13" s="385"/>
      <c r="AU13" s="385"/>
      <c r="AV13" s="385"/>
      <c r="AW13" s="385"/>
      <c r="AX13" s="385"/>
      <c r="AY13" s="385"/>
      <c r="AZ13" s="385"/>
      <c r="BA13" s="385"/>
      <c r="BB13" s="385"/>
      <c r="BC13" s="385"/>
      <c r="BD13" s="385"/>
      <c r="BE13" s="385"/>
      <c r="BF13" s="385"/>
      <c r="BG13" s="385"/>
      <c r="BH13" s="385"/>
      <c r="BI13" s="385"/>
      <c r="BJ13" s="385"/>
      <c r="BK13" s="385"/>
      <c r="BL13" s="385"/>
      <c r="BM13" s="385"/>
      <c r="BN13" s="385"/>
      <c r="BO13" s="385"/>
      <c r="BP13" s="385"/>
      <c r="BQ13" s="385"/>
      <c r="BR13" s="385"/>
      <c r="BS13" s="385"/>
      <c r="BT13" s="385"/>
      <c r="BU13" s="385"/>
      <c r="BV13" s="385"/>
      <c r="BW13" s="385"/>
      <c r="BX13" s="385"/>
      <c r="BY13" s="385"/>
      <c r="BZ13" s="385"/>
      <c r="CA13" s="385"/>
      <c r="CB13" s="385"/>
      <c r="CC13" s="385"/>
      <c r="CD13" s="385"/>
      <c r="CE13" s="385"/>
      <c r="CF13" s="385"/>
      <c r="CG13" s="385"/>
      <c r="CH13" s="385"/>
      <c r="CI13" s="385"/>
      <c r="CJ13" s="385"/>
      <c r="CK13" s="385"/>
      <c r="CL13" s="385"/>
    </row>
    <row r="14" spans="1:90" ht="12.75" customHeight="1" x14ac:dyDescent="0.15">
      <c r="B14" s="57"/>
      <c r="C14" s="57"/>
      <c r="D14" s="58"/>
      <c r="E14" s="59"/>
      <c r="F14" s="65"/>
      <c r="G14" s="65"/>
      <c r="H14" s="65"/>
      <c r="I14" s="65"/>
      <c r="J14" s="65"/>
      <c r="K14" s="392"/>
      <c r="L14" s="65"/>
      <c r="M14" s="65"/>
      <c r="N14" s="65"/>
      <c r="O14" s="385"/>
      <c r="P14" s="385"/>
      <c r="Q14" s="385"/>
      <c r="R14" s="385"/>
      <c r="S14" s="385"/>
      <c r="T14" s="385"/>
      <c r="U14" s="385"/>
      <c r="V14" s="385"/>
      <c r="W14" s="385"/>
      <c r="X14" s="385"/>
      <c r="Y14" s="385"/>
      <c r="Z14" s="385"/>
      <c r="AA14" s="385"/>
      <c r="AB14" s="385"/>
      <c r="AC14" s="385"/>
      <c r="AD14" s="385"/>
      <c r="AE14" s="385"/>
      <c r="AF14" s="385"/>
      <c r="AG14" s="385"/>
      <c r="AH14" s="385"/>
      <c r="AI14" s="385"/>
      <c r="AJ14" s="385"/>
      <c r="AK14" s="385"/>
      <c r="AL14" s="385"/>
      <c r="AM14" s="385"/>
      <c r="AN14" s="385"/>
      <c r="AO14" s="385"/>
      <c r="AP14" s="385"/>
      <c r="AQ14" s="385"/>
      <c r="AR14" s="385"/>
      <c r="AS14" s="385"/>
      <c r="AT14" s="385"/>
      <c r="AU14" s="385"/>
      <c r="AV14" s="385"/>
      <c r="AW14" s="385"/>
      <c r="AX14" s="385"/>
      <c r="AY14" s="385"/>
      <c r="AZ14" s="385"/>
      <c r="BA14" s="385"/>
      <c r="BB14" s="385"/>
      <c r="BC14" s="385"/>
      <c r="BD14" s="385"/>
      <c r="BE14" s="385"/>
      <c r="BF14" s="385"/>
      <c r="BG14" s="385"/>
      <c r="BH14" s="385"/>
      <c r="BI14" s="385"/>
      <c r="BJ14" s="385"/>
      <c r="BK14" s="385"/>
      <c r="BL14" s="385"/>
      <c r="BM14" s="385"/>
      <c r="BN14" s="385"/>
      <c r="BO14" s="385"/>
      <c r="BP14" s="385"/>
      <c r="BQ14" s="385"/>
      <c r="BR14" s="385"/>
      <c r="BS14" s="385"/>
      <c r="BT14" s="385"/>
      <c r="BU14" s="385"/>
      <c r="BV14" s="385"/>
      <c r="BW14" s="385"/>
      <c r="BX14" s="385"/>
      <c r="BY14" s="385"/>
      <c r="BZ14" s="385"/>
      <c r="CA14" s="385"/>
      <c r="CB14" s="385"/>
      <c r="CC14" s="385"/>
      <c r="CD14" s="385"/>
      <c r="CE14" s="385"/>
      <c r="CF14" s="385"/>
      <c r="CG14" s="385"/>
      <c r="CH14" s="385"/>
      <c r="CI14" s="385"/>
      <c r="CJ14" s="385"/>
      <c r="CK14" s="385"/>
      <c r="CL14" s="385"/>
    </row>
    <row r="15" spans="1:90" ht="12.75" customHeight="1" x14ac:dyDescent="0.15">
      <c r="B15" s="57"/>
      <c r="C15" s="57"/>
      <c r="D15" s="58"/>
      <c r="E15" s="59"/>
      <c r="F15" s="65"/>
      <c r="G15" s="65"/>
      <c r="H15" s="65"/>
      <c r="I15" s="65"/>
      <c r="J15" s="65"/>
      <c r="K15" s="392"/>
      <c r="L15" s="65"/>
      <c r="M15" s="65"/>
      <c r="N15" s="65"/>
      <c r="O15" s="385"/>
      <c r="P15" s="385"/>
      <c r="Q15" s="385"/>
      <c r="R15" s="385"/>
      <c r="S15" s="385"/>
      <c r="T15" s="385"/>
      <c r="U15" s="385"/>
      <c r="V15" s="385"/>
      <c r="W15" s="385"/>
      <c r="X15" s="385"/>
      <c r="Y15" s="385"/>
      <c r="Z15" s="385"/>
      <c r="AA15" s="385"/>
      <c r="AB15" s="385"/>
      <c r="AC15" s="385"/>
      <c r="AD15" s="385"/>
      <c r="AE15" s="385"/>
      <c r="AF15" s="385"/>
      <c r="AG15" s="385"/>
      <c r="AH15" s="385"/>
      <c r="AI15" s="385"/>
      <c r="AJ15" s="385"/>
      <c r="AK15" s="385"/>
      <c r="AL15" s="385"/>
      <c r="AM15" s="385"/>
      <c r="AN15" s="385"/>
      <c r="AO15" s="385"/>
      <c r="AP15" s="385"/>
      <c r="AQ15" s="385"/>
      <c r="AR15" s="385"/>
      <c r="AS15" s="385"/>
      <c r="AT15" s="385"/>
      <c r="AU15" s="385"/>
      <c r="AV15" s="385"/>
      <c r="AW15" s="385"/>
      <c r="AX15" s="385"/>
      <c r="AY15" s="385"/>
      <c r="AZ15" s="385"/>
      <c r="BA15" s="385"/>
      <c r="BB15" s="385"/>
      <c r="BC15" s="385"/>
      <c r="BD15" s="385"/>
      <c r="BE15" s="385"/>
      <c r="BF15" s="385"/>
      <c r="BG15" s="385"/>
      <c r="BH15" s="385"/>
      <c r="BI15" s="385"/>
      <c r="BJ15" s="385"/>
      <c r="BK15" s="385"/>
      <c r="BL15" s="385"/>
      <c r="BM15" s="385"/>
      <c r="BN15" s="385"/>
      <c r="BO15" s="385"/>
      <c r="BP15" s="385"/>
      <c r="BQ15" s="385"/>
      <c r="BR15" s="385"/>
      <c r="BS15" s="385"/>
      <c r="BT15" s="385"/>
      <c r="BU15" s="385"/>
      <c r="BV15" s="385"/>
      <c r="BW15" s="385"/>
      <c r="BX15" s="385"/>
      <c r="BY15" s="385"/>
      <c r="BZ15" s="385"/>
      <c r="CA15" s="385"/>
      <c r="CB15" s="385"/>
      <c r="CC15" s="385"/>
      <c r="CD15" s="385"/>
      <c r="CE15" s="385"/>
      <c r="CF15" s="385"/>
      <c r="CG15" s="385"/>
      <c r="CH15" s="385"/>
      <c r="CI15" s="385"/>
      <c r="CJ15" s="385"/>
      <c r="CK15" s="385"/>
      <c r="CL15" s="385"/>
    </row>
    <row r="16" spans="1:90" ht="12.75" customHeight="1" x14ac:dyDescent="0.15">
      <c r="B16" s="57"/>
      <c r="C16" s="57"/>
      <c r="D16" s="58"/>
      <c r="E16" s="59"/>
      <c r="F16" s="65"/>
      <c r="G16" s="65"/>
      <c r="H16" s="65"/>
      <c r="I16" s="65"/>
      <c r="J16" s="65"/>
      <c r="K16" s="392"/>
      <c r="L16" s="65"/>
      <c r="M16" s="65"/>
      <c r="N16" s="65"/>
      <c r="O16" s="385"/>
      <c r="P16" s="385"/>
      <c r="Q16" s="385"/>
      <c r="R16" s="385"/>
      <c r="S16" s="385"/>
      <c r="T16" s="385"/>
      <c r="U16" s="385"/>
      <c r="V16" s="385"/>
      <c r="W16" s="385"/>
      <c r="X16" s="385"/>
      <c r="Y16" s="385"/>
      <c r="Z16" s="385"/>
      <c r="AA16" s="385"/>
      <c r="AB16" s="385"/>
      <c r="AC16" s="385"/>
      <c r="AD16" s="385"/>
      <c r="AE16" s="385"/>
      <c r="AF16" s="385"/>
      <c r="AG16" s="385"/>
      <c r="AH16" s="385"/>
      <c r="AI16" s="385"/>
      <c r="AJ16" s="385"/>
      <c r="AK16" s="385"/>
      <c r="AL16" s="385"/>
      <c r="AM16" s="385"/>
      <c r="AN16" s="385"/>
      <c r="AO16" s="385"/>
      <c r="AP16" s="385"/>
      <c r="AQ16" s="385"/>
      <c r="AR16" s="385"/>
      <c r="AS16" s="385"/>
      <c r="AT16" s="385"/>
      <c r="AU16" s="385"/>
      <c r="AV16" s="385"/>
      <c r="AW16" s="385"/>
      <c r="AX16" s="385"/>
      <c r="AY16" s="385"/>
      <c r="AZ16" s="385"/>
      <c r="BA16" s="385"/>
      <c r="BB16" s="385"/>
      <c r="BC16" s="385"/>
      <c r="BD16" s="385"/>
      <c r="BE16" s="385"/>
      <c r="BF16" s="385"/>
      <c r="BG16" s="385"/>
      <c r="BH16" s="385"/>
      <c r="BI16" s="385"/>
      <c r="BJ16" s="385"/>
      <c r="BK16" s="385"/>
      <c r="BL16" s="385"/>
      <c r="BM16" s="385"/>
      <c r="BN16" s="385"/>
      <c r="BO16" s="385"/>
      <c r="BP16" s="385"/>
      <c r="BQ16" s="385"/>
      <c r="BR16" s="385"/>
      <c r="BS16" s="385"/>
      <c r="BT16" s="385"/>
      <c r="BU16" s="385"/>
      <c r="BV16" s="385"/>
      <c r="BW16" s="385"/>
      <c r="BX16" s="385"/>
      <c r="BY16" s="385"/>
      <c r="BZ16" s="385"/>
      <c r="CA16" s="385"/>
      <c r="CB16" s="385"/>
      <c r="CC16" s="385"/>
      <c r="CD16" s="385"/>
      <c r="CE16" s="385"/>
      <c r="CF16" s="385"/>
      <c r="CG16" s="385"/>
      <c r="CH16" s="385"/>
      <c r="CI16" s="385"/>
      <c r="CJ16" s="385"/>
      <c r="CK16" s="385"/>
      <c r="CL16" s="385"/>
    </row>
    <row r="17" spans="2:90" ht="12.75" customHeight="1" x14ac:dyDescent="0.15">
      <c r="B17" s="57"/>
      <c r="C17" s="57"/>
      <c r="D17" s="58"/>
      <c r="E17" s="59"/>
      <c r="F17" s="65"/>
      <c r="G17" s="65"/>
      <c r="H17" s="65"/>
      <c r="I17" s="65"/>
      <c r="J17" s="65"/>
      <c r="K17" s="392"/>
      <c r="L17" s="65"/>
      <c r="M17" s="65"/>
      <c r="N17" s="65"/>
      <c r="O17" s="385"/>
      <c r="P17" s="385"/>
      <c r="Q17" s="385"/>
      <c r="R17" s="385"/>
      <c r="S17" s="385"/>
      <c r="T17" s="385"/>
      <c r="U17" s="385"/>
      <c r="V17" s="385"/>
      <c r="W17" s="385"/>
      <c r="X17" s="385"/>
      <c r="Y17" s="385"/>
      <c r="Z17" s="385"/>
      <c r="AA17" s="385"/>
      <c r="AB17" s="385"/>
      <c r="AC17" s="385"/>
      <c r="AD17" s="385"/>
      <c r="AE17" s="385"/>
      <c r="AF17" s="385"/>
      <c r="AG17" s="385"/>
      <c r="AH17" s="385"/>
      <c r="AI17" s="385"/>
      <c r="AJ17" s="385"/>
      <c r="AK17" s="385"/>
      <c r="AL17" s="385"/>
      <c r="AM17" s="385"/>
      <c r="AN17" s="385"/>
      <c r="AO17" s="385"/>
      <c r="AP17" s="385"/>
      <c r="AQ17" s="385"/>
      <c r="AR17" s="385"/>
      <c r="AS17" s="385"/>
      <c r="AT17" s="385"/>
      <c r="AU17" s="385"/>
      <c r="AV17" s="385"/>
      <c r="AW17" s="385"/>
      <c r="AX17" s="385"/>
      <c r="AY17" s="385"/>
      <c r="AZ17" s="385"/>
      <c r="BA17" s="385"/>
      <c r="BB17" s="385"/>
      <c r="BC17" s="385"/>
      <c r="BD17" s="385"/>
      <c r="BE17" s="385"/>
      <c r="BF17" s="385"/>
      <c r="BG17" s="385"/>
      <c r="BH17" s="385"/>
      <c r="BI17" s="385"/>
      <c r="BJ17" s="385"/>
      <c r="BK17" s="385"/>
      <c r="BL17" s="385"/>
      <c r="BM17" s="385"/>
      <c r="BN17" s="385"/>
      <c r="BO17" s="385"/>
      <c r="BP17" s="385"/>
      <c r="BQ17" s="385"/>
      <c r="BR17" s="385"/>
      <c r="BS17" s="385"/>
      <c r="BT17" s="385"/>
      <c r="BU17" s="385"/>
      <c r="BV17" s="385"/>
      <c r="BW17" s="385"/>
      <c r="BX17" s="385"/>
      <c r="BY17" s="385"/>
      <c r="BZ17" s="385"/>
      <c r="CA17" s="385"/>
      <c r="CB17" s="385"/>
      <c r="CC17" s="385"/>
      <c r="CD17" s="385"/>
      <c r="CE17" s="385"/>
      <c r="CF17" s="385"/>
      <c r="CG17" s="385"/>
      <c r="CH17" s="385"/>
      <c r="CI17" s="385"/>
      <c r="CJ17" s="385"/>
      <c r="CK17" s="385"/>
      <c r="CL17" s="385"/>
    </row>
    <row r="18" spans="2:90" ht="12.75" customHeight="1" x14ac:dyDescent="0.15">
      <c r="B18" s="57"/>
      <c r="C18" s="57"/>
      <c r="D18" s="58"/>
      <c r="E18" s="59"/>
      <c r="F18" s="106"/>
      <c r="G18" s="106"/>
      <c r="H18" s="106"/>
      <c r="I18" s="106"/>
      <c r="J18" s="65"/>
      <c r="K18" s="392"/>
      <c r="L18" s="65"/>
      <c r="M18" s="65"/>
      <c r="N18" s="65"/>
      <c r="O18" s="386"/>
      <c r="P18" s="386"/>
      <c r="Q18" s="386"/>
      <c r="R18" s="386"/>
      <c r="S18" s="386"/>
      <c r="T18" s="386"/>
      <c r="U18" s="386"/>
      <c r="V18" s="386"/>
      <c r="W18" s="386"/>
      <c r="X18" s="386"/>
      <c r="Y18" s="386"/>
      <c r="Z18" s="386"/>
      <c r="AA18" s="386"/>
      <c r="AB18" s="386"/>
      <c r="AC18" s="386"/>
      <c r="AD18" s="386"/>
      <c r="AE18" s="386"/>
      <c r="AF18" s="386"/>
      <c r="AG18" s="386"/>
      <c r="AH18" s="386"/>
      <c r="AI18" s="386"/>
      <c r="AJ18" s="386"/>
      <c r="AK18" s="386"/>
      <c r="AL18" s="386"/>
      <c r="AM18" s="386"/>
      <c r="AN18" s="386"/>
      <c r="AO18" s="386"/>
      <c r="AP18" s="386"/>
      <c r="AQ18" s="386"/>
      <c r="AR18" s="386"/>
      <c r="AS18" s="386"/>
      <c r="AT18" s="386"/>
      <c r="AU18" s="386"/>
      <c r="AV18" s="386"/>
      <c r="AW18" s="386"/>
      <c r="AX18" s="386"/>
      <c r="AY18" s="386"/>
      <c r="AZ18" s="386"/>
      <c r="BA18" s="386"/>
      <c r="BB18" s="386"/>
      <c r="BC18" s="386"/>
      <c r="BD18" s="386"/>
      <c r="BE18" s="386"/>
      <c r="BF18" s="386"/>
      <c r="BG18" s="386"/>
      <c r="BH18" s="386"/>
      <c r="BI18" s="386"/>
      <c r="BJ18" s="386"/>
      <c r="BK18" s="386"/>
      <c r="BL18" s="386"/>
      <c r="BM18" s="386"/>
      <c r="BN18" s="386"/>
      <c r="BO18" s="386"/>
      <c r="BP18" s="386"/>
      <c r="BQ18" s="386"/>
      <c r="BR18" s="386"/>
      <c r="BS18" s="386"/>
      <c r="BT18" s="386"/>
      <c r="BU18" s="386"/>
      <c r="BV18" s="386"/>
      <c r="BW18" s="386"/>
      <c r="BX18" s="386"/>
      <c r="BY18" s="386"/>
      <c r="BZ18" s="386"/>
      <c r="CA18" s="386"/>
      <c r="CB18" s="386"/>
      <c r="CC18" s="386"/>
      <c r="CD18" s="386"/>
      <c r="CE18" s="386"/>
      <c r="CF18" s="386"/>
      <c r="CG18" s="386"/>
      <c r="CH18" s="386"/>
      <c r="CI18" s="386"/>
      <c r="CJ18" s="386"/>
      <c r="CK18" s="386"/>
      <c r="CL18" s="386"/>
    </row>
    <row r="19" spans="2:90" ht="12.75" customHeight="1" x14ac:dyDescent="0.15">
      <c r="B19" s="57"/>
      <c r="C19" s="57"/>
      <c r="D19" s="58"/>
      <c r="E19" s="59"/>
      <c r="F19" s="63"/>
      <c r="G19" s="63"/>
      <c r="H19" s="63"/>
      <c r="I19" s="63"/>
      <c r="J19" s="65"/>
      <c r="K19" s="392"/>
      <c r="L19" s="65"/>
      <c r="M19" s="65"/>
      <c r="N19" s="65"/>
      <c r="O19" s="386"/>
      <c r="P19" s="386"/>
      <c r="Q19" s="386"/>
      <c r="R19" s="386"/>
      <c r="S19" s="386"/>
      <c r="T19" s="386"/>
      <c r="U19" s="386"/>
      <c r="V19" s="386"/>
      <c r="W19" s="386"/>
      <c r="X19" s="386"/>
      <c r="Y19" s="386"/>
      <c r="Z19" s="386"/>
      <c r="AA19" s="386"/>
      <c r="AB19" s="386"/>
      <c r="AC19" s="386"/>
      <c r="AD19" s="386"/>
      <c r="AE19" s="386"/>
      <c r="AF19" s="386"/>
      <c r="AG19" s="386"/>
      <c r="AH19" s="386"/>
      <c r="AI19" s="386"/>
      <c r="AJ19" s="386"/>
      <c r="AK19" s="386"/>
      <c r="AL19" s="386"/>
      <c r="AM19" s="386"/>
      <c r="AN19" s="386"/>
      <c r="AO19" s="386"/>
      <c r="AP19" s="386"/>
      <c r="AQ19" s="386"/>
      <c r="AR19" s="386"/>
      <c r="AS19" s="386"/>
      <c r="AT19" s="386"/>
      <c r="AU19" s="386"/>
      <c r="AV19" s="386"/>
      <c r="AW19" s="386"/>
      <c r="AX19" s="386"/>
      <c r="AY19" s="386"/>
      <c r="AZ19" s="386"/>
      <c r="BA19" s="386"/>
      <c r="BB19" s="386"/>
      <c r="BC19" s="386"/>
      <c r="BD19" s="386"/>
      <c r="BE19" s="386"/>
      <c r="BF19" s="386"/>
      <c r="BG19" s="386"/>
      <c r="BH19" s="386"/>
      <c r="BI19" s="386"/>
      <c r="BJ19" s="386"/>
      <c r="BK19" s="386"/>
      <c r="BL19" s="386"/>
      <c r="BM19" s="386"/>
      <c r="BN19" s="386"/>
      <c r="BO19" s="386"/>
      <c r="BP19" s="386"/>
      <c r="BQ19" s="386"/>
      <c r="BR19" s="386"/>
      <c r="BS19" s="386"/>
      <c r="BT19" s="386"/>
      <c r="BU19" s="386"/>
      <c r="BV19" s="386"/>
      <c r="BW19" s="386"/>
      <c r="BX19" s="386"/>
      <c r="BY19" s="386"/>
      <c r="BZ19" s="386"/>
      <c r="CA19" s="386"/>
      <c r="CB19" s="386"/>
      <c r="CC19" s="386"/>
      <c r="CD19" s="386"/>
      <c r="CE19" s="386"/>
      <c r="CF19" s="386"/>
      <c r="CG19" s="386"/>
      <c r="CH19" s="386"/>
      <c r="CI19" s="386"/>
      <c r="CJ19" s="386"/>
      <c r="CK19" s="386"/>
      <c r="CL19" s="386"/>
    </row>
    <row r="20" spans="2:90" ht="12.75" customHeight="1" x14ac:dyDescent="0.15">
      <c r="B20" s="57"/>
      <c r="C20" s="57"/>
      <c r="D20" s="58"/>
      <c r="E20" s="59"/>
      <c r="F20" s="65"/>
      <c r="G20" s="65"/>
      <c r="H20" s="65"/>
      <c r="I20" s="65"/>
      <c r="J20" s="65"/>
      <c r="K20" s="392"/>
      <c r="L20" s="65"/>
      <c r="M20" s="65"/>
      <c r="N20" s="65"/>
      <c r="O20" s="385"/>
      <c r="P20" s="385"/>
      <c r="Q20" s="385"/>
      <c r="R20" s="385"/>
      <c r="S20" s="385"/>
      <c r="T20" s="385"/>
      <c r="U20" s="385"/>
      <c r="V20" s="385"/>
      <c r="W20" s="385"/>
      <c r="X20" s="385"/>
      <c r="Y20" s="385"/>
      <c r="Z20" s="385"/>
      <c r="AA20" s="385"/>
      <c r="AB20" s="385"/>
      <c r="AC20" s="385"/>
      <c r="AD20" s="385"/>
      <c r="AE20" s="385"/>
      <c r="AF20" s="385"/>
      <c r="AG20" s="385"/>
      <c r="AH20" s="385"/>
      <c r="AI20" s="385"/>
      <c r="AJ20" s="385"/>
      <c r="AK20" s="385"/>
      <c r="AL20" s="385"/>
      <c r="AM20" s="385"/>
      <c r="AN20" s="385"/>
      <c r="AO20" s="385"/>
      <c r="AP20" s="385"/>
      <c r="AQ20" s="385"/>
      <c r="AR20" s="385"/>
      <c r="AS20" s="385"/>
      <c r="AT20" s="385"/>
      <c r="AU20" s="385"/>
      <c r="AV20" s="385"/>
      <c r="AW20" s="385"/>
      <c r="AX20" s="385"/>
      <c r="AY20" s="385"/>
      <c r="AZ20" s="385"/>
      <c r="BA20" s="385"/>
      <c r="BB20" s="385"/>
      <c r="BC20" s="385"/>
      <c r="BD20" s="385"/>
      <c r="BE20" s="385"/>
      <c r="BF20" s="385"/>
      <c r="BG20" s="385"/>
      <c r="BH20" s="385"/>
      <c r="BI20" s="385"/>
      <c r="BJ20" s="385"/>
      <c r="BK20" s="385"/>
      <c r="BL20" s="385"/>
      <c r="BM20" s="385"/>
      <c r="BN20" s="385"/>
      <c r="BO20" s="385"/>
      <c r="BP20" s="385"/>
      <c r="BQ20" s="385"/>
      <c r="BR20" s="385"/>
      <c r="BS20" s="385"/>
      <c r="BT20" s="385"/>
      <c r="BU20" s="385"/>
      <c r="BV20" s="385"/>
      <c r="BW20" s="385"/>
      <c r="BX20" s="385"/>
      <c r="BY20" s="385"/>
      <c r="BZ20" s="385"/>
      <c r="CA20" s="385"/>
      <c r="CB20" s="385"/>
      <c r="CC20" s="385"/>
      <c r="CD20" s="385"/>
      <c r="CE20" s="385"/>
      <c r="CF20" s="385"/>
      <c r="CG20" s="385"/>
      <c r="CH20" s="385"/>
      <c r="CI20" s="385"/>
      <c r="CJ20" s="385"/>
      <c r="CK20" s="385"/>
      <c r="CL20" s="385"/>
    </row>
    <row r="21" spans="2:90" ht="12.75" customHeight="1" x14ac:dyDescent="0.15">
      <c r="B21" s="57"/>
      <c r="C21" s="57"/>
      <c r="D21" s="58"/>
      <c r="E21" s="59"/>
      <c r="F21" s="65"/>
      <c r="G21" s="65"/>
      <c r="H21" s="65"/>
      <c r="I21" s="65"/>
      <c r="J21" s="65"/>
      <c r="K21" s="392"/>
      <c r="L21" s="65"/>
      <c r="M21" s="65"/>
      <c r="N21" s="65"/>
      <c r="O21" s="385"/>
      <c r="P21" s="385"/>
      <c r="Q21" s="385"/>
      <c r="R21" s="385"/>
      <c r="S21" s="385"/>
      <c r="T21" s="385"/>
      <c r="U21" s="385"/>
      <c r="V21" s="385"/>
      <c r="W21" s="385"/>
      <c r="X21" s="385"/>
      <c r="Y21" s="385"/>
      <c r="Z21" s="385"/>
      <c r="AA21" s="385"/>
      <c r="AB21" s="385"/>
      <c r="AC21" s="385"/>
      <c r="AD21" s="385"/>
      <c r="AE21" s="385"/>
      <c r="AF21" s="385"/>
      <c r="AG21" s="385"/>
      <c r="AH21" s="385"/>
      <c r="AI21" s="385"/>
      <c r="AJ21" s="385"/>
      <c r="AK21" s="385"/>
      <c r="AL21" s="385"/>
      <c r="AM21" s="385"/>
      <c r="AN21" s="385"/>
      <c r="AO21" s="385"/>
      <c r="AP21" s="385"/>
      <c r="AQ21" s="385"/>
      <c r="AR21" s="385"/>
      <c r="AS21" s="385"/>
      <c r="AT21" s="385"/>
      <c r="AU21" s="385"/>
      <c r="AV21" s="385"/>
      <c r="AW21" s="385"/>
      <c r="AX21" s="385"/>
      <c r="AY21" s="385"/>
      <c r="AZ21" s="385"/>
      <c r="BA21" s="385"/>
      <c r="BB21" s="385"/>
      <c r="BC21" s="385"/>
      <c r="BD21" s="385"/>
      <c r="BE21" s="385"/>
      <c r="BF21" s="385"/>
      <c r="BG21" s="385"/>
      <c r="BH21" s="385"/>
      <c r="BI21" s="385"/>
      <c r="BJ21" s="385"/>
      <c r="BK21" s="385"/>
      <c r="BL21" s="385"/>
      <c r="BM21" s="385"/>
      <c r="BN21" s="385"/>
      <c r="BO21" s="385"/>
      <c r="BP21" s="385"/>
      <c r="BQ21" s="385"/>
      <c r="BR21" s="385"/>
      <c r="BS21" s="385"/>
      <c r="BT21" s="385"/>
      <c r="BU21" s="385"/>
      <c r="BV21" s="385"/>
      <c r="BW21" s="385"/>
      <c r="BX21" s="385"/>
      <c r="BY21" s="385"/>
      <c r="BZ21" s="385"/>
      <c r="CA21" s="385"/>
      <c r="CB21" s="385"/>
      <c r="CC21" s="385"/>
      <c r="CD21" s="385"/>
      <c r="CE21" s="385"/>
      <c r="CF21" s="385"/>
      <c r="CG21" s="385"/>
      <c r="CH21" s="385"/>
      <c r="CI21" s="385"/>
      <c r="CJ21" s="385"/>
      <c r="CK21" s="385"/>
      <c r="CL21" s="385"/>
    </row>
    <row r="22" spans="2:90" ht="12.75" customHeight="1" x14ac:dyDescent="0.15">
      <c r="B22" s="57"/>
      <c r="C22" s="57"/>
      <c r="D22" s="58"/>
      <c r="E22" s="59"/>
      <c r="F22" s="63"/>
      <c r="G22" s="63"/>
      <c r="H22" s="63"/>
      <c r="I22" s="63"/>
      <c r="J22" s="65"/>
      <c r="K22" s="392"/>
      <c r="L22" s="65"/>
      <c r="M22" s="65"/>
      <c r="N22" s="65"/>
      <c r="O22" s="386"/>
      <c r="P22" s="386"/>
      <c r="Q22" s="386"/>
      <c r="R22" s="386"/>
      <c r="S22" s="386"/>
      <c r="T22" s="386"/>
      <c r="U22" s="386"/>
      <c r="V22" s="386"/>
      <c r="W22" s="386"/>
      <c r="X22" s="386"/>
      <c r="Y22" s="386"/>
      <c r="Z22" s="386"/>
      <c r="AA22" s="386"/>
      <c r="AB22" s="386"/>
      <c r="AC22" s="386"/>
      <c r="AD22" s="386"/>
      <c r="AE22" s="386"/>
      <c r="AF22" s="386"/>
      <c r="AG22" s="386"/>
      <c r="AH22" s="386"/>
      <c r="AI22" s="386"/>
      <c r="AJ22" s="386"/>
      <c r="AK22" s="386"/>
      <c r="AL22" s="386"/>
      <c r="AM22" s="386"/>
      <c r="AN22" s="386"/>
      <c r="AO22" s="386"/>
      <c r="AP22" s="386"/>
      <c r="AQ22" s="386"/>
      <c r="AR22" s="386"/>
      <c r="AS22" s="386"/>
      <c r="AT22" s="386"/>
      <c r="AU22" s="386"/>
      <c r="AV22" s="386"/>
      <c r="AW22" s="386"/>
      <c r="AX22" s="386"/>
      <c r="AY22" s="386"/>
      <c r="AZ22" s="386"/>
      <c r="BA22" s="386"/>
      <c r="BB22" s="386"/>
      <c r="BC22" s="386"/>
      <c r="BD22" s="386"/>
      <c r="BE22" s="386"/>
      <c r="BF22" s="386"/>
      <c r="BG22" s="386"/>
      <c r="BH22" s="386"/>
      <c r="BI22" s="386"/>
      <c r="BJ22" s="386"/>
      <c r="BK22" s="386"/>
      <c r="BL22" s="386"/>
      <c r="BM22" s="386"/>
      <c r="BN22" s="386"/>
      <c r="BO22" s="386"/>
      <c r="BP22" s="386"/>
      <c r="BQ22" s="386"/>
      <c r="BR22" s="386"/>
      <c r="BS22" s="386"/>
      <c r="BT22" s="386"/>
      <c r="BU22" s="386"/>
      <c r="BV22" s="386"/>
      <c r="BW22" s="386"/>
      <c r="BX22" s="386"/>
      <c r="BY22" s="386"/>
      <c r="BZ22" s="386"/>
      <c r="CA22" s="386"/>
      <c r="CB22" s="386"/>
      <c r="CC22" s="386"/>
      <c r="CD22" s="386"/>
      <c r="CE22" s="386"/>
      <c r="CF22" s="386"/>
      <c r="CG22" s="386"/>
      <c r="CH22" s="386"/>
      <c r="CI22" s="386"/>
      <c r="CJ22" s="386"/>
      <c r="CK22" s="386"/>
      <c r="CL22" s="386"/>
    </row>
    <row r="23" spans="2:90" ht="12.75" customHeight="1" x14ac:dyDescent="0.15">
      <c r="B23" s="57"/>
      <c r="C23" s="57"/>
      <c r="D23" s="58"/>
      <c r="E23" s="59"/>
      <c r="F23" s="63"/>
      <c r="G23" s="63"/>
      <c r="H23" s="63"/>
      <c r="I23" s="63"/>
      <c r="J23" s="65"/>
      <c r="K23" s="392"/>
      <c r="L23" s="65"/>
      <c r="M23" s="65"/>
      <c r="N23" s="65"/>
      <c r="O23" s="386"/>
      <c r="P23" s="386"/>
      <c r="Q23" s="386"/>
      <c r="R23" s="386"/>
      <c r="S23" s="386"/>
      <c r="T23" s="386"/>
      <c r="U23" s="386"/>
      <c r="V23" s="386"/>
      <c r="W23" s="386"/>
      <c r="X23" s="386"/>
      <c r="Y23" s="386"/>
      <c r="Z23" s="386"/>
      <c r="AA23" s="386"/>
      <c r="AB23" s="386"/>
      <c r="AC23" s="386"/>
      <c r="AD23" s="386"/>
      <c r="AE23" s="386"/>
      <c r="AF23" s="386"/>
      <c r="AG23" s="386"/>
      <c r="AH23" s="386"/>
      <c r="AI23" s="386"/>
      <c r="AJ23" s="386"/>
      <c r="AK23" s="386"/>
      <c r="AL23" s="386"/>
      <c r="AM23" s="386"/>
      <c r="AN23" s="386"/>
      <c r="AO23" s="386"/>
      <c r="AP23" s="386"/>
      <c r="AQ23" s="386"/>
      <c r="AR23" s="386"/>
      <c r="AS23" s="386"/>
      <c r="AT23" s="386"/>
      <c r="AU23" s="386"/>
      <c r="AV23" s="386"/>
      <c r="AW23" s="386"/>
      <c r="AX23" s="386"/>
      <c r="AY23" s="386"/>
      <c r="AZ23" s="386"/>
      <c r="BA23" s="386"/>
      <c r="BB23" s="386"/>
      <c r="BC23" s="386"/>
      <c r="BD23" s="386"/>
      <c r="BE23" s="386"/>
      <c r="BF23" s="386"/>
      <c r="BG23" s="386"/>
      <c r="BH23" s="386"/>
      <c r="BI23" s="386"/>
      <c r="BJ23" s="386"/>
      <c r="BK23" s="386"/>
      <c r="BL23" s="386"/>
      <c r="BM23" s="386"/>
      <c r="BN23" s="386"/>
      <c r="BO23" s="386"/>
      <c r="BP23" s="386"/>
      <c r="BQ23" s="386"/>
      <c r="BR23" s="386"/>
      <c r="BS23" s="386"/>
      <c r="BT23" s="386"/>
      <c r="BU23" s="386"/>
      <c r="BV23" s="386"/>
      <c r="BW23" s="386"/>
      <c r="BX23" s="386"/>
      <c r="BY23" s="386"/>
      <c r="BZ23" s="386"/>
      <c r="CA23" s="386"/>
      <c r="CB23" s="386"/>
      <c r="CC23" s="386"/>
      <c r="CD23" s="386"/>
      <c r="CE23" s="386"/>
      <c r="CF23" s="386"/>
      <c r="CG23" s="386"/>
      <c r="CH23" s="386"/>
      <c r="CI23" s="386"/>
      <c r="CJ23" s="386"/>
      <c r="CK23" s="386"/>
      <c r="CL23" s="386"/>
    </row>
    <row r="24" spans="2:90" ht="12.75" customHeight="1" x14ac:dyDescent="0.15">
      <c r="B24" s="57"/>
      <c r="C24" s="57"/>
      <c r="D24" s="58"/>
      <c r="E24" s="59"/>
      <c r="F24" s="63"/>
      <c r="G24" s="63"/>
      <c r="H24" s="63"/>
      <c r="I24" s="63"/>
      <c r="J24" s="65"/>
      <c r="K24" s="392"/>
      <c r="L24" s="65"/>
      <c r="M24" s="65"/>
      <c r="N24" s="65"/>
      <c r="O24" s="386"/>
      <c r="P24" s="386"/>
      <c r="Q24" s="386"/>
      <c r="R24" s="386"/>
      <c r="S24" s="386"/>
      <c r="T24" s="386"/>
      <c r="U24" s="386"/>
      <c r="V24" s="386"/>
      <c r="W24" s="386"/>
      <c r="X24" s="386"/>
      <c r="Y24" s="386"/>
      <c r="Z24" s="386"/>
      <c r="AA24" s="386"/>
      <c r="AB24" s="386"/>
      <c r="AC24" s="386"/>
      <c r="AD24" s="386"/>
      <c r="AE24" s="386"/>
      <c r="AF24" s="386"/>
      <c r="AG24" s="386"/>
      <c r="AH24" s="386"/>
      <c r="AI24" s="386"/>
      <c r="AJ24" s="386"/>
      <c r="AK24" s="386"/>
      <c r="AL24" s="386"/>
      <c r="AM24" s="386"/>
      <c r="AN24" s="386"/>
      <c r="AO24" s="386"/>
      <c r="AP24" s="386"/>
      <c r="AQ24" s="386"/>
      <c r="AR24" s="386"/>
      <c r="AS24" s="386"/>
      <c r="AT24" s="386"/>
      <c r="AU24" s="386"/>
      <c r="AV24" s="386"/>
      <c r="AW24" s="386"/>
      <c r="AX24" s="386"/>
      <c r="AY24" s="386"/>
      <c r="AZ24" s="386"/>
      <c r="BA24" s="386"/>
      <c r="BB24" s="386"/>
      <c r="BC24" s="386"/>
      <c r="BD24" s="386"/>
      <c r="BE24" s="386"/>
      <c r="BF24" s="386"/>
      <c r="BG24" s="386"/>
      <c r="BH24" s="386"/>
      <c r="BI24" s="386"/>
      <c r="BJ24" s="386"/>
      <c r="BK24" s="386"/>
      <c r="BL24" s="386"/>
      <c r="BM24" s="386"/>
      <c r="BN24" s="386"/>
      <c r="BO24" s="386"/>
      <c r="BP24" s="386"/>
      <c r="BQ24" s="386"/>
      <c r="BR24" s="386"/>
      <c r="BS24" s="386"/>
      <c r="BT24" s="386"/>
      <c r="BU24" s="386"/>
      <c r="BV24" s="386"/>
      <c r="BW24" s="386"/>
      <c r="BX24" s="386"/>
      <c r="BY24" s="386"/>
      <c r="BZ24" s="386"/>
      <c r="CA24" s="386"/>
      <c r="CB24" s="386"/>
      <c r="CC24" s="386"/>
      <c r="CD24" s="386"/>
      <c r="CE24" s="386"/>
      <c r="CF24" s="386"/>
      <c r="CG24" s="386"/>
      <c r="CH24" s="386"/>
      <c r="CI24" s="386"/>
      <c r="CJ24" s="386"/>
      <c r="CK24" s="386"/>
      <c r="CL24" s="386"/>
    </row>
    <row r="25" spans="2:90" ht="12.75" customHeight="1" x14ac:dyDescent="0.15">
      <c r="B25" s="57"/>
      <c r="C25" s="57"/>
      <c r="D25" s="58"/>
      <c r="E25" s="59"/>
      <c r="F25" s="63"/>
      <c r="G25" s="63"/>
      <c r="H25" s="63"/>
      <c r="I25" s="63"/>
      <c r="J25" s="65"/>
      <c r="K25" s="392"/>
      <c r="L25" s="65"/>
      <c r="M25" s="65"/>
      <c r="N25" s="65"/>
      <c r="O25" s="386"/>
      <c r="P25" s="386"/>
      <c r="Q25" s="386"/>
      <c r="R25" s="386"/>
      <c r="S25" s="386"/>
      <c r="T25" s="386"/>
      <c r="U25" s="386"/>
      <c r="V25" s="386"/>
      <c r="W25" s="386"/>
      <c r="X25" s="386"/>
      <c r="Y25" s="386"/>
      <c r="Z25" s="386"/>
      <c r="AA25" s="386"/>
      <c r="AB25" s="386"/>
      <c r="AC25" s="386"/>
      <c r="AD25" s="386"/>
      <c r="AE25" s="386"/>
      <c r="AF25" s="386"/>
      <c r="AG25" s="386"/>
      <c r="AH25" s="386"/>
      <c r="AI25" s="386"/>
      <c r="AJ25" s="386"/>
      <c r="AK25" s="386"/>
      <c r="AL25" s="386"/>
      <c r="AM25" s="386"/>
      <c r="AN25" s="386"/>
      <c r="AO25" s="386"/>
      <c r="AP25" s="386"/>
      <c r="AQ25" s="386"/>
      <c r="AR25" s="386"/>
      <c r="AS25" s="386"/>
      <c r="AT25" s="386"/>
      <c r="AU25" s="386"/>
      <c r="AV25" s="386"/>
      <c r="AW25" s="386"/>
      <c r="AX25" s="386"/>
      <c r="AY25" s="386"/>
      <c r="AZ25" s="386"/>
      <c r="BA25" s="386"/>
      <c r="BB25" s="386"/>
      <c r="BC25" s="386"/>
      <c r="BD25" s="386"/>
      <c r="BE25" s="386"/>
      <c r="BF25" s="386"/>
      <c r="BG25" s="386"/>
      <c r="BH25" s="386"/>
      <c r="BI25" s="386"/>
      <c r="BJ25" s="386"/>
      <c r="BK25" s="386"/>
      <c r="BL25" s="386"/>
      <c r="BM25" s="386"/>
      <c r="BN25" s="386"/>
      <c r="BO25" s="386"/>
      <c r="BP25" s="386"/>
      <c r="BQ25" s="386"/>
      <c r="BR25" s="386"/>
      <c r="BS25" s="386"/>
      <c r="BT25" s="386"/>
      <c r="BU25" s="386"/>
      <c r="BV25" s="386"/>
      <c r="BW25" s="386"/>
      <c r="BX25" s="386"/>
      <c r="BY25" s="386"/>
      <c r="BZ25" s="386"/>
      <c r="CA25" s="386"/>
      <c r="CB25" s="386"/>
      <c r="CC25" s="386"/>
      <c r="CD25" s="386"/>
      <c r="CE25" s="386"/>
      <c r="CF25" s="386"/>
      <c r="CG25" s="386"/>
      <c r="CH25" s="386"/>
      <c r="CI25" s="386"/>
      <c r="CJ25" s="386"/>
      <c r="CK25" s="386"/>
      <c r="CL25" s="386"/>
    </row>
    <row r="26" spans="2:90" ht="12.75" customHeight="1" x14ac:dyDescent="0.15">
      <c r="B26" s="57"/>
      <c r="C26" s="57"/>
      <c r="D26" s="58"/>
      <c r="E26" s="59"/>
      <c r="F26" s="63"/>
      <c r="G26" s="63"/>
      <c r="H26" s="63"/>
      <c r="I26" s="63"/>
      <c r="J26" s="65"/>
      <c r="K26" s="392"/>
      <c r="L26" s="65"/>
      <c r="M26" s="65"/>
      <c r="N26" s="65"/>
      <c r="O26" s="386"/>
      <c r="P26" s="386"/>
      <c r="Q26" s="386"/>
      <c r="R26" s="386"/>
      <c r="S26" s="386"/>
      <c r="T26" s="386"/>
      <c r="U26" s="386"/>
      <c r="V26" s="386"/>
      <c r="W26" s="386"/>
      <c r="X26" s="386"/>
      <c r="Y26" s="386"/>
      <c r="Z26" s="386"/>
      <c r="AA26" s="386"/>
      <c r="AB26" s="386"/>
      <c r="AC26" s="386"/>
      <c r="AD26" s="386"/>
      <c r="AE26" s="386"/>
      <c r="AF26" s="386"/>
      <c r="AG26" s="386"/>
      <c r="AH26" s="386"/>
      <c r="AI26" s="386"/>
      <c r="AJ26" s="386"/>
      <c r="AK26" s="386"/>
      <c r="AL26" s="386"/>
      <c r="AM26" s="386"/>
      <c r="AN26" s="386"/>
      <c r="AO26" s="386"/>
      <c r="AP26" s="386"/>
      <c r="AQ26" s="386"/>
      <c r="AR26" s="386"/>
      <c r="AS26" s="386"/>
      <c r="AT26" s="386"/>
      <c r="AU26" s="386"/>
      <c r="AV26" s="386"/>
      <c r="AW26" s="386"/>
      <c r="AX26" s="386"/>
      <c r="AY26" s="386"/>
      <c r="AZ26" s="386"/>
      <c r="BA26" s="386"/>
      <c r="BB26" s="386"/>
      <c r="BC26" s="386"/>
      <c r="BD26" s="386"/>
      <c r="BE26" s="386"/>
      <c r="BF26" s="386"/>
      <c r="BG26" s="386"/>
      <c r="BH26" s="386"/>
      <c r="BI26" s="386"/>
      <c r="BJ26" s="386"/>
      <c r="BK26" s="386"/>
      <c r="BL26" s="386"/>
      <c r="BM26" s="386"/>
      <c r="BN26" s="386"/>
      <c r="BO26" s="386"/>
      <c r="BP26" s="386"/>
      <c r="BQ26" s="386"/>
      <c r="BR26" s="386"/>
      <c r="BS26" s="386"/>
      <c r="BT26" s="386"/>
      <c r="BU26" s="386"/>
      <c r="BV26" s="386"/>
      <c r="BW26" s="386"/>
      <c r="BX26" s="386"/>
      <c r="BY26" s="386"/>
      <c r="BZ26" s="386"/>
      <c r="CA26" s="386"/>
      <c r="CB26" s="386"/>
      <c r="CC26" s="386"/>
      <c r="CD26" s="386"/>
      <c r="CE26" s="386"/>
      <c r="CF26" s="386"/>
      <c r="CG26" s="386"/>
      <c r="CH26" s="386"/>
      <c r="CI26" s="386"/>
      <c r="CJ26" s="386"/>
      <c r="CK26" s="386"/>
      <c r="CL26" s="386"/>
    </row>
    <row r="27" spans="2:90" ht="12.75" customHeight="1" x14ac:dyDescent="0.15">
      <c r="B27" s="57"/>
      <c r="C27" s="57"/>
      <c r="D27" s="58"/>
      <c r="E27" s="59"/>
      <c r="F27" s="63"/>
      <c r="G27" s="63"/>
      <c r="H27" s="63"/>
      <c r="I27" s="63"/>
      <c r="J27" s="65"/>
      <c r="K27" s="392"/>
      <c r="L27" s="65"/>
      <c r="M27" s="65"/>
      <c r="N27" s="65"/>
      <c r="O27" s="386"/>
      <c r="P27" s="386"/>
      <c r="Q27" s="386"/>
      <c r="R27" s="386"/>
      <c r="S27" s="386"/>
      <c r="T27" s="386"/>
      <c r="U27" s="386"/>
      <c r="V27" s="386"/>
      <c r="W27" s="386"/>
      <c r="X27" s="386"/>
      <c r="Y27" s="386"/>
      <c r="Z27" s="386"/>
      <c r="AA27" s="386"/>
      <c r="AB27" s="386"/>
      <c r="AC27" s="386"/>
      <c r="AD27" s="386"/>
      <c r="AE27" s="386"/>
      <c r="AF27" s="386"/>
      <c r="AG27" s="386"/>
      <c r="AH27" s="386"/>
      <c r="AI27" s="386"/>
      <c r="AJ27" s="386"/>
      <c r="AK27" s="386"/>
      <c r="AL27" s="386"/>
      <c r="AM27" s="386"/>
      <c r="AN27" s="386"/>
      <c r="AO27" s="386"/>
      <c r="AP27" s="386"/>
      <c r="AQ27" s="386"/>
      <c r="AR27" s="386"/>
      <c r="AS27" s="386"/>
      <c r="AT27" s="386"/>
      <c r="AU27" s="386"/>
      <c r="AV27" s="386"/>
      <c r="AW27" s="386"/>
      <c r="AX27" s="386"/>
      <c r="AY27" s="386"/>
      <c r="AZ27" s="386"/>
      <c r="BA27" s="386"/>
      <c r="BB27" s="386"/>
      <c r="BC27" s="386"/>
      <c r="BD27" s="386"/>
      <c r="BE27" s="386"/>
      <c r="BF27" s="386"/>
      <c r="BG27" s="386"/>
      <c r="BH27" s="386"/>
      <c r="BI27" s="386"/>
      <c r="BJ27" s="386"/>
      <c r="BK27" s="386"/>
      <c r="BL27" s="386"/>
      <c r="BM27" s="386"/>
      <c r="BN27" s="386"/>
      <c r="BO27" s="386"/>
      <c r="BP27" s="386"/>
      <c r="BQ27" s="386"/>
      <c r="BR27" s="386"/>
      <c r="BS27" s="386"/>
      <c r="BT27" s="386"/>
      <c r="BU27" s="386"/>
      <c r="BV27" s="386"/>
      <c r="BW27" s="386"/>
      <c r="BX27" s="386"/>
      <c r="BY27" s="386"/>
      <c r="BZ27" s="386"/>
      <c r="CA27" s="386"/>
      <c r="CB27" s="386"/>
      <c r="CC27" s="386"/>
      <c r="CD27" s="386"/>
      <c r="CE27" s="386"/>
      <c r="CF27" s="386"/>
      <c r="CG27" s="386"/>
      <c r="CH27" s="386"/>
      <c r="CI27" s="386"/>
      <c r="CJ27" s="386"/>
      <c r="CK27" s="386"/>
      <c r="CL27" s="386"/>
    </row>
    <row r="28" spans="2:90" ht="12.75" customHeight="1" x14ac:dyDescent="0.15">
      <c r="B28" s="57"/>
      <c r="C28" s="57"/>
      <c r="D28" s="58"/>
      <c r="E28" s="59"/>
      <c r="F28" s="63"/>
      <c r="G28" s="63"/>
      <c r="H28" s="63"/>
      <c r="I28" s="63"/>
      <c r="J28" s="65"/>
      <c r="K28" s="392"/>
      <c r="L28" s="65"/>
      <c r="M28" s="65"/>
      <c r="N28" s="65"/>
      <c r="O28" s="386"/>
      <c r="P28" s="386"/>
      <c r="Q28" s="386"/>
      <c r="R28" s="386"/>
      <c r="S28" s="386"/>
      <c r="T28" s="386"/>
      <c r="U28" s="386"/>
      <c r="V28" s="386"/>
      <c r="W28" s="386"/>
      <c r="X28" s="386"/>
      <c r="Y28" s="386"/>
      <c r="Z28" s="386"/>
      <c r="AA28" s="386"/>
      <c r="AB28" s="386"/>
      <c r="AC28" s="386"/>
      <c r="AD28" s="386"/>
      <c r="AE28" s="386"/>
      <c r="AF28" s="386"/>
      <c r="AG28" s="386"/>
      <c r="AH28" s="386"/>
      <c r="AI28" s="386"/>
      <c r="AJ28" s="386"/>
      <c r="AK28" s="386"/>
      <c r="AL28" s="386"/>
      <c r="AM28" s="386"/>
      <c r="AN28" s="386"/>
      <c r="AO28" s="386"/>
      <c r="AP28" s="386"/>
      <c r="AQ28" s="386"/>
      <c r="AR28" s="386"/>
      <c r="AS28" s="386"/>
      <c r="AT28" s="386"/>
      <c r="AU28" s="386"/>
      <c r="AV28" s="386"/>
      <c r="AW28" s="386"/>
      <c r="AX28" s="386"/>
      <c r="AY28" s="386"/>
      <c r="AZ28" s="386"/>
      <c r="BA28" s="386"/>
      <c r="BB28" s="386"/>
      <c r="BC28" s="386"/>
      <c r="BD28" s="386"/>
      <c r="BE28" s="386"/>
      <c r="BF28" s="386"/>
      <c r="BG28" s="386"/>
      <c r="BH28" s="386"/>
      <c r="BI28" s="386"/>
      <c r="BJ28" s="386"/>
      <c r="BK28" s="386"/>
      <c r="BL28" s="386"/>
      <c r="BM28" s="386"/>
      <c r="BN28" s="386"/>
      <c r="BO28" s="386"/>
      <c r="BP28" s="386"/>
      <c r="BQ28" s="386"/>
      <c r="BR28" s="386"/>
      <c r="BS28" s="386"/>
      <c r="BT28" s="386"/>
      <c r="BU28" s="386"/>
      <c r="BV28" s="386"/>
      <c r="BW28" s="386"/>
      <c r="BX28" s="386"/>
      <c r="BY28" s="386"/>
      <c r="BZ28" s="386"/>
      <c r="CA28" s="386"/>
      <c r="CB28" s="386"/>
      <c r="CC28" s="386"/>
      <c r="CD28" s="386"/>
      <c r="CE28" s="386"/>
      <c r="CF28" s="386"/>
      <c r="CG28" s="386"/>
      <c r="CH28" s="386"/>
      <c r="CI28" s="386"/>
      <c r="CJ28" s="386"/>
      <c r="CK28" s="386"/>
      <c r="CL28" s="386"/>
    </row>
    <row r="29" spans="2:90" ht="12.75" customHeight="1" x14ac:dyDescent="0.15">
      <c r="B29" s="57"/>
      <c r="C29" s="57"/>
      <c r="D29" s="58"/>
      <c r="E29" s="59"/>
      <c r="F29" s="63"/>
      <c r="G29" s="63"/>
      <c r="H29" s="63"/>
      <c r="I29" s="63"/>
      <c r="J29" s="65"/>
      <c r="K29" s="392"/>
      <c r="L29" s="65"/>
      <c r="M29" s="65"/>
      <c r="N29" s="65"/>
      <c r="O29" s="386"/>
      <c r="P29" s="386"/>
      <c r="Q29" s="386"/>
      <c r="R29" s="386"/>
      <c r="S29" s="386"/>
      <c r="T29" s="386"/>
      <c r="U29" s="386"/>
      <c r="V29" s="386"/>
      <c r="W29" s="386"/>
      <c r="X29" s="386"/>
      <c r="Y29" s="386"/>
      <c r="Z29" s="386"/>
      <c r="AA29" s="386"/>
      <c r="AB29" s="386"/>
      <c r="AC29" s="386"/>
      <c r="AD29" s="386"/>
      <c r="AE29" s="386"/>
      <c r="AF29" s="386"/>
      <c r="AG29" s="386"/>
      <c r="AH29" s="386"/>
      <c r="AI29" s="386"/>
      <c r="AJ29" s="386"/>
      <c r="AK29" s="386"/>
      <c r="AL29" s="386"/>
      <c r="AM29" s="386"/>
      <c r="AN29" s="386"/>
      <c r="AO29" s="386"/>
      <c r="AP29" s="386"/>
      <c r="AQ29" s="386"/>
      <c r="AR29" s="386"/>
      <c r="AS29" s="386"/>
      <c r="AT29" s="386"/>
      <c r="AU29" s="386"/>
      <c r="AV29" s="386"/>
      <c r="AW29" s="386"/>
      <c r="AX29" s="386"/>
      <c r="AY29" s="386"/>
      <c r="AZ29" s="386"/>
      <c r="BA29" s="386"/>
      <c r="BB29" s="386"/>
      <c r="BC29" s="386"/>
      <c r="BD29" s="386"/>
      <c r="BE29" s="386"/>
      <c r="BF29" s="386"/>
      <c r="BG29" s="386"/>
      <c r="BH29" s="386"/>
      <c r="BI29" s="386"/>
      <c r="BJ29" s="386"/>
      <c r="BK29" s="386"/>
      <c r="BL29" s="386"/>
      <c r="BM29" s="386"/>
      <c r="BN29" s="386"/>
      <c r="BO29" s="386"/>
      <c r="BP29" s="386"/>
      <c r="BQ29" s="386"/>
      <c r="BR29" s="386"/>
      <c r="BS29" s="386"/>
      <c r="BT29" s="386"/>
      <c r="BU29" s="386"/>
      <c r="BV29" s="386"/>
      <c r="BW29" s="386"/>
      <c r="BX29" s="386"/>
      <c r="BY29" s="386"/>
      <c r="BZ29" s="386"/>
      <c r="CA29" s="386"/>
      <c r="CB29" s="386"/>
      <c r="CC29" s="386"/>
      <c r="CD29" s="386"/>
      <c r="CE29" s="386"/>
      <c r="CF29" s="386"/>
      <c r="CG29" s="386"/>
      <c r="CH29" s="386"/>
      <c r="CI29" s="386"/>
      <c r="CJ29" s="386"/>
      <c r="CK29" s="386"/>
      <c r="CL29" s="386"/>
    </row>
    <row r="30" spans="2:90" ht="12.75" customHeight="1" x14ac:dyDescent="0.15">
      <c r="B30" s="57"/>
      <c r="C30" s="57"/>
      <c r="D30" s="58"/>
      <c r="E30" s="59"/>
      <c r="F30" s="63"/>
      <c r="G30" s="63"/>
      <c r="H30" s="63"/>
      <c r="I30" s="63"/>
      <c r="J30" s="65"/>
      <c r="K30" s="392"/>
      <c r="L30" s="65"/>
      <c r="M30" s="65"/>
      <c r="N30" s="65"/>
      <c r="O30" s="386"/>
      <c r="P30" s="386"/>
      <c r="Q30" s="386"/>
      <c r="R30" s="386"/>
      <c r="S30" s="386"/>
      <c r="T30" s="386"/>
      <c r="U30" s="386"/>
      <c r="V30" s="386"/>
      <c r="W30" s="386"/>
      <c r="X30" s="386"/>
      <c r="Y30" s="386"/>
      <c r="Z30" s="386"/>
      <c r="AA30" s="386"/>
      <c r="AB30" s="386"/>
      <c r="AC30" s="386"/>
      <c r="AD30" s="386"/>
      <c r="AE30" s="386"/>
      <c r="AF30" s="386"/>
      <c r="AG30" s="386"/>
      <c r="AH30" s="386"/>
      <c r="AI30" s="386"/>
      <c r="AJ30" s="386"/>
      <c r="AK30" s="386"/>
      <c r="AL30" s="386"/>
      <c r="AM30" s="386"/>
      <c r="AN30" s="386"/>
      <c r="AO30" s="386"/>
      <c r="AP30" s="386"/>
      <c r="AQ30" s="386"/>
      <c r="AR30" s="386"/>
      <c r="AS30" s="386"/>
      <c r="AT30" s="386"/>
      <c r="AU30" s="386"/>
      <c r="AV30" s="386"/>
      <c r="AW30" s="386"/>
      <c r="AX30" s="386"/>
      <c r="AY30" s="386"/>
      <c r="AZ30" s="386"/>
      <c r="BA30" s="386"/>
      <c r="BB30" s="386"/>
      <c r="BC30" s="386"/>
      <c r="BD30" s="386"/>
      <c r="BE30" s="386"/>
      <c r="BF30" s="386"/>
      <c r="BG30" s="386"/>
      <c r="BH30" s="386"/>
      <c r="BI30" s="386"/>
      <c r="BJ30" s="386"/>
      <c r="BK30" s="386"/>
      <c r="BL30" s="386"/>
      <c r="BM30" s="386"/>
      <c r="BN30" s="386"/>
      <c r="BO30" s="386"/>
      <c r="BP30" s="386"/>
      <c r="BQ30" s="386"/>
      <c r="BR30" s="386"/>
      <c r="BS30" s="386"/>
      <c r="BT30" s="386"/>
      <c r="BU30" s="386"/>
      <c r="BV30" s="386"/>
      <c r="BW30" s="386"/>
      <c r="BX30" s="386"/>
      <c r="BY30" s="386"/>
      <c r="BZ30" s="386"/>
      <c r="CA30" s="386"/>
      <c r="CB30" s="386"/>
      <c r="CC30" s="386"/>
      <c r="CD30" s="386"/>
      <c r="CE30" s="386"/>
      <c r="CF30" s="386"/>
      <c r="CG30" s="386"/>
      <c r="CH30" s="386"/>
      <c r="CI30" s="386"/>
      <c r="CJ30" s="386"/>
      <c r="CK30" s="386"/>
      <c r="CL30" s="386"/>
    </row>
    <row r="31" spans="2:90" ht="12.75" customHeight="1" x14ac:dyDescent="0.15">
      <c r="B31" s="57"/>
      <c r="C31" s="57"/>
      <c r="D31" s="58"/>
      <c r="E31" s="59"/>
      <c r="F31" s="63"/>
      <c r="G31" s="63"/>
      <c r="H31" s="63"/>
      <c r="I31" s="63"/>
      <c r="J31" s="65"/>
      <c r="K31" s="392"/>
      <c r="L31" s="65"/>
      <c r="M31" s="65"/>
      <c r="N31" s="65"/>
      <c r="O31" s="386"/>
      <c r="P31" s="386"/>
      <c r="Q31" s="386"/>
      <c r="R31" s="386"/>
      <c r="S31" s="386"/>
      <c r="T31" s="386"/>
      <c r="U31" s="386"/>
      <c r="V31" s="386"/>
      <c r="W31" s="386"/>
      <c r="X31" s="386"/>
      <c r="Y31" s="386"/>
      <c r="Z31" s="386"/>
      <c r="AA31" s="386"/>
      <c r="AB31" s="386"/>
      <c r="AC31" s="386"/>
      <c r="AD31" s="386"/>
      <c r="AE31" s="386"/>
      <c r="AF31" s="386"/>
      <c r="AG31" s="386"/>
      <c r="AH31" s="386"/>
      <c r="AI31" s="386"/>
      <c r="AJ31" s="386"/>
      <c r="AK31" s="386"/>
      <c r="AL31" s="386"/>
      <c r="AM31" s="386"/>
      <c r="AN31" s="386"/>
      <c r="AO31" s="386"/>
      <c r="AP31" s="386"/>
      <c r="AQ31" s="386"/>
      <c r="AR31" s="386"/>
      <c r="AS31" s="386"/>
      <c r="AT31" s="386"/>
      <c r="AU31" s="386"/>
      <c r="AV31" s="386"/>
      <c r="AW31" s="386"/>
      <c r="AX31" s="386"/>
      <c r="AY31" s="386"/>
      <c r="AZ31" s="386"/>
      <c r="BA31" s="386"/>
      <c r="BB31" s="386"/>
      <c r="BC31" s="386"/>
      <c r="BD31" s="386"/>
      <c r="BE31" s="386"/>
      <c r="BF31" s="386"/>
      <c r="BG31" s="386"/>
      <c r="BH31" s="386"/>
      <c r="BI31" s="386"/>
      <c r="BJ31" s="386"/>
      <c r="BK31" s="386"/>
      <c r="BL31" s="386"/>
      <c r="BM31" s="386"/>
      <c r="BN31" s="386"/>
      <c r="BO31" s="386"/>
      <c r="BP31" s="386"/>
      <c r="BQ31" s="386"/>
      <c r="BR31" s="386"/>
      <c r="BS31" s="386"/>
      <c r="BT31" s="386"/>
      <c r="BU31" s="386"/>
      <c r="BV31" s="386"/>
      <c r="BW31" s="386"/>
      <c r="BX31" s="386"/>
      <c r="BY31" s="386"/>
      <c r="BZ31" s="386"/>
      <c r="CA31" s="386"/>
      <c r="CB31" s="386"/>
      <c r="CC31" s="386"/>
      <c r="CD31" s="386"/>
      <c r="CE31" s="386"/>
      <c r="CF31" s="386"/>
      <c r="CG31" s="386"/>
      <c r="CH31" s="386"/>
      <c r="CI31" s="386"/>
      <c r="CJ31" s="386"/>
      <c r="CK31" s="386"/>
      <c r="CL31" s="386"/>
    </row>
    <row r="32" spans="2:90" ht="12.75" customHeight="1" x14ac:dyDescent="0.15">
      <c r="B32" s="57"/>
      <c r="C32" s="57"/>
      <c r="D32" s="58"/>
      <c r="E32" s="59"/>
      <c r="F32" s="63"/>
      <c r="G32" s="63"/>
      <c r="H32" s="63"/>
      <c r="I32" s="63"/>
      <c r="J32" s="65"/>
      <c r="K32" s="392"/>
      <c r="L32" s="65"/>
      <c r="M32" s="65"/>
      <c r="N32" s="65"/>
      <c r="O32" s="386"/>
      <c r="P32" s="386"/>
      <c r="Q32" s="386"/>
      <c r="R32" s="386"/>
      <c r="S32" s="386"/>
      <c r="T32" s="386"/>
      <c r="U32" s="386"/>
      <c r="V32" s="386"/>
      <c r="W32" s="386"/>
      <c r="X32" s="386"/>
      <c r="Y32" s="386"/>
      <c r="Z32" s="386"/>
      <c r="AA32" s="386"/>
      <c r="AB32" s="386"/>
      <c r="AC32" s="386"/>
      <c r="AD32" s="386"/>
      <c r="AE32" s="386"/>
      <c r="AF32" s="386"/>
      <c r="AG32" s="386"/>
      <c r="AH32" s="386"/>
      <c r="AI32" s="386"/>
      <c r="AJ32" s="386"/>
      <c r="AK32" s="386"/>
      <c r="AL32" s="386"/>
      <c r="AM32" s="386"/>
      <c r="AN32" s="386"/>
      <c r="AO32" s="386"/>
      <c r="AP32" s="386"/>
      <c r="AQ32" s="386"/>
      <c r="AR32" s="386"/>
      <c r="AS32" s="386"/>
      <c r="AT32" s="386"/>
      <c r="AU32" s="386"/>
      <c r="AV32" s="386"/>
      <c r="AW32" s="386"/>
      <c r="AX32" s="386"/>
      <c r="AY32" s="386"/>
      <c r="AZ32" s="386"/>
      <c r="BA32" s="386"/>
      <c r="BB32" s="386"/>
      <c r="BC32" s="386"/>
      <c r="BD32" s="386"/>
      <c r="BE32" s="386"/>
      <c r="BF32" s="386"/>
      <c r="BG32" s="386"/>
      <c r="BH32" s="386"/>
      <c r="BI32" s="386"/>
      <c r="BJ32" s="386"/>
      <c r="BK32" s="386"/>
      <c r="BL32" s="386"/>
      <c r="BM32" s="386"/>
      <c r="BN32" s="386"/>
      <c r="BO32" s="386"/>
      <c r="BP32" s="386"/>
      <c r="BQ32" s="386"/>
      <c r="BR32" s="386"/>
      <c r="BS32" s="386"/>
      <c r="BT32" s="386"/>
      <c r="BU32" s="386"/>
      <c r="BV32" s="386"/>
      <c r="BW32" s="386"/>
      <c r="BX32" s="386"/>
      <c r="BY32" s="386"/>
      <c r="BZ32" s="386"/>
      <c r="CA32" s="386"/>
      <c r="CB32" s="386"/>
      <c r="CC32" s="386"/>
      <c r="CD32" s="386"/>
      <c r="CE32" s="386"/>
      <c r="CF32" s="386"/>
      <c r="CG32" s="386"/>
      <c r="CH32" s="386"/>
      <c r="CI32" s="386"/>
      <c r="CJ32" s="386"/>
      <c r="CK32" s="386"/>
      <c r="CL32" s="386"/>
    </row>
    <row r="33" spans="2:90" ht="12.75" customHeight="1" x14ac:dyDescent="0.15">
      <c r="B33" s="57"/>
      <c r="C33" s="57"/>
      <c r="D33" s="58"/>
      <c r="E33" s="59"/>
      <c r="F33" s="63"/>
      <c r="G33" s="63"/>
      <c r="H33" s="63"/>
      <c r="I33" s="63"/>
      <c r="J33" s="65"/>
      <c r="K33" s="392"/>
      <c r="L33" s="65"/>
      <c r="M33" s="65"/>
      <c r="N33" s="65"/>
      <c r="O33" s="386"/>
      <c r="P33" s="386"/>
      <c r="Q33" s="386"/>
      <c r="R33" s="386"/>
      <c r="S33" s="386"/>
      <c r="T33" s="386"/>
      <c r="U33" s="386"/>
      <c r="V33" s="386"/>
      <c r="W33" s="386"/>
      <c r="X33" s="386"/>
      <c r="Y33" s="386"/>
      <c r="Z33" s="386"/>
      <c r="AA33" s="386"/>
      <c r="AB33" s="386"/>
      <c r="AC33" s="386"/>
      <c r="AD33" s="386"/>
      <c r="AE33" s="386"/>
      <c r="AF33" s="386"/>
      <c r="AG33" s="386"/>
      <c r="AH33" s="386"/>
      <c r="AI33" s="386"/>
      <c r="AJ33" s="386"/>
      <c r="AK33" s="386"/>
      <c r="AL33" s="386"/>
      <c r="AM33" s="386"/>
      <c r="AN33" s="386"/>
      <c r="AO33" s="386"/>
      <c r="AP33" s="386"/>
      <c r="AQ33" s="386"/>
      <c r="AR33" s="386"/>
      <c r="AS33" s="386"/>
      <c r="AT33" s="386"/>
      <c r="AU33" s="386"/>
      <c r="AV33" s="386"/>
      <c r="AW33" s="386"/>
      <c r="AX33" s="386"/>
      <c r="AY33" s="386"/>
      <c r="AZ33" s="386"/>
      <c r="BA33" s="386"/>
      <c r="BB33" s="386"/>
      <c r="BC33" s="386"/>
      <c r="BD33" s="386"/>
      <c r="BE33" s="386"/>
      <c r="BF33" s="386"/>
      <c r="BG33" s="386"/>
      <c r="BH33" s="386"/>
      <c r="BI33" s="386"/>
      <c r="BJ33" s="386"/>
      <c r="BK33" s="386"/>
      <c r="BL33" s="386"/>
      <c r="BM33" s="386"/>
      <c r="BN33" s="386"/>
      <c r="BO33" s="386"/>
      <c r="BP33" s="386"/>
      <c r="BQ33" s="386"/>
      <c r="BR33" s="386"/>
      <c r="BS33" s="386"/>
      <c r="BT33" s="386"/>
      <c r="BU33" s="386"/>
      <c r="BV33" s="386"/>
      <c r="BW33" s="386"/>
      <c r="BX33" s="386"/>
      <c r="BY33" s="386"/>
      <c r="BZ33" s="386"/>
      <c r="CA33" s="386"/>
      <c r="CB33" s="386"/>
      <c r="CC33" s="386"/>
      <c r="CD33" s="386"/>
      <c r="CE33" s="386"/>
      <c r="CF33" s="386"/>
      <c r="CG33" s="386"/>
      <c r="CH33" s="386"/>
      <c r="CI33" s="386"/>
      <c r="CJ33" s="386"/>
      <c r="CK33" s="386"/>
      <c r="CL33" s="386"/>
    </row>
    <row r="34" spans="2:90" ht="12.75" customHeight="1" x14ac:dyDescent="0.15">
      <c r="B34" s="57"/>
      <c r="C34" s="57"/>
      <c r="D34" s="58"/>
      <c r="E34" s="59"/>
      <c r="F34" s="63"/>
      <c r="G34" s="63"/>
      <c r="H34" s="63"/>
      <c r="I34" s="63"/>
      <c r="J34" s="65"/>
      <c r="K34" s="392"/>
      <c r="L34" s="65"/>
      <c r="M34" s="65"/>
      <c r="N34" s="65"/>
      <c r="O34" s="386"/>
      <c r="P34" s="386"/>
      <c r="Q34" s="386"/>
      <c r="R34" s="386"/>
      <c r="S34" s="386"/>
      <c r="T34" s="386"/>
      <c r="U34" s="386"/>
      <c r="V34" s="386"/>
      <c r="W34" s="386"/>
      <c r="X34" s="386"/>
      <c r="Y34" s="386"/>
      <c r="Z34" s="386"/>
      <c r="AA34" s="386"/>
      <c r="AB34" s="386"/>
      <c r="AC34" s="386"/>
      <c r="AD34" s="386"/>
      <c r="AE34" s="386"/>
      <c r="AF34" s="386"/>
      <c r="AG34" s="386"/>
      <c r="AH34" s="386"/>
      <c r="AI34" s="386"/>
      <c r="AJ34" s="386"/>
      <c r="AK34" s="386"/>
      <c r="AL34" s="386"/>
      <c r="AM34" s="386"/>
      <c r="AN34" s="386"/>
      <c r="AO34" s="386"/>
      <c r="AP34" s="386"/>
      <c r="AQ34" s="386"/>
      <c r="AR34" s="386"/>
      <c r="AS34" s="386"/>
      <c r="AT34" s="386"/>
      <c r="AU34" s="386"/>
      <c r="AV34" s="386"/>
      <c r="AW34" s="386"/>
      <c r="AX34" s="386"/>
      <c r="AY34" s="386"/>
      <c r="AZ34" s="386"/>
      <c r="BA34" s="386"/>
      <c r="BB34" s="386"/>
      <c r="BC34" s="386"/>
      <c r="BD34" s="386"/>
      <c r="BE34" s="386"/>
      <c r="BF34" s="386"/>
      <c r="BG34" s="386"/>
      <c r="BH34" s="386"/>
      <c r="BI34" s="386"/>
      <c r="BJ34" s="386"/>
      <c r="BK34" s="386"/>
      <c r="BL34" s="386"/>
      <c r="BM34" s="386"/>
      <c r="BN34" s="386"/>
      <c r="BO34" s="386"/>
      <c r="BP34" s="386"/>
      <c r="BQ34" s="386"/>
      <c r="BR34" s="386"/>
      <c r="BS34" s="386"/>
      <c r="BT34" s="386"/>
      <c r="BU34" s="386"/>
      <c r="BV34" s="386"/>
      <c r="BW34" s="386"/>
      <c r="BX34" s="386"/>
      <c r="BY34" s="386"/>
      <c r="BZ34" s="386"/>
      <c r="CA34" s="386"/>
      <c r="CB34" s="386"/>
      <c r="CC34" s="386"/>
      <c r="CD34" s="386"/>
      <c r="CE34" s="386"/>
      <c r="CF34" s="386"/>
      <c r="CG34" s="386"/>
      <c r="CH34" s="386"/>
      <c r="CI34" s="386"/>
      <c r="CJ34" s="386"/>
      <c r="CK34" s="386"/>
      <c r="CL34" s="386"/>
    </row>
    <row r="35" spans="2:90" ht="12.75" customHeight="1" x14ac:dyDescent="0.15">
      <c r="B35" s="57"/>
      <c r="C35" s="57"/>
      <c r="D35" s="58"/>
      <c r="E35" s="59"/>
      <c r="F35" s="63"/>
      <c r="G35" s="63"/>
      <c r="H35" s="63"/>
      <c r="I35" s="63"/>
      <c r="J35" s="65"/>
      <c r="K35" s="392"/>
      <c r="L35" s="65"/>
      <c r="M35" s="65"/>
      <c r="N35" s="65"/>
      <c r="O35" s="386"/>
      <c r="P35" s="386"/>
      <c r="Q35" s="386"/>
      <c r="R35" s="386"/>
      <c r="S35" s="386"/>
      <c r="T35" s="386"/>
      <c r="U35" s="386"/>
      <c r="V35" s="386"/>
      <c r="W35" s="386"/>
      <c r="X35" s="386"/>
      <c r="Y35" s="386"/>
      <c r="Z35" s="386"/>
      <c r="AA35" s="386"/>
      <c r="AB35" s="386"/>
      <c r="AC35" s="386"/>
      <c r="AD35" s="386"/>
      <c r="AE35" s="386"/>
      <c r="AF35" s="386"/>
      <c r="AG35" s="386"/>
      <c r="AH35" s="386"/>
      <c r="AI35" s="386"/>
      <c r="AJ35" s="386"/>
      <c r="AK35" s="386"/>
      <c r="AL35" s="386"/>
      <c r="AM35" s="386"/>
      <c r="AN35" s="386"/>
      <c r="AO35" s="386"/>
      <c r="AP35" s="386"/>
      <c r="AQ35" s="386"/>
      <c r="AR35" s="386"/>
      <c r="AS35" s="386"/>
      <c r="AT35" s="386"/>
      <c r="AU35" s="386"/>
      <c r="AV35" s="386"/>
      <c r="AW35" s="386"/>
      <c r="AX35" s="386"/>
      <c r="AY35" s="386"/>
      <c r="AZ35" s="386"/>
      <c r="BA35" s="386"/>
      <c r="BB35" s="386"/>
      <c r="BC35" s="386"/>
      <c r="BD35" s="386"/>
      <c r="BE35" s="386"/>
      <c r="BF35" s="386"/>
      <c r="BG35" s="386"/>
      <c r="BH35" s="386"/>
      <c r="BI35" s="386"/>
      <c r="BJ35" s="386"/>
      <c r="BK35" s="386"/>
      <c r="BL35" s="386"/>
      <c r="BM35" s="386"/>
      <c r="BN35" s="386"/>
      <c r="BO35" s="386"/>
      <c r="BP35" s="386"/>
      <c r="BQ35" s="386"/>
      <c r="BR35" s="386"/>
      <c r="BS35" s="386"/>
      <c r="BT35" s="386"/>
      <c r="BU35" s="386"/>
      <c r="BV35" s="386"/>
      <c r="BW35" s="386"/>
      <c r="BX35" s="386"/>
      <c r="BY35" s="386"/>
      <c r="BZ35" s="386"/>
      <c r="CA35" s="386"/>
      <c r="CB35" s="386"/>
      <c r="CC35" s="386"/>
      <c r="CD35" s="386"/>
      <c r="CE35" s="386"/>
      <c r="CF35" s="386"/>
      <c r="CG35" s="386"/>
      <c r="CH35" s="386"/>
      <c r="CI35" s="386"/>
      <c r="CJ35" s="386"/>
      <c r="CK35" s="386"/>
      <c r="CL35" s="386"/>
    </row>
    <row r="36" spans="2:90" ht="12.75" customHeight="1" x14ac:dyDescent="0.15">
      <c r="B36" s="57"/>
      <c r="C36" s="57"/>
      <c r="D36" s="58"/>
      <c r="E36" s="59"/>
      <c r="F36" s="63"/>
      <c r="G36" s="63"/>
      <c r="H36" s="63"/>
      <c r="I36" s="63"/>
      <c r="J36" s="65"/>
      <c r="K36" s="392"/>
      <c r="L36" s="65"/>
      <c r="M36" s="65"/>
      <c r="N36" s="65"/>
      <c r="O36" s="386"/>
      <c r="P36" s="386"/>
      <c r="Q36" s="386"/>
      <c r="R36" s="386"/>
      <c r="S36" s="386"/>
      <c r="T36" s="386"/>
      <c r="U36" s="386"/>
      <c r="V36" s="386"/>
      <c r="W36" s="386"/>
      <c r="X36" s="386"/>
      <c r="Y36" s="386"/>
      <c r="Z36" s="386"/>
      <c r="AA36" s="386"/>
      <c r="AB36" s="386"/>
      <c r="AC36" s="386"/>
      <c r="AD36" s="386"/>
      <c r="AE36" s="386"/>
      <c r="AF36" s="386"/>
      <c r="AG36" s="386"/>
      <c r="AH36" s="386"/>
      <c r="AI36" s="386"/>
      <c r="AJ36" s="386"/>
      <c r="AK36" s="386"/>
      <c r="AL36" s="386"/>
      <c r="AM36" s="386"/>
      <c r="AN36" s="386"/>
      <c r="AO36" s="386"/>
      <c r="AP36" s="386"/>
      <c r="AQ36" s="386"/>
      <c r="AR36" s="386"/>
      <c r="AS36" s="386"/>
      <c r="AT36" s="386"/>
      <c r="AU36" s="386"/>
      <c r="AV36" s="386"/>
      <c r="AW36" s="386"/>
      <c r="AX36" s="386"/>
      <c r="AY36" s="386"/>
      <c r="AZ36" s="386"/>
      <c r="BA36" s="386"/>
      <c r="BB36" s="386"/>
      <c r="BC36" s="386"/>
      <c r="BD36" s="386"/>
      <c r="BE36" s="386"/>
      <c r="BF36" s="386"/>
      <c r="BG36" s="386"/>
      <c r="BH36" s="386"/>
      <c r="BI36" s="386"/>
      <c r="BJ36" s="386"/>
      <c r="BK36" s="386"/>
      <c r="BL36" s="386"/>
      <c r="BM36" s="386"/>
      <c r="BN36" s="386"/>
      <c r="BO36" s="386"/>
      <c r="BP36" s="386"/>
      <c r="BQ36" s="386"/>
      <c r="BR36" s="386"/>
      <c r="BS36" s="386"/>
      <c r="BT36" s="386"/>
      <c r="BU36" s="386"/>
      <c r="BV36" s="386"/>
      <c r="BW36" s="386"/>
      <c r="BX36" s="386"/>
      <c r="BY36" s="386"/>
      <c r="BZ36" s="386"/>
      <c r="CA36" s="386"/>
      <c r="CB36" s="386"/>
      <c r="CC36" s="386"/>
      <c r="CD36" s="386"/>
      <c r="CE36" s="386"/>
      <c r="CF36" s="386"/>
      <c r="CG36" s="386"/>
      <c r="CH36" s="386"/>
      <c r="CI36" s="386"/>
      <c r="CJ36" s="386"/>
      <c r="CK36" s="386"/>
      <c r="CL36" s="386"/>
    </row>
    <row r="37" spans="2:90" ht="12.75" customHeight="1" x14ac:dyDescent="0.15">
      <c r="B37" s="57"/>
      <c r="C37" s="57"/>
      <c r="D37" s="58"/>
      <c r="E37" s="59"/>
      <c r="F37" s="63"/>
      <c r="G37" s="63"/>
      <c r="H37" s="63"/>
      <c r="I37" s="63"/>
      <c r="J37" s="65"/>
      <c r="K37" s="392"/>
      <c r="L37" s="65"/>
      <c r="M37" s="65"/>
      <c r="N37" s="65"/>
      <c r="O37" s="386"/>
      <c r="P37" s="386"/>
      <c r="Q37" s="386"/>
      <c r="R37" s="386"/>
      <c r="S37" s="386"/>
      <c r="T37" s="386"/>
      <c r="U37" s="386"/>
      <c r="V37" s="386"/>
      <c r="W37" s="386"/>
      <c r="X37" s="386"/>
      <c r="Y37" s="386"/>
      <c r="Z37" s="386"/>
      <c r="AA37" s="386"/>
      <c r="AB37" s="386"/>
      <c r="AC37" s="386"/>
      <c r="AD37" s="386"/>
      <c r="AE37" s="386"/>
      <c r="AF37" s="386"/>
      <c r="AG37" s="386"/>
      <c r="AH37" s="386"/>
      <c r="AI37" s="386"/>
      <c r="AJ37" s="386"/>
      <c r="AK37" s="386"/>
      <c r="AL37" s="386"/>
      <c r="AM37" s="386"/>
      <c r="AN37" s="386"/>
      <c r="AO37" s="386"/>
      <c r="AP37" s="386"/>
      <c r="AQ37" s="386"/>
      <c r="AR37" s="386"/>
      <c r="AS37" s="386"/>
      <c r="AT37" s="386"/>
      <c r="AU37" s="386"/>
      <c r="AV37" s="386"/>
      <c r="AW37" s="386"/>
      <c r="AX37" s="386"/>
      <c r="AY37" s="386"/>
      <c r="AZ37" s="386"/>
      <c r="BA37" s="386"/>
      <c r="BB37" s="386"/>
      <c r="BC37" s="386"/>
      <c r="BD37" s="386"/>
      <c r="BE37" s="386"/>
      <c r="BF37" s="386"/>
      <c r="BG37" s="386"/>
      <c r="BH37" s="386"/>
      <c r="BI37" s="386"/>
      <c r="BJ37" s="386"/>
      <c r="BK37" s="386"/>
      <c r="BL37" s="386"/>
      <c r="BM37" s="386"/>
      <c r="BN37" s="386"/>
      <c r="BO37" s="386"/>
      <c r="BP37" s="386"/>
      <c r="BQ37" s="386"/>
      <c r="BR37" s="386"/>
      <c r="BS37" s="386"/>
      <c r="BT37" s="386"/>
      <c r="BU37" s="386"/>
      <c r="BV37" s="386"/>
      <c r="BW37" s="386"/>
      <c r="BX37" s="386"/>
      <c r="BY37" s="386"/>
      <c r="BZ37" s="386"/>
      <c r="CA37" s="386"/>
      <c r="CB37" s="386"/>
      <c r="CC37" s="386"/>
      <c r="CD37" s="386"/>
      <c r="CE37" s="386"/>
      <c r="CF37" s="386"/>
      <c r="CG37" s="386"/>
      <c r="CH37" s="386"/>
      <c r="CI37" s="386"/>
      <c r="CJ37" s="386"/>
      <c r="CK37" s="386"/>
      <c r="CL37" s="386"/>
    </row>
    <row r="38" spans="2:90" ht="12.75" customHeight="1" x14ac:dyDescent="0.15">
      <c r="B38" s="57"/>
      <c r="C38" s="57"/>
      <c r="D38" s="58"/>
      <c r="E38" s="59"/>
      <c r="F38" s="63"/>
      <c r="G38" s="63"/>
      <c r="H38" s="63"/>
      <c r="I38" s="63"/>
      <c r="J38" s="65"/>
      <c r="K38" s="392"/>
      <c r="L38" s="65"/>
      <c r="M38" s="65"/>
      <c r="N38" s="65"/>
      <c r="O38" s="386"/>
      <c r="P38" s="386"/>
      <c r="Q38" s="386"/>
      <c r="R38" s="386"/>
      <c r="S38" s="386"/>
      <c r="T38" s="386"/>
      <c r="U38" s="386"/>
      <c r="V38" s="386"/>
      <c r="W38" s="386"/>
      <c r="X38" s="386"/>
      <c r="Y38" s="386"/>
      <c r="Z38" s="386"/>
      <c r="AA38" s="386"/>
      <c r="AB38" s="386"/>
      <c r="AC38" s="386"/>
      <c r="AD38" s="386"/>
      <c r="AE38" s="386"/>
      <c r="AF38" s="386"/>
      <c r="AG38" s="386"/>
      <c r="AH38" s="386"/>
      <c r="AI38" s="386"/>
      <c r="AJ38" s="386"/>
      <c r="AK38" s="386"/>
      <c r="AL38" s="386"/>
      <c r="AM38" s="386"/>
      <c r="AN38" s="386"/>
      <c r="AO38" s="386"/>
      <c r="AP38" s="386"/>
      <c r="AQ38" s="386"/>
      <c r="AR38" s="386"/>
      <c r="AS38" s="386"/>
      <c r="AT38" s="386"/>
      <c r="AU38" s="386"/>
      <c r="AV38" s="386"/>
      <c r="AW38" s="386"/>
      <c r="AX38" s="386"/>
      <c r="AY38" s="386"/>
      <c r="AZ38" s="386"/>
      <c r="BA38" s="386"/>
      <c r="BB38" s="386"/>
      <c r="BC38" s="386"/>
      <c r="BD38" s="386"/>
      <c r="BE38" s="386"/>
      <c r="BF38" s="386"/>
      <c r="BG38" s="386"/>
      <c r="BH38" s="386"/>
      <c r="BI38" s="386"/>
      <c r="BJ38" s="386"/>
      <c r="BK38" s="386"/>
      <c r="BL38" s="386"/>
      <c r="BM38" s="386"/>
      <c r="BN38" s="386"/>
      <c r="BO38" s="386"/>
      <c r="BP38" s="386"/>
      <c r="BQ38" s="386"/>
      <c r="BR38" s="386"/>
      <c r="BS38" s="386"/>
      <c r="BT38" s="386"/>
      <c r="BU38" s="386"/>
      <c r="BV38" s="386"/>
      <c r="BW38" s="386"/>
      <c r="BX38" s="386"/>
      <c r="BY38" s="386"/>
      <c r="BZ38" s="386"/>
      <c r="CA38" s="386"/>
      <c r="CB38" s="386"/>
      <c r="CC38" s="386"/>
      <c r="CD38" s="386"/>
      <c r="CE38" s="386"/>
      <c r="CF38" s="386"/>
      <c r="CG38" s="386"/>
      <c r="CH38" s="386"/>
      <c r="CI38" s="386"/>
      <c r="CJ38" s="386"/>
      <c r="CK38" s="386"/>
      <c r="CL38" s="386"/>
    </row>
    <row r="39" spans="2:90" ht="12.75" customHeight="1" x14ac:dyDescent="0.15">
      <c r="B39" s="57"/>
      <c r="C39" s="57"/>
      <c r="D39" s="58"/>
      <c r="E39" s="59"/>
      <c r="F39" s="63"/>
      <c r="G39" s="63"/>
      <c r="H39" s="63"/>
      <c r="I39" s="63"/>
      <c r="J39" s="65"/>
      <c r="K39" s="392"/>
      <c r="L39" s="65"/>
      <c r="M39" s="65"/>
      <c r="N39" s="65"/>
      <c r="O39" s="386"/>
      <c r="P39" s="386"/>
      <c r="Q39" s="386"/>
      <c r="R39" s="386"/>
      <c r="S39" s="386"/>
      <c r="T39" s="386"/>
      <c r="U39" s="386"/>
      <c r="V39" s="386"/>
      <c r="W39" s="386"/>
      <c r="X39" s="386"/>
      <c r="Y39" s="386"/>
      <c r="Z39" s="386"/>
      <c r="AA39" s="386"/>
      <c r="AB39" s="386"/>
      <c r="AC39" s="386"/>
      <c r="AD39" s="386"/>
      <c r="AE39" s="386"/>
      <c r="AF39" s="386"/>
      <c r="AG39" s="386"/>
      <c r="AH39" s="386"/>
      <c r="AI39" s="386"/>
      <c r="AJ39" s="386"/>
      <c r="AK39" s="386"/>
      <c r="AL39" s="386"/>
      <c r="AM39" s="386"/>
      <c r="AN39" s="386"/>
      <c r="AO39" s="386"/>
      <c r="AP39" s="386"/>
      <c r="AQ39" s="386"/>
      <c r="AR39" s="386"/>
      <c r="AS39" s="386"/>
      <c r="AT39" s="386"/>
      <c r="AU39" s="386"/>
      <c r="AV39" s="386"/>
      <c r="AW39" s="386"/>
      <c r="AX39" s="386"/>
      <c r="AY39" s="386"/>
      <c r="AZ39" s="386"/>
      <c r="BA39" s="386"/>
      <c r="BB39" s="386"/>
      <c r="BC39" s="386"/>
      <c r="BD39" s="386"/>
      <c r="BE39" s="386"/>
      <c r="BF39" s="386"/>
      <c r="BG39" s="386"/>
      <c r="BH39" s="386"/>
      <c r="BI39" s="386"/>
      <c r="BJ39" s="386"/>
      <c r="BK39" s="386"/>
      <c r="BL39" s="386"/>
      <c r="BM39" s="386"/>
      <c r="BN39" s="386"/>
      <c r="BO39" s="386"/>
      <c r="BP39" s="386"/>
      <c r="BQ39" s="386"/>
      <c r="BR39" s="386"/>
      <c r="BS39" s="386"/>
      <c r="BT39" s="386"/>
      <c r="BU39" s="386"/>
      <c r="BV39" s="386"/>
      <c r="BW39" s="386"/>
      <c r="BX39" s="386"/>
      <c r="BY39" s="386"/>
      <c r="BZ39" s="386"/>
      <c r="CA39" s="386"/>
      <c r="CB39" s="386"/>
      <c r="CC39" s="386"/>
      <c r="CD39" s="386"/>
      <c r="CE39" s="386"/>
      <c r="CF39" s="386"/>
      <c r="CG39" s="386"/>
      <c r="CH39" s="386"/>
      <c r="CI39" s="386"/>
      <c r="CJ39" s="386"/>
      <c r="CK39" s="386"/>
      <c r="CL39" s="386"/>
    </row>
    <row r="40" spans="2:90" ht="12.75" customHeight="1" x14ac:dyDescent="0.15">
      <c r="B40" s="57"/>
      <c r="C40" s="57"/>
      <c r="D40" s="58"/>
      <c r="E40" s="59"/>
      <c r="F40" s="63"/>
      <c r="G40" s="63"/>
      <c r="H40" s="63"/>
      <c r="I40" s="63"/>
      <c r="J40" s="65"/>
      <c r="K40" s="392"/>
      <c r="L40" s="65"/>
      <c r="M40" s="65"/>
      <c r="N40" s="65"/>
      <c r="O40" s="386"/>
      <c r="P40" s="386"/>
      <c r="Q40" s="386"/>
      <c r="R40" s="386"/>
      <c r="S40" s="386"/>
      <c r="T40" s="386"/>
      <c r="U40" s="386"/>
      <c r="V40" s="386"/>
      <c r="W40" s="386"/>
      <c r="X40" s="386"/>
      <c r="Y40" s="386"/>
      <c r="Z40" s="386"/>
      <c r="AA40" s="386"/>
      <c r="AB40" s="386"/>
      <c r="AC40" s="386"/>
      <c r="AD40" s="386"/>
      <c r="AE40" s="386"/>
      <c r="AF40" s="386"/>
      <c r="AG40" s="386"/>
      <c r="AH40" s="386"/>
      <c r="AI40" s="386"/>
      <c r="AJ40" s="386"/>
      <c r="AK40" s="386"/>
      <c r="AL40" s="386"/>
      <c r="AM40" s="386"/>
      <c r="AN40" s="386"/>
      <c r="AO40" s="386"/>
      <c r="AP40" s="386"/>
      <c r="AQ40" s="386"/>
      <c r="AR40" s="386"/>
      <c r="AS40" s="386"/>
      <c r="AT40" s="386"/>
      <c r="AU40" s="386"/>
      <c r="AV40" s="386"/>
      <c r="AW40" s="386"/>
      <c r="AX40" s="386"/>
      <c r="AY40" s="386"/>
      <c r="AZ40" s="386"/>
      <c r="BA40" s="386"/>
      <c r="BB40" s="386"/>
      <c r="BC40" s="386"/>
      <c r="BD40" s="386"/>
      <c r="BE40" s="386"/>
      <c r="BF40" s="386"/>
      <c r="BG40" s="386"/>
      <c r="BH40" s="386"/>
      <c r="BI40" s="386"/>
      <c r="BJ40" s="386"/>
      <c r="BK40" s="386"/>
      <c r="BL40" s="386"/>
      <c r="BM40" s="386"/>
      <c r="BN40" s="386"/>
      <c r="BO40" s="386"/>
      <c r="BP40" s="386"/>
      <c r="BQ40" s="386"/>
      <c r="BR40" s="386"/>
      <c r="BS40" s="386"/>
      <c r="BT40" s="386"/>
      <c r="BU40" s="386"/>
      <c r="BV40" s="386"/>
      <c r="BW40" s="386"/>
      <c r="BX40" s="386"/>
      <c r="BY40" s="386"/>
      <c r="BZ40" s="386"/>
      <c r="CA40" s="386"/>
      <c r="CB40" s="386"/>
      <c r="CC40" s="386"/>
      <c r="CD40" s="386"/>
      <c r="CE40" s="386"/>
      <c r="CF40" s="386"/>
      <c r="CG40" s="386"/>
      <c r="CH40" s="386"/>
      <c r="CI40" s="386"/>
      <c r="CJ40" s="386"/>
      <c r="CK40" s="386"/>
      <c r="CL40" s="386"/>
    </row>
    <row r="41" spans="2:90" ht="12.75" customHeight="1" x14ac:dyDescent="0.15">
      <c r="B41" s="57"/>
      <c r="C41" s="57"/>
      <c r="D41" s="58"/>
      <c r="E41" s="59"/>
      <c r="F41" s="63"/>
      <c r="G41" s="63"/>
      <c r="H41" s="63"/>
      <c r="I41" s="63"/>
      <c r="J41" s="65"/>
      <c r="K41" s="392"/>
      <c r="L41" s="65"/>
      <c r="M41" s="65"/>
      <c r="N41" s="65"/>
      <c r="O41" s="386"/>
      <c r="P41" s="386"/>
      <c r="Q41" s="386"/>
      <c r="R41" s="386"/>
      <c r="S41" s="386"/>
      <c r="T41" s="386"/>
      <c r="U41" s="386"/>
      <c r="V41" s="386"/>
      <c r="W41" s="386"/>
      <c r="X41" s="386"/>
      <c r="Y41" s="386"/>
      <c r="Z41" s="386"/>
      <c r="AA41" s="386"/>
      <c r="AB41" s="386"/>
      <c r="AC41" s="386"/>
      <c r="AD41" s="386"/>
      <c r="AE41" s="386"/>
      <c r="AF41" s="386"/>
      <c r="AG41" s="386"/>
      <c r="AH41" s="386"/>
      <c r="AI41" s="386"/>
      <c r="AJ41" s="386"/>
      <c r="AK41" s="386"/>
      <c r="AL41" s="386"/>
      <c r="AM41" s="386"/>
      <c r="AN41" s="386"/>
      <c r="AO41" s="386"/>
      <c r="AP41" s="386"/>
      <c r="AQ41" s="386"/>
      <c r="AR41" s="386"/>
      <c r="AS41" s="386"/>
      <c r="AT41" s="386"/>
      <c r="AU41" s="386"/>
      <c r="AV41" s="386"/>
      <c r="AW41" s="386"/>
      <c r="AX41" s="386"/>
      <c r="AY41" s="386"/>
      <c r="AZ41" s="386"/>
      <c r="BA41" s="386"/>
      <c r="BB41" s="386"/>
      <c r="BC41" s="386"/>
      <c r="BD41" s="386"/>
      <c r="BE41" s="386"/>
      <c r="BF41" s="386"/>
      <c r="BG41" s="386"/>
      <c r="BH41" s="386"/>
      <c r="BI41" s="386"/>
      <c r="BJ41" s="386"/>
      <c r="BK41" s="386"/>
      <c r="BL41" s="386"/>
      <c r="BM41" s="386"/>
      <c r="BN41" s="386"/>
      <c r="BO41" s="386"/>
      <c r="BP41" s="386"/>
      <c r="BQ41" s="386"/>
      <c r="BR41" s="386"/>
      <c r="BS41" s="386"/>
      <c r="BT41" s="386"/>
      <c r="BU41" s="386"/>
      <c r="BV41" s="386"/>
      <c r="BW41" s="386"/>
      <c r="BX41" s="386"/>
      <c r="BY41" s="386"/>
      <c r="BZ41" s="386"/>
      <c r="CA41" s="386"/>
      <c r="CB41" s="386"/>
      <c r="CC41" s="386"/>
      <c r="CD41" s="386"/>
      <c r="CE41" s="386"/>
      <c r="CF41" s="386"/>
      <c r="CG41" s="386"/>
      <c r="CH41" s="386"/>
      <c r="CI41" s="386"/>
      <c r="CJ41" s="386"/>
      <c r="CK41" s="386"/>
      <c r="CL41" s="386"/>
    </row>
    <row r="42" spans="2:90" ht="12.75" customHeight="1" x14ac:dyDescent="0.15">
      <c r="B42" s="57"/>
      <c r="C42" s="57"/>
      <c r="D42" s="58"/>
      <c r="E42" s="59"/>
      <c r="F42" s="63"/>
      <c r="G42" s="63"/>
      <c r="H42" s="63"/>
      <c r="I42" s="63"/>
      <c r="J42" s="65"/>
      <c r="K42" s="392"/>
      <c r="L42" s="65"/>
      <c r="M42" s="65"/>
      <c r="N42" s="65"/>
      <c r="O42" s="386"/>
      <c r="P42" s="386"/>
      <c r="Q42" s="386"/>
      <c r="R42" s="386"/>
      <c r="S42" s="386"/>
      <c r="T42" s="386"/>
      <c r="U42" s="386"/>
      <c r="V42" s="386"/>
      <c r="W42" s="386"/>
      <c r="X42" s="386"/>
      <c r="Y42" s="386"/>
      <c r="Z42" s="386"/>
      <c r="AA42" s="386"/>
      <c r="AB42" s="386"/>
      <c r="AC42" s="386"/>
      <c r="AD42" s="386"/>
      <c r="AE42" s="386"/>
      <c r="AF42" s="386"/>
      <c r="AG42" s="386"/>
      <c r="AH42" s="386"/>
      <c r="AI42" s="386"/>
      <c r="AJ42" s="386"/>
      <c r="AK42" s="386"/>
      <c r="AL42" s="386"/>
      <c r="AM42" s="386"/>
      <c r="AN42" s="386"/>
      <c r="AO42" s="386"/>
      <c r="AP42" s="386"/>
      <c r="AQ42" s="386"/>
      <c r="AR42" s="386"/>
      <c r="AS42" s="386"/>
      <c r="AT42" s="386"/>
      <c r="AU42" s="386"/>
      <c r="AV42" s="386"/>
      <c r="AW42" s="386"/>
      <c r="AX42" s="386"/>
      <c r="AY42" s="386"/>
      <c r="AZ42" s="386"/>
      <c r="BA42" s="386"/>
      <c r="BB42" s="386"/>
      <c r="BC42" s="386"/>
      <c r="BD42" s="386"/>
      <c r="BE42" s="386"/>
      <c r="BF42" s="386"/>
      <c r="BG42" s="386"/>
      <c r="BH42" s="386"/>
      <c r="BI42" s="386"/>
      <c r="BJ42" s="386"/>
      <c r="BK42" s="386"/>
      <c r="BL42" s="386"/>
      <c r="BM42" s="386"/>
      <c r="BN42" s="386"/>
      <c r="BO42" s="386"/>
      <c r="BP42" s="386"/>
      <c r="BQ42" s="386"/>
      <c r="BR42" s="386"/>
      <c r="BS42" s="386"/>
      <c r="BT42" s="386"/>
      <c r="BU42" s="386"/>
      <c r="BV42" s="386"/>
      <c r="BW42" s="386"/>
      <c r="BX42" s="386"/>
      <c r="BY42" s="386"/>
      <c r="BZ42" s="386"/>
      <c r="CA42" s="386"/>
      <c r="CB42" s="386"/>
      <c r="CC42" s="386"/>
      <c r="CD42" s="386"/>
      <c r="CE42" s="386"/>
      <c r="CF42" s="386"/>
      <c r="CG42" s="386"/>
      <c r="CH42" s="386"/>
      <c r="CI42" s="386"/>
      <c r="CJ42" s="386"/>
      <c r="CK42" s="386"/>
      <c r="CL42" s="386"/>
    </row>
    <row r="43" spans="2:90" ht="12.75" customHeight="1" x14ac:dyDescent="0.15">
      <c r="B43" s="57"/>
      <c r="C43" s="57"/>
      <c r="D43" s="58"/>
      <c r="E43" s="59"/>
      <c r="F43" s="63"/>
      <c r="G43" s="63"/>
      <c r="H43" s="63"/>
      <c r="I43" s="63"/>
      <c r="J43" s="65"/>
      <c r="K43" s="392"/>
      <c r="L43" s="65"/>
      <c r="M43" s="65"/>
      <c r="N43" s="65"/>
      <c r="O43" s="386"/>
      <c r="P43" s="386"/>
      <c r="Q43" s="386"/>
      <c r="R43" s="386"/>
      <c r="S43" s="386"/>
      <c r="T43" s="386"/>
      <c r="U43" s="386"/>
      <c r="V43" s="386"/>
      <c r="W43" s="386"/>
      <c r="X43" s="386"/>
      <c r="Y43" s="386"/>
      <c r="Z43" s="386"/>
      <c r="AA43" s="386"/>
      <c r="AB43" s="386"/>
      <c r="AC43" s="386"/>
      <c r="AD43" s="386"/>
      <c r="AE43" s="386"/>
      <c r="AF43" s="386"/>
      <c r="AG43" s="386"/>
      <c r="AH43" s="386"/>
      <c r="AI43" s="386"/>
      <c r="AJ43" s="386"/>
      <c r="AK43" s="386"/>
      <c r="AL43" s="386"/>
      <c r="AM43" s="386"/>
      <c r="AN43" s="386"/>
      <c r="AO43" s="386"/>
      <c r="AP43" s="386"/>
      <c r="AQ43" s="386"/>
      <c r="AR43" s="386"/>
      <c r="AS43" s="386"/>
      <c r="AT43" s="386"/>
      <c r="AU43" s="386"/>
      <c r="AV43" s="386"/>
      <c r="AW43" s="386"/>
      <c r="AX43" s="386"/>
      <c r="AY43" s="386"/>
      <c r="AZ43" s="386"/>
      <c r="BA43" s="386"/>
      <c r="BB43" s="386"/>
      <c r="BC43" s="386"/>
      <c r="BD43" s="386"/>
      <c r="BE43" s="386"/>
      <c r="BF43" s="386"/>
      <c r="BG43" s="386"/>
      <c r="BH43" s="386"/>
      <c r="BI43" s="386"/>
      <c r="BJ43" s="386"/>
      <c r="BK43" s="386"/>
      <c r="BL43" s="386"/>
      <c r="BM43" s="386"/>
      <c r="BN43" s="386"/>
      <c r="BO43" s="386"/>
      <c r="BP43" s="386"/>
      <c r="BQ43" s="386"/>
      <c r="BR43" s="386"/>
      <c r="BS43" s="386"/>
      <c r="BT43" s="386"/>
      <c r="BU43" s="386"/>
      <c r="BV43" s="386"/>
      <c r="BW43" s="386"/>
      <c r="BX43" s="386"/>
      <c r="BY43" s="386"/>
      <c r="BZ43" s="386"/>
      <c r="CA43" s="386"/>
      <c r="CB43" s="386"/>
      <c r="CC43" s="386"/>
      <c r="CD43" s="386"/>
      <c r="CE43" s="386"/>
      <c r="CF43" s="386"/>
      <c r="CG43" s="386"/>
      <c r="CH43" s="386"/>
      <c r="CI43" s="386"/>
      <c r="CJ43" s="386"/>
      <c r="CK43" s="386"/>
      <c r="CL43" s="386"/>
    </row>
    <row r="44" spans="2:90" ht="12.75" customHeight="1" x14ac:dyDescent="0.15">
      <c r="B44" s="57"/>
      <c r="C44" s="57"/>
      <c r="D44" s="58"/>
      <c r="E44" s="59"/>
      <c r="F44" s="63"/>
      <c r="G44" s="63"/>
      <c r="H44" s="63"/>
      <c r="I44" s="63"/>
      <c r="J44" s="65"/>
      <c r="K44" s="392"/>
      <c r="L44" s="65"/>
      <c r="M44" s="65"/>
      <c r="N44" s="65"/>
      <c r="O44" s="386"/>
      <c r="P44" s="386"/>
      <c r="Q44" s="386"/>
      <c r="R44" s="386"/>
      <c r="S44" s="386"/>
      <c r="T44" s="386"/>
      <c r="U44" s="386"/>
      <c r="V44" s="386"/>
      <c r="W44" s="386"/>
      <c r="X44" s="386"/>
      <c r="Y44" s="386"/>
      <c r="Z44" s="386"/>
      <c r="AA44" s="386"/>
      <c r="AB44" s="386"/>
      <c r="AC44" s="386"/>
      <c r="AD44" s="386"/>
      <c r="AE44" s="386"/>
      <c r="AF44" s="386"/>
      <c r="AG44" s="386"/>
      <c r="AH44" s="386"/>
      <c r="AI44" s="386"/>
      <c r="AJ44" s="386"/>
      <c r="AK44" s="386"/>
      <c r="AL44" s="386"/>
      <c r="AM44" s="386"/>
      <c r="AN44" s="386"/>
      <c r="AO44" s="386"/>
      <c r="AP44" s="386"/>
      <c r="AQ44" s="386"/>
      <c r="AR44" s="386"/>
      <c r="AS44" s="386"/>
      <c r="AT44" s="386"/>
      <c r="AU44" s="386"/>
      <c r="AV44" s="386"/>
      <c r="AW44" s="386"/>
      <c r="AX44" s="386"/>
      <c r="AY44" s="386"/>
      <c r="AZ44" s="386"/>
      <c r="BA44" s="386"/>
      <c r="BB44" s="386"/>
      <c r="BC44" s="386"/>
      <c r="BD44" s="386"/>
      <c r="BE44" s="386"/>
      <c r="BF44" s="386"/>
      <c r="BG44" s="386"/>
      <c r="BH44" s="386"/>
      <c r="BI44" s="386"/>
      <c r="BJ44" s="386"/>
      <c r="BK44" s="386"/>
      <c r="BL44" s="386"/>
      <c r="BM44" s="386"/>
      <c r="BN44" s="386"/>
      <c r="BO44" s="386"/>
      <c r="BP44" s="386"/>
      <c r="BQ44" s="386"/>
      <c r="BR44" s="386"/>
      <c r="BS44" s="386"/>
      <c r="BT44" s="386"/>
      <c r="BU44" s="386"/>
      <c r="BV44" s="386"/>
      <c r="BW44" s="386"/>
      <c r="BX44" s="386"/>
      <c r="BY44" s="386"/>
      <c r="BZ44" s="386"/>
      <c r="CA44" s="386"/>
      <c r="CB44" s="386"/>
      <c r="CC44" s="386"/>
      <c r="CD44" s="386"/>
      <c r="CE44" s="386"/>
      <c r="CF44" s="386"/>
      <c r="CG44" s="386"/>
      <c r="CH44" s="386"/>
      <c r="CI44" s="386"/>
      <c r="CJ44" s="386"/>
      <c r="CK44" s="386"/>
      <c r="CL44" s="386"/>
    </row>
    <row r="45" spans="2:90" ht="12.75" customHeight="1" x14ac:dyDescent="0.15">
      <c r="B45" s="57"/>
      <c r="C45" s="57"/>
      <c r="D45" s="58"/>
      <c r="E45" s="59"/>
      <c r="F45" s="63"/>
      <c r="G45" s="63"/>
      <c r="H45" s="63"/>
      <c r="I45" s="63"/>
      <c r="J45" s="65"/>
      <c r="K45" s="392"/>
      <c r="L45" s="65"/>
      <c r="M45" s="65"/>
      <c r="N45" s="65"/>
      <c r="O45" s="386"/>
      <c r="P45" s="386"/>
      <c r="Q45" s="386"/>
      <c r="R45" s="386"/>
      <c r="S45" s="386"/>
      <c r="T45" s="386"/>
      <c r="U45" s="386"/>
      <c r="V45" s="386"/>
      <c r="W45" s="386"/>
      <c r="X45" s="386"/>
      <c r="Y45" s="386"/>
      <c r="Z45" s="386"/>
      <c r="AA45" s="386"/>
      <c r="AB45" s="386"/>
      <c r="AC45" s="386"/>
      <c r="AD45" s="386"/>
      <c r="AE45" s="386"/>
      <c r="AF45" s="386"/>
      <c r="AG45" s="386"/>
      <c r="AH45" s="386"/>
      <c r="AI45" s="386"/>
      <c r="AJ45" s="386"/>
      <c r="AK45" s="386"/>
      <c r="AL45" s="386"/>
      <c r="AM45" s="386"/>
      <c r="AN45" s="386"/>
      <c r="AO45" s="386"/>
      <c r="AP45" s="386"/>
      <c r="AQ45" s="386"/>
      <c r="AR45" s="386"/>
      <c r="AS45" s="386"/>
      <c r="AT45" s="386"/>
      <c r="AU45" s="386"/>
      <c r="AV45" s="386"/>
      <c r="AW45" s="386"/>
      <c r="AX45" s="386"/>
      <c r="AY45" s="386"/>
      <c r="AZ45" s="386"/>
      <c r="BA45" s="386"/>
      <c r="BB45" s="386"/>
      <c r="BC45" s="386"/>
      <c r="BD45" s="386"/>
      <c r="BE45" s="386"/>
      <c r="BF45" s="386"/>
      <c r="BG45" s="386"/>
      <c r="BH45" s="386"/>
      <c r="BI45" s="386"/>
      <c r="BJ45" s="386"/>
      <c r="BK45" s="386"/>
      <c r="BL45" s="386"/>
      <c r="BM45" s="386"/>
      <c r="BN45" s="386"/>
      <c r="BO45" s="386"/>
      <c r="BP45" s="386"/>
      <c r="BQ45" s="386"/>
      <c r="BR45" s="386"/>
      <c r="BS45" s="386"/>
      <c r="BT45" s="386"/>
      <c r="BU45" s="386"/>
      <c r="BV45" s="386"/>
      <c r="BW45" s="386"/>
      <c r="BX45" s="386"/>
      <c r="BY45" s="386"/>
      <c r="BZ45" s="386"/>
      <c r="CA45" s="386"/>
      <c r="CB45" s="386"/>
      <c r="CC45" s="386"/>
      <c r="CD45" s="386"/>
      <c r="CE45" s="386"/>
      <c r="CF45" s="386"/>
      <c r="CG45" s="386"/>
      <c r="CH45" s="386"/>
      <c r="CI45" s="386"/>
      <c r="CJ45" s="386"/>
      <c r="CK45" s="386"/>
      <c r="CL45" s="386"/>
    </row>
    <row r="46" spans="2:90" ht="12.75" customHeight="1" x14ac:dyDescent="0.15">
      <c r="B46" s="57"/>
      <c r="C46" s="57"/>
      <c r="D46" s="58"/>
      <c r="E46" s="59"/>
      <c r="F46" s="63"/>
      <c r="G46" s="63"/>
      <c r="H46" s="63"/>
      <c r="I46" s="63"/>
      <c r="J46" s="65"/>
      <c r="K46" s="392"/>
      <c r="L46" s="65"/>
      <c r="M46" s="65"/>
      <c r="N46" s="65"/>
      <c r="O46" s="386"/>
      <c r="P46" s="386"/>
      <c r="Q46" s="386"/>
      <c r="R46" s="386"/>
      <c r="S46" s="386"/>
      <c r="T46" s="386"/>
      <c r="U46" s="386"/>
      <c r="V46" s="386"/>
      <c r="W46" s="386"/>
      <c r="X46" s="386"/>
      <c r="Y46" s="386"/>
      <c r="Z46" s="386"/>
      <c r="AA46" s="386"/>
      <c r="AB46" s="386"/>
      <c r="AC46" s="386"/>
      <c r="AD46" s="386"/>
      <c r="AE46" s="386"/>
      <c r="AF46" s="386"/>
      <c r="AG46" s="386"/>
      <c r="AH46" s="386"/>
      <c r="AI46" s="386"/>
      <c r="AJ46" s="386"/>
      <c r="AK46" s="386"/>
      <c r="AL46" s="386"/>
      <c r="AM46" s="386"/>
      <c r="AN46" s="386"/>
      <c r="AO46" s="386"/>
      <c r="AP46" s="386"/>
      <c r="AQ46" s="386"/>
      <c r="AR46" s="386"/>
      <c r="AS46" s="386"/>
      <c r="AT46" s="386"/>
      <c r="AU46" s="386"/>
      <c r="AV46" s="386"/>
      <c r="AW46" s="386"/>
      <c r="AX46" s="386"/>
      <c r="AY46" s="386"/>
      <c r="AZ46" s="386"/>
      <c r="BA46" s="386"/>
      <c r="BB46" s="386"/>
      <c r="BC46" s="386"/>
      <c r="BD46" s="386"/>
      <c r="BE46" s="386"/>
      <c r="BF46" s="386"/>
      <c r="BG46" s="386"/>
      <c r="BH46" s="386"/>
      <c r="BI46" s="386"/>
      <c r="BJ46" s="386"/>
      <c r="BK46" s="386"/>
      <c r="BL46" s="386"/>
      <c r="BM46" s="386"/>
      <c r="BN46" s="386"/>
      <c r="BO46" s="386"/>
      <c r="BP46" s="386"/>
      <c r="BQ46" s="386"/>
      <c r="BR46" s="386"/>
      <c r="BS46" s="386"/>
      <c r="BT46" s="386"/>
      <c r="BU46" s="386"/>
      <c r="BV46" s="386"/>
      <c r="BW46" s="386"/>
      <c r="BX46" s="386"/>
      <c r="BY46" s="386"/>
      <c r="BZ46" s="386"/>
      <c r="CA46" s="386"/>
      <c r="CB46" s="386"/>
      <c r="CC46" s="386"/>
      <c r="CD46" s="386"/>
      <c r="CE46" s="386"/>
      <c r="CF46" s="386"/>
      <c r="CG46" s="386"/>
      <c r="CH46" s="386"/>
      <c r="CI46" s="386"/>
      <c r="CJ46" s="386"/>
      <c r="CK46" s="386"/>
      <c r="CL46" s="386"/>
    </row>
    <row r="47" spans="2:90" ht="12.75" customHeight="1" x14ac:dyDescent="0.15">
      <c r="B47" s="57"/>
      <c r="C47" s="57"/>
      <c r="D47" s="58"/>
      <c r="E47" s="59"/>
      <c r="F47" s="63"/>
      <c r="G47" s="63"/>
      <c r="H47" s="63"/>
      <c r="I47" s="63"/>
      <c r="J47" s="65"/>
      <c r="K47" s="392"/>
      <c r="L47" s="65"/>
      <c r="M47" s="65"/>
      <c r="N47" s="65"/>
      <c r="O47" s="386"/>
      <c r="P47" s="386"/>
      <c r="Q47" s="386"/>
      <c r="R47" s="386"/>
      <c r="S47" s="386"/>
      <c r="T47" s="386"/>
      <c r="U47" s="386"/>
      <c r="V47" s="386"/>
      <c r="W47" s="386"/>
      <c r="X47" s="386"/>
      <c r="Y47" s="386"/>
      <c r="Z47" s="386"/>
      <c r="AA47" s="386"/>
      <c r="AB47" s="386"/>
      <c r="AC47" s="386"/>
      <c r="AD47" s="386"/>
      <c r="AE47" s="386"/>
      <c r="AF47" s="386"/>
      <c r="AG47" s="386"/>
      <c r="AH47" s="386"/>
      <c r="AI47" s="386"/>
      <c r="AJ47" s="386"/>
      <c r="AK47" s="386"/>
      <c r="AL47" s="386"/>
      <c r="AM47" s="386"/>
      <c r="AN47" s="386"/>
      <c r="AO47" s="386"/>
      <c r="AP47" s="386"/>
      <c r="AQ47" s="386"/>
      <c r="AR47" s="386"/>
      <c r="AS47" s="386"/>
      <c r="AT47" s="386"/>
      <c r="AU47" s="386"/>
      <c r="AV47" s="386"/>
      <c r="AW47" s="386"/>
      <c r="AX47" s="386"/>
      <c r="AY47" s="386"/>
      <c r="AZ47" s="386"/>
      <c r="BA47" s="386"/>
      <c r="BB47" s="386"/>
      <c r="BC47" s="386"/>
      <c r="BD47" s="386"/>
      <c r="BE47" s="386"/>
      <c r="BF47" s="386"/>
      <c r="BG47" s="386"/>
      <c r="BH47" s="386"/>
      <c r="BI47" s="386"/>
      <c r="BJ47" s="386"/>
      <c r="BK47" s="386"/>
      <c r="BL47" s="386"/>
      <c r="BM47" s="386"/>
      <c r="BN47" s="386"/>
      <c r="BO47" s="386"/>
      <c r="BP47" s="386"/>
      <c r="BQ47" s="386"/>
      <c r="BR47" s="386"/>
      <c r="BS47" s="386"/>
      <c r="BT47" s="386"/>
      <c r="BU47" s="386"/>
      <c r="BV47" s="386"/>
      <c r="BW47" s="386"/>
      <c r="BX47" s="386"/>
      <c r="BY47" s="386"/>
      <c r="BZ47" s="386"/>
      <c r="CA47" s="386"/>
      <c r="CB47" s="386"/>
      <c r="CC47" s="386"/>
      <c r="CD47" s="386"/>
      <c r="CE47" s="386"/>
      <c r="CF47" s="386"/>
      <c r="CG47" s="386"/>
      <c r="CH47" s="386"/>
      <c r="CI47" s="386"/>
      <c r="CJ47" s="386"/>
      <c r="CK47" s="386"/>
      <c r="CL47" s="386"/>
    </row>
    <row r="48" spans="2:90" ht="12.75" customHeight="1" x14ac:dyDescent="0.15">
      <c r="B48" s="57"/>
      <c r="C48" s="57"/>
      <c r="D48" s="58"/>
      <c r="E48" s="59"/>
      <c r="F48" s="63"/>
      <c r="G48" s="63"/>
      <c r="H48" s="63"/>
      <c r="I48" s="63"/>
      <c r="J48" s="65"/>
      <c r="K48" s="392"/>
      <c r="L48" s="65"/>
      <c r="M48" s="65"/>
      <c r="N48" s="65"/>
      <c r="O48" s="386"/>
      <c r="P48" s="386"/>
      <c r="Q48" s="386"/>
      <c r="R48" s="386"/>
      <c r="S48" s="386"/>
      <c r="T48" s="386"/>
      <c r="U48" s="386"/>
      <c r="V48" s="386"/>
      <c r="W48" s="386"/>
      <c r="X48" s="386"/>
      <c r="Y48" s="386"/>
      <c r="Z48" s="386"/>
      <c r="AA48" s="386"/>
      <c r="AB48" s="386"/>
      <c r="AC48" s="386"/>
      <c r="AD48" s="386"/>
      <c r="AE48" s="386"/>
      <c r="AF48" s="386"/>
      <c r="AG48" s="386"/>
      <c r="AH48" s="386"/>
      <c r="AI48" s="386"/>
      <c r="AJ48" s="386"/>
      <c r="AK48" s="386"/>
      <c r="AL48" s="386"/>
      <c r="AM48" s="386"/>
      <c r="AN48" s="386"/>
      <c r="AO48" s="386"/>
      <c r="AP48" s="386"/>
      <c r="AQ48" s="386"/>
      <c r="AR48" s="386"/>
      <c r="AS48" s="386"/>
      <c r="AT48" s="386"/>
      <c r="AU48" s="386"/>
      <c r="AV48" s="386"/>
      <c r="AW48" s="386"/>
      <c r="AX48" s="386"/>
      <c r="AY48" s="386"/>
      <c r="AZ48" s="386"/>
      <c r="BA48" s="386"/>
      <c r="BB48" s="386"/>
      <c r="BC48" s="386"/>
      <c r="BD48" s="386"/>
      <c r="BE48" s="386"/>
      <c r="BF48" s="386"/>
      <c r="BG48" s="386"/>
      <c r="BH48" s="386"/>
      <c r="BI48" s="386"/>
      <c r="BJ48" s="386"/>
      <c r="BK48" s="386"/>
      <c r="BL48" s="386"/>
      <c r="BM48" s="386"/>
      <c r="BN48" s="386"/>
      <c r="BO48" s="386"/>
      <c r="BP48" s="386"/>
      <c r="BQ48" s="386"/>
      <c r="BR48" s="386"/>
      <c r="BS48" s="386"/>
      <c r="BT48" s="386"/>
      <c r="BU48" s="386"/>
      <c r="BV48" s="386"/>
      <c r="BW48" s="386"/>
      <c r="BX48" s="386"/>
      <c r="BY48" s="386"/>
      <c r="BZ48" s="386"/>
      <c r="CA48" s="386"/>
      <c r="CB48" s="386"/>
      <c r="CC48" s="386"/>
      <c r="CD48" s="386"/>
      <c r="CE48" s="386"/>
      <c r="CF48" s="386"/>
      <c r="CG48" s="386"/>
      <c r="CH48" s="386"/>
      <c r="CI48" s="386"/>
      <c r="CJ48" s="386"/>
      <c r="CK48" s="386"/>
      <c r="CL48" s="386"/>
    </row>
    <row r="49" spans="2:90" ht="12.75" customHeight="1" x14ac:dyDescent="0.15">
      <c r="B49" s="57"/>
      <c r="C49" s="57"/>
      <c r="D49" s="58"/>
      <c r="E49" s="59"/>
      <c r="F49" s="63"/>
      <c r="G49" s="63"/>
      <c r="H49" s="63"/>
      <c r="I49" s="63"/>
      <c r="J49" s="65"/>
      <c r="K49" s="392"/>
      <c r="L49" s="65"/>
      <c r="M49" s="65"/>
      <c r="N49" s="65"/>
      <c r="O49" s="386"/>
      <c r="P49" s="386"/>
      <c r="Q49" s="386"/>
      <c r="R49" s="386"/>
      <c r="S49" s="386"/>
      <c r="T49" s="386"/>
      <c r="U49" s="386"/>
      <c r="V49" s="386"/>
      <c r="W49" s="386"/>
      <c r="X49" s="386"/>
      <c r="Y49" s="386"/>
      <c r="Z49" s="386"/>
      <c r="AA49" s="386"/>
      <c r="AB49" s="386"/>
      <c r="AC49" s="386"/>
      <c r="AD49" s="386"/>
      <c r="AE49" s="386"/>
      <c r="AF49" s="386"/>
      <c r="AG49" s="386"/>
      <c r="AH49" s="386"/>
      <c r="AI49" s="386"/>
      <c r="AJ49" s="386"/>
      <c r="AK49" s="386"/>
      <c r="AL49" s="386"/>
      <c r="AM49" s="386"/>
      <c r="AN49" s="386"/>
      <c r="AO49" s="386"/>
      <c r="AP49" s="386"/>
      <c r="AQ49" s="386"/>
      <c r="AR49" s="386"/>
      <c r="AS49" s="386"/>
      <c r="AT49" s="386"/>
      <c r="AU49" s="386"/>
      <c r="AV49" s="386"/>
      <c r="AW49" s="386"/>
      <c r="AX49" s="386"/>
      <c r="AY49" s="386"/>
      <c r="AZ49" s="386"/>
      <c r="BA49" s="386"/>
      <c r="BB49" s="386"/>
      <c r="BC49" s="386"/>
      <c r="BD49" s="386"/>
      <c r="BE49" s="386"/>
      <c r="BF49" s="386"/>
      <c r="BG49" s="386"/>
      <c r="BH49" s="386"/>
      <c r="BI49" s="386"/>
      <c r="BJ49" s="386"/>
      <c r="BK49" s="386"/>
      <c r="BL49" s="386"/>
      <c r="BM49" s="386"/>
      <c r="BN49" s="386"/>
      <c r="BO49" s="386"/>
      <c r="BP49" s="386"/>
      <c r="BQ49" s="386"/>
      <c r="BR49" s="386"/>
      <c r="BS49" s="386"/>
      <c r="BT49" s="386"/>
      <c r="BU49" s="386"/>
      <c r="BV49" s="386"/>
      <c r="BW49" s="386"/>
      <c r="BX49" s="386"/>
      <c r="BY49" s="386"/>
      <c r="BZ49" s="386"/>
      <c r="CA49" s="386"/>
      <c r="CB49" s="386"/>
      <c r="CC49" s="386"/>
      <c r="CD49" s="386"/>
      <c r="CE49" s="386"/>
      <c r="CF49" s="386"/>
      <c r="CG49" s="386"/>
      <c r="CH49" s="386"/>
      <c r="CI49" s="386"/>
      <c r="CJ49" s="386"/>
      <c r="CK49" s="386"/>
      <c r="CL49" s="386"/>
    </row>
    <row r="50" spans="2:90" ht="12.75" customHeight="1" x14ac:dyDescent="0.15">
      <c r="B50" s="57"/>
      <c r="C50" s="57"/>
      <c r="D50" s="58"/>
      <c r="E50" s="59"/>
      <c r="F50" s="63"/>
      <c r="G50" s="63"/>
      <c r="H50" s="63"/>
      <c r="I50" s="63"/>
      <c r="J50" s="65"/>
      <c r="K50" s="392"/>
      <c r="L50" s="65"/>
      <c r="M50" s="65"/>
      <c r="N50" s="65"/>
      <c r="O50" s="386"/>
      <c r="P50" s="386"/>
      <c r="Q50" s="386"/>
      <c r="R50" s="386"/>
      <c r="S50" s="386"/>
      <c r="T50" s="386"/>
      <c r="U50" s="386"/>
      <c r="V50" s="386"/>
      <c r="W50" s="386"/>
      <c r="X50" s="386"/>
      <c r="Y50" s="386"/>
      <c r="Z50" s="386"/>
      <c r="AA50" s="386"/>
      <c r="AB50" s="386"/>
      <c r="AC50" s="386"/>
      <c r="AD50" s="386"/>
      <c r="AE50" s="386"/>
      <c r="AF50" s="386"/>
      <c r="AG50" s="386"/>
      <c r="AH50" s="386"/>
      <c r="AI50" s="386"/>
      <c r="AJ50" s="386"/>
      <c r="AK50" s="386"/>
      <c r="AL50" s="386"/>
      <c r="AM50" s="386"/>
      <c r="AN50" s="386"/>
      <c r="AO50" s="386"/>
      <c r="AP50" s="386"/>
      <c r="AQ50" s="386"/>
      <c r="AR50" s="386"/>
      <c r="AS50" s="386"/>
      <c r="AT50" s="386"/>
      <c r="AU50" s="386"/>
      <c r="AV50" s="386"/>
      <c r="AW50" s="386"/>
      <c r="AX50" s="386"/>
      <c r="AY50" s="386"/>
      <c r="AZ50" s="386"/>
      <c r="BA50" s="386"/>
      <c r="BB50" s="386"/>
      <c r="BC50" s="386"/>
      <c r="BD50" s="386"/>
      <c r="BE50" s="386"/>
      <c r="BF50" s="386"/>
      <c r="BG50" s="386"/>
      <c r="BH50" s="386"/>
      <c r="BI50" s="386"/>
      <c r="BJ50" s="386"/>
      <c r="BK50" s="386"/>
      <c r="BL50" s="386"/>
      <c r="BM50" s="386"/>
      <c r="BN50" s="386"/>
      <c r="BO50" s="386"/>
      <c r="BP50" s="386"/>
      <c r="BQ50" s="386"/>
      <c r="BR50" s="386"/>
      <c r="BS50" s="386"/>
      <c r="BT50" s="386"/>
      <c r="BU50" s="386"/>
      <c r="BV50" s="386"/>
      <c r="BW50" s="386"/>
      <c r="BX50" s="386"/>
      <c r="BY50" s="386"/>
      <c r="BZ50" s="386"/>
      <c r="CA50" s="386"/>
      <c r="CB50" s="386"/>
      <c r="CC50" s="386"/>
      <c r="CD50" s="386"/>
      <c r="CE50" s="386"/>
      <c r="CF50" s="386"/>
      <c r="CG50" s="386"/>
      <c r="CH50" s="386"/>
      <c r="CI50" s="386"/>
      <c r="CJ50" s="386"/>
      <c r="CK50" s="386"/>
      <c r="CL50" s="386"/>
    </row>
    <row r="51" spans="2:90" ht="12.75" customHeight="1" x14ac:dyDescent="0.15">
      <c r="B51" s="57"/>
      <c r="C51" s="57"/>
      <c r="D51" s="58"/>
      <c r="E51" s="59"/>
      <c r="F51" s="63"/>
      <c r="G51" s="63"/>
      <c r="H51" s="63"/>
      <c r="I51" s="63"/>
      <c r="J51" s="65"/>
      <c r="K51" s="392"/>
      <c r="L51" s="65"/>
      <c r="M51" s="65"/>
      <c r="N51" s="65"/>
      <c r="O51" s="386"/>
      <c r="P51" s="386"/>
      <c r="Q51" s="386"/>
      <c r="R51" s="386"/>
      <c r="S51" s="386"/>
      <c r="T51" s="386"/>
      <c r="U51" s="386"/>
      <c r="V51" s="386"/>
      <c r="W51" s="386"/>
      <c r="X51" s="386"/>
      <c r="Y51" s="386"/>
      <c r="Z51" s="386"/>
      <c r="AA51" s="386"/>
      <c r="AB51" s="386"/>
      <c r="AC51" s="386"/>
      <c r="AD51" s="386"/>
      <c r="AE51" s="386"/>
      <c r="AF51" s="386"/>
      <c r="AG51" s="386"/>
      <c r="AH51" s="386"/>
      <c r="AI51" s="386"/>
      <c r="AJ51" s="386"/>
      <c r="AK51" s="386"/>
      <c r="AL51" s="386"/>
      <c r="AM51" s="386"/>
      <c r="AN51" s="386"/>
      <c r="AO51" s="386"/>
      <c r="AP51" s="386"/>
      <c r="AQ51" s="386"/>
      <c r="AR51" s="386"/>
      <c r="AS51" s="386"/>
      <c r="AT51" s="386"/>
      <c r="AU51" s="386"/>
      <c r="AV51" s="386"/>
      <c r="AW51" s="386"/>
      <c r="AX51" s="386"/>
      <c r="AY51" s="386"/>
      <c r="AZ51" s="386"/>
      <c r="BA51" s="386"/>
      <c r="BB51" s="386"/>
      <c r="BC51" s="386"/>
      <c r="BD51" s="386"/>
      <c r="BE51" s="386"/>
      <c r="BF51" s="386"/>
      <c r="BG51" s="386"/>
      <c r="BH51" s="386"/>
      <c r="BI51" s="386"/>
      <c r="BJ51" s="386"/>
      <c r="BK51" s="386"/>
      <c r="BL51" s="386"/>
      <c r="BM51" s="386"/>
      <c r="BN51" s="386"/>
      <c r="BO51" s="386"/>
      <c r="BP51" s="386"/>
      <c r="BQ51" s="386"/>
      <c r="BR51" s="386"/>
      <c r="BS51" s="386"/>
      <c r="BT51" s="386"/>
      <c r="BU51" s="386"/>
      <c r="BV51" s="386"/>
      <c r="BW51" s="386"/>
      <c r="BX51" s="386"/>
      <c r="BY51" s="386"/>
      <c r="BZ51" s="386"/>
      <c r="CA51" s="386"/>
      <c r="CB51" s="386"/>
      <c r="CC51" s="386"/>
      <c r="CD51" s="386"/>
      <c r="CE51" s="386"/>
      <c r="CF51" s="386"/>
      <c r="CG51" s="386"/>
      <c r="CH51" s="386"/>
      <c r="CI51" s="386"/>
      <c r="CJ51" s="386"/>
      <c r="CK51" s="386"/>
      <c r="CL51" s="386"/>
    </row>
    <row r="52" spans="2:90" ht="12.75" customHeight="1" x14ac:dyDescent="0.15">
      <c r="B52" s="57"/>
      <c r="C52" s="57"/>
      <c r="D52" s="58"/>
      <c r="E52" s="59"/>
      <c r="F52" s="63"/>
      <c r="G52" s="63"/>
      <c r="H52" s="63"/>
      <c r="I52" s="63"/>
      <c r="J52" s="65"/>
      <c r="K52" s="392"/>
      <c r="L52" s="65"/>
      <c r="M52" s="65"/>
      <c r="N52" s="65"/>
      <c r="O52" s="386"/>
      <c r="P52" s="386"/>
      <c r="Q52" s="386"/>
      <c r="R52" s="386"/>
      <c r="S52" s="386"/>
      <c r="T52" s="386"/>
      <c r="U52" s="386"/>
      <c r="V52" s="386"/>
      <c r="W52" s="386"/>
      <c r="X52" s="386"/>
      <c r="Y52" s="386"/>
      <c r="Z52" s="386"/>
      <c r="AA52" s="386"/>
      <c r="AB52" s="386"/>
      <c r="AC52" s="386"/>
      <c r="AD52" s="386"/>
      <c r="AE52" s="386"/>
      <c r="AF52" s="386"/>
      <c r="AG52" s="386"/>
      <c r="AH52" s="386"/>
      <c r="AI52" s="386"/>
      <c r="AJ52" s="386"/>
      <c r="AK52" s="386"/>
      <c r="AL52" s="386"/>
      <c r="AM52" s="386"/>
      <c r="AN52" s="386"/>
      <c r="AO52" s="386"/>
      <c r="AP52" s="386"/>
      <c r="AQ52" s="386"/>
      <c r="AR52" s="386"/>
      <c r="AS52" s="386"/>
      <c r="AT52" s="386"/>
      <c r="AU52" s="386"/>
      <c r="AV52" s="386"/>
      <c r="AW52" s="386"/>
      <c r="AX52" s="386"/>
      <c r="AY52" s="386"/>
      <c r="AZ52" s="386"/>
      <c r="BA52" s="386"/>
      <c r="BB52" s="386"/>
      <c r="BC52" s="386"/>
      <c r="BD52" s="386"/>
      <c r="BE52" s="386"/>
      <c r="BF52" s="386"/>
      <c r="BG52" s="386"/>
      <c r="BH52" s="386"/>
      <c r="BI52" s="386"/>
      <c r="BJ52" s="386"/>
      <c r="BK52" s="386"/>
      <c r="BL52" s="386"/>
      <c r="BM52" s="386"/>
      <c r="BN52" s="386"/>
      <c r="BO52" s="386"/>
      <c r="BP52" s="386"/>
      <c r="BQ52" s="386"/>
      <c r="BR52" s="386"/>
      <c r="BS52" s="386"/>
      <c r="BT52" s="386"/>
      <c r="BU52" s="386"/>
      <c r="BV52" s="386"/>
      <c r="BW52" s="386"/>
      <c r="BX52" s="386"/>
      <c r="BY52" s="386"/>
      <c r="BZ52" s="386"/>
      <c r="CA52" s="386"/>
      <c r="CB52" s="386"/>
      <c r="CC52" s="386"/>
      <c r="CD52" s="386"/>
      <c r="CE52" s="386"/>
      <c r="CF52" s="386"/>
      <c r="CG52" s="386"/>
      <c r="CH52" s="386"/>
      <c r="CI52" s="386"/>
      <c r="CJ52" s="386"/>
      <c r="CK52" s="386"/>
      <c r="CL52" s="386"/>
    </row>
    <row r="53" spans="2:90" ht="12.75" customHeight="1" x14ac:dyDescent="0.15">
      <c r="B53" s="57"/>
      <c r="C53" s="57"/>
      <c r="D53" s="58"/>
      <c r="E53" s="59"/>
      <c r="F53" s="63"/>
      <c r="G53" s="63"/>
      <c r="H53" s="63"/>
      <c r="I53" s="63"/>
      <c r="J53" s="65"/>
      <c r="K53" s="392"/>
      <c r="L53" s="65"/>
      <c r="M53" s="65"/>
      <c r="N53" s="65"/>
      <c r="O53" s="386"/>
      <c r="P53" s="386"/>
      <c r="Q53" s="386"/>
      <c r="R53" s="386"/>
      <c r="S53" s="386"/>
      <c r="T53" s="386"/>
      <c r="U53" s="386"/>
      <c r="V53" s="386"/>
      <c r="W53" s="386"/>
      <c r="X53" s="386"/>
      <c r="Y53" s="386"/>
      <c r="Z53" s="386"/>
      <c r="AA53" s="386"/>
      <c r="AB53" s="386"/>
      <c r="AC53" s="386"/>
      <c r="AD53" s="386"/>
      <c r="AE53" s="386"/>
      <c r="AF53" s="386"/>
      <c r="AG53" s="386"/>
      <c r="AH53" s="386"/>
      <c r="AI53" s="386"/>
      <c r="AJ53" s="386"/>
      <c r="AK53" s="386"/>
      <c r="AL53" s="386"/>
      <c r="AM53" s="386"/>
      <c r="AN53" s="386"/>
      <c r="AO53" s="386"/>
      <c r="AP53" s="386"/>
      <c r="AQ53" s="386"/>
      <c r="AR53" s="386"/>
      <c r="AS53" s="386"/>
      <c r="AT53" s="386"/>
      <c r="AU53" s="386"/>
      <c r="AV53" s="386"/>
      <c r="AW53" s="386"/>
      <c r="AX53" s="386"/>
      <c r="AY53" s="386"/>
      <c r="AZ53" s="386"/>
      <c r="BA53" s="386"/>
      <c r="BB53" s="386"/>
      <c r="BC53" s="386"/>
      <c r="BD53" s="386"/>
      <c r="BE53" s="386"/>
      <c r="BF53" s="386"/>
      <c r="BG53" s="386"/>
      <c r="BH53" s="386"/>
      <c r="BI53" s="386"/>
      <c r="BJ53" s="386"/>
      <c r="BK53" s="386"/>
      <c r="BL53" s="386"/>
      <c r="BM53" s="386"/>
      <c r="BN53" s="386"/>
      <c r="BO53" s="386"/>
      <c r="BP53" s="386"/>
      <c r="BQ53" s="386"/>
      <c r="BR53" s="386"/>
      <c r="BS53" s="386"/>
      <c r="BT53" s="386"/>
      <c r="BU53" s="386"/>
      <c r="BV53" s="386"/>
      <c r="BW53" s="386"/>
      <c r="BX53" s="386"/>
      <c r="BY53" s="386"/>
      <c r="BZ53" s="386"/>
      <c r="CA53" s="386"/>
      <c r="CB53" s="386"/>
      <c r="CC53" s="386"/>
      <c r="CD53" s="386"/>
      <c r="CE53" s="386"/>
      <c r="CF53" s="386"/>
      <c r="CG53" s="386"/>
      <c r="CH53" s="386"/>
      <c r="CI53" s="386"/>
      <c r="CJ53" s="386"/>
      <c r="CK53" s="386"/>
      <c r="CL53" s="386"/>
    </row>
    <row r="54" spans="2:90" ht="12.75" customHeight="1" x14ac:dyDescent="0.15">
      <c r="B54" s="57"/>
      <c r="C54" s="57"/>
      <c r="D54" s="58"/>
      <c r="E54" s="59"/>
      <c r="F54" s="63"/>
      <c r="G54" s="63"/>
      <c r="H54" s="63"/>
      <c r="I54" s="63"/>
      <c r="J54" s="65"/>
      <c r="K54" s="392"/>
      <c r="L54" s="65"/>
      <c r="M54" s="65"/>
      <c r="N54" s="65"/>
      <c r="O54" s="386"/>
      <c r="P54" s="386"/>
      <c r="Q54" s="386"/>
      <c r="R54" s="386"/>
      <c r="S54" s="386"/>
      <c r="T54" s="386"/>
      <c r="U54" s="386"/>
      <c r="V54" s="386"/>
      <c r="W54" s="386"/>
      <c r="X54" s="386"/>
      <c r="Y54" s="386"/>
      <c r="Z54" s="386"/>
      <c r="AA54" s="386"/>
      <c r="AB54" s="386"/>
      <c r="AC54" s="386"/>
      <c r="AD54" s="386"/>
      <c r="AE54" s="386"/>
      <c r="AF54" s="386"/>
      <c r="AG54" s="386"/>
      <c r="AH54" s="386"/>
      <c r="AI54" s="386"/>
      <c r="AJ54" s="386"/>
      <c r="AK54" s="386"/>
      <c r="AL54" s="386"/>
      <c r="AM54" s="386"/>
      <c r="AN54" s="386"/>
      <c r="AO54" s="386"/>
      <c r="AP54" s="386"/>
      <c r="AQ54" s="386"/>
      <c r="AR54" s="386"/>
      <c r="AS54" s="386"/>
      <c r="AT54" s="386"/>
      <c r="AU54" s="386"/>
      <c r="AV54" s="386"/>
      <c r="AW54" s="386"/>
      <c r="AX54" s="386"/>
      <c r="AY54" s="386"/>
      <c r="AZ54" s="386"/>
      <c r="BA54" s="386"/>
      <c r="BB54" s="386"/>
      <c r="BC54" s="386"/>
      <c r="BD54" s="386"/>
      <c r="BE54" s="386"/>
      <c r="BF54" s="386"/>
      <c r="BG54" s="386"/>
      <c r="BH54" s="386"/>
      <c r="BI54" s="386"/>
      <c r="BJ54" s="386"/>
      <c r="BK54" s="386"/>
      <c r="BL54" s="386"/>
      <c r="BM54" s="386"/>
      <c r="BN54" s="386"/>
      <c r="BO54" s="386"/>
      <c r="BP54" s="386"/>
      <c r="BQ54" s="386"/>
      <c r="BR54" s="386"/>
      <c r="BS54" s="386"/>
      <c r="BT54" s="386"/>
      <c r="BU54" s="386"/>
      <c r="BV54" s="386"/>
      <c r="BW54" s="386"/>
      <c r="BX54" s="386"/>
      <c r="BY54" s="386"/>
      <c r="BZ54" s="386"/>
      <c r="CA54" s="386"/>
      <c r="CB54" s="386"/>
      <c r="CC54" s="386"/>
      <c r="CD54" s="386"/>
      <c r="CE54" s="386"/>
      <c r="CF54" s="386"/>
      <c r="CG54" s="386"/>
      <c r="CH54" s="386"/>
      <c r="CI54" s="386"/>
      <c r="CJ54" s="386"/>
      <c r="CK54" s="386"/>
      <c r="CL54" s="386"/>
    </row>
    <row r="55" spans="2:90" ht="12.75" customHeight="1" x14ac:dyDescent="0.15">
      <c r="B55" s="57"/>
      <c r="C55" s="57"/>
      <c r="D55" s="58"/>
      <c r="E55" s="59"/>
      <c r="F55" s="63"/>
      <c r="G55" s="63"/>
      <c r="H55" s="63"/>
      <c r="I55" s="63"/>
      <c r="J55" s="65"/>
      <c r="K55" s="392"/>
      <c r="L55" s="65"/>
      <c r="M55" s="65"/>
      <c r="N55" s="65"/>
      <c r="O55" s="386"/>
      <c r="P55" s="386"/>
      <c r="Q55" s="386"/>
      <c r="R55" s="386"/>
      <c r="S55" s="386"/>
      <c r="T55" s="386"/>
      <c r="U55" s="386"/>
      <c r="V55" s="386"/>
      <c r="W55" s="386"/>
      <c r="X55" s="386"/>
      <c r="Y55" s="386"/>
      <c r="Z55" s="386"/>
      <c r="AA55" s="386"/>
      <c r="AB55" s="386"/>
      <c r="AC55" s="386"/>
      <c r="AD55" s="386"/>
      <c r="AE55" s="386"/>
      <c r="AF55" s="386"/>
      <c r="AG55" s="386"/>
      <c r="AH55" s="386"/>
      <c r="AI55" s="386"/>
      <c r="AJ55" s="386"/>
      <c r="AK55" s="386"/>
      <c r="AL55" s="386"/>
      <c r="AM55" s="386"/>
      <c r="AN55" s="386"/>
      <c r="AO55" s="386"/>
      <c r="AP55" s="386"/>
      <c r="AQ55" s="386"/>
      <c r="AR55" s="386"/>
      <c r="AS55" s="386"/>
      <c r="AT55" s="386"/>
      <c r="AU55" s="386"/>
      <c r="AV55" s="386"/>
      <c r="AW55" s="386"/>
      <c r="AX55" s="386"/>
      <c r="AY55" s="386"/>
      <c r="AZ55" s="386"/>
      <c r="BA55" s="386"/>
      <c r="BB55" s="386"/>
      <c r="BC55" s="386"/>
      <c r="BD55" s="386"/>
      <c r="BE55" s="386"/>
      <c r="BF55" s="386"/>
      <c r="BG55" s="386"/>
      <c r="BH55" s="386"/>
      <c r="BI55" s="386"/>
      <c r="BJ55" s="386"/>
      <c r="BK55" s="386"/>
      <c r="BL55" s="386"/>
      <c r="BM55" s="386"/>
      <c r="BN55" s="386"/>
      <c r="BO55" s="386"/>
      <c r="BP55" s="386"/>
      <c r="BQ55" s="386"/>
      <c r="BR55" s="386"/>
      <c r="BS55" s="386"/>
      <c r="BT55" s="386"/>
      <c r="BU55" s="386"/>
      <c r="BV55" s="386"/>
      <c r="BW55" s="386"/>
      <c r="BX55" s="386"/>
      <c r="BY55" s="386"/>
      <c r="BZ55" s="386"/>
      <c r="CA55" s="386"/>
      <c r="CB55" s="386"/>
      <c r="CC55" s="386"/>
      <c r="CD55" s="386"/>
      <c r="CE55" s="386"/>
      <c r="CF55" s="386"/>
      <c r="CG55" s="386"/>
      <c r="CH55" s="386"/>
      <c r="CI55" s="386"/>
      <c r="CJ55" s="386"/>
      <c r="CK55" s="386"/>
      <c r="CL55" s="386"/>
    </row>
    <row r="56" spans="2:90" ht="12.75" customHeight="1" x14ac:dyDescent="0.15">
      <c r="B56" s="57"/>
      <c r="C56" s="57"/>
      <c r="D56" s="58"/>
      <c r="E56" s="59"/>
      <c r="F56" s="63"/>
      <c r="G56" s="63"/>
      <c r="H56" s="63"/>
      <c r="I56" s="63"/>
      <c r="J56" s="65"/>
      <c r="K56" s="392"/>
      <c r="L56" s="65"/>
      <c r="M56" s="65"/>
      <c r="N56" s="65"/>
      <c r="O56" s="386"/>
      <c r="P56" s="386"/>
      <c r="Q56" s="386"/>
      <c r="R56" s="386"/>
      <c r="S56" s="386"/>
      <c r="T56" s="386"/>
      <c r="U56" s="386"/>
      <c r="V56" s="386"/>
      <c r="W56" s="386"/>
      <c r="X56" s="386"/>
      <c r="Y56" s="386"/>
      <c r="Z56" s="386"/>
      <c r="AA56" s="386"/>
      <c r="AB56" s="386"/>
      <c r="AC56" s="386"/>
      <c r="AD56" s="386"/>
      <c r="AE56" s="386"/>
      <c r="AF56" s="386"/>
      <c r="AG56" s="386"/>
      <c r="AH56" s="386"/>
      <c r="AI56" s="386"/>
      <c r="AJ56" s="386"/>
      <c r="AK56" s="386"/>
      <c r="AL56" s="386"/>
      <c r="AM56" s="386"/>
      <c r="AN56" s="386"/>
      <c r="AO56" s="386"/>
      <c r="AP56" s="386"/>
      <c r="AQ56" s="386"/>
      <c r="AR56" s="386"/>
      <c r="AS56" s="386"/>
      <c r="AT56" s="386"/>
      <c r="AU56" s="386"/>
      <c r="AV56" s="386"/>
      <c r="AW56" s="386"/>
      <c r="AX56" s="386"/>
      <c r="AY56" s="386"/>
      <c r="AZ56" s="386"/>
      <c r="BA56" s="386"/>
      <c r="BB56" s="386"/>
      <c r="BC56" s="386"/>
      <c r="BD56" s="386"/>
      <c r="BE56" s="386"/>
      <c r="BF56" s="386"/>
      <c r="BG56" s="386"/>
      <c r="BH56" s="386"/>
      <c r="BI56" s="386"/>
      <c r="BJ56" s="386"/>
      <c r="BK56" s="386"/>
      <c r="BL56" s="386"/>
      <c r="BM56" s="386"/>
      <c r="BN56" s="386"/>
      <c r="BO56" s="386"/>
      <c r="BP56" s="386"/>
      <c r="BQ56" s="386"/>
      <c r="BR56" s="386"/>
      <c r="BS56" s="386"/>
      <c r="BT56" s="386"/>
      <c r="BU56" s="386"/>
      <c r="BV56" s="386"/>
      <c r="BW56" s="386"/>
      <c r="BX56" s="386"/>
      <c r="BY56" s="386"/>
      <c r="BZ56" s="386"/>
      <c r="CA56" s="386"/>
      <c r="CB56" s="386"/>
      <c r="CC56" s="386"/>
      <c r="CD56" s="386"/>
      <c r="CE56" s="386"/>
      <c r="CF56" s="386"/>
      <c r="CG56" s="386"/>
      <c r="CH56" s="386"/>
      <c r="CI56" s="386"/>
      <c r="CJ56" s="386"/>
      <c r="CK56" s="386"/>
      <c r="CL56" s="386"/>
    </row>
    <row r="57" spans="2:90" ht="12.75" customHeight="1" x14ac:dyDescent="0.15">
      <c r="B57" s="57"/>
      <c r="C57" s="57"/>
      <c r="D57" s="58"/>
      <c r="E57" s="59"/>
      <c r="F57" s="63"/>
      <c r="G57" s="63"/>
      <c r="H57" s="63"/>
      <c r="I57" s="63"/>
      <c r="J57" s="65"/>
      <c r="K57" s="392"/>
      <c r="L57" s="65"/>
      <c r="M57" s="65"/>
      <c r="N57" s="65"/>
      <c r="O57" s="386"/>
      <c r="P57" s="386"/>
      <c r="Q57" s="386"/>
      <c r="R57" s="386"/>
      <c r="S57" s="386"/>
      <c r="T57" s="386"/>
      <c r="U57" s="386"/>
      <c r="V57" s="386"/>
      <c r="W57" s="386"/>
      <c r="X57" s="386"/>
      <c r="Y57" s="386"/>
      <c r="Z57" s="386"/>
      <c r="AA57" s="386"/>
      <c r="AB57" s="386"/>
      <c r="AC57" s="386"/>
      <c r="AD57" s="386"/>
      <c r="AE57" s="386"/>
      <c r="AF57" s="386"/>
      <c r="AG57" s="386"/>
      <c r="AH57" s="386"/>
      <c r="AI57" s="386"/>
      <c r="AJ57" s="386"/>
      <c r="AK57" s="386"/>
      <c r="AL57" s="386"/>
      <c r="AM57" s="386"/>
      <c r="AN57" s="386"/>
      <c r="AO57" s="386"/>
      <c r="AP57" s="386"/>
      <c r="AQ57" s="386"/>
      <c r="AR57" s="386"/>
      <c r="AS57" s="386"/>
      <c r="AT57" s="386"/>
      <c r="AU57" s="386"/>
      <c r="AV57" s="386"/>
      <c r="AW57" s="386"/>
      <c r="AX57" s="386"/>
      <c r="AY57" s="386"/>
      <c r="AZ57" s="386"/>
      <c r="BA57" s="386"/>
      <c r="BB57" s="386"/>
      <c r="BC57" s="386"/>
      <c r="BD57" s="386"/>
      <c r="BE57" s="386"/>
      <c r="BF57" s="386"/>
      <c r="BG57" s="386"/>
      <c r="BH57" s="386"/>
      <c r="BI57" s="386"/>
      <c r="BJ57" s="386"/>
      <c r="BK57" s="386"/>
      <c r="BL57" s="386"/>
      <c r="BM57" s="386"/>
      <c r="BN57" s="386"/>
      <c r="BO57" s="386"/>
      <c r="BP57" s="386"/>
      <c r="BQ57" s="386"/>
      <c r="BR57" s="386"/>
      <c r="BS57" s="386"/>
      <c r="BT57" s="386"/>
      <c r="BU57" s="386"/>
      <c r="BV57" s="386"/>
      <c r="BW57" s="386"/>
      <c r="BX57" s="386"/>
      <c r="BY57" s="386"/>
      <c r="BZ57" s="386"/>
      <c r="CA57" s="386"/>
      <c r="CB57" s="386"/>
      <c r="CC57" s="386"/>
      <c r="CD57" s="386"/>
      <c r="CE57" s="386"/>
      <c r="CF57" s="386"/>
      <c r="CG57" s="386"/>
      <c r="CH57" s="386"/>
      <c r="CI57" s="386"/>
      <c r="CJ57" s="386"/>
      <c r="CK57" s="386"/>
      <c r="CL57" s="386"/>
    </row>
    <row r="58" spans="2:90" ht="12.75" customHeight="1" x14ac:dyDescent="0.15">
      <c r="B58" s="57"/>
      <c r="C58" s="57"/>
      <c r="D58" s="58"/>
      <c r="E58" s="59"/>
      <c r="F58" s="63"/>
      <c r="G58" s="63"/>
      <c r="H58" s="63"/>
      <c r="I58" s="63"/>
      <c r="J58" s="65"/>
      <c r="K58" s="392"/>
      <c r="L58" s="65"/>
      <c r="M58" s="65"/>
      <c r="N58" s="65"/>
      <c r="O58" s="386"/>
      <c r="P58" s="386"/>
      <c r="Q58" s="386"/>
      <c r="R58" s="386"/>
      <c r="S58" s="386"/>
      <c r="T58" s="386"/>
      <c r="U58" s="386"/>
      <c r="V58" s="386"/>
      <c r="W58" s="386"/>
      <c r="X58" s="386"/>
      <c r="Y58" s="386"/>
      <c r="Z58" s="386"/>
      <c r="AA58" s="386"/>
      <c r="AB58" s="386"/>
      <c r="AC58" s="386"/>
      <c r="AD58" s="386"/>
      <c r="AE58" s="386"/>
      <c r="AF58" s="386"/>
      <c r="AG58" s="386"/>
      <c r="AH58" s="386"/>
      <c r="AI58" s="386"/>
      <c r="AJ58" s="386"/>
      <c r="AK58" s="386"/>
      <c r="AL58" s="386"/>
      <c r="AM58" s="386"/>
      <c r="AN58" s="386"/>
      <c r="AO58" s="386"/>
      <c r="AP58" s="386"/>
      <c r="AQ58" s="386"/>
      <c r="AR58" s="386"/>
      <c r="AS58" s="386"/>
      <c r="AT58" s="386"/>
      <c r="AU58" s="386"/>
      <c r="AV58" s="386"/>
      <c r="AW58" s="386"/>
      <c r="AX58" s="386"/>
      <c r="AY58" s="386"/>
      <c r="AZ58" s="386"/>
      <c r="BA58" s="386"/>
      <c r="BB58" s="386"/>
      <c r="BC58" s="386"/>
      <c r="BD58" s="386"/>
      <c r="BE58" s="386"/>
      <c r="BF58" s="386"/>
      <c r="BG58" s="386"/>
      <c r="BH58" s="386"/>
      <c r="BI58" s="386"/>
      <c r="BJ58" s="386"/>
      <c r="BK58" s="386"/>
      <c r="BL58" s="386"/>
      <c r="BM58" s="386"/>
      <c r="BN58" s="386"/>
      <c r="BO58" s="386"/>
      <c r="BP58" s="386"/>
      <c r="BQ58" s="386"/>
      <c r="BR58" s="386"/>
      <c r="BS58" s="386"/>
      <c r="BT58" s="386"/>
      <c r="BU58" s="386"/>
      <c r="BV58" s="386"/>
      <c r="BW58" s="386"/>
      <c r="BX58" s="386"/>
      <c r="BY58" s="386"/>
      <c r="BZ58" s="386"/>
      <c r="CA58" s="386"/>
      <c r="CB58" s="386"/>
      <c r="CC58" s="386"/>
      <c r="CD58" s="386"/>
      <c r="CE58" s="386"/>
      <c r="CF58" s="386"/>
      <c r="CG58" s="386"/>
      <c r="CH58" s="386"/>
      <c r="CI58" s="386"/>
      <c r="CJ58" s="386"/>
      <c r="CK58" s="386"/>
      <c r="CL58" s="386"/>
    </row>
    <row r="59" spans="2:90" ht="12.75" customHeight="1" x14ac:dyDescent="0.15">
      <c r="B59" s="57"/>
      <c r="C59" s="57"/>
      <c r="D59" s="58"/>
      <c r="E59" s="59"/>
      <c r="F59" s="63"/>
      <c r="G59" s="63"/>
      <c r="H59" s="63"/>
      <c r="I59" s="63"/>
      <c r="J59" s="65"/>
      <c r="K59" s="392"/>
      <c r="L59" s="65"/>
      <c r="M59" s="65"/>
      <c r="N59" s="65"/>
      <c r="O59" s="386"/>
      <c r="P59" s="386"/>
      <c r="Q59" s="386"/>
      <c r="R59" s="386"/>
      <c r="S59" s="386"/>
      <c r="T59" s="386"/>
      <c r="U59" s="386"/>
      <c r="V59" s="386"/>
      <c r="W59" s="386"/>
      <c r="X59" s="386"/>
      <c r="Y59" s="386"/>
      <c r="Z59" s="386"/>
      <c r="AA59" s="386"/>
      <c r="AB59" s="386"/>
      <c r="AC59" s="386"/>
      <c r="AD59" s="386"/>
      <c r="AE59" s="386"/>
      <c r="AF59" s="386"/>
      <c r="AG59" s="386"/>
      <c r="AH59" s="386"/>
      <c r="AI59" s="386"/>
      <c r="AJ59" s="386"/>
      <c r="AK59" s="386"/>
      <c r="AL59" s="386"/>
      <c r="AM59" s="386"/>
      <c r="AN59" s="386"/>
      <c r="AO59" s="386"/>
      <c r="AP59" s="386"/>
      <c r="AQ59" s="386"/>
      <c r="AR59" s="386"/>
      <c r="AS59" s="386"/>
      <c r="AT59" s="386"/>
      <c r="AU59" s="386"/>
      <c r="AV59" s="386"/>
      <c r="AW59" s="386"/>
      <c r="AX59" s="386"/>
      <c r="AY59" s="386"/>
      <c r="AZ59" s="386"/>
      <c r="BA59" s="386"/>
      <c r="BB59" s="386"/>
      <c r="BC59" s="386"/>
      <c r="BD59" s="386"/>
      <c r="BE59" s="386"/>
      <c r="BF59" s="386"/>
      <c r="BG59" s="386"/>
      <c r="BH59" s="386"/>
      <c r="BI59" s="386"/>
      <c r="BJ59" s="386"/>
      <c r="BK59" s="386"/>
      <c r="BL59" s="386"/>
      <c r="BM59" s="386"/>
      <c r="BN59" s="386"/>
      <c r="BO59" s="386"/>
      <c r="BP59" s="386"/>
      <c r="BQ59" s="386"/>
      <c r="BR59" s="386"/>
      <c r="BS59" s="386"/>
      <c r="BT59" s="386"/>
      <c r="BU59" s="386"/>
      <c r="BV59" s="386"/>
      <c r="BW59" s="386"/>
      <c r="BX59" s="386"/>
      <c r="BY59" s="386"/>
      <c r="BZ59" s="386"/>
      <c r="CA59" s="386"/>
      <c r="CB59" s="386"/>
      <c r="CC59" s="386"/>
      <c r="CD59" s="386"/>
      <c r="CE59" s="386"/>
      <c r="CF59" s="386"/>
      <c r="CG59" s="386"/>
      <c r="CH59" s="386"/>
      <c r="CI59" s="386"/>
      <c r="CJ59" s="386"/>
      <c r="CK59" s="386"/>
      <c r="CL59" s="386"/>
    </row>
    <row r="60" spans="2:90" ht="12.75" customHeight="1" x14ac:dyDescent="0.15">
      <c r="B60" s="57"/>
      <c r="C60" s="57"/>
      <c r="D60" s="58"/>
      <c r="E60" s="59"/>
      <c r="F60" s="63"/>
      <c r="G60" s="63"/>
      <c r="H60" s="63"/>
      <c r="I60" s="63"/>
      <c r="J60" s="65"/>
      <c r="K60" s="392"/>
      <c r="L60" s="65"/>
      <c r="M60" s="65"/>
      <c r="N60" s="65"/>
      <c r="O60" s="386"/>
      <c r="P60" s="386"/>
      <c r="Q60" s="386"/>
      <c r="R60" s="386"/>
      <c r="S60" s="386"/>
      <c r="T60" s="386"/>
      <c r="U60" s="386"/>
      <c r="V60" s="386"/>
      <c r="W60" s="386"/>
      <c r="X60" s="386"/>
      <c r="Y60" s="386"/>
      <c r="Z60" s="386"/>
      <c r="AA60" s="386"/>
      <c r="AB60" s="386"/>
      <c r="AC60" s="386"/>
      <c r="AD60" s="386"/>
      <c r="AE60" s="386"/>
      <c r="AF60" s="386"/>
      <c r="AG60" s="386"/>
      <c r="AH60" s="386"/>
      <c r="AI60" s="386"/>
      <c r="AJ60" s="386"/>
      <c r="AK60" s="386"/>
      <c r="AL60" s="386"/>
      <c r="AM60" s="386"/>
      <c r="AN60" s="386"/>
      <c r="AO60" s="386"/>
      <c r="AP60" s="386"/>
      <c r="AQ60" s="386"/>
      <c r="AR60" s="386"/>
      <c r="AS60" s="386"/>
      <c r="AT60" s="386"/>
      <c r="AU60" s="386"/>
      <c r="AV60" s="386"/>
      <c r="AW60" s="386"/>
      <c r="AX60" s="386"/>
      <c r="AY60" s="386"/>
      <c r="AZ60" s="386"/>
      <c r="BA60" s="386"/>
      <c r="BB60" s="386"/>
      <c r="BC60" s="386"/>
      <c r="BD60" s="386"/>
      <c r="BE60" s="386"/>
      <c r="BF60" s="386"/>
      <c r="BG60" s="386"/>
      <c r="BH60" s="386"/>
      <c r="BI60" s="386"/>
      <c r="BJ60" s="386"/>
      <c r="BK60" s="386"/>
      <c r="BL60" s="386"/>
      <c r="BM60" s="386"/>
      <c r="BN60" s="386"/>
      <c r="BO60" s="386"/>
      <c r="BP60" s="386"/>
      <c r="BQ60" s="386"/>
      <c r="BR60" s="386"/>
      <c r="BS60" s="386"/>
      <c r="BT60" s="386"/>
      <c r="BU60" s="386"/>
      <c r="BV60" s="386"/>
      <c r="BW60" s="386"/>
      <c r="BX60" s="386"/>
      <c r="BY60" s="386"/>
      <c r="BZ60" s="386"/>
      <c r="CA60" s="386"/>
      <c r="CB60" s="386"/>
      <c r="CC60" s="386"/>
      <c r="CD60" s="386"/>
      <c r="CE60" s="386"/>
      <c r="CF60" s="386"/>
      <c r="CG60" s="386"/>
      <c r="CH60" s="386"/>
      <c r="CI60" s="386"/>
      <c r="CJ60" s="386"/>
      <c r="CK60" s="386"/>
      <c r="CL60" s="386"/>
    </row>
    <row r="61" spans="2:90" ht="12.75" customHeight="1" x14ac:dyDescent="0.15">
      <c r="B61" s="57"/>
      <c r="C61" s="57"/>
      <c r="D61" s="58"/>
      <c r="E61" s="59"/>
      <c r="F61" s="63"/>
      <c r="G61" s="63"/>
      <c r="H61" s="63"/>
      <c r="I61" s="63"/>
      <c r="J61" s="65"/>
      <c r="K61" s="392"/>
      <c r="L61" s="65"/>
      <c r="M61" s="65"/>
      <c r="N61" s="65"/>
      <c r="O61" s="386"/>
      <c r="P61" s="386"/>
      <c r="Q61" s="386"/>
      <c r="R61" s="386"/>
      <c r="S61" s="386"/>
      <c r="T61" s="386"/>
      <c r="U61" s="386"/>
      <c r="V61" s="386"/>
      <c r="W61" s="386"/>
      <c r="X61" s="386"/>
      <c r="Y61" s="386"/>
      <c r="Z61" s="386"/>
      <c r="AA61" s="386"/>
      <c r="AB61" s="386"/>
      <c r="AC61" s="386"/>
      <c r="AD61" s="386"/>
      <c r="AE61" s="386"/>
      <c r="AF61" s="386"/>
      <c r="AG61" s="386"/>
      <c r="AH61" s="386"/>
      <c r="AI61" s="386"/>
      <c r="AJ61" s="386"/>
      <c r="AK61" s="386"/>
      <c r="AL61" s="386"/>
      <c r="AM61" s="386"/>
      <c r="AN61" s="386"/>
      <c r="AO61" s="386"/>
      <c r="AP61" s="386"/>
      <c r="AQ61" s="386"/>
      <c r="AR61" s="386"/>
      <c r="AS61" s="386"/>
      <c r="AT61" s="386"/>
      <c r="AU61" s="386"/>
      <c r="AV61" s="386"/>
      <c r="AW61" s="386"/>
      <c r="AX61" s="386"/>
      <c r="AY61" s="386"/>
      <c r="AZ61" s="386"/>
      <c r="BA61" s="386"/>
      <c r="BB61" s="386"/>
      <c r="BC61" s="386"/>
      <c r="BD61" s="386"/>
      <c r="BE61" s="386"/>
      <c r="BF61" s="386"/>
      <c r="BG61" s="386"/>
      <c r="BH61" s="386"/>
      <c r="BI61" s="386"/>
      <c r="BJ61" s="386"/>
      <c r="BK61" s="386"/>
      <c r="BL61" s="386"/>
      <c r="BM61" s="386"/>
      <c r="BN61" s="386"/>
      <c r="BO61" s="386"/>
      <c r="BP61" s="386"/>
      <c r="BQ61" s="386"/>
      <c r="BR61" s="386"/>
      <c r="BS61" s="386"/>
      <c r="BT61" s="386"/>
      <c r="BU61" s="386"/>
      <c r="BV61" s="386"/>
      <c r="BW61" s="386"/>
      <c r="BX61" s="386"/>
      <c r="BY61" s="386"/>
      <c r="BZ61" s="386"/>
      <c r="CA61" s="386"/>
      <c r="CB61" s="386"/>
      <c r="CC61" s="386"/>
      <c r="CD61" s="386"/>
      <c r="CE61" s="386"/>
      <c r="CF61" s="386"/>
      <c r="CG61" s="386"/>
      <c r="CH61" s="386"/>
      <c r="CI61" s="386"/>
      <c r="CJ61" s="386"/>
      <c r="CK61" s="386"/>
      <c r="CL61" s="386"/>
    </row>
    <row r="62" spans="2:90" ht="12.75" customHeight="1" x14ac:dyDescent="0.15">
      <c r="B62" s="57"/>
      <c r="C62" s="57"/>
      <c r="D62" s="58"/>
      <c r="E62" s="59"/>
      <c r="F62" s="63"/>
      <c r="G62" s="63"/>
      <c r="H62" s="63"/>
      <c r="I62" s="63"/>
      <c r="J62" s="65"/>
      <c r="K62" s="392"/>
      <c r="L62" s="65"/>
      <c r="M62" s="65"/>
      <c r="N62" s="65"/>
      <c r="O62" s="386"/>
      <c r="P62" s="386"/>
      <c r="Q62" s="386"/>
      <c r="R62" s="386"/>
      <c r="S62" s="386"/>
      <c r="T62" s="386"/>
      <c r="U62" s="386"/>
      <c r="V62" s="386"/>
      <c r="W62" s="386"/>
      <c r="X62" s="386"/>
      <c r="Y62" s="386"/>
      <c r="Z62" s="386"/>
      <c r="AA62" s="386"/>
      <c r="AB62" s="386"/>
      <c r="AC62" s="386"/>
      <c r="AD62" s="386"/>
      <c r="AE62" s="386"/>
      <c r="AF62" s="386"/>
      <c r="AG62" s="386"/>
      <c r="AH62" s="386"/>
      <c r="AI62" s="386"/>
      <c r="AJ62" s="386"/>
      <c r="AK62" s="386"/>
      <c r="AL62" s="386"/>
      <c r="AM62" s="386"/>
      <c r="AN62" s="386"/>
      <c r="AO62" s="386"/>
      <c r="AP62" s="386"/>
      <c r="AQ62" s="386"/>
      <c r="AR62" s="386"/>
      <c r="AS62" s="386"/>
      <c r="AT62" s="386"/>
      <c r="AU62" s="386"/>
      <c r="AV62" s="386"/>
      <c r="AW62" s="386"/>
      <c r="AX62" s="386"/>
      <c r="AY62" s="386"/>
      <c r="AZ62" s="386"/>
      <c r="BA62" s="386"/>
      <c r="BB62" s="386"/>
      <c r="BC62" s="386"/>
      <c r="BD62" s="386"/>
      <c r="BE62" s="386"/>
      <c r="BF62" s="386"/>
      <c r="BG62" s="386"/>
      <c r="BH62" s="386"/>
      <c r="BI62" s="386"/>
      <c r="BJ62" s="386"/>
      <c r="BK62" s="386"/>
      <c r="BL62" s="386"/>
      <c r="BM62" s="386"/>
      <c r="BN62" s="386"/>
      <c r="BO62" s="386"/>
      <c r="BP62" s="386"/>
      <c r="BQ62" s="386"/>
      <c r="BR62" s="386"/>
      <c r="BS62" s="386"/>
      <c r="BT62" s="386"/>
      <c r="BU62" s="386"/>
      <c r="BV62" s="386"/>
      <c r="BW62" s="386"/>
      <c r="BX62" s="386"/>
      <c r="BY62" s="386"/>
      <c r="BZ62" s="386"/>
      <c r="CA62" s="386"/>
      <c r="CB62" s="386"/>
      <c r="CC62" s="386"/>
      <c r="CD62" s="386"/>
      <c r="CE62" s="386"/>
      <c r="CF62" s="386"/>
      <c r="CG62" s="386"/>
      <c r="CH62" s="386"/>
      <c r="CI62" s="386"/>
      <c r="CJ62" s="386"/>
      <c r="CK62" s="386"/>
      <c r="CL62" s="386"/>
    </row>
    <row r="63" spans="2:90" ht="12.75" customHeight="1" x14ac:dyDescent="0.15">
      <c r="B63" s="57"/>
      <c r="C63" s="57"/>
      <c r="D63" s="58"/>
      <c r="E63" s="59"/>
      <c r="F63" s="63"/>
      <c r="G63" s="63"/>
      <c r="H63" s="63"/>
      <c r="I63" s="63"/>
      <c r="J63" s="65"/>
      <c r="K63" s="392"/>
      <c r="L63" s="65"/>
      <c r="M63" s="65"/>
      <c r="N63" s="65"/>
      <c r="O63" s="386"/>
      <c r="P63" s="386"/>
      <c r="Q63" s="386"/>
      <c r="R63" s="386"/>
      <c r="S63" s="386"/>
      <c r="T63" s="386"/>
      <c r="U63" s="386"/>
      <c r="V63" s="386"/>
      <c r="W63" s="386"/>
      <c r="X63" s="386"/>
      <c r="Y63" s="386"/>
      <c r="Z63" s="386"/>
      <c r="AA63" s="386"/>
      <c r="AB63" s="386"/>
      <c r="AC63" s="386"/>
      <c r="AD63" s="386"/>
      <c r="AE63" s="386"/>
      <c r="AF63" s="386"/>
      <c r="AG63" s="386"/>
      <c r="AH63" s="386"/>
      <c r="AI63" s="386"/>
      <c r="AJ63" s="386"/>
      <c r="AK63" s="386"/>
      <c r="AL63" s="386"/>
      <c r="AM63" s="386"/>
      <c r="AN63" s="386"/>
      <c r="AO63" s="386"/>
      <c r="AP63" s="386"/>
      <c r="AQ63" s="386"/>
      <c r="AR63" s="386"/>
      <c r="AS63" s="386"/>
      <c r="AT63" s="386"/>
      <c r="AU63" s="386"/>
      <c r="AV63" s="386"/>
      <c r="AW63" s="386"/>
      <c r="AX63" s="386"/>
      <c r="AY63" s="386"/>
      <c r="AZ63" s="386"/>
      <c r="BA63" s="386"/>
      <c r="BB63" s="386"/>
      <c r="BC63" s="386"/>
      <c r="BD63" s="386"/>
      <c r="BE63" s="386"/>
      <c r="BF63" s="386"/>
      <c r="BG63" s="386"/>
      <c r="BH63" s="386"/>
      <c r="BI63" s="386"/>
      <c r="BJ63" s="386"/>
      <c r="BK63" s="386"/>
      <c r="BL63" s="386"/>
      <c r="BM63" s="386"/>
      <c r="BN63" s="386"/>
      <c r="BO63" s="386"/>
      <c r="BP63" s="386"/>
      <c r="BQ63" s="386"/>
      <c r="BR63" s="386"/>
      <c r="BS63" s="386"/>
      <c r="BT63" s="386"/>
      <c r="BU63" s="386"/>
      <c r="BV63" s="386"/>
      <c r="BW63" s="386"/>
      <c r="BX63" s="386"/>
      <c r="BY63" s="386"/>
      <c r="BZ63" s="386"/>
      <c r="CA63" s="386"/>
      <c r="CB63" s="386"/>
      <c r="CC63" s="386"/>
      <c r="CD63" s="386"/>
      <c r="CE63" s="386"/>
      <c r="CF63" s="386"/>
      <c r="CG63" s="386"/>
      <c r="CH63" s="386"/>
      <c r="CI63" s="386"/>
      <c r="CJ63" s="386"/>
      <c r="CK63" s="386"/>
      <c r="CL63" s="386"/>
    </row>
    <row r="64" spans="2:90" ht="12.75" customHeight="1" x14ac:dyDescent="0.15">
      <c r="B64" s="57"/>
      <c r="C64" s="57"/>
      <c r="D64" s="58"/>
      <c r="E64" s="59"/>
      <c r="F64" s="63"/>
      <c r="G64" s="63"/>
      <c r="H64" s="63"/>
      <c r="I64" s="63"/>
      <c r="J64" s="65"/>
      <c r="K64" s="392"/>
      <c r="L64" s="65"/>
      <c r="M64" s="65"/>
      <c r="N64" s="65"/>
      <c r="O64" s="386"/>
      <c r="P64" s="386"/>
      <c r="Q64" s="386"/>
      <c r="R64" s="386"/>
      <c r="S64" s="386"/>
      <c r="T64" s="386"/>
      <c r="U64" s="386"/>
      <c r="V64" s="386"/>
      <c r="W64" s="386"/>
      <c r="X64" s="386"/>
      <c r="Y64" s="386"/>
      <c r="Z64" s="386"/>
      <c r="AA64" s="386"/>
      <c r="AB64" s="386"/>
      <c r="AC64" s="386"/>
      <c r="AD64" s="386"/>
      <c r="AE64" s="386"/>
      <c r="AF64" s="386"/>
      <c r="AG64" s="386"/>
      <c r="AH64" s="386"/>
      <c r="AI64" s="386"/>
      <c r="AJ64" s="386"/>
      <c r="AK64" s="386"/>
      <c r="AL64" s="386"/>
      <c r="AM64" s="386"/>
      <c r="AN64" s="386"/>
      <c r="AO64" s="386"/>
      <c r="AP64" s="386"/>
      <c r="AQ64" s="386"/>
      <c r="AR64" s="386"/>
      <c r="AS64" s="386"/>
      <c r="AT64" s="386"/>
      <c r="AU64" s="386"/>
      <c r="AV64" s="386"/>
      <c r="AW64" s="386"/>
      <c r="AX64" s="386"/>
      <c r="AY64" s="386"/>
      <c r="AZ64" s="386"/>
      <c r="BA64" s="386"/>
      <c r="BB64" s="386"/>
      <c r="BC64" s="386"/>
      <c r="BD64" s="386"/>
      <c r="BE64" s="386"/>
      <c r="BF64" s="386"/>
      <c r="BG64" s="386"/>
      <c r="BH64" s="386"/>
      <c r="BI64" s="386"/>
      <c r="BJ64" s="386"/>
      <c r="BK64" s="386"/>
      <c r="BL64" s="386"/>
      <c r="BM64" s="386"/>
      <c r="BN64" s="386"/>
      <c r="BO64" s="386"/>
      <c r="BP64" s="386"/>
      <c r="BQ64" s="386"/>
      <c r="BR64" s="386"/>
      <c r="BS64" s="386"/>
      <c r="BT64" s="386"/>
      <c r="BU64" s="386"/>
      <c r="BV64" s="386"/>
      <c r="BW64" s="386"/>
      <c r="BX64" s="386"/>
      <c r="BY64" s="386"/>
      <c r="BZ64" s="386"/>
      <c r="CA64" s="386"/>
      <c r="CB64" s="386"/>
      <c r="CC64" s="386"/>
      <c r="CD64" s="386"/>
      <c r="CE64" s="386"/>
      <c r="CF64" s="386"/>
      <c r="CG64" s="386"/>
      <c r="CH64" s="386"/>
      <c r="CI64" s="386"/>
      <c r="CJ64" s="386"/>
      <c r="CK64" s="386"/>
      <c r="CL64" s="386"/>
    </row>
    <row r="65" spans="2:90" ht="12.75" customHeight="1" x14ac:dyDescent="0.15">
      <c r="B65" s="57"/>
      <c r="C65" s="57"/>
      <c r="D65" s="58"/>
      <c r="E65" s="59"/>
      <c r="F65" s="63"/>
      <c r="G65" s="63"/>
      <c r="H65" s="63"/>
      <c r="I65" s="63"/>
      <c r="J65" s="65"/>
      <c r="K65" s="392"/>
      <c r="L65" s="65"/>
      <c r="M65" s="65"/>
      <c r="N65" s="65"/>
      <c r="O65" s="386"/>
      <c r="P65" s="386"/>
      <c r="Q65" s="386"/>
      <c r="R65" s="386"/>
      <c r="S65" s="386"/>
      <c r="T65" s="386"/>
      <c r="U65" s="386"/>
      <c r="V65" s="386"/>
      <c r="W65" s="386"/>
      <c r="X65" s="386"/>
      <c r="Y65" s="386"/>
      <c r="Z65" s="386"/>
      <c r="AA65" s="386"/>
      <c r="AB65" s="386"/>
      <c r="AC65" s="386"/>
      <c r="AD65" s="386"/>
      <c r="AE65" s="386"/>
      <c r="AF65" s="386"/>
      <c r="AG65" s="386"/>
      <c r="AH65" s="386"/>
      <c r="AI65" s="386"/>
      <c r="AJ65" s="386"/>
      <c r="AK65" s="386"/>
      <c r="AL65" s="386"/>
      <c r="AM65" s="386"/>
      <c r="AN65" s="386"/>
      <c r="AO65" s="386"/>
      <c r="AP65" s="386"/>
      <c r="AQ65" s="386"/>
      <c r="AR65" s="386"/>
      <c r="AS65" s="386"/>
      <c r="AT65" s="386"/>
      <c r="AU65" s="386"/>
      <c r="AV65" s="386"/>
      <c r="AW65" s="386"/>
      <c r="AX65" s="386"/>
      <c r="AY65" s="386"/>
      <c r="AZ65" s="386"/>
      <c r="BA65" s="386"/>
      <c r="BB65" s="386"/>
      <c r="BC65" s="386"/>
      <c r="BD65" s="386"/>
      <c r="BE65" s="386"/>
      <c r="BF65" s="386"/>
      <c r="BG65" s="386"/>
      <c r="BH65" s="386"/>
      <c r="BI65" s="386"/>
      <c r="BJ65" s="386"/>
      <c r="BK65" s="386"/>
      <c r="BL65" s="386"/>
      <c r="BM65" s="386"/>
      <c r="BN65" s="386"/>
      <c r="BO65" s="386"/>
      <c r="BP65" s="386"/>
      <c r="BQ65" s="386"/>
      <c r="BR65" s="386"/>
      <c r="BS65" s="386"/>
      <c r="BT65" s="386"/>
      <c r="BU65" s="386"/>
      <c r="BV65" s="386"/>
      <c r="BW65" s="386"/>
      <c r="BX65" s="386"/>
      <c r="BY65" s="386"/>
      <c r="BZ65" s="386"/>
      <c r="CA65" s="386"/>
      <c r="CB65" s="386"/>
      <c r="CC65" s="386"/>
      <c r="CD65" s="386"/>
      <c r="CE65" s="386"/>
      <c r="CF65" s="386"/>
      <c r="CG65" s="386"/>
      <c r="CH65" s="386"/>
      <c r="CI65" s="386"/>
      <c r="CJ65" s="386"/>
      <c r="CK65" s="386"/>
      <c r="CL65" s="386"/>
    </row>
    <row r="66" spans="2:90" ht="12.75" customHeight="1" x14ac:dyDescent="0.15">
      <c r="B66" s="57"/>
      <c r="C66" s="57"/>
      <c r="D66" s="58"/>
      <c r="E66" s="59"/>
      <c r="F66" s="63"/>
      <c r="G66" s="63"/>
      <c r="H66" s="63"/>
      <c r="I66" s="63"/>
      <c r="J66" s="65"/>
      <c r="K66" s="392"/>
      <c r="L66" s="65"/>
      <c r="M66" s="65"/>
      <c r="N66" s="65"/>
      <c r="O66" s="386"/>
      <c r="P66" s="386"/>
      <c r="Q66" s="386"/>
      <c r="R66" s="386"/>
      <c r="S66" s="386"/>
      <c r="T66" s="386"/>
      <c r="U66" s="386"/>
      <c r="V66" s="386"/>
      <c r="W66" s="386"/>
      <c r="X66" s="386"/>
      <c r="Y66" s="386"/>
      <c r="Z66" s="386"/>
      <c r="AA66" s="386"/>
      <c r="AB66" s="386"/>
      <c r="AC66" s="386"/>
      <c r="AD66" s="386"/>
      <c r="AE66" s="386"/>
      <c r="AF66" s="386"/>
      <c r="AG66" s="386"/>
      <c r="AH66" s="386"/>
      <c r="AI66" s="386"/>
      <c r="AJ66" s="386"/>
      <c r="AK66" s="386"/>
      <c r="AL66" s="386"/>
      <c r="AM66" s="386"/>
      <c r="AN66" s="386"/>
      <c r="AO66" s="386"/>
      <c r="AP66" s="386"/>
      <c r="AQ66" s="386"/>
      <c r="AR66" s="386"/>
      <c r="AS66" s="386"/>
      <c r="AT66" s="386"/>
      <c r="AU66" s="386"/>
      <c r="AV66" s="386"/>
      <c r="AW66" s="386"/>
      <c r="AX66" s="386"/>
      <c r="AY66" s="386"/>
      <c r="AZ66" s="386"/>
      <c r="BA66" s="386"/>
      <c r="BB66" s="386"/>
      <c r="BC66" s="386"/>
      <c r="BD66" s="386"/>
      <c r="BE66" s="386"/>
      <c r="BF66" s="386"/>
      <c r="BG66" s="386"/>
      <c r="BH66" s="386"/>
      <c r="BI66" s="386"/>
      <c r="BJ66" s="386"/>
      <c r="BK66" s="386"/>
      <c r="BL66" s="386"/>
      <c r="BM66" s="386"/>
      <c r="BN66" s="386"/>
      <c r="BO66" s="386"/>
      <c r="BP66" s="386"/>
      <c r="BQ66" s="386"/>
      <c r="BR66" s="386"/>
      <c r="BS66" s="386"/>
      <c r="BT66" s="386"/>
      <c r="BU66" s="386"/>
      <c r="BV66" s="386"/>
      <c r="BW66" s="386"/>
      <c r="BX66" s="386"/>
      <c r="BY66" s="386"/>
      <c r="BZ66" s="386"/>
      <c r="CA66" s="386"/>
      <c r="CB66" s="386"/>
      <c r="CC66" s="386"/>
      <c r="CD66" s="386"/>
      <c r="CE66" s="386"/>
      <c r="CF66" s="386"/>
      <c r="CG66" s="386"/>
      <c r="CH66" s="386"/>
      <c r="CI66" s="386"/>
      <c r="CJ66" s="386"/>
      <c r="CK66" s="386"/>
      <c r="CL66" s="386"/>
    </row>
    <row r="67" spans="2:90" ht="12.75" customHeight="1" x14ac:dyDescent="0.15">
      <c r="B67" s="57"/>
      <c r="C67" s="57"/>
      <c r="D67" s="58"/>
      <c r="E67" s="59"/>
      <c r="F67" s="63"/>
      <c r="G67" s="63"/>
      <c r="H67" s="63"/>
      <c r="I67" s="63"/>
      <c r="J67" s="65"/>
      <c r="K67" s="392"/>
      <c r="L67" s="65"/>
      <c r="M67" s="65"/>
      <c r="N67" s="65"/>
      <c r="O67" s="386"/>
      <c r="P67" s="386"/>
      <c r="Q67" s="386"/>
      <c r="R67" s="386"/>
      <c r="S67" s="386"/>
      <c r="T67" s="386"/>
      <c r="U67" s="386"/>
      <c r="V67" s="386"/>
      <c r="W67" s="386"/>
      <c r="X67" s="386"/>
      <c r="Y67" s="386"/>
      <c r="Z67" s="386"/>
      <c r="AA67" s="386"/>
      <c r="AB67" s="386"/>
      <c r="AC67" s="386"/>
      <c r="AD67" s="386"/>
      <c r="AE67" s="386"/>
      <c r="AF67" s="386"/>
      <c r="AG67" s="386"/>
      <c r="AH67" s="386"/>
      <c r="AI67" s="386"/>
      <c r="AJ67" s="386"/>
      <c r="AK67" s="386"/>
      <c r="AL67" s="386"/>
      <c r="AM67" s="386"/>
      <c r="AN67" s="386"/>
      <c r="AO67" s="386"/>
      <c r="AP67" s="386"/>
      <c r="AQ67" s="386"/>
      <c r="AR67" s="386"/>
      <c r="AS67" s="386"/>
      <c r="AT67" s="386"/>
      <c r="AU67" s="386"/>
      <c r="AV67" s="386"/>
      <c r="AW67" s="386"/>
      <c r="AX67" s="386"/>
      <c r="AY67" s="386"/>
      <c r="AZ67" s="386"/>
      <c r="BA67" s="386"/>
      <c r="BB67" s="386"/>
      <c r="BC67" s="386"/>
      <c r="BD67" s="386"/>
      <c r="BE67" s="386"/>
      <c r="BF67" s="386"/>
      <c r="BG67" s="386"/>
      <c r="BH67" s="386"/>
      <c r="BI67" s="386"/>
      <c r="BJ67" s="386"/>
      <c r="BK67" s="386"/>
      <c r="BL67" s="386"/>
      <c r="BM67" s="386"/>
      <c r="BN67" s="386"/>
      <c r="BO67" s="386"/>
      <c r="BP67" s="386"/>
      <c r="BQ67" s="386"/>
      <c r="BR67" s="386"/>
      <c r="BS67" s="386"/>
      <c r="BT67" s="386"/>
      <c r="BU67" s="386"/>
      <c r="BV67" s="386"/>
      <c r="BW67" s="386"/>
      <c r="BX67" s="386"/>
      <c r="BY67" s="386"/>
      <c r="BZ67" s="386"/>
      <c r="CA67" s="386"/>
      <c r="CB67" s="386"/>
      <c r="CC67" s="386"/>
      <c r="CD67" s="386"/>
      <c r="CE67" s="386"/>
      <c r="CF67" s="386"/>
      <c r="CG67" s="386"/>
      <c r="CH67" s="386"/>
      <c r="CI67" s="386"/>
      <c r="CJ67" s="386"/>
      <c r="CK67" s="386"/>
      <c r="CL67" s="386"/>
    </row>
    <row r="68" spans="2:90" ht="12.75" customHeight="1" x14ac:dyDescent="0.15">
      <c r="B68" s="57"/>
      <c r="C68" s="57"/>
      <c r="D68" s="58"/>
      <c r="E68" s="59"/>
      <c r="F68" s="63"/>
      <c r="G68" s="63"/>
      <c r="H68" s="63"/>
      <c r="I68" s="63"/>
      <c r="J68" s="65"/>
      <c r="K68" s="392"/>
      <c r="L68" s="65"/>
      <c r="M68" s="65"/>
      <c r="N68" s="65"/>
      <c r="O68" s="386"/>
      <c r="P68" s="386"/>
      <c r="Q68" s="386"/>
      <c r="R68" s="386"/>
      <c r="S68" s="386"/>
      <c r="T68" s="386"/>
      <c r="U68" s="386"/>
      <c r="V68" s="386"/>
      <c r="W68" s="386"/>
      <c r="X68" s="386"/>
      <c r="Y68" s="386"/>
      <c r="Z68" s="386"/>
      <c r="AA68" s="386"/>
      <c r="AB68" s="386"/>
      <c r="AC68" s="386"/>
      <c r="AD68" s="386"/>
      <c r="AE68" s="386"/>
      <c r="AF68" s="386"/>
      <c r="AG68" s="386"/>
      <c r="AH68" s="386"/>
      <c r="AI68" s="386"/>
      <c r="AJ68" s="386"/>
      <c r="AK68" s="386"/>
      <c r="AL68" s="386"/>
      <c r="AM68" s="386"/>
      <c r="AN68" s="386"/>
      <c r="AO68" s="386"/>
      <c r="AP68" s="386"/>
      <c r="AQ68" s="386"/>
      <c r="AR68" s="386"/>
      <c r="AS68" s="386"/>
      <c r="AT68" s="386"/>
      <c r="AU68" s="386"/>
      <c r="AV68" s="386"/>
      <c r="AW68" s="386"/>
      <c r="AX68" s="386"/>
      <c r="AY68" s="386"/>
      <c r="AZ68" s="386"/>
      <c r="BA68" s="386"/>
      <c r="BB68" s="386"/>
      <c r="BC68" s="386"/>
      <c r="BD68" s="386"/>
      <c r="BE68" s="386"/>
      <c r="BF68" s="386"/>
      <c r="BG68" s="386"/>
      <c r="BH68" s="386"/>
      <c r="BI68" s="386"/>
      <c r="BJ68" s="386"/>
      <c r="BK68" s="386"/>
      <c r="BL68" s="386"/>
      <c r="BM68" s="386"/>
      <c r="BN68" s="386"/>
      <c r="BO68" s="386"/>
      <c r="BP68" s="386"/>
      <c r="BQ68" s="386"/>
      <c r="BR68" s="386"/>
      <c r="BS68" s="386"/>
      <c r="BT68" s="386"/>
      <c r="BU68" s="386"/>
      <c r="BV68" s="386"/>
      <c r="BW68" s="386"/>
      <c r="BX68" s="386"/>
      <c r="BY68" s="386"/>
      <c r="BZ68" s="386"/>
      <c r="CA68" s="386"/>
      <c r="CB68" s="386"/>
      <c r="CC68" s="386"/>
      <c r="CD68" s="386"/>
      <c r="CE68" s="386"/>
      <c r="CF68" s="386"/>
      <c r="CG68" s="386"/>
      <c r="CH68" s="386"/>
      <c r="CI68" s="386"/>
      <c r="CJ68" s="386"/>
      <c r="CK68" s="386"/>
      <c r="CL68" s="386"/>
    </row>
    <row r="69" spans="2:90" ht="12.75" customHeight="1" x14ac:dyDescent="0.15">
      <c r="B69" s="57"/>
      <c r="C69" s="57"/>
      <c r="D69" s="58"/>
      <c r="E69" s="59"/>
      <c r="F69" s="63"/>
      <c r="G69" s="63"/>
      <c r="H69" s="63"/>
      <c r="I69" s="63"/>
      <c r="J69" s="65"/>
      <c r="K69" s="392"/>
      <c r="L69" s="65"/>
      <c r="M69" s="65"/>
      <c r="N69" s="65"/>
      <c r="O69" s="386"/>
      <c r="P69" s="386"/>
      <c r="Q69" s="386"/>
      <c r="R69" s="386"/>
      <c r="S69" s="386"/>
      <c r="T69" s="386"/>
      <c r="U69" s="386"/>
      <c r="V69" s="386"/>
      <c r="W69" s="386"/>
      <c r="X69" s="386"/>
      <c r="Y69" s="386"/>
      <c r="Z69" s="386"/>
      <c r="AA69" s="386"/>
      <c r="AB69" s="386"/>
      <c r="AC69" s="386"/>
      <c r="AD69" s="386"/>
      <c r="AE69" s="386"/>
      <c r="AF69" s="386"/>
      <c r="AG69" s="386"/>
      <c r="AH69" s="386"/>
      <c r="AI69" s="386"/>
      <c r="AJ69" s="386"/>
      <c r="AK69" s="386"/>
      <c r="AL69" s="386"/>
      <c r="AM69" s="386"/>
      <c r="AN69" s="386"/>
      <c r="AO69" s="386"/>
      <c r="AP69" s="386"/>
      <c r="AQ69" s="386"/>
      <c r="AR69" s="386"/>
      <c r="AS69" s="386"/>
      <c r="AT69" s="386"/>
      <c r="AU69" s="386"/>
      <c r="AV69" s="386"/>
      <c r="AW69" s="386"/>
      <c r="AX69" s="386"/>
      <c r="AY69" s="386"/>
      <c r="AZ69" s="386"/>
      <c r="BA69" s="386"/>
      <c r="BB69" s="386"/>
      <c r="BC69" s="386"/>
      <c r="BD69" s="386"/>
      <c r="BE69" s="386"/>
      <c r="BF69" s="386"/>
      <c r="BG69" s="386"/>
      <c r="BH69" s="386"/>
      <c r="BI69" s="386"/>
      <c r="BJ69" s="386"/>
      <c r="BK69" s="386"/>
      <c r="BL69" s="386"/>
      <c r="BM69" s="386"/>
      <c r="BN69" s="386"/>
      <c r="BO69" s="386"/>
      <c r="BP69" s="386"/>
      <c r="BQ69" s="386"/>
      <c r="BR69" s="386"/>
      <c r="BS69" s="386"/>
      <c r="BT69" s="386"/>
      <c r="BU69" s="386"/>
      <c r="BV69" s="386"/>
      <c r="BW69" s="386"/>
      <c r="BX69" s="386"/>
      <c r="BY69" s="386"/>
      <c r="BZ69" s="386"/>
      <c r="CA69" s="386"/>
      <c r="CB69" s="386"/>
      <c r="CC69" s="386"/>
      <c r="CD69" s="386"/>
      <c r="CE69" s="386"/>
      <c r="CF69" s="386"/>
      <c r="CG69" s="386"/>
      <c r="CH69" s="386"/>
      <c r="CI69" s="386"/>
      <c r="CJ69" s="386"/>
      <c r="CK69" s="386"/>
      <c r="CL69" s="386"/>
    </row>
    <row r="70" spans="2:90" ht="12.75" customHeight="1" x14ac:dyDescent="0.15">
      <c r="B70" s="57"/>
      <c r="C70" s="57"/>
      <c r="D70" s="58"/>
      <c r="E70" s="59"/>
      <c r="F70" s="63"/>
      <c r="G70" s="63"/>
      <c r="H70" s="63"/>
      <c r="I70" s="63"/>
      <c r="J70" s="65"/>
      <c r="K70" s="392"/>
      <c r="L70" s="65"/>
      <c r="M70" s="65"/>
      <c r="N70" s="65"/>
      <c r="O70" s="386"/>
      <c r="P70" s="386"/>
      <c r="Q70" s="386"/>
      <c r="R70" s="386"/>
      <c r="S70" s="386"/>
      <c r="T70" s="386"/>
      <c r="U70" s="386"/>
      <c r="V70" s="386"/>
      <c r="W70" s="386"/>
      <c r="X70" s="386"/>
      <c r="Y70" s="386"/>
      <c r="Z70" s="386"/>
      <c r="AA70" s="386"/>
      <c r="AB70" s="386"/>
      <c r="AC70" s="386"/>
      <c r="AD70" s="386"/>
      <c r="AE70" s="386"/>
      <c r="AF70" s="386"/>
      <c r="AG70" s="386"/>
      <c r="AH70" s="386"/>
      <c r="AI70" s="386"/>
      <c r="AJ70" s="386"/>
      <c r="AK70" s="386"/>
      <c r="AL70" s="386"/>
      <c r="AM70" s="386"/>
      <c r="AN70" s="386"/>
      <c r="AO70" s="386"/>
      <c r="AP70" s="386"/>
      <c r="AQ70" s="386"/>
      <c r="AR70" s="386"/>
      <c r="AS70" s="386"/>
      <c r="AT70" s="386"/>
      <c r="AU70" s="386"/>
      <c r="AV70" s="386"/>
      <c r="AW70" s="386"/>
      <c r="AX70" s="386"/>
      <c r="AY70" s="386"/>
      <c r="AZ70" s="386"/>
      <c r="BA70" s="386"/>
      <c r="BB70" s="386"/>
      <c r="BC70" s="386"/>
      <c r="BD70" s="386"/>
      <c r="BE70" s="386"/>
      <c r="BF70" s="386"/>
      <c r="BG70" s="386"/>
      <c r="BH70" s="386"/>
      <c r="BI70" s="386"/>
      <c r="BJ70" s="386"/>
      <c r="BK70" s="386"/>
      <c r="BL70" s="386"/>
      <c r="BM70" s="386"/>
      <c r="BN70" s="386"/>
      <c r="BO70" s="386"/>
      <c r="BP70" s="386"/>
      <c r="BQ70" s="386"/>
      <c r="BR70" s="386"/>
      <c r="BS70" s="386"/>
      <c r="BT70" s="386"/>
      <c r="BU70" s="386"/>
      <c r="BV70" s="386"/>
      <c r="BW70" s="386"/>
      <c r="BX70" s="386"/>
      <c r="BY70" s="386"/>
      <c r="BZ70" s="386"/>
      <c r="CA70" s="386"/>
      <c r="CB70" s="386"/>
      <c r="CC70" s="386"/>
      <c r="CD70" s="386"/>
      <c r="CE70" s="386"/>
      <c r="CF70" s="386"/>
      <c r="CG70" s="386"/>
      <c r="CH70" s="386"/>
      <c r="CI70" s="386"/>
      <c r="CJ70" s="386"/>
      <c r="CK70" s="386"/>
      <c r="CL70" s="386"/>
    </row>
    <row r="71" spans="2:90" ht="12.75" customHeight="1" x14ac:dyDescent="0.15">
      <c r="B71" s="57"/>
      <c r="C71" s="57"/>
      <c r="D71" s="58"/>
      <c r="E71" s="59"/>
      <c r="F71" s="63"/>
      <c r="G71" s="63"/>
      <c r="H71" s="63"/>
      <c r="I71" s="63"/>
      <c r="J71" s="65"/>
      <c r="K71" s="392"/>
      <c r="L71" s="65"/>
      <c r="M71" s="65"/>
      <c r="N71" s="65"/>
      <c r="O71" s="386"/>
      <c r="P71" s="386"/>
      <c r="Q71" s="386"/>
      <c r="R71" s="386"/>
      <c r="S71" s="386"/>
      <c r="T71" s="386"/>
      <c r="U71" s="386"/>
      <c r="V71" s="386"/>
      <c r="W71" s="386"/>
      <c r="X71" s="386"/>
      <c r="Y71" s="386"/>
      <c r="Z71" s="386"/>
      <c r="AA71" s="386"/>
      <c r="AB71" s="386"/>
      <c r="AC71" s="386"/>
      <c r="AD71" s="386"/>
      <c r="AE71" s="386"/>
      <c r="AF71" s="386"/>
      <c r="AG71" s="386"/>
      <c r="AH71" s="386"/>
      <c r="AI71" s="386"/>
      <c r="AJ71" s="386"/>
      <c r="AK71" s="386"/>
      <c r="AL71" s="386"/>
      <c r="AM71" s="386"/>
      <c r="AN71" s="386"/>
      <c r="AO71" s="386"/>
      <c r="AP71" s="386"/>
      <c r="AQ71" s="386"/>
      <c r="AR71" s="386"/>
      <c r="AS71" s="386"/>
      <c r="AT71" s="386"/>
      <c r="AU71" s="386"/>
      <c r="AV71" s="386"/>
      <c r="AW71" s="386"/>
      <c r="AX71" s="386"/>
      <c r="AY71" s="386"/>
      <c r="AZ71" s="386"/>
      <c r="BA71" s="386"/>
      <c r="BB71" s="386"/>
      <c r="BC71" s="386"/>
      <c r="BD71" s="386"/>
      <c r="BE71" s="386"/>
      <c r="BF71" s="386"/>
      <c r="BG71" s="386"/>
      <c r="BH71" s="386"/>
      <c r="BI71" s="386"/>
      <c r="BJ71" s="386"/>
      <c r="BK71" s="386"/>
      <c r="BL71" s="386"/>
      <c r="BM71" s="386"/>
      <c r="BN71" s="386"/>
      <c r="BO71" s="386"/>
      <c r="BP71" s="386"/>
      <c r="BQ71" s="386"/>
      <c r="BR71" s="386"/>
      <c r="BS71" s="386"/>
      <c r="BT71" s="386"/>
      <c r="BU71" s="386"/>
      <c r="BV71" s="386"/>
      <c r="BW71" s="386"/>
      <c r="BX71" s="386"/>
      <c r="BY71" s="386"/>
      <c r="BZ71" s="386"/>
      <c r="CA71" s="386"/>
      <c r="CB71" s="386"/>
      <c r="CC71" s="386"/>
      <c r="CD71" s="386"/>
      <c r="CE71" s="386"/>
      <c r="CF71" s="386"/>
      <c r="CG71" s="386"/>
      <c r="CH71" s="386"/>
      <c r="CI71" s="386"/>
      <c r="CJ71" s="386"/>
      <c r="CK71" s="386"/>
      <c r="CL71" s="386"/>
    </row>
    <row r="72" spans="2:90" ht="12.75" customHeight="1" x14ac:dyDescent="0.15">
      <c r="B72" s="57"/>
      <c r="C72" s="57"/>
      <c r="D72" s="58"/>
      <c r="E72" s="59"/>
      <c r="F72" s="63"/>
      <c r="G72" s="63"/>
      <c r="H72" s="63"/>
      <c r="I72" s="63"/>
      <c r="J72" s="65"/>
      <c r="K72" s="392"/>
      <c r="L72" s="65"/>
      <c r="M72" s="65"/>
      <c r="N72" s="65"/>
      <c r="O72" s="386"/>
      <c r="P72" s="386"/>
      <c r="Q72" s="386"/>
      <c r="R72" s="386"/>
      <c r="S72" s="386"/>
      <c r="T72" s="386"/>
      <c r="U72" s="386"/>
      <c r="V72" s="386"/>
      <c r="W72" s="386"/>
      <c r="X72" s="386"/>
      <c r="Y72" s="386"/>
      <c r="Z72" s="386"/>
      <c r="AA72" s="386"/>
      <c r="AB72" s="386"/>
      <c r="AC72" s="386"/>
      <c r="AD72" s="386"/>
      <c r="AE72" s="386"/>
      <c r="AF72" s="386"/>
      <c r="AG72" s="386"/>
      <c r="AH72" s="386"/>
      <c r="AI72" s="386"/>
      <c r="AJ72" s="386"/>
      <c r="AK72" s="386"/>
      <c r="AL72" s="386"/>
      <c r="AM72" s="386"/>
      <c r="AN72" s="386"/>
      <c r="AO72" s="386"/>
      <c r="AP72" s="386"/>
      <c r="AQ72" s="386"/>
      <c r="AR72" s="386"/>
      <c r="AS72" s="386"/>
      <c r="AT72" s="386"/>
      <c r="AU72" s="386"/>
      <c r="AV72" s="386"/>
      <c r="AW72" s="386"/>
      <c r="AX72" s="386"/>
      <c r="AY72" s="386"/>
      <c r="AZ72" s="386"/>
      <c r="BA72" s="386"/>
      <c r="BB72" s="386"/>
      <c r="BC72" s="386"/>
      <c r="BD72" s="386"/>
      <c r="BE72" s="386"/>
      <c r="BF72" s="386"/>
      <c r="BG72" s="386"/>
      <c r="BH72" s="386"/>
      <c r="BI72" s="386"/>
      <c r="BJ72" s="386"/>
      <c r="BK72" s="386"/>
      <c r="BL72" s="386"/>
      <c r="BM72" s="386"/>
      <c r="BN72" s="386"/>
      <c r="BO72" s="386"/>
      <c r="BP72" s="386"/>
      <c r="BQ72" s="386"/>
      <c r="BR72" s="386"/>
      <c r="BS72" s="386"/>
      <c r="BT72" s="386"/>
      <c r="BU72" s="386"/>
      <c r="BV72" s="386"/>
      <c r="BW72" s="386"/>
      <c r="BX72" s="386"/>
      <c r="BY72" s="386"/>
      <c r="BZ72" s="386"/>
      <c r="CA72" s="386"/>
      <c r="CB72" s="386"/>
      <c r="CC72" s="386"/>
      <c r="CD72" s="386"/>
      <c r="CE72" s="386"/>
      <c r="CF72" s="386"/>
      <c r="CG72" s="386"/>
      <c r="CH72" s="386"/>
      <c r="CI72" s="386"/>
      <c r="CJ72" s="386"/>
      <c r="CK72" s="386"/>
      <c r="CL72" s="386"/>
    </row>
    <row r="73" spans="2:90" ht="12.75" customHeight="1" x14ac:dyDescent="0.15">
      <c r="B73" s="57"/>
      <c r="C73" s="57"/>
      <c r="D73" s="58"/>
      <c r="E73" s="59"/>
      <c r="F73" s="63"/>
      <c r="G73" s="63"/>
      <c r="H73" s="63"/>
      <c r="I73" s="63"/>
      <c r="J73" s="65"/>
      <c r="K73" s="392"/>
      <c r="L73" s="65"/>
      <c r="M73" s="65"/>
      <c r="N73" s="65"/>
      <c r="O73" s="386"/>
      <c r="P73" s="386"/>
      <c r="Q73" s="386"/>
      <c r="R73" s="386"/>
      <c r="S73" s="386"/>
      <c r="T73" s="386"/>
      <c r="U73" s="386"/>
      <c r="V73" s="386"/>
      <c r="W73" s="386"/>
      <c r="X73" s="386"/>
      <c r="Y73" s="386"/>
      <c r="Z73" s="386"/>
      <c r="AA73" s="386"/>
      <c r="AB73" s="386"/>
      <c r="AC73" s="386"/>
      <c r="AD73" s="386"/>
      <c r="AE73" s="386"/>
      <c r="AF73" s="386"/>
      <c r="AG73" s="386"/>
      <c r="AH73" s="386"/>
      <c r="AI73" s="386"/>
      <c r="AJ73" s="386"/>
      <c r="AK73" s="386"/>
      <c r="AL73" s="386"/>
      <c r="AM73" s="386"/>
      <c r="AN73" s="386"/>
      <c r="AO73" s="386"/>
      <c r="AP73" s="386"/>
      <c r="AQ73" s="386"/>
      <c r="AR73" s="386"/>
      <c r="AS73" s="386"/>
      <c r="AT73" s="386"/>
      <c r="AU73" s="386"/>
      <c r="AV73" s="386"/>
      <c r="AW73" s="386"/>
      <c r="AX73" s="386"/>
      <c r="AY73" s="386"/>
      <c r="AZ73" s="386"/>
      <c r="BA73" s="386"/>
      <c r="BB73" s="386"/>
      <c r="BC73" s="386"/>
      <c r="BD73" s="386"/>
      <c r="BE73" s="386"/>
      <c r="BF73" s="386"/>
      <c r="BG73" s="386"/>
      <c r="BH73" s="386"/>
      <c r="BI73" s="386"/>
      <c r="BJ73" s="386"/>
      <c r="BK73" s="386"/>
      <c r="BL73" s="386"/>
      <c r="BM73" s="386"/>
      <c r="BN73" s="386"/>
      <c r="BO73" s="386"/>
      <c r="BP73" s="386"/>
      <c r="BQ73" s="386"/>
      <c r="BR73" s="386"/>
      <c r="BS73" s="386"/>
      <c r="BT73" s="386"/>
      <c r="BU73" s="386"/>
      <c r="BV73" s="386"/>
      <c r="BW73" s="386"/>
      <c r="BX73" s="386"/>
      <c r="BY73" s="386"/>
      <c r="BZ73" s="386"/>
      <c r="CA73" s="386"/>
      <c r="CB73" s="386"/>
      <c r="CC73" s="386"/>
      <c r="CD73" s="386"/>
      <c r="CE73" s="386"/>
      <c r="CF73" s="386"/>
      <c r="CG73" s="386"/>
      <c r="CH73" s="386"/>
      <c r="CI73" s="386"/>
      <c r="CJ73" s="386"/>
      <c r="CK73" s="386"/>
      <c r="CL73" s="386"/>
    </row>
    <row r="74" spans="2:90" ht="12.75" customHeight="1" x14ac:dyDescent="0.15">
      <c r="B74" s="57"/>
      <c r="C74" s="57"/>
      <c r="D74" s="58"/>
      <c r="E74" s="59"/>
      <c r="F74" s="63"/>
      <c r="G74" s="63"/>
      <c r="H74" s="63"/>
      <c r="I74" s="63"/>
      <c r="J74" s="65"/>
      <c r="K74" s="392"/>
      <c r="L74" s="65"/>
      <c r="M74" s="65"/>
      <c r="N74" s="65"/>
      <c r="O74" s="386"/>
      <c r="P74" s="386"/>
      <c r="Q74" s="386"/>
      <c r="R74" s="386"/>
      <c r="S74" s="386"/>
      <c r="T74" s="386"/>
      <c r="U74" s="386"/>
      <c r="V74" s="386"/>
      <c r="W74" s="386"/>
      <c r="X74" s="386"/>
      <c r="Y74" s="386"/>
      <c r="Z74" s="386"/>
      <c r="AA74" s="386"/>
      <c r="AB74" s="386"/>
      <c r="AC74" s="386"/>
      <c r="AD74" s="386"/>
      <c r="AE74" s="386"/>
      <c r="AF74" s="386"/>
      <c r="AG74" s="386"/>
      <c r="AH74" s="386"/>
      <c r="AI74" s="386"/>
      <c r="AJ74" s="386"/>
      <c r="AK74" s="386"/>
      <c r="AL74" s="386"/>
      <c r="AM74" s="386"/>
      <c r="AN74" s="386"/>
      <c r="AO74" s="386"/>
      <c r="AP74" s="386"/>
      <c r="AQ74" s="386"/>
      <c r="AR74" s="386"/>
      <c r="AS74" s="386"/>
      <c r="AT74" s="386"/>
      <c r="AU74" s="386"/>
      <c r="AV74" s="386"/>
      <c r="AW74" s="386"/>
      <c r="AX74" s="386"/>
      <c r="AY74" s="386"/>
      <c r="AZ74" s="386"/>
      <c r="BA74" s="386"/>
      <c r="BB74" s="386"/>
      <c r="BC74" s="386"/>
      <c r="BD74" s="386"/>
      <c r="BE74" s="386"/>
      <c r="BF74" s="386"/>
      <c r="BG74" s="386"/>
      <c r="BH74" s="386"/>
      <c r="BI74" s="386"/>
      <c r="BJ74" s="386"/>
      <c r="BK74" s="386"/>
      <c r="BL74" s="386"/>
      <c r="BM74" s="386"/>
      <c r="BN74" s="386"/>
      <c r="BO74" s="386"/>
      <c r="BP74" s="386"/>
      <c r="BQ74" s="386"/>
      <c r="BR74" s="386"/>
      <c r="BS74" s="386"/>
      <c r="BT74" s="386"/>
      <c r="BU74" s="386"/>
      <c r="BV74" s="386"/>
      <c r="BW74" s="386"/>
      <c r="BX74" s="386"/>
      <c r="BY74" s="386"/>
      <c r="BZ74" s="386"/>
      <c r="CA74" s="386"/>
      <c r="CB74" s="386"/>
      <c r="CC74" s="386"/>
      <c r="CD74" s="386"/>
      <c r="CE74" s="386"/>
      <c r="CF74" s="386"/>
      <c r="CG74" s="386"/>
      <c r="CH74" s="386"/>
      <c r="CI74" s="386"/>
      <c r="CJ74" s="386"/>
      <c r="CK74" s="386"/>
      <c r="CL74" s="386"/>
    </row>
    <row r="75" spans="2:90" ht="12.75" customHeight="1" x14ac:dyDescent="0.15">
      <c r="B75" s="57"/>
      <c r="C75" s="57"/>
      <c r="D75" s="58"/>
      <c r="E75" s="59"/>
      <c r="F75" s="63"/>
      <c r="G75" s="63"/>
      <c r="H75" s="63"/>
      <c r="I75" s="63"/>
      <c r="J75" s="65"/>
      <c r="K75" s="392"/>
      <c r="L75" s="65"/>
      <c r="M75" s="65"/>
      <c r="N75" s="65"/>
      <c r="O75" s="386"/>
      <c r="P75" s="386"/>
      <c r="Q75" s="386"/>
      <c r="R75" s="386"/>
      <c r="S75" s="386"/>
      <c r="T75" s="386"/>
      <c r="U75" s="386"/>
      <c r="V75" s="386"/>
      <c r="W75" s="386"/>
      <c r="X75" s="386"/>
      <c r="Y75" s="386"/>
      <c r="Z75" s="386"/>
      <c r="AA75" s="386"/>
      <c r="AB75" s="386"/>
      <c r="AC75" s="386"/>
      <c r="AD75" s="386"/>
      <c r="AE75" s="386"/>
      <c r="AF75" s="386"/>
      <c r="AG75" s="386"/>
      <c r="AH75" s="386"/>
      <c r="AI75" s="386"/>
      <c r="AJ75" s="386"/>
      <c r="AK75" s="386"/>
      <c r="AL75" s="386"/>
      <c r="AM75" s="386"/>
      <c r="AN75" s="386"/>
      <c r="AO75" s="386"/>
      <c r="AP75" s="386"/>
      <c r="AQ75" s="386"/>
      <c r="AR75" s="386"/>
      <c r="AS75" s="386"/>
      <c r="AT75" s="386"/>
      <c r="AU75" s="386"/>
      <c r="AV75" s="386"/>
      <c r="AW75" s="386"/>
      <c r="AX75" s="386"/>
      <c r="AY75" s="386"/>
      <c r="AZ75" s="386"/>
      <c r="BA75" s="386"/>
      <c r="BB75" s="386"/>
      <c r="BC75" s="386"/>
      <c r="BD75" s="386"/>
      <c r="BE75" s="386"/>
      <c r="BF75" s="386"/>
      <c r="BG75" s="386"/>
      <c r="BH75" s="386"/>
      <c r="BI75" s="386"/>
      <c r="BJ75" s="386"/>
      <c r="BK75" s="386"/>
      <c r="BL75" s="386"/>
      <c r="BM75" s="386"/>
      <c r="BN75" s="386"/>
      <c r="BO75" s="386"/>
      <c r="BP75" s="386"/>
      <c r="BQ75" s="386"/>
      <c r="BR75" s="386"/>
      <c r="BS75" s="386"/>
      <c r="BT75" s="386"/>
      <c r="BU75" s="386"/>
      <c r="BV75" s="386"/>
      <c r="BW75" s="386"/>
      <c r="BX75" s="386"/>
      <c r="BY75" s="386"/>
      <c r="BZ75" s="386"/>
      <c r="CA75" s="386"/>
      <c r="CB75" s="386"/>
      <c r="CC75" s="386"/>
      <c r="CD75" s="386"/>
      <c r="CE75" s="386"/>
      <c r="CF75" s="386"/>
      <c r="CG75" s="386"/>
      <c r="CH75" s="386"/>
      <c r="CI75" s="386"/>
      <c r="CJ75" s="386"/>
      <c r="CK75" s="386"/>
      <c r="CL75" s="386"/>
    </row>
    <row r="76" spans="2:90" ht="12.75" customHeight="1" x14ac:dyDescent="0.15">
      <c r="B76" s="57"/>
      <c r="C76" s="57"/>
      <c r="D76" s="58"/>
      <c r="E76" s="59"/>
      <c r="F76" s="63"/>
      <c r="G76" s="63"/>
      <c r="H76" s="63"/>
      <c r="I76" s="63"/>
      <c r="J76" s="65"/>
      <c r="K76" s="392"/>
      <c r="L76" s="65"/>
      <c r="M76" s="65"/>
      <c r="N76" s="65"/>
      <c r="O76" s="386"/>
      <c r="P76" s="386"/>
      <c r="Q76" s="386"/>
      <c r="R76" s="386"/>
      <c r="S76" s="386"/>
      <c r="T76" s="386"/>
      <c r="U76" s="386"/>
      <c r="V76" s="386"/>
      <c r="W76" s="386"/>
      <c r="X76" s="386"/>
      <c r="Y76" s="386"/>
      <c r="Z76" s="386"/>
      <c r="AA76" s="386"/>
      <c r="AB76" s="386"/>
      <c r="AC76" s="386"/>
      <c r="AD76" s="386"/>
      <c r="AE76" s="386"/>
      <c r="AF76" s="386"/>
      <c r="AG76" s="386"/>
      <c r="AH76" s="386"/>
      <c r="AI76" s="386"/>
      <c r="AJ76" s="386"/>
      <c r="AK76" s="386"/>
      <c r="AL76" s="386"/>
      <c r="AM76" s="386"/>
      <c r="AN76" s="386"/>
      <c r="AO76" s="386"/>
      <c r="AP76" s="386"/>
      <c r="AQ76" s="386"/>
      <c r="AR76" s="386"/>
      <c r="AS76" s="386"/>
      <c r="AT76" s="386"/>
      <c r="AU76" s="386"/>
      <c r="AV76" s="386"/>
      <c r="AW76" s="386"/>
      <c r="AX76" s="386"/>
      <c r="AY76" s="386"/>
      <c r="AZ76" s="386"/>
      <c r="BA76" s="386"/>
      <c r="BB76" s="386"/>
      <c r="BC76" s="386"/>
      <c r="BD76" s="386"/>
      <c r="BE76" s="386"/>
      <c r="BF76" s="386"/>
      <c r="BG76" s="386"/>
      <c r="BH76" s="386"/>
      <c r="BI76" s="386"/>
      <c r="BJ76" s="386"/>
      <c r="BK76" s="386"/>
      <c r="BL76" s="386"/>
      <c r="BM76" s="386"/>
      <c r="BN76" s="386"/>
      <c r="BO76" s="386"/>
      <c r="BP76" s="386"/>
      <c r="BQ76" s="386"/>
      <c r="BR76" s="386"/>
      <c r="BS76" s="386"/>
      <c r="BT76" s="386"/>
      <c r="BU76" s="386"/>
      <c r="BV76" s="386"/>
      <c r="BW76" s="386"/>
      <c r="BX76" s="386"/>
      <c r="BY76" s="386"/>
      <c r="BZ76" s="386"/>
      <c r="CA76" s="386"/>
      <c r="CB76" s="386"/>
      <c r="CC76" s="386"/>
      <c r="CD76" s="386"/>
      <c r="CE76" s="386"/>
      <c r="CF76" s="386"/>
      <c r="CG76" s="386"/>
      <c r="CH76" s="386"/>
      <c r="CI76" s="386"/>
      <c r="CJ76" s="386"/>
      <c r="CK76" s="386"/>
      <c r="CL76" s="386"/>
    </row>
    <row r="77" spans="2:90" ht="12.75" customHeight="1" x14ac:dyDescent="0.15">
      <c r="B77" s="57"/>
      <c r="C77" s="57"/>
      <c r="D77" s="58"/>
      <c r="E77" s="59"/>
      <c r="F77" s="63"/>
      <c r="G77" s="63"/>
      <c r="H77" s="63"/>
      <c r="I77" s="63"/>
      <c r="J77" s="65"/>
      <c r="K77" s="392"/>
      <c r="L77" s="65"/>
      <c r="M77" s="65"/>
      <c r="N77" s="65"/>
      <c r="O77" s="386"/>
      <c r="P77" s="386"/>
      <c r="Q77" s="386"/>
      <c r="R77" s="386"/>
      <c r="S77" s="386"/>
      <c r="T77" s="386"/>
      <c r="U77" s="386"/>
      <c r="V77" s="386"/>
      <c r="W77" s="386"/>
      <c r="X77" s="386"/>
      <c r="Y77" s="386"/>
      <c r="Z77" s="386"/>
      <c r="AA77" s="386"/>
      <c r="AB77" s="386"/>
      <c r="AC77" s="386"/>
      <c r="AD77" s="386"/>
      <c r="AE77" s="386"/>
      <c r="AF77" s="386"/>
      <c r="AG77" s="386"/>
      <c r="AH77" s="386"/>
      <c r="AI77" s="386"/>
      <c r="AJ77" s="386"/>
      <c r="AK77" s="386"/>
      <c r="AL77" s="386"/>
      <c r="AM77" s="386"/>
      <c r="AN77" s="386"/>
      <c r="AO77" s="386"/>
      <c r="AP77" s="386"/>
      <c r="AQ77" s="386"/>
      <c r="AR77" s="386"/>
      <c r="AS77" s="386"/>
      <c r="AT77" s="386"/>
      <c r="AU77" s="386"/>
      <c r="AV77" s="386"/>
      <c r="AW77" s="386"/>
      <c r="AX77" s="386"/>
      <c r="AY77" s="386"/>
      <c r="AZ77" s="386"/>
      <c r="BA77" s="386"/>
      <c r="BB77" s="386"/>
      <c r="BC77" s="386"/>
      <c r="BD77" s="386"/>
      <c r="BE77" s="386"/>
      <c r="BF77" s="386"/>
      <c r="BG77" s="386"/>
      <c r="BH77" s="386"/>
      <c r="BI77" s="386"/>
      <c r="BJ77" s="386"/>
      <c r="BK77" s="386"/>
      <c r="BL77" s="386"/>
      <c r="BM77" s="386"/>
      <c r="BN77" s="386"/>
      <c r="BO77" s="386"/>
      <c r="BP77" s="386"/>
      <c r="BQ77" s="386"/>
      <c r="BR77" s="386"/>
      <c r="BS77" s="386"/>
      <c r="BT77" s="386"/>
      <c r="BU77" s="386"/>
      <c r="BV77" s="386"/>
      <c r="BW77" s="386"/>
      <c r="BX77" s="386"/>
      <c r="BY77" s="386"/>
      <c r="BZ77" s="386"/>
      <c r="CA77" s="386"/>
      <c r="CB77" s="386"/>
      <c r="CC77" s="386"/>
      <c r="CD77" s="386"/>
      <c r="CE77" s="386"/>
      <c r="CF77" s="386"/>
      <c r="CG77" s="386"/>
      <c r="CH77" s="386"/>
      <c r="CI77" s="386"/>
      <c r="CJ77" s="386"/>
      <c r="CK77" s="386"/>
      <c r="CL77" s="386"/>
    </row>
    <row r="78" spans="2:90" ht="12.75" customHeight="1" x14ac:dyDescent="0.15">
      <c r="B78" s="57"/>
      <c r="C78" s="57"/>
      <c r="D78" s="58"/>
      <c r="E78" s="59"/>
      <c r="F78" s="63"/>
      <c r="G78" s="63"/>
      <c r="H78" s="63"/>
      <c r="I78" s="63"/>
      <c r="J78" s="65"/>
      <c r="K78" s="392"/>
      <c r="L78" s="65"/>
      <c r="M78" s="65"/>
      <c r="N78" s="65"/>
      <c r="O78" s="386"/>
      <c r="P78" s="386"/>
      <c r="Q78" s="386"/>
      <c r="R78" s="386"/>
      <c r="S78" s="386"/>
      <c r="T78" s="386"/>
      <c r="U78" s="386"/>
      <c r="V78" s="386"/>
      <c r="W78" s="386"/>
      <c r="X78" s="386"/>
      <c r="Y78" s="386"/>
      <c r="Z78" s="386"/>
      <c r="AA78" s="386"/>
      <c r="AB78" s="386"/>
      <c r="AC78" s="386"/>
      <c r="AD78" s="386"/>
      <c r="AE78" s="386"/>
      <c r="AF78" s="386"/>
      <c r="AG78" s="386"/>
      <c r="AH78" s="386"/>
      <c r="AI78" s="386"/>
      <c r="AJ78" s="386"/>
      <c r="AK78" s="386"/>
      <c r="AL78" s="386"/>
      <c r="AM78" s="386"/>
      <c r="AN78" s="386"/>
      <c r="AO78" s="386"/>
      <c r="AP78" s="386"/>
      <c r="AQ78" s="386"/>
      <c r="AR78" s="386"/>
      <c r="AS78" s="386"/>
      <c r="AT78" s="386"/>
      <c r="AU78" s="386"/>
      <c r="AV78" s="386"/>
      <c r="AW78" s="386"/>
      <c r="AX78" s="386"/>
      <c r="AY78" s="386"/>
      <c r="AZ78" s="386"/>
      <c r="BA78" s="386"/>
      <c r="BB78" s="386"/>
      <c r="BC78" s="386"/>
      <c r="BD78" s="386"/>
      <c r="BE78" s="386"/>
      <c r="BF78" s="386"/>
      <c r="BG78" s="386"/>
      <c r="BH78" s="386"/>
      <c r="BI78" s="386"/>
      <c r="BJ78" s="386"/>
      <c r="BK78" s="386"/>
      <c r="BL78" s="386"/>
      <c r="BM78" s="386"/>
      <c r="BN78" s="386"/>
      <c r="BO78" s="386"/>
      <c r="BP78" s="386"/>
      <c r="BQ78" s="386"/>
      <c r="BR78" s="386"/>
      <c r="BS78" s="386"/>
      <c r="BT78" s="386"/>
      <c r="BU78" s="386"/>
      <c r="BV78" s="386"/>
      <c r="BW78" s="386"/>
      <c r="BX78" s="386"/>
      <c r="BY78" s="386"/>
      <c r="BZ78" s="386"/>
      <c r="CA78" s="386"/>
      <c r="CB78" s="386"/>
      <c r="CC78" s="386"/>
      <c r="CD78" s="386"/>
      <c r="CE78" s="386"/>
      <c r="CF78" s="386"/>
      <c r="CG78" s="386"/>
      <c r="CH78" s="386"/>
      <c r="CI78" s="386"/>
      <c r="CJ78" s="386"/>
      <c r="CK78" s="386"/>
      <c r="CL78" s="386"/>
    </row>
    <row r="79" spans="2:90" ht="12.75" customHeight="1" x14ac:dyDescent="0.15">
      <c r="B79" s="57"/>
      <c r="C79" s="57"/>
      <c r="D79" s="58"/>
      <c r="E79" s="59"/>
      <c r="F79" s="63"/>
      <c r="G79" s="63"/>
      <c r="H79" s="63"/>
      <c r="I79" s="63"/>
      <c r="J79" s="65"/>
      <c r="K79" s="392"/>
      <c r="L79" s="65"/>
      <c r="M79" s="65"/>
      <c r="N79" s="65"/>
      <c r="O79" s="386"/>
      <c r="P79" s="386"/>
      <c r="Q79" s="386"/>
      <c r="R79" s="386"/>
      <c r="S79" s="386"/>
      <c r="T79" s="386"/>
      <c r="U79" s="386"/>
      <c r="V79" s="386"/>
      <c r="W79" s="386"/>
      <c r="X79" s="386"/>
      <c r="Y79" s="386"/>
      <c r="Z79" s="386"/>
      <c r="AA79" s="386"/>
      <c r="AB79" s="386"/>
      <c r="AC79" s="386"/>
      <c r="AD79" s="386"/>
      <c r="AE79" s="386"/>
      <c r="AF79" s="386"/>
      <c r="AG79" s="386"/>
      <c r="AH79" s="386"/>
      <c r="AI79" s="386"/>
      <c r="AJ79" s="386"/>
      <c r="AK79" s="386"/>
      <c r="AL79" s="386"/>
      <c r="AM79" s="386"/>
      <c r="AN79" s="386"/>
      <c r="AO79" s="386"/>
      <c r="AP79" s="386"/>
      <c r="AQ79" s="386"/>
      <c r="AR79" s="386"/>
      <c r="AS79" s="386"/>
      <c r="AT79" s="386"/>
      <c r="AU79" s="386"/>
      <c r="AV79" s="386"/>
      <c r="AW79" s="386"/>
      <c r="AX79" s="386"/>
      <c r="AY79" s="386"/>
      <c r="AZ79" s="386"/>
      <c r="BA79" s="386"/>
      <c r="BB79" s="386"/>
      <c r="BC79" s="386"/>
      <c r="BD79" s="386"/>
      <c r="BE79" s="386"/>
      <c r="BF79" s="386"/>
      <c r="BG79" s="386"/>
      <c r="BH79" s="386"/>
      <c r="BI79" s="386"/>
      <c r="BJ79" s="386"/>
      <c r="BK79" s="386"/>
      <c r="BL79" s="386"/>
      <c r="BM79" s="386"/>
      <c r="BN79" s="386"/>
      <c r="BO79" s="386"/>
      <c r="BP79" s="386"/>
      <c r="BQ79" s="386"/>
      <c r="BR79" s="386"/>
      <c r="BS79" s="386"/>
      <c r="BT79" s="386"/>
      <c r="BU79" s="386"/>
      <c r="BV79" s="386"/>
      <c r="BW79" s="386"/>
      <c r="BX79" s="386"/>
      <c r="BY79" s="386"/>
      <c r="BZ79" s="386"/>
      <c r="CA79" s="386"/>
      <c r="CB79" s="386"/>
      <c r="CC79" s="386"/>
      <c r="CD79" s="386"/>
      <c r="CE79" s="386"/>
      <c r="CF79" s="386"/>
      <c r="CG79" s="386"/>
      <c r="CH79" s="386"/>
      <c r="CI79" s="386"/>
      <c r="CJ79" s="386"/>
      <c r="CK79" s="386"/>
      <c r="CL79" s="386"/>
    </row>
    <row r="80" spans="2:90" ht="12.75" customHeight="1" x14ac:dyDescent="0.15">
      <c r="B80" s="57"/>
      <c r="C80" s="57"/>
      <c r="D80" s="58"/>
      <c r="E80" s="59"/>
      <c r="F80" s="63"/>
      <c r="G80" s="63"/>
      <c r="H80" s="63"/>
      <c r="I80" s="63"/>
      <c r="J80" s="65"/>
      <c r="K80" s="392"/>
      <c r="L80" s="65"/>
      <c r="M80" s="65"/>
      <c r="N80" s="65"/>
      <c r="O80" s="386"/>
      <c r="P80" s="386"/>
      <c r="Q80" s="386"/>
      <c r="R80" s="386"/>
      <c r="S80" s="386"/>
      <c r="T80" s="386"/>
      <c r="U80" s="386"/>
      <c r="V80" s="386"/>
      <c r="W80" s="386"/>
      <c r="X80" s="386"/>
      <c r="Y80" s="386"/>
      <c r="Z80" s="386"/>
      <c r="AA80" s="386"/>
      <c r="AB80" s="386"/>
      <c r="AC80" s="386"/>
      <c r="AD80" s="386"/>
      <c r="AE80" s="386"/>
      <c r="AF80" s="386"/>
      <c r="AG80" s="386"/>
      <c r="AH80" s="386"/>
      <c r="AI80" s="386"/>
      <c r="AJ80" s="386"/>
      <c r="AK80" s="386"/>
      <c r="AL80" s="386"/>
      <c r="AM80" s="386"/>
      <c r="AN80" s="386"/>
      <c r="AO80" s="386"/>
      <c r="AP80" s="386"/>
      <c r="AQ80" s="386"/>
      <c r="AR80" s="386"/>
      <c r="AS80" s="386"/>
      <c r="AT80" s="386"/>
      <c r="AU80" s="386"/>
      <c r="AV80" s="386"/>
      <c r="AW80" s="386"/>
      <c r="AX80" s="386"/>
      <c r="AY80" s="386"/>
      <c r="AZ80" s="386"/>
      <c r="BA80" s="386"/>
      <c r="BB80" s="386"/>
      <c r="BC80" s="386"/>
      <c r="BD80" s="386"/>
      <c r="BE80" s="386"/>
      <c r="BF80" s="386"/>
      <c r="BG80" s="386"/>
      <c r="BH80" s="386"/>
      <c r="BI80" s="386"/>
      <c r="BJ80" s="386"/>
      <c r="BK80" s="386"/>
      <c r="BL80" s="386"/>
      <c r="BM80" s="386"/>
      <c r="BN80" s="386"/>
      <c r="BO80" s="386"/>
      <c r="BP80" s="386"/>
      <c r="BQ80" s="386"/>
      <c r="BR80" s="386"/>
      <c r="BS80" s="386"/>
      <c r="BT80" s="386"/>
      <c r="BU80" s="386"/>
      <c r="BV80" s="386"/>
      <c r="BW80" s="386"/>
      <c r="BX80" s="386"/>
      <c r="BY80" s="386"/>
      <c r="BZ80" s="386"/>
      <c r="CA80" s="386"/>
      <c r="CB80" s="386"/>
      <c r="CC80" s="386"/>
      <c r="CD80" s="386"/>
      <c r="CE80" s="386"/>
      <c r="CF80" s="386"/>
      <c r="CG80" s="386"/>
      <c r="CH80" s="386"/>
      <c r="CI80" s="386"/>
      <c r="CJ80" s="386"/>
      <c r="CK80" s="386"/>
      <c r="CL80" s="386"/>
    </row>
    <row r="81" spans="2:90" ht="12.75" customHeight="1" x14ac:dyDescent="0.15">
      <c r="B81" s="57"/>
      <c r="C81" s="57"/>
      <c r="D81" s="58"/>
      <c r="E81" s="59"/>
      <c r="F81" s="63"/>
      <c r="G81" s="63"/>
      <c r="H81" s="63"/>
      <c r="I81" s="63"/>
      <c r="J81" s="65"/>
      <c r="K81" s="392"/>
      <c r="L81" s="65"/>
      <c r="M81" s="65"/>
      <c r="N81" s="65"/>
      <c r="O81" s="386"/>
      <c r="P81" s="386"/>
      <c r="Q81" s="386"/>
      <c r="R81" s="386"/>
      <c r="S81" s="386"/>
      <c r="T81" s="386"/>
      <c r="U81" s="386"/>
      <c r="V81" s="386"/>
      <c r="W81" s="386"/>
      <c r="X81" s="386"/>
      <c r="Y81" s="386"/>
      <c r="Z81" s="386"/>
      <c r="AA81" s="386"/>
      <c r="AB81" s="386"/>
      <c r="AC81" s="386"/>
      <c r="AD81" s="386"/>
      <c r="AE81" s="386"/>
      <c r="AF81" s="386"/>
      <c r="AG81" s="386"/>
      <c r="AH81" s="386"/>
      <c r="AI81" s="386"/>
      <c r="AJ81" s="386"/>
      <c r="AK81" s="386"/>
      <c r="AL81" s="386"/>
      <c r="AM81" s="386"/>
      <c r="AN81" s="386"/>
      <c r="AO81" s="386"/>
      <c r="AP81" s="386"/>
      <c r="AQ81" s="386"/>
      <c r="AR81" s="386"/>
      <c r="AS81" s="386"/>
      <c r="AT81" s="386"/>
      <c r="AU81" s="386"/>
      <c r="AV81" s="386"/>
      <c r="AW81" s="386"/>
      <c r="AX81" s="386"/>
      <c r="AY81" s="386"/>
      <c r="AZ81" s="386"/>
      <c r="BA81" s="386"/>
      <c r="BB81" s="386"/>
      <c r="BC81" s="386"/>
      <c r="BD81" s="386"/>
      <c r="BE81" s="386"/>
      <c r="BF81" s="386"/>
      <c r="BG81" s="386"/>
      <c r="BH81" s="386"/>
      <c r="BI81" s="386"/>
      <c r="BJ81" s="386"/>
      <c r="BK81" s="386"/>
      <c r="BL81" s="386"/>
      <c r="BM81" s="386"/>
      <c r="BN81" s="386"/>
      <c r="BO81" s="386"/>
      <c r="BP81" s="386"/>
      <c r="BQ81" s="386"/>
      <c r="BR81" s="386"/>
      <c r="BS81" s="386"/>
      <c r="BT81" s="386"/>
      <c r="BU81" s="386"/>
      <c r="BV81" s="386"/>
      <c r="BW81" s="386"/>
      <c r="BX81" s="386"/>
      <c r="BY81" s="386"/>
      <c r="BZ81" s="386"/>
      <c r="CA81" s="386"/>
      <c r="CB81" s="386"/>
      <c r="CC81" s="386"/>
      <c r="CD81" s="386"/>
      <c r="CE81" s="386"/>
      <c r="CF81" s="386"/>
      <c r="CG81" s="386"/>
      <c r="CH81" s="386"/>
      <c r="CI81" s="386"/>
      <c r="CJ81" s="386"/>
      <c r="CK81" s="386"/>
      <c r="CL81" s="386"/>
    </row>
    <row r="82" spans="2:90" ht="12.75" customHeight="1" x14ac:dyDescent="0.15">
      <c r="B82" s="57"/>
      <c r="C82" s="57"/>
      <c r="D82" s="58"/>
      <c r="E82" s="59"/>
      <c r="F82" s="63"/>
      <c r="G82" s="63"/>
      <c r="H82" s="63"/>
      <c r="I82" s="63"/>
      <c r="J82" s="65"/>
      <c r="K82" s="392"/>
      <c r="L82" s="65"/>
      <c r="M82" s="65"/>
      <c r="N82" s="65"/>
      <c r="O82" s="386"/>
      <c r="P82" s="386"/>
      <c r="Q82" s="386"/>
      <c r="R82" s="386"/>
      <c r="S82" s="386"/>
      <c r="T82" s="386"/>
      <c r="U82" s="386"/>
      <c r="V82" s="386"/>
      <c r="W82" s="386"/>
      <c r="X82" s="386"/>
      <c r="Y82" s="386"/>
      <c r="Z82" s="386"/>
      <c r="AA82" s="386"/>
      <c r="AB82" s="386"/>
      <c r="AC82" s="386"/>
      <c r="AD82" s="386"/>
      <c r="AE82" s="386"/>
      <c r="AF82" s="386"/>
      <c r="AG82" s="386"/>
      <c r="AH82" s="386"/>
      <c r="AI82" s="386"/>
      <c r="AJ82" s="386"/>
      <c r="AK82" s="386"/>
      <c r="AL82" s="386"/>
      <c r="AM82" s="386"/>
      <c r="AN82" s="386"/>
      <c r="AO82" s="386"/>
      <c r="AP82" s="386"/>
      <c r="AQ82" s="386"/>
      <c r="AR82" s="386"/>
      <c r="AS82" s="386"/>
      <c r="AT82" s="386"/>
      <c r="AU82" s="386"/>
      <c r="AV82" s="386"/>
      <c r="AW82" s="386"/>
      <c r="AX82" s="386"/>
      <c r="AY82" s="386"/>
      <c r="AZ82" s="386"/>
      <c r="BA82" s="386"/>
      <c r="BB82" s="386"/>
      <c r="BC82" s="386"/>
      <c r="BD82" s="386"/>
      <c r="BE82" s="386"/>
      <c r="BF82" s="386"/>
      <c r="BG82" s="386"/>
      <c r="BH82" s="386"/>
      <c r="BI82" s="386"/>
      <c r="BJ82" s="386"/>
      <c r="BK82" s="386"/>
      <c r="BL82" s="386"/>
      <c r="BM82" s="386"/>
      <c r="BN82" s="386"/>
      <c r="BO82" s="386"/>
      <c r="BP82" s="386"/>
      <c r="BQ82" s="386"/>
      <c r="BR82" s="386"/>
      <c r="BS82" s="386"/>
      <c r="BT82" s="386"/>
      <c r="BU82" s="386"/>
      <c r="BV82" s="386"/>
      <c r="BW82" s="386"/>
      <c r="BX82" s="386"/>
      <c r="BY82" s="386"/>
      <c r="BZ82" s="386"/>
      <c r="CA82" s="386"/>
      <c r="CB82" s="386"/>
      <c r="CC82" s="386"/>
      <c r="CD82" s="386"/>
      <c r="CE82" s="386"/>
      <c r="CF82" s="386"/>
      <c r="CG82" s="386"/>
      <c r="CH82" s="386"/>
      <c r="CI82" s="386"/>
      <c r="CJ82" s="386"/>
      <c r="CK82" s="386"/>
      <c r="CL82" s="386"/>
    </row>
    <row r="83" spans="2:90" ht="12.75" customHeight="1" x14ac:dyDescent="0.15">
      <c r="B83" s="57"/>
      <c r="C83" s="57"/>
      <c r="D83" s="58"/>
      <c r="E83" s="59"/>
      <c r="F83" s="63"/>
      <c r="G83" s="63"/>
      <c r="H83" s="63"/>
      <c r="I83" s="63"/>
      <c r="J83" s="65"/>
      <c r="K83" s="392"/>
      <c r="L83" s="65"/>
      <c r="M83" s="65"/>
      <c r="N83" s="65"/>
      <c r="O83" s="386"/>
      <c r="P83" s="386"/>
      <c r="Q83" s="386"/>
      <c r="R83" s="386"/>
      <c r="S83" s="386"/>
      <c r="T83" s="386"/>
      <c r="U83" s="386"/>
      <c r="V83" s="386"/>
      <c r="W83" s="386"/>
      <c r="X83" s="386"/>
      <c r="Y83" s="386"/>
      <c r="Z83" s="386"/>
      <c r="AA83" s="386"/>
      <c r="AB83" s="386"/>
      <c r="AC83" s="386"/>
      <c r="AD83" s="386"/>
      <c r="AE83" s="386"/>
      <c r="AF83" s="386"/>
      <c r="AG83" s="386"/>
      <c r="AH83" s="386"/>
      <c r="AI83" s="386"/>
      <c r="AJ83" s="386"/>
      <c r="AK83" s="386"/>
      <c r="AL83" s="386"/>
      <c r="AM83" s="386"/>
      <c r="AN83" s="386"/>
      <c r="AO83" s="386"/>
      <c r="AP83" s="386"/>
      <c r="AQ83" s="386"/>
      <c r="AR83" s="386"/>
      <c r="AS83" s="386"/>
      <c r="AT83" s="386"/>
      <c r="AU83" s="386"/>
      <c r="AV83" s="386"/>
      <c r="AW83" s="386"/>
      <c r="AX83" s="386"/>
      <c r="AY83" s="386"/>
      <c r="AZ83" s="386"/>
      <c r="BA83" s="386"/>
      <c r="BB83" s="386"/>
      <c r="BC83" s="386"/>
      <c r="BD83" s="386"/>
      <c r="BE83" s="386"/>
      <c r="BF83" s="386"/>
      <c r="BG83" s="386"/>
      <c r="BH83" s="386"/>
      <c r="BI83" s="386"/>
      <c r="BJ83" s="386"/>
      <c r="BK83" s="386"/>
      <c r="BL83" s="386"/>
      <c r="BM83" s="386"/>
      <c r="BN83" s="386"/>
      <c r="BO83" s="386"/>
      <c r="BP83" s="386"/>
      <c r="BQ83" s="386"/>
      <c r="BR83" s="386"/>
      <c r="BS83" s="386"/>
      <c r="BT83" s="386"/>
      <c r="BU83" s="386"/>
      <c r="BV83" s="386"/>
      <c r="BW83" s="386"/>
      <c r="BX83" s="386"/>
      <c r="BY83" s="386"/>
      <c r="BZ83" s="386"/>
      <c r="CA83" s="386"/>
      <c r="CB83" s="386"/>
      <c r="CC83" s="386"/>
      <c r="CD83" s="386"/>
      <c r="CE83" s="386"/>
      <c r="CF83" s="386"/>
      <c r="CG83" s="386"/>
      <c r="CH83" s="386"/>
      <c r="CI83" s="386"/>
      <c r="CJ83" s="386"/>
      <c r="CK83" s="386"/>
      <c r="CL83" s="386"/>
    </row>
    <row r="84" spans="2:90" ht="12.75" customHeight="1" x14ac:dyDescent="0.15">
      <c r="B84" s="57"/>
      <c r="C84" s="57"/>
      <c r="D84" s="58"/>
      <c r="E84" s="59"/>
      <c r="F84" s="63"/>
      <c r="G84" s="63"/>
      <c r="H84" s="63"/>
      <c r="I84" s="63"/>
      <c r="J84" s="65"/>
      <c r="K84" s="392"/>
      <c r="L84" s="65"/>
      <c r="M84" s="65"/>
      <c r="N84" s="65"/>
      <c r="O84" s="386"/>
      <c r="P84" s="386"/>
      <c r="Q84" s="386"/>
      <c r="R84" s="386"/>
      <c r="S84" s="386"/>
      <c r="T84" s="386"/>
      <c r="U84" s="386"/>
      <c r="V84" s="386"/>
      <c r="W84" s="386"/>
      <c r="X84" s="386"/>
      <c r="Y84" s="386"/>
      <c r="Z84" s="386"/>
      <c r="AA84" s="386"/>
      <c r="AB84" s="386"/>
      <c r="AC84" s="386"/>
      <c r="AD84" s="386"/>
      <c r="AE84" s="386"/>
      <c r="AF84" s="386"/>
      <c r="AG84" s="386"/>
      <c r="AH84" s="386"/>
      <c r="AI84" s="386"/>
      <c r="AJ84" s="386"/>
      <c r="AK84" s="386"/>
      <c r="AL84" s="386"/>
      <c r="AM84" s="386"/>
      <c r="AN84" s="386"/>
      <c r="AO84" s="386"/>
      <c r="AP84" s="386"/>
      <c r="AQ84" s="386"/>
      <c r="AR84" s="386"/>
      <c r="AS84" s="386"/>
      <c r="AT84" s="386"/>
      <c r="AU84" s="386"/>
      <c r="AV84" s="386"/>
      <c r="AW84" s="386"/>
      <c r="AX84" s="386"/>
      <c r="AY84" s="386"/>
      <c r="AZ84" s="386"/>
      <c r="BA84" s="386"/>
      <c r="BB84" s="386"/>
      <c r="BC84" s="386"/>
      <c r="BD84" s="386"/>
      <c r="BE84" s="386"/>
      <c r="BF84" s="386"/>
      <c r="BG84" s="386"/>
      <c r="BH84" s="386"/>
      <c r="BI84" s="386"/>
      <c r="BJ84" s="386"/>
      <c r="BK84" s="386"/>
      <c r="BL84" s="386"/>
      <c r="BM84" s="386"/>
      <c r="BN84" s="386"/>
      <c r="BO84" s="386"/>
      <c r="BP84" s="386"/>
      <c r="BQ84" s="386"/>
      <c r="BR84" s="386"/>
      <c r="BS84" s="386"/>
      <c r="BT84" s="386"/>
      <c r="BU84" s="386"/>
      <c r="BV84" s="386"/>
      <c r="BW84" s="386"/>
      <c r="BX84" s="386"/>
      <c r="BY84" s="386"/>
      <c r="BZ84" s="386"/>
      <c r="CA84" s="386"/>
      <c r="CB84" s="386"/>
      <c r="CC84" s="386"/>
      <c r="CD84" s="386"/>
      <c r="CE84" s="386"/>
      <c r="CF84" s="386"/>
      <c r="CG84" s="386"/>
      <c r="CH84" s="386"/>
      <c r="CI84" s="386"/>
      <c r="CJ84" s="386"/>
      <c r="CK84" s="386"/>
      <c r="CL84" s="386"/>
    </row>
    <row r="85" spans="2:90" ht="12.75" customHeight="1" x14ac:dyDescent="0.15">
      <c r="B85" s="57"/>
      <c r="C85" s="57"/>
      <c r="D85" s="58"/>
      <c r="E85" s="59"/>
      <c r="F85" s="63"/>
      <c r="G85" s="63"/>
      <c r="H85" s="63"/>
      <c r="I85" s="63"/>
      <c r="J85" s="65"/>
      <c r="K85" s="392"/>
      <c r="L85" s="65"/>
      <c r="M85" s="65"/>
      <c r="N85" s="65"/>
      <c r="O85" s="386"/>
      <c r="P85" s="386"/>
      <c r="Q85" s="386"/>
      <c r="R85" s="386"/>
      <c r="S85" s="386"/>
      <c r="T85" s="386"/>
      <c r="U85" s="386"/>
      <c r="V85" s="386"/>
      <c r="W85" s="386"/>
      <c r="X85" s="386"/>
      <c r="Y85" s="386"/>
      <c r="Z85" s="386"/>
      <c r="AA85" s="386"/>
      <c r="AB85" s="386"/>
      <c r="AC85" s="386"/>
      <c r="AD85" s="386"/>
      <c r="AE85" s="386"/>
      <c r="AF85" s="386"/>
      <c r="AG85" s="386"/>
      <c r="AH85" s="386"/>
      <c r="AI85" s="386"/>
      <c r="AJ85" s="386"/>
      <c r="AK85" s="386"/>
      <c r="AL85" s="386"/>
      <c r="AM85" s="386"/>
      <c r="AN85" s="386"/>
      <c r="AO85" s="386"/>
      <c r="AP85" s="386"/>
      <c r="AQ85" s="386"/>
      <c r="AR85" s="386"/>
      <c r="AS85" s="386"/>
      <c r="AT85" s="386"/>
      <c r="AU85" s="386"/>
      <c r="AV85" s="386"/>
      <c r="AW85" s="386"/>
      <c r="AX85" s="386"/>
      <c r="AY85" s="386"/>
      <c r="AZ85" s="386"/>
      <c r="BA85" s="386"/>
      <c r="BB85" s="386"/>
      <c r="BC85" s="386"/>
      <c r="BD85" s="386"/>
      <c r="BE85" s="386"/>
      <c r="BF85" s="386"/>
      <c r="BG85" s="386"/>
      <c r="BH85" s="386"/>
      <c r="BI85" s="386"/>
      <c r="BJ85" s="386"/>
      <c r="BK85" s="386"/>
      <c r="BL85" s="386"/>
      <c r="BM85" s="386"/>
      <c r="BN85" s="386"/>
      <c r="BO85" s="386"/>
      <c r="BP85" s="386"/>
      <c r="BQ85" s="386"/>
      <c r="BR85" s="386"/>
      <c r="BS85" s="386"/>
      <c r="BT85" s="386"/>
      <c r="BU85" s="386"/>
      <c r="BV85" s="386"/>
      <c r="BW85" s="386"/>
      <c r="BX85" s="386"/>
      <c r="BY85" s="386"/>
      <c r="BZ85" s="386"/>
      <c r="CA85" s="386"/>
      <c r="CB85" s="386"/>
      <c r="CC85" s="386"/>
      <c r="CD85" s="386"/>
      <c r="CE85" s="386"/>
      <c r="CF85" s="386"/>
      <c r="CG85" s="386"/>
      <c r="CH85" s="386"/>
      <c r="CI85" s="386"/>
      <c r="CJ85" s="386"/>
      <c r="CK85" s="386"/>
      <c r="CL85" s="386"/>
    </row>
    <row r="86" spans="2:90" ht="12.75" customHeight="1" x14ac:dyDescent="0.15">
      <c r="B86" s="57"/>
      <c r="C86" s="57"/>
      <c r="D86" s="58"/>
      <c r="E86" s="59"/>
      <c r="F86" s="63"/>
      <c r="G86" s="63"/>
      <c r="H86" s="63"/>
      <c r="I86" s="63"/>
      <c r="J86" s="65"/>
      <c r="K86" s="392"/>
      <c r="L86" s="65"/>
      <c r="M86" s="65"/>
      <c r="N86" s="65"/>
      <c r="O86" s="386"/>
      <c r="P86" s="386"/>
      <c r="Q86" s="386"/>
      <c r="R86" s="386"/>
      <c r="S86" s="386"/>
      <c r="T86" s="386"/>
      <c r="U86" s="386"/>
      <c r="V86" s="386"/>
      <c r="W86" s="386"/>
      <c r="X86" s="386"/>
      <c r="Y86" s="386"/>
      <c r="Z86" s="386"/>
      <c r="AA86" s="386"/>
      <c r="AB86" s="386"/>
      <c r="AC86" s="386"/>
      <c r="AD86" s="386"/>
      <c r="AE86" s="386"/>
      <c r="AF86" s="386"/>
      <c r="AG86" s="386"/>
      <c r="AH86" s="386"/>
      <c r="AI86" s="386"/>
      <c r="AJ86" s="386"/>
      <c r="AK86" s="386"/>
      <c r="AL86" s="386"/>
      <c r="AM86" s="386"/>
      <c r="AN86" s="386"/>
      <c r="AO86" s="386"/>
      <c r="AP86" s="386"/>
      <c r="AQ86" s="386"/>
      <c r="AR86" s="386"/>
      <c r="AS86" s="386"/>
      <c r="AT86" s="386"/>
      <c r="AU86" s="386"/>
      <c r="AV86" s="386"/>
      <c r="AW86" s="386"/>
      <c r="AX86" s="386"/>
      <c r="AY86" s="386"/>
      <c r="AZ86" s="386"/>
      <c r="BA86" s="386"/>
      <c r="BB86" s="386"/>
      <c r="BC86" s="386"/>
      <c r="BD86" s="386"/>
      <c r="BE86" s="386"/>
      <c r="BF86" s="386"/>
      <c r="BG86" s="386"/>
      <c r="BH86" s="386"/>
      <c r="BI86" s="386"/>
      <c r="BJ86" s="386"/>
      <c r="BK86" s="386"/>
      <c r="BL86" s="386"/>
      <c r="BM86" s="386"/>
      <c r="BN86" s="386"/>
      <c r="BO86" s="386"/>
      <c r="BP86" s="386"/>
      <c r="BQ86" s="386"/>
      <c r="BR86" s="386"/>
      <c r="BS86" s="386"/>
      <c r="BT86" s="386"/>
      <c r="BU86" s="386"/>
      <c r="BV86" s="386"/>
      <c r="BW86" s="386"/>
      <c r="BX86" s="386"/>
      <c r="BY86" s="386"/>
      <c r="BZ86" s="386"/>
      <c r="CA86" s="386"/>
      <c r="CB86" s="386"/>
      <c r="CC86" s="386"/>
      <c r="CD86" s="386"/>
      <c r="CE86" s="386"/>
      <c r="CF86" s="386"/>
      <c r="CG86" s="386"/>
      <c r="CH86" s="386"/>
      <c r="CI86" s="386"/>
      <c r="CJ86" s="386"/>
      <c r="CK86" s="386"/>
      <c r="CL86" s="386"/>
    </row>
    <row r="87" spans="2:90" ht="12.75" customHeight="1" x14ac:dyDescent="0.15">
      <c r="B87" s="57"/>
      <c r="C87" s="57"/>
      <c r="D87" s="58"/>
      <c r="E87" s="59"/>
      <c r="F87" s="63"/>
      <c r="G87" s="63"/>
      <c r="H87" s="63"/>
      <c r="I87" s="63"/>
      <c r="J87" s="65"/>
      <c r="K87" s="392"/>
      <c r="L87" s="65"/>
      <c r="M87" s="65"/>
      <c r="N87" s="65"/>
      <c r="O87" s="386"/>
      <c r="P87" s="386"/>
      <c r="Q87" s="386"/>
      <c r="R87" s="386"/>
      <c r="S87" s="386"/>
      <c r="T87" s="386"/>
      <c r="U87" s="386"/>
      <c r="V87" s="386"/>
      <c r="W87" s="386"/>
      <c r="X87" s="386"/>
      <c r="Y87" s="386"/>
      <c r="Z87" s="386"/>
      <c r="AA87" s="386"/>
      <c r="AB87" s="386"/>
      <c r="AC87" s="386"/>
      <c r="AD87" s="386"/>
      <c r="AE87" s="386"/>
      <c r="AF87" s="386"/>
      <c r="AG87" s="386"/>
      <c r="AH87" s="386"/>
      <c r="AI87" s="386"/>
      <c r="AJ87" s="386"/>
      <c r="AK87" s="386"/>
      <c r="AL87" s="386"/>
      <c r="AM87" s="386"/>
      <c r="AN87" s="386"/>
      <c r="AO87" s="386"/>
      <c r="AP87" s="386"/>
      <c r="AQ87" s="386"/>
      <c r="AR87" s="386"/>
      <c r="AS87" s="386"/>
      <c r="AT87" s="386"/>
      <c r="AU87" s="386"/>
      <c r="AV87" s="386"/>
      <c r="AW87" s="386"/>
      <c r="AX87" s="386"/>
      <c r="AY87" s="386"/>
      <c r="AZ87" s="386"/>
      <c r="BA87" s="386"/>
      <c r="BB87" s="386"/>
      <c r="BC87" s="386"/>
      <c r="BD87" s="386"/>
      <c r="BE87" s="386"/>
      <c r="BF87" s="386"/>
      <c r="BG87" s="386"/>
      <c r="BH87" s="386"/>
      <c r="BI87" s="386"/>
      <c r="BJ87" s="386"/>
      <c r="BK87" s="386"/>
      <c r="BL87" s="386"/>
      <c r="BM87" s="386"/>
      <c r="BN87" s="386"/>
      <c r="BO87" s="386"/>
      <c r="BP87" s="386"/>
      <c r="BQ87" s="386"/>
      <c r="BR87" s="386"/>
      <c r="BS87" s="386"/>
      <c r="BT87" s="386"/>
      <c r="BU87" s="386"/>
      <c r="BV87" s="386"/>
      <c r="BW87" s="386"/>
      <c r="BX87" s="386"/>
      <c r="BY87" s="386"/>
      <c r="BZ87" s="386"/>
      <c r="CA87" s="386"/>
      <c r="CB87" s="386"/>
      <c r="CC87" s="386"/>
      <c r="CD87" s="386"/>
      <c r="CE87" s="386"/>
      <c r="CF87" s="386"/>
      <c r="CG87" s="386"/>
      <c r="CH87" s="386"/>
      <c r="CI87" s="386"/>
      <c r="CJ87" s="386"/>
      <c r="CK87" s="386"/>
      <c r="CL87" s="386"/>
    </row>
    <row r="88" spans="2:90" ht="12.75" customHeight="1" x14ac:dyDescent="0.15">
      <c r="B88" s="57"/>
      <c r="C88" s="57"/>
      <c r="D88" s="58"/>
      <c r="E88" s="59"/>
      <c r="F88" s="63"/>
      <c r="G88" s="63"/>
      <c r="H88" s="63"/>
      <c r="I88" s="63"/>
      <c r="J88" s="65"/>
      <c r="K88" s="392"/>
      <c r="L88" s="65"/>
      <c r="M88" s="65"/>
      <c r="N88" s="65"/>
      <c r="O88" s="386"/>
      <c r="P88" s="386"/>
      <c r="Q88" s="386"/>
      <c r="R88" s="386"/>
      <c r="S88" s="386"/>
      <c r="T88" s="386"/>
      <c r="U88" s="386"/>
      <c r="V88" s="386"/>
      <c r="W88" s="386"/>
      <c r="X88" s="386"/>
      <c r="Y88" s="386"/>
      <c r="Z88" s="386"/>
      <c r="AA88" s="386"/>
      <c r="AB88" s="386"/>
      <c r="AC88" s="386"/>
      <c r="AD88" s="386"/>
      <c r="AE88" s="386"/>
      <c r="AF88" s="386"/>
      <c r="AG88" s="386"/>
      <c r="AH88" s="386"/>
      <c r="AI88" s="386"/>
      <c r="AJ88" s="386"/>
      <c r="AK88" s="386"/>
      <c r="AL88" s="386"/>
      <c r="AM88" s="386"/>
      <c r="AN88" s="386"/>
      <c r="AO88" s="386"/>
      <c r="AP88" s="386"/>
      <c r="AQ88" s="386"/>
      <c r="AR88" s="386"/>
      <c r="AS88" s="386"/>
      <c r="AT88" s="386"/>
      <c r="AU88" s="386"/>
      <c r="AV88" s="386"/>
      <c r="AW88" s="386"/>
      <c r="AX88" s="386"/>
      <c r="AY88" s="386"/>
      <c r="AZ88" s="386"/>
      <c r="BA88" s="386"/>
      <c r="BB88" s="386"/>
      <c r="BC88" s="386"/>
      <c r="BD88" s="386"/>
      <c r="BE88" s="386"/>
      <c r="BF88" s="386"/>
      <c r="BG88" s="386"/>
      <c r="BH88" s="386"/>
      <c r="BI88" s="386"/>
      <c r="BJ88" s="386"/>
      <c r="BK88" s="386"/>
      <c r="BL88" s="386"/>
      <c r="BM88" s="386"/>
      <c r="BN88" s="386"/>
      <c r="BO88" s="386"/>
      <c r="BP88" s="386"/>
      <c r="BQ88" s="386"/>
      <c r="BR88" s="386"/>
      <c r="BS88" s="386"/>
      <c r="BT88" s="386"/>
      <c r="BU88" s="386"/>
      <c r="BV88" s="386"/>
      <c r="BW88" s="386"/>
      <c r="BX88" s="386"/>
      <c r="BY88" s="386"/>
      <c r="BZ88" s="386"/>
      <c r="CA88" s="386"/>
      <c r="CB88" s="386"/>
      <c r="CC88" s="386"/>
      <c r="CD88" s="386"/>
      <c r="CE88" s="386"/>
      <c r="CF88" s="386"/>
      <c r="CG88" s="386"/>
      <c r="CH88" s="386"/>
      <c r="CI88" s="386"/>
      <c r="CJ88" s="386"/>
      <c r="CK88" s="386"/>
      <c r="CL88" s="386"/>
    </row>
    <row r="89" spans="2:90" ht="12.75" customHeight="1" x14ac:dyDescent="0.15">
      <c r="B89" s="57"/>
      <c r="C89" s="57"/>
      <c r="D89" s="58"/>
      <c r="E89" s="59"/>
      <c r="F89" s="63"/>
      <c r="G89" s="63"/>
      <c r="H89" s="63"/>
      <c r="I89" s="63"/>
      <c r="J89" s="65"/>
      <c r="K89" s="392"/>
      <c r="L89" s="65"/>
      <c r="M89" s="65"/>
      <c r="N89" s="65"/>
      <c r="O89" s="386"/>
      <c r="P89" s="386"/>
      <c r="Q89" s="386"/>
      <c r="R89" s="386"/>
      <c r="S89" s="386"/>
      <c r="T89" s="386"/>
      <c r="U89" s="386"/>
      <c r="V89" s="386"/>
      <c r="W89" s="386"/>
      <c r="X89" s="386"/>
      <c r="Y89" s="386"/>
      <c r="Z89" s="386"/>
      <c r="AA89" s="386"/>
      <c r="AB89" s="386"/>
      <c r="AC89" s="386"/>
      <c r="AD89" s="386"/>
      <c r="AE89" s="386"/>
      <c r="AF89" s="386"/>
      <c r="AG89" s="386"/>
      <c r="AH89" s="386"/>
      <c r="AI89" s="386"/>
      <c r="AJ89" s="386"/>
      <c r="AK89" s="386"/>
      <c r="AL89" s="386"/>
      <c r="AM89" s="386"/>
      <c r="AN89" s="386"/>
      <c r="AO89" s="386"/>
      <c r="AP89" s="386"/>
      <c r="AQ89" s="386"/>
      <c r="AR89" s="386"/>
      <c r="AS89" s="386"/>
      <c r="AT89" s="386"/>
      <c r="AU89" s="386"/>
      <c r="AV89" s="386"/>
      <c r="AW89" s="386"/>
      <c r="AX89" s="386"/>
      <c r="AY89" s="386"/>
      <c r="AZ89" s="386"/>
      <c r="BA89" s="386"/>
      <c r="BB89" s="386"/>
      <c r="BC89" s="386"/>
      <c r="BD89" s="386"/>
      <c r="BE89" s="386"/>
      <c r="BF89" s="386"/>
      <c r="BG89" s="386"/>
      <c r="BH89" s="386"/>
      <c r="BI89" s="386"/>
      <c r="BJ89" s="386"/>
      <c r="BK89" s="386"/>
      <c r="BL89" s="386"/>
      <c r="BM89" s="386"/>
      <c r="BN89" s="386"/>
      <c r="BO89" s="386"/>
      <c r="BP89" s="386"/>
      <c r="BQ89" s="386"/>
      <c r="BR89" s="386"/>
      <c r="BS89" s="386"/>
      <c r="BT89" s="386"/>
      <c r="BU89" s="386"/>
      <c r="BV89" s="386"/>
      <c r="BW89" s="386"/>
      <c r="BX89" s="386"/>
      <c r="BY89" s="386"/>
      <c r="BZ89" s="386"/>
      <c r="CA89" s="386"/>
      <c r="CB89" s="386"/>
      <c r="CC89" s="386"/>
      <c r="CD89" s="386"/>
      <c r="CE89" s="386"/>
      <c r="CF89" s="386"/>
      <c r="CG89" s="386"/>
      <c r="CH89" s="386"/>
      <c r="CI89" s="386"/>
      <c r="CJ89" s="386"/>
      <c r="CK89" s="386"/>
      <c r="CL89" s="386"/>
    </row>
    <row r="90" spans="2:90" ht="12.75" customHeight="1" x14ac:dyDescent="0.15">
      <c r="B90" s="57"/>
      <c r="C90" s="57"/>
      <c r="D90" s="58"/>
      <c r="E90" s="59"/>
      <c r="F90" s="63"/>
      <c r="G90" s="63"/>
      <c r="H90" s="63"/>
      <c r="I90" s="63"/>
      <c r="J90" s="65"/>
      <c r="K90" s="392"/>
      <c r="L90" s="65"/>
      <c r="M90" s="65"/>
      <c r="N90" s="65"/>
      <c r="O90" s="386"/>
      <c r="P90" s="386"/>
      <c r="Q90" s="386"/>
      <c r="R90" s="386"/>
      <c r="S90" s="386"/>
      <c r="T90" s="386"/>
      <c r="U90" s="386"/>
      <c r="V90" s="386"/>
      <c r="W90" s="386"/>
      <c r="X90" s="386"/>
      <c r="Y90" s="386"/>
      <c r="Z90" s="386"/>
      <c r="AA90" s="386"/>
      <c r="AB90" s="386"/>
      <c r="AC90" s="386"/>
      <c r="AD90" s="386"/>
      <c r="AE90" s="386"/>
      <c r="AF90" s="386"/>
      <c r="AG90" s="386"/>
      <c r="AH90" s="386"/>
      <c r="AI90" s="386"/>
      <c r="AJ90" s="386"/>
      <c r="AK90" s="386"/>
      <c r="AL90" s="386"/>
      <c r="AM90" s="386"/>
      <c r="AN90" s="386"/>
      <c r="AO90" s="386"/>
      <c r="AP90" s="386"/>
      <c r="AQ90" s="386"/>
      <c r="AR90" s="386"/>
      <c r="AS90" s="386"/>
      <c r="AT90" s="386"/>
      <c r="AU90" s="386"/>
      <c r="AV90" s="386"/>
      <c r="AW90" s="386"/>
      <c r="AX90" s="386"/>
      <c r="AY90" s="386"/>
      <c r="AZ90" s="386"/>
      <c r="BA90" s="386"/>
      <c r="BB90" s="386"/>
      <c r="BC90" s="386"/>
      <c r="BD90" s="386"/>
      <c r="BE90" s="386"/>
      <c r="BF90" s="386"/>
      <c r="BG90" s="386"/>
      <c r="BH90" s="386"/>
      <c r="BI90" s="386"/>
      <c r="BJ90" s="386"/>
      <c r="BK90" s="386"/>
      <c r="BL90" s="386"/>
      <c r="BM90" s="386"/>
      <c r="BN90" s="386"/>
      <c r="BO90" s="386"/>
      <c r="BP90" s="386"/>
      <c r="BQ90" s="386"/>
      <c r="BR90" s="386"/>
      <c r="BS90" s="386"/>
      <c r="BT90" s="386"/>
      <c r="BU90" s="386"/>
      <c r="BV90" s="386"/>
      <c r="BW90" s="386"/>
      <c r="BX90" s="386"/>
      <c r="BY90" s="386"/>
      <c r="BZ90" s="386"/>
      <c r="CA90" s="386"/>
      <c r="CB90" s="386"/>
      <c r="CC90" s="386"/>
      <c r="CD90" s="386"/>
      <c r="CE90" s="386"/>
      <c r="CF90" s="386"/>
      <c r="CG90" s="386"/>
      <c r="CH90" s="386"/>
      <c r="CI90" s="386"/>
      <c r="CJ90" s="386"/>
      <c r="CK90" s="386"/>
      <c r="CL90" s="386"/>
    </row>
    <row r="91" spans="2:90" ht="12.75" customHeight="1" x14ac:dyDescent="0.15">
      <c r="B91" s="57"/>
      <c r="C91" s="57"/>
      <c r="D91" s="58"/>
      <c r="E91" s="59"/>
      <c r="F91" s="63"/>
      <c r="G91" s="63"/>
      <c r="H91" s="63"/>
      <c r="I91" s="63"/>
      <c r="J91" s="65"/>
      <c r="K91" s="392"/>
      <c r="L91" s="65"/>
      <c r="M91" s="65"/>
      <c r="N91" s="65"/>
      <c r="O91" s="386"/>
      <c r="P91" s="386"/>
      <c r="Q91" s="386"/>
      <c r="R91" s="386"/>
      <c r="S91" s="386"/>
      <c r="T91" s="386"/>
      <c r="U91" s="386"/>
      <c r="V91" s="386"/>
      <c r="W91" s="386"/>
      <c r="X91" s="386"/>
      <c r="Y91" s="386"/>
      <c r="Z91" s="386"/>
      <c r="AA91" s="386"/>
      <c r="AB91" s="386"/>
      <c r="AC91" s="386"/>
      <c r="AD91" s="386"/>
      <c r="AE91" s="386"/>
      <c r="AF91" s="386"/>
      <c r="AG91" s="386"/>
      <c r="AH91" s="386"/>
      <c r="AI91" s="386"/>
      <c r="AJ91" s="386"/>
      <c r="AK91" s="386"/>
      <c r="AL91" s="386"/>
      <c r="AM91" s="386"/>
      <c r="AN91" s="386"/>
      <c r="AO91" s="386"/>
      <c r="AP91" s="386"/>
      <c r="AQ91" s="386"/>
      <c r="AR91" s="386"/>
      <c r="AS91" s="386"/>
      <c r="AT91" s="386"/>
      <c r="AU91" s="386"/>
      <c r="AV91" s="386"/>
      <c r="AW91" s="386"/>
      <c r="AX91" s="386"/>
      <c r="AY91" s="386"/>
      <c r="AZ91" s="386"/>
      <c r="BA91" s="386"/>
      <c r="BB91" s="386"/>
      <c r="BC91" s="386"/>
      <c r="BD91" s="386"/>
      <c r="BE91" s="386"/>
      <c r="BF91" s="386"/>
      <c r="BG91" s="386"/>
      <c r="BH91" s="386"/>
      <c r="BI91" s="386"/>
      <c r="BJ91" s="386"/>
      <c r="BK91" s="386"/>
      <c r="BL91" s="386"/>
      <c r="BM91" s="386"/>
      <c r="BN91" s="386"/>
      <c r="BO91" s="386"/>
      <c r="BP91" s="386"/>
      <c r="BQ91" s="386"/>
      <c r="BR91" s="386"/>
      <c r="BS91" s="386"/>
      <c r="BT91" s="386"/>
      <c r="BU91" s="386"/>
      <c r="BV91" s="386"/>
      <c r="BW91" s="386"/>
      <c r="BX91" s="386"/>
      <c r="BY91" s="386"/>
      <c r="BZ91" s="386"/>
      <c r="CA91" s="386"/>
      <c r="CB91" s="386"/>
      <c r="CC91" s="386"/>
      <c r="CD91" s="386"/>
      <c r="CE91" s="386"/>
      <c r="CF91" s="386"/>
      <c r="CG91" s="386"/>
      <c r="CH91" s="386"/>
      <c r="CI91" s="386"/>
      <c r="CJ91" s="386"/>
      <c r="CK91" s="386"/>
      <c r="CL91" s="386"/>
    </row>
    <row r="92" spans="2:90" ht="12.75" customHeight="1" x14ac:dyDescent="0.15">
      <c r="B92" s="57"/>
      <c r="C92" s="57"/>
      <c r="D92" s="58"/>
      <c r="E92" s="59"/>
      <c r="F92" s="63"/>
      <c r="G92" s="63"/>
      <c r="H92" s="63"/>
      <c r="I92" s="63"/>
      <c r="J92" s="65"/>
      <c r="K92" s="392"/>
      <c r="L92" s="65"/>
      <c r="M92" s="65"/>
      <c r="N92" s="65"/>
      <c r="O92" s="386"/>
      <c r="P92" s="386"/>
      <c r="Q92" s="386"/>
      <c r="R92" s="386"/>
      <c r="S92" s="386"/>
      <c r="T92" s="386"/>
      <c r="U92" s="386"/>
      <c r="V92" s="386"/>
      <c r="W92" s="386"/>
      <c r="X92" s="386"/>
      <c r="Y92" s="386"/>
      <c r="Z92" s="386"/>
      <c r="AA92" s="386"/>
      <c r="AB92" s="386"/>
      <c r="AC92" s="386"/>
      <c r="AD92" s="386"/>
      <c r="AE92" s="386"/>
      <c r="AF92" s="386"/>
      <c r="AG92" s="386"/>
      <c r="AH92" s="386"/>
      <c r="AI92" s="386"/>
      <c r="AJ92" s="386"/>
      <c r="AK92" s="386"/>
      <c r="AL92" s="386"/>
      <c r="AM92" s="386"/>
      <c r="AN92" s="386"/>
      <c r="AO92" s="386"/>
      <c r="AP92" s="386"/>
      <c r="AQ92" s="386"/>
      <c r="AR92" s="386"/>
      <c r="AS92" s="386"/>
      <c r="AT92" s="386"/>
      <c r="AU92" s="386"/>
      <c r="AV92" s="386"/>
      <c r="AW92" s="386"/>
      <c r="AX92" s="386"/>
      <c r="AY92" s="386"/>
      <c r="AZ92" s="386"/>
      <c r="BA92" s="386"/>
      <c r="BB92" s="386"/>
      <c r="BC92" s="386"/>
      <c r="BD92" s="386"/>
      <c r="BE92" s="386"/>
      <c r="BF92" s="386"/>
      <c r="BG92" s="386"/>
      <c r="BH92" s="386"/>
      <c r="BI92" s="386"/>
      <c r="BJ92" s="386"/>
      <c r="BK92" s="386"/>
      <c r="BL92" s="386"/>
      <c r="BM92" s="386"/>
      <c r="BN92" s="386"/>
      <c r="BO92" s="386"/>
      <c r="BP92" s="386"/>
      <c r="BQ92" s="386"/>
      <c r="BR92" s="386"/>
      <c r="BS92" s="386"/>
      <c r="BT92" s="386"/>
      <c r="BU92" s="386"/>
      <c r="BV92" s="386"/>
      <c r="BW92" s="386"/>
      <c r="BX92" s="386"/>
      <c r="BY92" s="386"/>
      <c r="BZ92" s="386"/>
      <c r="CA92" s="386"/>
      <c r="CB92" s="386"/>
      <c r="CC92" s="386"/>
      <c r="CD92" s="386"/>
      <c r="CE92" s="386"/>
      <c r="CF92" s="386"/>
      <c r="CG92" s="386"/>
      <c r="CH92" s="386"/>
      <c r="CI92" s="386"/>
      <c r="CJ92" s="386"/>
      <c r="CK92" s="386"/>
      <c r="CL92" s="386"/>
    </row>
    <row r="93" spans="2:90" ht="12.75" customHeight="1" x14ac:dyDescent="0.15">
      <c r="B93" s="57"/>
      <c r="C93" s="57"/>
      <c r="D93" s="58"/>
      <c r="E93" s="59"/>
      <c r="F93" s="63"/>
      <c r="G93" s="63"/>
      <c r="H93" s="63"/>
      <c r="I93" s="63"/>
      <c r="J93" s="65"/>
      <c r="K93" s="392"/>
      <c r="L93" s="65"/>
      <c r="M93" s="65"/>
      <c r="N93" s="65"/>
      <c r="O93" s="386"/>
      <c r="P93" s="386"/>
      <c r="Q93" s="386"/>
      <c r="R93" s="386"/>
      <c r="S93" s="386"/>
      <c r="T93" s="386"/>
      <c r="U93" s="386"/>
      <c r="V93" s="386"/>
      <c r="W93" s="386"/>
      <c r="X93" s="386"/>
      <c r="Y93" s="386"/>
      <c r="Z93" s="386"/>
      <c r="AA93" s="386"/>
      <c r="AB93" s="386"/>
      <c r="AC93" s="386"/>
      <c r="AD93" s="386"/>
      <c r="AE93" s="386"/>
      <c r="AF93" s="386"/>
      <c r="AG93" s="386"/>
      <c r="AH93" s="386"/>
      <c r="AI93" s="386"/>
      <c r="AJ93" s="386"/>
      <c r="AK93" s="386"/>
      <c r="AL93" s="386"/>
      <c r="AM93" s="386"/>
      <c r="AN93" s="386"/>
      <c r="AO93" s="386"/>
      <c r="AP93" s="386"/>
      <c r="AQ93" s="386"/>
      <c r="AR93" s="386"/>
      <c r="AS93" s="386"/>
      <c r="AT93" s="386"/>
      <c r="AU93" s="386"/>
      <c r="AV93" s="386"/>
      <c r="AW93" s="386"/>
      <c r="AX93" s="386"/>
      <c r="AY93" s="386"/>
      <c r="AZ93" s="386"/>
      <c r="BA93" s="386"/>
      <c r="BB93" s="386"/>
      <c r="BC93" s="386"/>
      <c r="BD93" s="386"/>
      <c r="BE93" s="386"/>
      <c r="BF93" s="386"/>
      <c r="BG93" s="386"/>
      <c r="BH93" s="386"/>
      <c r="BI93" s="386"/>
      <c r="BJ93" s="386"/>
      <c r="BK93" s="386"/>
      <c r="BL93" s="386"/>
      <c r="BM93" s="386"/>
      <c r="BN93" s="386"/>
      <c r="BO93" s="386"/>
      <c r="BP93" s="386"/>
      <c r="BQ93" s="386"/>
      <c r="BR93" s="386"/>
      <c r="BS93" s="386"/>
      <c r="BT93" s="386"/>
      <c r="BU93" s="386"/>
      <c r="BV93" s="386"/>
      <c r="BW93" s="386"/>
      <c r="BX93" s="386"/>
      <c r="BY93" s="386"/>
      <c r="BZ93" s="386"/>
      <c r="CA93" s="386"/>
      <c r="CB93" s="386"/>
      <c r="CC93" s="386"/>
      <c r="CD93" s="386"/>
      <c r="CE93" s="386"/>
      <c r="CF93" s="386"/>
      <c r="CG93" s="386"/>
      <c r="CH93" s="386"/>
      <c r="CI93" s="386"/>
      <c r="CJ93" s="386"/>
      <c r="CK93" s="386"/>
      <c r="CL93" s="386"/>
    </row>
    <row r="94" spans="2:90" ht="12.75" customHeight="1" x14ac:dyDescent="0.15">
      <c r="B94" s="57"/>
      <c r="C94" s="57"/>
      <c r="D94" s="58"/>
      <c r="E94" s="59"/>
      <c r="F94" s="63"/>
      <c r="G94" s="63"/>
      <c r="H94" s="63"/>
      <c r="I94" s="63"/>
      <c r="J94" s="65"/>
      <c r="K94" s="392"/>
      <c r="L94" s="65"/>
      <c r="M94" s="65"/>
      <c r="N94" s="65"/>
      <c r="O94" s="386"/>
      <c r="P94" s="386"/>
      <c r="Q94" s="386"/>
      <c r="R94" s="386"/>
      <c r="S94" s="386"/>
      <c r="T94" s="386"/>
      <c r="U94" s="386"/>
      <c r="V94" s="386"/>
      <c r="W94" s="386"/>
      <c r="X94" s="386"/>
      <c r="Y94" s="386"/>
      <c r="Z94" s="386"/>
      <c r="AA94" s="386"/>
      <c r="AB94" s="386"/>
      <c r="AC94" s="386"/>
      <c r="AD94" s="386"/>
      <c r="AE94" s="386"/>
      <c r="AF94" s="386"/>
      <c r="AG94" s="386"/>
      <c r="AH94" s="386"/>
      <c r="AI94" s="386"/>
      <c r="AJ94" s="386"/>
      <c r="AK94" s="386"/>
      <c r="AL94" s="386"/>
      <c r="AM94" s="386"/>
      <c r="AN94" s="386"/>
      <c r="AO94" s="386"/>
      <c r="AP94" s="386"/>
      <c r="AQ94" s="386"/>
      <c r="AR94" s="386"/>
      <c r="AS94" s="386"/>
      <c r="AT94" s="386"/>
      <c r="AU94" s="386"/>
      <c r="AV94" s="386"/>
      <c r="AW94" s="386"/>
      <c r="AX94" s="386"/>
      <c r="AY94" s="386"/>
      <c r="AZ94" s="386"/>
      <c r="BA94" s="386"/>
      <c r="BB94" s="386"/>
      <c r="BC94" s="386"/>
      <c r="BD94" s="386"/>
      <c r="BE94" s="386"/>
      <c r="BF94" s="386"/>
      <c r="BG94" s="386"/>
      <c r="BH94" s="386"/>
      <c r="BI94" s="386"/>
      <c r="BJ94" s="386"/>
      <c r="BK94" s="386"/>
      <c r="BL94" s="386"/>
      <c r="BM94" s="386"/>
      <c r="BN94" s="386"/>
      <c r="BO94" s="386"/>
      <c r="BP94" s="386"/>
      <c r="BQ94" s="386"/>
      <c r="BR94" s="386"/>
      <c r="BS94" s="386"/>
      <c r="BT94" s="386"/>
      <c r="BU94" s="386"/>
      <c r="BV94" s="386"/>
      <c r="BW94" s="386"/>
      <c r="BX94" s="386"/>
      <c r="BY94" s="386"/>
      <c r="BZ94" s="386"/>
      <c r="CA94" s="386"/>
      <c r="CB94" s="386"/>
      <c r="CC94" s="386"/>
      <c r="CD94" s="386"/>
      <c r="CE94" s="386"/>
      <c r="CF94" s="386"/>
      <c r="CG94" s="386"/>
      <c r="CH94" s="386"/>
      <c r="CI94" s="386"/>
      <c r="CJ94" s="386"/>
      <c r="CK94" s="386"/>
      <c r="CL94" s="386"/>
    </row>
    <row r="95" spans="2:90" ht="12.75" customHeight="1" x14ac:dyDescent="0.15">
      <c r="B95" s="57"/>
      <c r="C95" s="57"/>
      <c r="D95" s="58"/>
      <c r="E95" s="59"/>
      <c r="F95" s="63"/>
      <c r="G95" s="63"/>
      <c r="H95" s="63"/>
      <c r="I95" s="63"/>
      <c r="J95" s="65"/>
      <c r="K95" s="392"/>
      <c r="L95" s="65"/>
      <c r="M95" s="65"/>
      <c r="N95" s="65"/>
      <c r="O95" s="386"/>
      <c r="P95" s="386"/>
      <c r="Q95" s="386"/>
      <c r="R95" s="386"/>
      <c r="S95" s="386"/>
      <c r="T95" s="386"/>
      <c r="U95" s="386"/>
      <c r="V95" s="386"/>
      <c r="W95" s="386"/>
      <c r="X95" s="386"/>
      <c r="Y95" s="386"/>
      <c r="Z95" s="386"/>
      <c r="AA95" s="386"/>
      <c r="AB95" s="386"/>
      <c r="AC95" s="386"/>
      <c r="AD95" s="386"/>
      <c r="AE95" s="386"/>
      <c r="AF95" s="386"/>
      <c r="AG95" s="386"/>
      <c r="AH95" s="386"/>
      <c r="AI95" s="386"/>
      <c r="AJ95" s="386"/>
      <c r="AK95" s="386"/>
      <c r="AL95" s="386"/>
      <c r="AM95" s="386"/>
      <c r="AN95" s="386"/>
      <c r="AO95" s="386"/>
      <c r="AP95" s="386"/>
      <c r="AQ95" s="386"/>
      <c r="AR95" s="386"/>
      <c r="AS95" s="386"/>
      <c r="AT95" s="386"/>
      <c r="AU95" s="386"/>
      <c r="AV95" s="386"/>
      <c r="AW95" s="386"/>
      <c r="AX95" s="386"/>
      <c r="AY95" s="386"/>
      <c r="AZ95" s="386"/>
      <c r="BA95" s="386"/>
      <c r="BB95" s="386"/>
      <c r="BC95" s="386"/>
      <c r="BD95" s="386"/>
      <c r="BE95" s="386"/>
      <c r="BF95" s="386"/>
      <c r="BG95" s="386"/>
      <c r="BH95" s="386"/>
      <c r="BI95" s="386"/>
      <c r="BJ95" s="386"/>
      <c r="BK95" s="386"/>
      <c r="BL95" s="386"/>
      <c r="BM95" s="386"/>
      <c r="BN95" s="386"/>
      <c r="BO95" s="386"/>
      <c r="BP95" s="386"/>
      <c r="BQ95" s="386"/>
      <c r="BR95" s="386"/>
      <c r="BS95" s="386"/>
      <c r="BT95" s="386"/>
      <c r="BU95" s="386"/>
      <c r="BV95" s="386"/>
      <c r="BW95" s="386"/>
      <c r="BX95" s="386"/>
      <c r="BY95" s="386"/>
      <c r="BZ95" s="386"/>
      <c r="CA95" s="386"/>
      <c r="CB95" s="386"/>
      <c r="CC95" s="386"/>
      <c r="CD95" s="386"/>
      <c r="CE95" s="386"/>
      <c r="CF95" s="386"/>
      <c r="CG95" s="386"/>
      <c r="CH95" s="386"/>
      <c r="CI95" s="386"/>
      <c r="CJ95" s="386"/>
      <c r="CK95" s="386"/>
      <c r="CL95" s="386"/>
    </row>
    <row r="96" spans="2:90" ht="12.75" customHeight="1" x14ac:dyDescent="0.15">
      <c r="B96" s="57"/>
      <c r="C96" s="57"/>
      <c r="D96" s="58"/>
      <c r="E96" s="59"/>
      <c r="F96" s="63"/>
      <c r="G96" s="63"/>
      <c r="H96" s="63"/>
      <c r="I96" s="63"/>
      <c r="J96" s="65"/>
      <c r="K96" s="392"/>
      <c r="L96" s="65"/>
      <c r="M96" s="65"/>
      <c r="N96" s="65"/>
      <c r="O96" s="386"/>
      <c r="P96" s="386"/>
      <c r="Q96" s="386"/>
      <c r="R96" s="386"/>
      <c r="S96" s="386"/>
      <c r="T96" s="386"/>
      <c r="U96" s="386"/>
      <c r="V96" s="386"/>
      <c r="W96" s="386"/>
      <c r="X96" s="386"/>
      <c r="Y96" s="386"/>
      <c r="Z96" s="386"/>
      <c r="AA96" s="386"/>
      <c r="AB96" s="386"/>
      <c r="AC96" s="386"/>
      <c r="AD96" s="386"/>
      <c r="AE96" s="386"/>
      <c r="AF96" s="386"/>
      <c r="AG96" s="386"/>
      <c r="AH96" s="386"/>
      <c r="AI96" s="386"/>
      <c r="AJ96" s="386"/>
      <c r="AK96" s="386"/>
      <c r="AL96" s="386"/>
      <c r="AM96" s="386"/>
      <c r="AN96" s="386"/>
      <c r="AO96" s="386"/>
      <c r="AP96" s="386"/>
      <c r="AQ96" s="386"/>
      <c r="AR96" s="386"/>
      <c r="AS96" s="386"/>
      <c r="AT96" s="386"/>
      <c r="AU96" s="386"/>
      <c r="AV96" s="386"/>
      <c r="AW96" s="386"/>
      <c r="AX96" s="386"/>
      <c r="AY96" s="386"/>
      <c r="AZ96" s="386"/>
      <c r="BA96" s="386"/>
      <c r="BB96" s="386"/>
      <c r="BC96" s="386"/>
      <c r="BD96" s="386"/>
      <c r="BE96" s="386"/>
      <c r="BF96" s="386"/>
      <c r="BG96" s="386"/>
      <c r="BH96" s="386"/>
      <c r="BI96" s="386"/>
      <c r="BJ96" s="386"/>
      <c r="BK96" s="386"/>
      <c r="BL96" s="386"/>
      <c r="BM96" s="386"/>
      <c r="BN96" s="386"/>
      <c r="BO96" s="386"/>
      <c r="BP96" s="386"/>
      <c r="BQ96" s="386"/>
      <c r="BR96" s="386"/>
      <c r="BS96" s="386"/>
      <c r="BT96" s="386"/>
      <c r="BU96" s="386"/>
      <c r="BV96" s="386"/>
      <c r="BW96" s="386"/>
      <c r="BX96" s="386"/>
      <c r="BY96" s="386"/>
      <c r="BZ96" s="386"/>
      <c r="CA96" s="386"/>
      <c r="CB96" s="386"/>
      <c r="CC96" s="386"/>
      <c r="CD96" s="386"/>
      <c r="CE96" s="386"/>
      <c r="CF96" s="386"/>
      <c r="CG96" s="386"/>
      <c r="CH96" s="386"/>
      <c r="CI96" s="386"/>
      <c r="CJ96" s="386"/>
      <c r="CK96" s="386"/>
      <c r="CL96" s="386"/>
    </row>
    <row r="97" spans="2:90" ht="12.75" customHeight="1" x14ac:dyDescent="0.15">
      <c r="B97" s="57"/>
      <c r="C97" s="57"/>
      <c r="D97" s="58"/>
      <c r="E97" s="59"/>
      <c r="F97" s="63"/>
      <c r="G97" s="63"/>
      <c r="H97" s="63"/>
      <c r="I97" s="63"/>
      <c r="J97" s="65"/>
      <c r="K97" s="392"/>
      <c r="L97" s="65"/>
      <c r="M97" s="65"/>
      <c r="N97" s="65"/>
      <c r="O97" s="386"/>
      <c r="P97" s="386"/>
      <c r="Q97" s="386"/>
      <c r="R97" s="386"/>
      <c r="S97" s="386"/>
      <c r="T97" s="386"/>
      <c r="U97" s="386"/>
      <c r="V97" s="386"/>
      <c r="W97" s="386"/>
      <c r="X97" s="386"/>
      <c r="Y97" s="386"/>
      <c r="Z97" s="386"/>
      <c r="AA97" s="386"/>
      <c r="AB97" s="386"/>
      <c r="AC97" s="386"/>
      <c r="AD97" s="386"/>
      <c r="AE97" s="386"/>
      <c r="AF97" s="386"/>
      <c r="AG97" s="386"/>
      <c r="AH97" s="386"/>
      <c r="AI97" s="386"/>
      <c r="AJ97" s="386"/>
      <c r="AK97" s="386"/>
      <c r="AL97" s="386"/>
      <c r="AM97" s="386"/>
      <c r="AN97" s="386"/>
      <c r="AO97" s="386"/>
      <c r="AP97" s="386"/>
      <c r="AQ97" s="386"/>
      <c r="AR97" s="386"/>
      <c r="AS97" s="386"/>
      <c r="AT97" s="386"/>
      <c r="AU97" s="386"/>
      <c r="AV97" s="386"/>
      <c r="AW97" s="386"/>
      <c r="AX97" s="386"/>
      <c r="AY97" s="386"/>
      <c r="AZ97" s="386"/>
      <c r="BA97" s="386"/>
      <c r="BB97" s="386"/>
      <c r="BC97" s="386"/>
      <c r="BD97" s="386"/>
      <c r="BE97" s="386"/>
      <c r="BF97" s="386"/>
      <c r="BG97" s="386"/>
      <c r="BH97" s="386"/>
      <c r="BI97" s="386"/>
      <c r="BJ97" s="386"/>
      <c r="BK97" s="386"/>
      <c r="BL97" s="386"/>
      <c r="BM97" s="386"/>
      <c r="BN97" s="386"/>
      <c r="BO97" s="386"/>
      <c r="BP97" s="386"/>
      <c r="BQ97" s="386"/>
      <c r="BR97" s="386"/>
      <c r="BS97" s="386"/>
      <c r="BT97" s="386"/>
      <c r="BU97" s="386"/>
      <c r="BV97" s="386"/>
      <c r="BW97" s="386"/>
      <c r="BX97" s="386"/>
      <c r="BY97" s="386"/>
      <c r="BZ97" s="386"/>
      <c r="CA97" s="386"/>
      <c r="CB97" s="386"/>
      <c r="CC97" s="386"/>
      <c r="CD97" s="386"/>
      <c r="CE97" s="386"/>
      <c r="CF97" s="386"/>
      <c r="CG97" s="386"/>
      <c r="CH97" s="386"/>
      <c r="CI97" s="386"/>
      <c r="CJ97" s="386"/>
      <c r="CK97" s="386"/>
      <c r="CL97" s="386"/>
    </row>
    <row r="98" spans="2:90" ht="12.75" customHeight="1" x14ac:dyDescent="0.15">
      <c r="B98" s="57"/>
      <c r="C98" s="57"/>
      <c r="D98" s="58"/>
      <c r="E98" s="59"/>
      <c r="F98" s="63"/>
      <c r="G98" s="63"/>
      <c r="H98" s="63"/>
      <c r="I98" s="63"/>
      <c r="J98" s="65"/>
      <c r="K98" s="392"/>
      <c r="L98" s="65"/>
      <c r="M98" s="65"/>
      <c r="N98" s="65"/>
      <c r="O98" s="386"/>
      <c r="P98" s="386"/>
      <c r="Q98" s="386"/>
      <c r="R98" s="386"/>
      <c r="S98" s="386"/>
      <c r="T98" s="386"/>
      <c r="U98" s="386"/>
      <c r="V98" s="386"/>
      <c r="W98" s="386"/>
      <c r="X98" s="386"/>
      <c r="Y98" s="386"/>
      <c r="Z98" s="386"/>
      <c r="AA98" s="386"/>
      <c r="AB98" s="386"/>
      <c r="AC98" s="386"/>
      <c r="AD98" s="386"/>
      <c r="AE98" s="386"/>
      <c r="AF98" s="386"/>
      <c r="AG98" s="386"/>
      <c r="AH98" s="386"/>
      <c r="AI98" s="386"/>
      <c r="AJ98" s="386"/>
      <c r="AK98" s="386"/>
      <c r="AL98" s="386"/>
      <c r="AM98" s="386"/>
      <c r="AN98" s="386"/>
      <c r="AO98" s="386"/>
      <c r="AP98" s="386"/>
      <c r="AQ98" s="386"/>
      <c r="AR98" s="386"/>
      <c r="AS98" s="386"/>
      <c r="AT98" s="386"/>
      <c r="AU98" s="386"/>
      <c r="AV98" s="386"/>
      <c r="AW98" s="386"/>
      <c r="AX98" s="386"/>
      <c r="AY98" s="386"/>
      <c r="AZ98" s="386"/>
      <c r="BA98" s="386"/>
      <c r="BB98" s="386"/>
      <c r="BC98" s="386"/>
      <c r="BD98" s="386"/>
      <c r="BE98" s="386"/>
      <c r="BF98" s="386"/>
      <c r="BG98" s="386"/>
      <c r="BH98" s="386"/>
      <c r="BI98" s="386"/>
      <c r="BJ98" s="386"/>
      <c r="BK98" s="386"/>
      <c r="BL98" s="386"/>
      <c r="BM98" s="386"/>
      <c r="BN98" s="386"/>
      <c r="BO98" s="386"/>
      <c r="BP98" s="386"/>
      <c r="BQ98" s="386"/>
      <c r="BR98" s="386"/>
      <c r="BS98" s="386"/>
      <c r="BT98" s="386"/>
      <c r="BU98" s="386"/>
      <c r="BV98" s="386"/>
      <c r="BW98" s="386"/>
      <c r="BX98" s="386"/>
      <c r="BY98" s="386"/>
      <c r="BZ98" s="386"/>
      <c r="CA98" s="386"/>
      <c r="CB98" s="386"/>
      <c r="CC98" s="386"/>
      <c r="CD98" s="386"/>
      <c r="CE98" s="386"/>
      <c r="CF98" s="386"/>
      <c r="CG98" s="386"/>
      <c r="CH98" s="386"/>
      <c r="CI98" s="386"/>
      <c r="CJ98" s="386"/>
      <c r="CK98" s="386"/>
      <c r="CL98" s="386"/>
    </row>
    <row r="99" spans="2:90" ht="12.75" customHeight="1" x14ac:dyDescent="0.15">
      <c r="B99" s="57"/>
      <c r="C99" s="57"/>
      <c r="D99" s="58"/>
      <c r="E99" s="59"/>
      <c r="F99" s="63"/>
      <c r="G99" s="63"/>
      <c r="H99" s="63"/>
      <c r="I99" s="63"/>
      <c r="J99" s="65"/>
      <c r="K99" s="392"/>
      <c r="L99" s="65"/>
      <c r="M99" s="65"/>
      <c r="N99" s="65"/>
      <c r="O99" s="386"/>
      <c r="P99" s="386"/>
      <c r="Q99" s="386"/>
      <c r="R99" s="386"/>
      <c r="S99" s="386"/>
      <c r="T99" s="386"/>
      <c r="U99" s="386"/>
      <c r="V99" s="386"/>
      <c r="W99" s="386"/>
      <c r="X99" s="386"/>
      <c r="Y99" s="386"/>
      <c r="Z99" s="386"/>
      <c r="AA99" s="386"/>
      <c r="AB99" s="386"/>
      <c r="AC99" s="386"/>
      <c r="AD99" s="386"/>
      <c r="AE99" s="386"/>
      <c r="AF99" s="386"/>
      <c r="AG99" s="386"/>
      <c r="AH99" s="386"/>
      <c r="AI99" s="386"/>
      <c r="AJ99" s="386"/>
      <c r="AK99" s="386"/>
      <c r="AL99" s="386"/>
      <c r="AM99" s="386"/>
      <c r="AN99" s="386"/>
      <c r="AO99" s="386"/>
      <c r="AP99" s="386"/>
      <c r="AQ99" s="386"/>
      <c r="AR99" s="386"/>
      <c r="AS99" s="386"/>
      <c r="AT99" s="386"/>
      <c r="AU99" s="386"/>
      <c r="AV99" s="386"/>
      <c r="AW99" s="386"/>
      <c r="AX99" s="386"/>
      <c r="AY99" s="386"/>
      <c r="AZ99" s="386"/>
      <c r="BA99" s="386"/>
      <c r="BB99" s="386"/>
      <c r="BC99" s="386"/>
      <c r="BD99" s="386"/>
      <c r="BE99" s="386"/>
      <c r="BF99" s="386"/>
      <c r="BG99" s="386"/>
      <c r="BH99" s="386"/>
      <c r="BI99" s="386"/>
      <c r="BJ99" s="386"/>
      <c r="BK99" s="386"/>
      <c r="BL99" s="386"/>
      <c r="BM99" s="386"/>
      <c r="BN99" s="386"/>
      <c r="BO99" s="386"/>
      <c r="BP99" s="386"/>
      <c r="BQ99" s="386"/>
      <c r="BR99" s="386"/>
      <c r="BS99" s="386"/>
      <c r="BT99" s="386"/>
      <c r="BU99" s="386"/>
      <c r="BV99" s="386"/>
      <c r="BW99" s="386"/>
      <c r="BX99" s="386"/>
      <c r="BY99" s="386"/>
      <c r="BZ99" s="386"/>
      <c r="CA99" s="386"/>
      <c r="CB99" s="386"/>
      <c r="CC99" s="386"/>
      <c r="CD99" s="386"/>
      <c r="CE99" s="386"/>
      <c r="CF99" s="386"/>
      <c r="CG99" s="386"/>
      <c r="CH99" s="386"/>
      <c r="CI99" s="386"/>
      <c r="CJ99" s="386"/>
      <c r="CK99" s="386"/>
      <c r="CL99" s="386"/>
    </row>
    <row r="100" spans="2:90" ht="12.75" customHeight="1" x14ac:dyDescent="0.15">
      <c r="B100" s="57"/>
      <c r="C100" s="57"/>
      <c r="D100" s="58"/>
      <c r="E100" s="59"/>
      <c r="F100" s="63"/>
      <c r="G100" s="63"/>
      <c r="H100" s="63"/>
      <c r="I100" s="63"/>
      <c r="J100" s="65"/>
      <c r="K100" s="392"/>
      <c r="L100" s="65"/>
      <c r="M100" s="65"/>
      <c r="N100" s="65"/>
      <c r="O100" s="386"/>
      <c r="P100" s="386"/>
      <c r="Q100" s="386"/>
      <c r="R100" s="386"/>
      <c r="S100" s="386"/>
      <c r="T100" s="386"/>
      <c r="U100" s="386"/>
      <c r="V100" s="386"/>
      <c r="W100" s="386"/>
      <c r="X100" s="386"/>
      <c r="Y100" s="386"/>
      <c r="Z100" s="386"/>
      <c r="AA100" s="386"/>
      <c r="AB100" s="386"/>
      <c r="AC100" s="386"/>
      <c r="AD100" s="386"/>
      <c r="AE100" s="386"/>
      <c r="AF100" s="386"/>
      <c r="AG100" s="386"/>
      <c r="AH100" s="386"/>
      <c r="AI100" s="386"/>
      <c r="AJ100" s="386"/>
      <c r="AK100" s="386"/>
      <c r="AL100" s="386"/>
      <c r="AM100" s="386"/>
      <c r="AN100" s="386"/>
      <c r="AO100" s="386"/>
      <c r="AP100" s="386"/>
      <c r="AQ100" s="386"/>
      <c r="AR100" s="386"/>
      <c r="AS100" s="386"/>
      <c r="AT100" s="386"/>
      <c r="AU100" s="386"/>
      <c r="AV100" s="386"/>
      <c r="AW100" s="386"/>
      <c r="AX100" s="386"/>
      <c r="AY100" s="386"/>
      <c r="AZ100" s="386"/>
      <c r="BA100" s="386"/>
      <c r="BB100" s="386"/>
      <c r="BC100" s="386"/>
      <c r="BD100" s="386"/>
      <c r="BE100" s="386"/>
      <c r="BF100" s="386"/>
      <c r="BG100" s="386"/>
      <c r="BH100" s="386"/>
      <c r="BI100" s="386"/>
      <c r="BJ100" s="386"/>
      <c r="BK100" s="386"/>
      <c r="BL100" s="386"/>
      <c r="BM100" s="386"/>
      <c r="BN100" s="386"/>
      <c r="BO100" s="386"/>
      <c r="BP100" s="386"/>
      <c r="BQ100" s="386"/>
      <c r="BR100" s="386"/>
      <c r="BS100" s="386"/>
      <c r="BT100" s="386"/>
      <c r="BU100" s="386"/>
      <c r="BV100" s="386"/>
      <c r="BW100" s="386"/>
      <c r="BX100" s="386"/>
      <c r="BY100" s="386"/>
      <c r="BZ100" s="386"/>
      <c r="CA100" s="386"/>
      <c r="CB100" s="386"/>
      <c r="CC100" s="386"/>
      <c r="CD100" s="386"/>
      <c r="CE100" s="386"/>
      <c r="CF100" s="386"/>
      <c r="CG100" s="386"/>
      <c r="CH100" s="386"/>
      <c r="CI100" s="386"/>
      <c r="CJ100" s="386"/>
      <c r="CK100" s="386"/>
      <c r="CL100" s="386"/>
    </row>
    <row r="101" spans="2:90" ht="12.75" customHeight="1" x14ac:dyDescent="0.15">
      <c r="B101" s="57"/>
      <c r="C101" s="57"/>
      <c r="D101" s="58"/>
      <c r="E101" s="59"/>
      <c r="F101" s="63"/>
      <c r="G101" s="63"/>
      <c r="H101" s="63"/>
      <c r="I101" s="63"/>
      <c r="J101" s="65"/>
      <c r="K101" s="392"/>
      <c r="L101" s="65"/>
      <c r="M101" s="65"/>
      <c r="N101" s="65"/>
      <c r="O101" s="386"/>
      <c r="P101" s="386"/>
      <c r="Q101" s="386"/>
      <c r="R101" s="386"/>
      <c r="S101" s="386"/>
      <c r="T101" s="386"/>
      <c r="U101" s="386"/>
      <c r="V101" s="386"/>
      <c r="W101" s="386"/>
      <c r="X101" s="386"/>
      <c r="Y101" s="386"/>
      <c r="Z101" s="386"/>
      <c r="AA101" s="386"/>
      <c r="AB101" s="386"/>
      <c r="AC101" s="386"/>
      <c r="AD101" s="386"/>
      <c r="AE101" s="386"/>
      <c r="AF101" s="386"/>
      <c r="AG101" s="386"/>
      <c r="AH101" s="386"/>
      <c r="AI101" s="386"/>
      <c r="AJ101" s="386"/>
      <c r="AK101" s="386"/>
      <c r="AL101" s="386"/>
      <c r="AM101" s="386"/>
      <c r="AN101" s="386"/>
      <c r="AO101" s="386"/>
      <c r="AP101" s="386"/>
      <c r="AQ101" s="386"/>
      <c r="AR101" s="386"/>
      <c r="AS101" s="386"/>
      <c r="AT101" s="386"/>
      <c r="AU101" s="386"/>
      <c r="AV101" s="386"/>
      <c r="AW101" s="386"/>
      <c r="AX101" s="386"/>
      <c r="AY101" s="386"/>
      <c r="AZ101" s="386"/>
      <c r="BA101" s="386"/>
      <c r="BB101" s="386"/>
      <c r="BC101" s="386"/>
      <c r="BD101" s="386"/>
      <c r="BE101" s="386"/>
      <c r="BF101" s="386"/>
      <c r="BG101" s="386"/>
      <c r="BH101" s="386"/>
      <c r="BI101" s="386"/>
      <c r="BJ101" s="386"/>
      <c r="BK101" s="386"/>
      <c r="BL101" s="386"/>
      <c r="BM101" s="386"/>
      <c r="BN101" s="386"/>
      <c r="BO101" s="386"/>
      <c r="BP101" s="386"/>
      <c r="BQ101" s="386"/>
      <c r="BR101" s="386"/>
      <c r="BS101" s="386"/>
      <c r="BT101" s="386"/>
      <c r="BU101" s="386"/>
      <c r="BV101" s="386"/>
      <c r="BW101" s="386"/>
      <c r="BX101" s="386"/>
      <c r="BY101" s="386"/>
      <c r="BZ101" s="386"/>
      <c r="CA101" s="386"/>
      <c r="CB101" s="386"/>
      <c r="CC101" s="386"/>
      <c r="CD101" s="386"/>
      <c r="CE101" s="386"/>
      <c r="CF101" s="386"/>
      <c r="CG101" s="386"/>
      <c r="CH101" s="386"/>
      <c r="CI101" s="386"/>
      <c r="CJ101" s="386"/>
      <c r="CK101" s="386"/>
      <c r="CL101" s="386"/>
    </row>
    <row r="102" spans="2:90" ht="12.75" customHeight="1" x14ac:dyDescent="0.15">
      <c r="B102" s="57"/>
      <c r="C102" s="57"/>
      <c r="D102" s="58"/>
      <c r="E102" s="59"/>
      <c r="F102" s="63"/>
      <c r="G102" s="63"/>
      <c r="H102" s="63"/>
      <c r="I102" s="63"/>
      <c r="J102" s="65"/>
      <c r="K102" s="392"/>
      <c r="L102" s="65"/>
      <c r="M102" s="65"/>
      <c r="N102" s="65"/>
      <c r="O102" s="386"/>
      <c r="P102" s="386"/>
      <c r="Q102" s="386"/>
      <c r="R102" s="386"/>
      <c r="S102" s="386"/>
      <c r="T102" s="386"/>
      <c r="U102" s="386"/>
      <c r="V102" s="386"/>
      <c r="W102" s="386"/>
      <c r="X102" s="386"/>
      <c r="Y102" s="386"/>
      <c r="Z102" s="386"/>
      <c r="AA102" s="386"/>
      <c r="AB102" s="386"/>
      <c r="AC102" s="386"/>
      <c r="AD102" s="386"/>
      <c r="AE102" s="386"/>
      <c r="AF102" s="386"/>
      <c r="AG102" s="386"/>
      <c r="AH102" s="386"/>
      <c r="AI102" s="386"/>
      <c r="AJ102" s="386"/>
      <c r="AK102" s="386"/>
      <c r="AL102" s="386"/>
      <c r="AM102" s="386"/>
      <c r="AN102" s="386"/>
      <c r="AO102" s="386"/>
      <c r="AP102" s="386"/>
      <c r="AQ102" s="386"/>
      <c r="AR102" s="386"/>
      <c r="AS102" s="386"/>
      <c r="AT102" s="386"/>
      <c r="AU102" s="386"/>
      <c r="AV102" s="386"/>
      <c r="AW102" s="386"/>
      <c r="AX102" s="386"/>
      <c r="AY102" s="386"/>
      <c r="AZ102" s="386"/>
      <c r="BA102" s="386"/>
      <c r="BB102" s="386"/>
      <c r="BC102" s="386"/>
      <c r="BD102" s="386"/>
      <c r="BE102" s="386"/>
      <c r="BF102" s="386"/>
      <c r="BG102" s="386"/>
      <c r="BH102" s="386"/>
      <c r="BI102" s="386"/>
      <c r="BJ102" s="386"/>
      <c r="BK102" s="386"/>
      <c r="BL102" s="386"/>
      <c r="BM102" s="386"/>
      <c r="BN102" s="386"/>
      <c r="BO102" s="386"/>
      <c r="BP102" s="386"/>
      <c r="BQ102" s="386"/>
      <c r="BR102" s="386"/>
      <c r="BS102" s="386"/>
      <c r="BT102" s="386"/>
      <c r="BU102" s="386"/>
      <c r="BV102" s="386"/>
      <c r="BW102" s="386"/>
      <c r="BX102" s="386"/>
      <c r="BY102" s="386"/>
      <c r="BZ102" s="386"/>
      <c r="CA102" s="386"/>
      <c r="CB102" s="386"/>
      <c r="CC102" s="386"/>
      <c r="CD102" s="386"/>
      <c r="CE102" s="386"/>
      <c r="CF102" s="386"/>
      <c r="CG102" s="386"/>
      <c r="CH102" s="386"/>
      <c r="CI102" s="386"/>
      <c r="CJ102" s="386"/>
      <c r="CK102" s="386"/>
      <c r="CL102" s="386"/>
    </row>
    <row r="103" spans="2:90" ht="12.75" customHeight="1" x14ac:dyDescent="0.15">
      <c r="B103" s="57"/>
      <c r="C103" s="57"/>
      <c r="D103" s="58"/>
      <c r="E103" s="59"/>
      <c r="F103" s="63"/>
      <c r="G103" s="63"/>
      <c r="H103" s="63"/>
      <c r="I103" s="63"/>
      <c r="J103" s="65"/>
      <c r="K103" s="392"/>
      <c r="L103" s="65"/>
      <c r="M103" s="65"/>
      <c r="N103" s="65"/>
      <c r="O103" s="386"/>
      <c r="P103" s="386"/>
      <c r="Q103" s="386"/>
      <c r="R103" s="386"/>
      <c r="S103" s="386"/>
      <c r="T103" s="386"/>
      <c r="U103" s="386"/>
      <c r="V103" s="386"/>
      <c r="W103" s="386"/>
      <c r="X103" s="386"/>
      <c r="Y103" s="386"/>
      <c r="Z103" s="386"/>
      <c r="AA103" s="386"/>
      <c r="AB103" s="386"/>
      <c r="AC103" s="386"/>
      <c r="AD103" s="386"/>
      <c r="AE103" s="386"/>
      <c r="AF103" s="386"/>
      <c r="AG103" s="386"/>
      <c r="AH103" s="386"/>
      <c r="AI103" s="386"/>
      <c r="AJ103" s="386"/>
      <c r="AK103" s="386"/>
      <c r="AL103" s="386"/>
      <c r="AM103" s="386"/>
      <c r="AN103" s="386"/>
      <c r="AO103" s="386"/>
      <c r="AP103" s="386"/>
      <c r="AQ103" s="386"/>
      <c r="AR103" s="386"/>
      <c r="AS103" s="386"/>
      <c r="AT103" s="386"/>
      <c r="AU103" s="386"/>
      <c r="AV103" s="386"/>
      <c r="AW103" s="386"/>
      <c r="AX103" s="386"/>
      <c r="AY103" s="386"/>
      <c r="AZ103" s="386"/>
      <c r="BA103" s="386"/>
      <c r="BB103" s="386"/>
      <c r="BC103" s="386"/>
      <c r="BD103" s="386"/>
      <c r="BE103" s="386"/>
      <c r="BF103" s="386"/>
      <c r="BG103" s="386"/>
      <c r="BH103" s="386"/>
      <c r="BI103" s="386"/>
      <c r="BJ103" s="386"/>
      <c r="BK103" s="386"/>
      <c r="BL103" s="386"/>
      <c r="BM103" s="386"/>
      <c r="BN103" s="386"/>
      <c r="BO103" s="386"/>
      <c r="BP103" s="386"/>
      <c r="BQ103" s="386"/>
      <c r="BR103" s="386"/>
      <c r="BS103" s="386"/>
      <c r="BT103" s="386"/>
      <c r="BU103" s="386"/>
      <c r="BV103" s="386"/>
      <c r="BW103" s="386"/>
      <c r="BX103" s="386"/>
      <c r="BY103" s="386"/>
      <c r="BZ103" s="386"/>
      <c r="CA103" s="386"/>
      <c r="CB103" s="386"/>
      <c r="CC103" s="386"/>
      <c r="CD103" s="386"/>
      <c r="CE103" s="386"/>
      <c r="CF103" s="386"/>
      <c r="CG103" s="386"/>
      <c r="CH103" s="386"/>
      <c r="CI103" s="386"/>
      <c r="CJ103" s="386"/>
      <c r="CK103" s="386"/>
      <c r="CL103" s="386"/>
    </row>
    <row r="104" spans="2:90" ht="12.75" customHeight="1" x14ac:dyDescent="0.15">
      <c r="B104" s="57"/>
      <c r="C104" s="57"/>
      <c r="D104" s="58"/>
      <c r="E104" s="59"/>
      <c r="F104" s="63"/>
      <c r="G104" s="63"/>
      <c r="H104" s="63"/>
      <c r="I104" s="63"/>
      <c r="J104" s="65"/>
      <c r="K104" s="392"/>
      <c r="L104" s="65"/>
      <c r="M104" s="65"/>
      <c r="N104" s="65"/>
      <c r="O104" s="386"/>
      <c r="P104" s="386"/>
      <c r="Q104" s="386"/>
      <c r="R104" s="386"/>
      <c r="S104" s="386"/>
      <c r="T104" s="386"/>
      <c r="U104" s="386"/>
      <c r="V104" s="386"/>
      <c r="W104" s="386"/>
      <c r="X104" s="386"/>
      <c r="Y104" s="386"/>
      <c r="Z104" s="386"/>
      <c r="AA104" s="386"/>
      <c r="AB104" s="386"/>
      <c r="AC104" s="386"/>
      <c r="AD104" s="386"/>
      <c r="AE104" s="386"/>
      <c r="AF104" s="386"/>
      <c r="AG104" s="386"/>
      <c r="AH104" s="386"/>
      <c r="AI104" s="386"/>
      <c r="AJ104" s="386"/>
      <c r="AK104" s="386"/>
      <c r="AL104" s="386"/>
      <c r="AM104" s="386"/>
      <c r="AN104" s="386"/>
      <c r="AO104" s="386"/>
      <c r="AP104" s="386"/>
      <c r="AQ104" s="386"/>
      <c r="AR104" s="386"/>
      <c r="AS104" s="386"/>
      <c r="AT104" s="386"/>
      <c r="AU104" s="386"/>
      <c r="AV104" s="386"/>
      <c r="AW104" s="386"/>
      <c r="AX104" s="386"/>
      <c r="AY104" s="386"/>
      <c r="AZ104" s="386"/>
      <c r="BA104" s="386"/>
      <c r="BB104" s="386"/>
      <c r="BC104" s="386"/>
      <c r="BD104" s="386"/>
      <c r="BE104" s="386"/>
      <c r="BF104" s="386"/>
      <c r="BG104" s="386"/>
      <c r="BH104" s="386"/>
      <c r="BI104" s="386"/>
      <c r="BJ104" s="386"/>
      <c r="BK104" s="386"/>
      <c r="BL104" s="386"/>
      <c r="BM104" s="386"/>
      <c r="BN104" s="386"/>
      <c r="BO104" s="386"/>
      <c r="BP104" s="386"/>
      <c r="BQ104" s="386"/>
      <c r="BR104" s="386"/>
      <c r="BS104" s="386"/>
      <c r="BT104" s="386"/>
      <c r="BU104" s="386"/>
      <c r="BV104" s="386"/>
      <c r="BW104" s="386"/>
      <c r="BX104" s="386"/>
      <c r="BY104" s="386"/>
      <c r="BZ104" s="386"/>
      <c r="CA104" s="386"/>
      <c r="CB104" s="386"/>
      <c r="CC104" s="386"/>
      <c r="CD104" s="386"/>
      <c r="CE104" s="386"/>
      <c r="CF104" s="386"/>
      <c r="CG104" s="386"/>
      <c r="CH104" s="386"/>
      <c r="CI104" s="386"/>
      <c r="CJ104" s="386"/>
      <c r="CK104" s="386"/>
      <c r="CL104" s="386"/>
    </row>
    <row r="105" spans="2:90" ht="12.75" customHeight="1" x14ac:dyDescent="0.15">
      <c r="B105" s="57"/>
      <c r="C105" s="57"/>
      <c r="D105" s="58"/>
      <c r="E105" s="59"/>
      <c r="F105" s="63"/>
      <c r="G105" s="63"/>
      <c r="H105" s="63"/>
      <c r="I105" s="63"/>
      <c r="J105" s="65"/>
      <c r="K105" s="392"/>
      <c r="L105" s="65"/>
      <c r="M105" s="65"/>
      <c r="N105" s="65"/>
      <c r="O105" s="386"/>
      <c r="P105" s="386"/>
      <c r="Q105" s="386"/>
      <c r="R105" s="386"/>
      <c r="S105" s="386"/>
      <c r="T105" s="386"/>
      <c r="U105" s="386"/>
      <c r="V105" s="386"/>
      <c r="W105" s="386"/>
      <c r="X105" s="386"/>
      <c r="Y105" s="386"/>
      <c r="Z105" s="386"/>
      <c r="AA105" s="386"/>
      <c r="AB105" s="386"/>
      <c r="AC105" s="386"/>
      <c r="AD105" s="386"/>
      <c r="AE105" s="386"/>
      <c r="AF105" s="386"/>
      <c r="AG105" s="386"/>
      <c r="AH105" s="386"/>
      <c r="AI105" s="386"/>
      <c r="AJ105" s="386"/>
      <c r="AK105" s="386"/>
      <c r="AL105" s="386"/>
      <c r="AM105" s="386"/>
      <c r="AN105" s="386"/>
      <c r="AO105" s="386"/>
      <c r="AP105" s="386"/>
      <c r="AQ105" s="386"/>
      <c r="AR105" s="386"/>
      <c r="AS105" s="386"/>
      <c r="AT105" s="386"/>
      <c r="AU105" s="386"/>
      <c r="AV105" s="386"/>
      <c r="AW105" s="386"/>
      <c r="AX105" s="386"/>
      <c r="AY105" s="386"/>
      <c r="AZ105" s="386"/>
      <c r="BA105" s="386"/>
      <c r="BB105" s="386"/>
      <c r="BC105" s="386"/>
      <c r="BD105" s="386"/>
      <c r="BE105" s="386"/>
      <c r="BF105" s="386"/>
      <c r="BG105" s="386"/>
      <c r="BH105" s="386"/>
      <c r="BI105" s="386"/>
      <c r="BJ105" s="386"/>
      <c r="BK105" s="386"/>
      <c r="BL105" s="386"/>
      <c r="BM105" s="386"/>
      <c r="BN105" s="386"/>
      <c r="BO105" s="386"/>
      <c r="BP105" s="386"/>
      <c r="BQ105" s="386"/>
      <c r="BR105" s="386"/>
      <c r="BS105" s="386"/>
      <c r="BT105" s="386"/>
      <c r="BU105" s="386"/>
      <c r="BV105" s="386"/>
      <c r="BW105" s="386"/>
      <c r="BX105" s="386"/>
      <c r="BY105" s="386"/>
      <c r="BZ105" s="386"/>
      <c r="CA105" s="386"/>
      <c r="CB105" s="386"/>
      <c r="CC105" s="386"/>
      <c r="CD105" s="386"/>
      <c r="CE105" s="386"/>
      <c r="CF105" s="386"/>
      <c r="CG105" s="386"/>
      <c r="CH105" s="386"/>
      <c r="CI105" s="386"/>
      <c r="CJ105" s="386"/>
      <c r="CK105" s="386"/>
      <c r="CL105" s="386"/>
    </row>
    <row r="106" spans="2:90" ht="12.75" customHeight="1" x14ac:dyDescent="0.15">
      <c r="B106" s="57"/>
      <c r="C106" s="57"/>
      <c r="D106" s="58"/>
      <c r="E106" s="59"/>
      <c r="F106" s="63"/>
      <c r="G106" s="63"/>
      <c r="H106" s="63"/>
      <c r="I106" s="63"/>
      <c r="J106" s="65"/>
      <c r="K106" s="392"/>
      <c r="L106" s="65"/>
      <c r="M106" s="65"/>
      <c r="N106" s="65"/>
      <c r="O106" s="386"/>
      <c r="P106" s="386"/>
      <c r="Q106" s="386"/>
      <c r="R106" s="386"/>
      <c r="S106" s="386"/>
      <c r="T106" s="386"/>
      <c r="U106" s="386"/>
      <c r="V106" s="386"/>
      <c r="W106" s="386"/>
      <c r="X106" s="386"/>
      <c r="Y106" s="386"/>
      <c r="Z106" s="386"/>
      <c r="AA106" s="386"/>
      <c r="AB106" s="386"/>
      <c r="AC106" s="386"/>
      <c r="AD106" s="386"/>
      <c r="AE106" s="386"/>
      <c r="AF106" s="386"/>
      <c r="AG106" s="386"/>
      <c r="AH106" s="386"/>
      <c r="AI106" s="386"/>
      <c r="AJ106" s="386"/>
      <c r="AK106" s="386"/>
      <c r="AL106" s="386"/>
      <c r="AM106" s="386"/>
      <c r="AN106" s="386"/>
      <c r="AO106" s="386"/>
      <c r="AP106" s="386"/>
      <c r="AQ106" s="386"/>
      <c r="AR106" s="386"/>
      <c r="AS106" s="386"/>
      <c r="AT106" s="386"/>
      <c r="AU106" s="386"/>
      <c r="AV106" s="386"/>
      <c r="AW106" s="386"/>
      <c r="AX106" s="386"/>
      <c r="AY106" s="386"/>
      <c r="AZ106" s="386"/>
      <c r="BA106" s="386"/>
      <c r="BB106" s="386"/>
      <c r="BC106" s="386"/>
      <c r="BD106" s="386"/>
      <c r="BE106" s="386"/>
      <c r="BF106" s="386"/>
      <c r="BG106" s="386"/>
      <c r="BH106" s="386"/>
      <c r="BI106" s="386"/>
      <c r="BJ106" s="386"/>
      <c r="BK106" s="386"/>
      <c r="BL106" s="386"/>
      <c r="BM106" s="386"/>
      <c r="BN106" s="386"/>
      <c r="BO106" s="386"/>
      <c r="BP106" s="386"/>
      <c r="BQ106" s="386"/>
      <c r="BR106" s="386"/>
      <c r="BS106" s="386"/>
      <c r="BT106" s="386"/>
      <c r="BU106" s="386"/>
      <c r="BV106" s="386"/>
      <c r="BW106" s="386"/>
      <c r="BX106" s="386"/>
      <c r="BY106" s="386"/>
      <c r="BZ106" s="386"/>
      <c r="CA106" s="386"/>
      <c r="CB106" s="386"/>
      <c r="CC106" s="386"/>
      <c r="CD106" s="386"/>
      <c r="CE106" s="386"/>
      <c r="CF106" s="386"/>
      <c r="CG106" s="386"/>
      <c r="CH106" s="386"/>
      <c r="CI106" s="386"/>
      <c r="CJ106" s="386"/>
      <c r="CK106" s="386"/>
      <c r="CL106" s="386"/>
    </row>
    <row r="107" spans="2:90" ht="12.75" customHeight="1" x14ac:dyDescent="0.15">
      <c r="B107" s="57"/>
      <c r="C107" s="57"/>
      <c r="D107" s="58"/>
      <c r="E107" s="59"/>
      <c r="F107" s="63"/>
      <c r="G107" s="63"/>
      <c r="H107" s="63"/>
      <c r="I107" s="63"/>
      <c r="J107" s="65"/>
      <c r="K107" s="392"/>
      <c r="L107" s="65"/>
      <c r="M107" s="65"/>
      <c r="N107" s="65"/>
      <c r="O107" s="386"/>
      <c r="P107" s="386"/>
      <c r="Q107" s="386"/>
      <c r="R107" s="386"/>
      <c r="S107" s="386"/>
      <c r="T107" s="386"/>
      <c r="U107" s="386"/>
      <c r="V107" s="386"/>
      <c r="W107" s="386"/>
      <c r="X107" s="386"/>
      <c r="Y107" s="386"/>
      <c r="Z107" s="386"/>
      <c r="AA107" s="386"/>
      <c r="AB107" s="386"/>
      <c r="AC107" s="386"/>
      <c r="AD107" s="386"/>
      <c r="AE107" s="386"/>
      <c r="AF107" s="386"/>
      <c r="AG107" s="386"/>
      <c r="AH107" s="386"/>
      <c r="AI107" s="386"/>
      <c r="AJ107" s="386"/>
      <c r="AK107" s="386"/>
      <c r="AL107" s="386"/>
      <c r="AM107" s="386"/>
      <c r="AN107" s="386"/>
      <c r="AO107" s="386"/>
      <c r="AP107" s="386"/>
      <c r="AQ107" s="386"/>
      <c r="AR107" s="386"/>
      <c r="AS107" s="386"/>
      <c r="AT107" s="386"/>
      <c r="AU107" s="386"/>
      <c r="AV107" s="386"/>
      <c r="AW107" s="386"/>
      <c r="AX107" s="386"/>
      <c r="AY107" s="386"/>
      <c r="AZ107" s="386"/>
      <c r="BA107" s="386"/>
      <c r="BB107" s="386"/>
      <c r="BC107" s="386"/>
      <c r="BD107" s="386"/>
      <c r="BE107" s="386"/>
      <c r="BF107" s="386"/>
      <c r="BG107" s="386"/>
      <c r="BH107" s="386"/>
      <c r="BI107" s="386"/>
      <c r="BJ107" s="386"/>
      <c r="BK107" s="386"/>
      <c r="BL107" s="386"/>
      <c r="BM107" s="386"/>
      <c r="BN107" s="386"/>
      <c r="BO107" s="386"/>
      <c r="BP107" s="386"/>
      <c r="BQ107" s="386"/>
      <c r="BR107" s="386"/>
      <c r="BS107" s="386"/>
      <c r="BT107" s="386"/>
      <c r="BU107" s="386"/>
      <c r="BV107" s="386"/>
      <c r="BW107" s="386"/>
      <c r="BX107" s="386"/>
      <c r="BY107" s="386"/>
      <c r="BZ107" s="386"/>
      <c r="CA107" s="386"/>
      <c r="CB107" s="386"/>
      <c r="CC107" s="386"/>
      <c r="CD107" s="386"/>
      <c r="CE107" s="386"/>
      <c r="CF107" s="386"/>
      <c r="CG107" s="386"/>
      <c r="CH107" s="386"/>
      <c r="CI107" s="386"/>
      <c r="CJ107" s="386"/>
      <c r="CK107" s="386"/>
      <c r="CL107" s="386"/>
    </row>
    <row r="108" spans="2:90" ht="12.75" customHeight="1" x14ac:dyDescent="0.15">
      <c r="B108" s="57"/>
      <c r="C108" s="57"/>
      <c r="D108" s="58"/>
      <c r="E108" s="59"/>
      <c r="F108" s="63"/>
      <c r="G108" s="63"/>
      <c r="H108" s="63"/>
      <c r="I108" s="63"/>
      <c r="J108" s="65"/>
      <c r="K108" s="392"/>
      <c r="L108" s="65"/>
      <c r="M108" s="65"/>
      <c r="N108" s="65"/>
      <c r="O108" s="386"/>
      <c r="P108" s="386"/>
      <c r="Q108" s="386"/>
      <c r="R108" s="386"/>
      <c r="S108" s="386"/>
      <c r="T108" s="386"/>
      <c r="U108" s="386"/>
      <c r="V108" s="386"/>
      <c r="W108" s="386"/>
      <c r="X108" s="386"/>
      <c r="Y108" s="386"/>
      <c r="Z108" s="386"/>
      <c r="AA108" s="386"/>
      <c r="AB108" s="386"/>
      <c r="AC108" s="386"/>
      <c r="AD108" s="386"/>
      <c r="AE108" s="386"/>
      <c r="AF108" s="386"/>
      <c r="AG108" s="386"/>
      <c r="AH108" s="386"/>
      <c r="AI108" s="386"/>
      <c r="AJ108" s="386"/>
      <c r="AK108" s="386"/>
      <c r="AL108" s="386"/>
      <c r="AM108" s="386"/>
      <c r="AN108" s="386"/>
      <c r="AO108" s="386"/>
      <c r="AP108" s="386"/>
      <c r="AQ108" s="386"/>
      <c r="AR108" s="386"/>
      <c r="AS108" s="386"/>
      <c r="AT108" s="386"/>
      <c r="AU108" s="386"/>
      <c r="AV108" s="386"/>
      <c r="AW108" s="386"/>
      <c r="AX108" s="386"/>
      <c r="AY108" s="386"/>
      <c r="AZ108" s="386"/>
      <c r="BA108" s="386"/>
      <c r="BB108" s="386"/>
      <c r="BC108" s="386"/>
      <c r="BD108" s="386"/>
      <c r="BE108" s="386"/>
      <c r="BF108" s="386"/>
      <c r="BG108" s="386"/>
      <c r="BH108" s="386"/>
      <c r="BI108" s="386"/>
      <c r="BJ108" s="386"/>
      <c r="BK108" s="386"/>
      <c r="BL108" s="386"/>
      <c r="BM108" s="386"/>
      <c r="BN108" s="386"/>
      <c r="BO108" s="386"/>
      <c r="BP108" s="386"/>
      <c r="BQ108" s="386"/>
      <c r="BR108" s="386"/>
      <c r="BS108" s="386"/>
      <c r="BT108" s="386"/>
      <c r="BU108" s="386"/>
      <c r="BV108" s="386"/>
      <c r="BW108" s="386"/>
      <c r="BX108" s="386"/>
      <c r="BY108" s="386"/>
      <c r="BZ108" s="386"/>
      <c r="CA108" s="386"/>
      <c r="CB108" s="386"/>
      <c r="CC108" s="386"/>
      <c r="CD108" s="386"/>
      <c r="CE108" s="386"/>
      <c r="CF108" s="386"/>
      <c r="CG108" s="386"/>
      <c r="CH108" s="386"/>
      <c r="CI108" s="386"/>
      <c r="CJ108" s="386"/>
      <c r="CK108" s="386"/>
      <c r="CL108" s="386"/>
    </row>
    <row r="109" spans="2:90" ht="12.75" customHeight="1" x14ac:dyDescent="0.15">
      <c r="B109" s="57"/>
      <c r="C109" s="57"/>
      <c r="D109" s="58"/>
      <c r="E109" s="59"/>
      <c r="F109" s="63"/>
      <c r="G109" s="63"/>
      <c r="H109" s="63"/>
      <c r="I109" s="63"/>
      <c r="J109" s="65"/>
      <c r="K109" s="392"/>
      <c r="L109" s="65"/>
      <c r="M109" s="65"/>
      <c r="N109" s="65"/>
      <c r="O109" s="386"/>
      <c r="P109" s="386"/>
      <c r="Q109" s="386"/>
      <c r="R109" s="386"/>
      <c r="S109" s="386"/>
      <c r="T109" s="386"/>
      <c r="U109" s="386"/>
      <c r="V109" s="386"/>
      <c r="W109" s="386"/>
      <c r="X109" s="386"/>
      <c r="Y109" s="386"/>
      <c r="Z109" s="386"/>
      <c r="AA109" s="386"/>
      <c r="AB109" s="386"/>
      <c r="AC109" s="386"/>
      <c r="AD109" s="386"/>
      <c r="AE109" s="386"/>
      <c r="AF109" s="386"/>
      <c r="AG109" s="386"/>
      <c r="AH109" s="386"/>
      <c r="AI109" s="386"/>
      <c r="AJ109" s="386"/>
      <c r="AK109" s="386"/>
      <c r="AL109" s="386"/>
      <c r="AM109" s="386"/>
      <c r="AN109" s="386"/>
      <c r="AO109" s="386"/>
      <c r="AP109" s="386"/>
      <c r="AQ109" s="386"/>
      <c r="AR109" s="386"/>
      <c r="AS109" s="386"/>
      <c r="AT109" s="386"/>
      <c r="AU109" s="386"/>
      <c r="AV109" s="386"/>
      <c r="AW109" s="386"/>
      <c r="AX109" s="386"/>
      <c r="AY109" s="386"/>
      <c r="AZ109" s="386"/>
      <c r="BA109" s="386"/>
      <c r="BB109" s="386"/>
      <c r="BC109" s="386"/>
      <c r="BD109" s="386"/>
      <c r="BE109" s="386"/>
      <c r="BF109" s="386"/>
      <c r="BG109" s="386"/>
      <c r="BH109" s="386"/>
      <c r="BI109" s="386"/>
      <c r="BJ109" s="386"/>
      <c r="BK109" s="386"/>
      <c r="BL109" s="386"/>
      <c r="BM109" s="386"/>
      <c r="BN109" s="386"/>
      <c r="BO109" s="386"/>
      <c r="BP109" s="386"/>
      <c r="BQ109" s="386"/>
      <c r="BR109" s="386"/>
      <c r="BS109" s="386"/>
      <c r="BT109" s="386"/>
      <c r="BU109" s="386"/>
      <c r="BV109" s="386"/>
      <c r="BW109" s="386"/>
      <c r="BX109" s="386"/>
      <c r="BY109" s="386"/>
      <c r="BZ109" s="386"/>
      <c r="CA109" s="386"/>
      <c r="CB109" s="386"/>
      <c r="CC109" s="386"/>
      <c r="CD109" s="386"/>
      <c r="CE109" s="386"/>
      <c r="CF109" s="386"/>
      <c r="CG109" s="386"/>
      <c r="CH109" s="386"/>
      <c r="CI109" s="386"/>
      <c r="CJ109" s="386"/>
      <c r="CK109" s="386"/>
      <c r="CL109" s="386"/>
    </row>
    <row r="110" spans="2:90" ht="12.75" customHeight="1" x14ac:dyDescent="0.15">
      <c r="B110" s="57"/>
      <c r="C110" s="57"/>
      <c r="D110" s="58"/>
      <c r="E110" s="59"/>
      <c r="F110" s="63"/>
      <c r="G110" s="63"/>
      <c r="H110" s="63"/>
      <c r="I110" s="63"/>
      <c r="J110" s="65"/>
      <c r="K110" s="392"/>
      <c r="L110" s="65"/>
      <c r="M110" s="65"/>
      <c r="N110" s="65"/>
      <c r="O110" s="386"/>
      <c r="P110" s="386"/>
      <c r="Q110" s="386"/>
      <c r="R110" s="386"/>
      <c r="S110" s="386"/>
      <c r="T110" s="386"/>
      <c r="U110" s="386"/>
      <c r="V110" s="386"/>
      <c r="W110" s="386"/>
      <c r="X110" s="386"/>
      <c r="Y110" s="386"/>
      <c r="Z110" s="386"/>
      <c r="AA110" s="386"/>
      <c r="AB110" s="386"/>
      <c r="AC110" s="386"/>
      <c r="AD110" s="386"/>
      <c r="AE110" s="386"/>
      <c r="AF110" s="386"/>
      <c r="AG110" s="386"/>
      <c r="AH110" s="386"/>
      <c r="AI110" s="386"/>
      <c r="AJ110" s="386"/>
      <c r="AK110" s="386"/>
      <c r="AL110" s="386"/>
      <c r="AM110" s="386"/>
      <c r="AN110" s="386"/>
      <c r="AO110" s="386"/>
      <c r="AP110" s="386"/>
      <c r="AQ110" s="386"/>
      <c r="AR110" s="386"/>
      <c r="AS110" s="386"/>
      <c r="AT110" s="386"/>
      <c r="AU110" s="386"/>
      <c r="AV110" s="386"/>
      <c r="AW110" s="386"/>
      <c r="AX110" s="386"/>
      <c r="AY110" s="386"/>
      <c r="AZ110" s="386"/>
      <c r="BA110" s="386"/>
      <c r="BB110" s="386"/>
      <c r="BC110" s="386"/>
      <c r="BD110" s="386"/>
      <c r="BE110" s="386"/>
      <c r="BF110" s="386"/>
      <c r="BG110" s="386"/>
      <c r="BH110" s="386"/>
      <c r="BI110" s="386"/>
      <c r="BJ110" s="386"/>
      <c r="BK110" s="386"/>
      <c r="BL110" s="386"/>
      <c r="BM110" s="386"/>
      <c r="BN110" s="386"/>
      <c r="BO110" s="386"/>
      <c r="BP110" s="386"/>
      <c r="BQ110" s="386"/>
      <c r="BR110" s="386"/>
      <c r="BS110" s="386"/>
      <c r="BT110" s="386"/>
      <c r="BU110" s="386"/>
      <c r="BV110" s="386"/>
      <c r="BW110" s="386"/>
      <c r="BX110" s="386"/>
      <c r="BY110" s="386"/>
      <c r="BZ110" s="386"/>
      <c r="CA110" s="386"/>
      <c r="CB110" s="386"/>
      <c r="CC110" s="386"/>
      <c r="CD110" s="386"/>
      <c r="CE110" s="386"/>
      <c r="CF110" s="386"/>
      <c r="CG110" s="386"/>
      <c r="CH110" s="386"/>
      <c r="CI110" s="386"/>
      <c r="CJ110" s="386"/>
      <c r="CK110" s="386"/>
      <c r="CL110" s="386"/>
    </row>
    <row r="111" spans="2:90" ht="12.75" customHeight="1" x14ac:dyDescent="0.15">
      <c r="B111" s="57"/>
      <c r="C111" s="57"/>
      <c r="D111" s="58"/>
      <c r="E111" s="59"/>
      <c r="F111" s="63"/>
      <c r="G111" s="63"/>
      <c r="H111" s="63"/>
      <c r="I111" s="63"/>
      <c r="J111" s="65"/>
      <c r="K111" s="392"/>
      <c r="L111" s="65"/>
      <c r="M111" s="65"/>
      <c r="N111" s="65"/>
      <c r="O111" s="386"/>
      <c r="P111" s="386"/>
      <c r="Q111" s="386"/>
      <c r="R111" s="386"/>
      <c r="S111" s="386"/>
      <c r="T111" s="386"/>
      <c r="U111" s="386"/>
      <c r="V111" s="386"/>
      <c r="W111" s="386"/>
      <c r="X111" s="386"/>
      <c r="Y111" s="386"/>
      <c r="Z111" s="386"/>
      <c r="AA111" s="386"/>
      <c r="AB111" s="386"/>
      <c r="AC111" s="386"/>
      <c r="AD111" s="386"/>
      <c r="AE111" s="386"/>
      <c r="AF111" s="386"/>
      <c r="AG111" s="386"/>
      <c r="AH111" s="386"/>
      <c r="AI111" s="386"/>
      <c r="AJ111" s="386"/>
      <c r="AK111" s="386"/>
      <c r="AL111" s="386"/>
      <c r="AM111" s="386"/>
      <c r="AN111" s="386"/>
      <c r="AO111" s="386"/>
      <c r="AP111" s="386"/>
      <c r="AQ111" s="386"/>
      <c r="AR111" s="386"/>
      <c r="AS111" s="386"/>
      <c r="AT111" s="386"/>
      <c r="AU111" s="386"/>
      <c r="AV111" s="386"/>
      <c r="AW111" s="386"/>
      <c r="AX111" s="386"/>
      <c r="AY111" s="386"/>
      <c r="AZ111" s="386"/>
      <c r="BA111" s="386"/>
      <c r="BB111" s="386"/>
      <c r="BC111" s="386"/>
      <c r="BD111" s="386"/>
      <c r="BE111" s="386"/>
      <c r="BF111" s="386"/>
      <c r="BG111" s="386"/>
      <c r="BH111" s="386"/>
      <c r="BI111" s="386"/>
      <c r="BJ111" s="386"/>
      <c r="BK111" s="386"/>
      <c r="BL111" s="386"/>
      <c r="BM111" s="386"/>
      <c r="BN111" s="386"/>
      <c r="BO111" s="386"/>
      <c r="BP111" s="386"/>
      <c r="BQ111" s="386"/>
      <c r="BR111" s="386"/>
      <c r="BS111" s="386"/>
      <c r="BT111" s="386"/>
      <c r="BU111" s="386"/>
      <c r="BV111" s="386"/>
      <c r="BW111" s="386"/>
      <c r="BX111" s="386"/>
      <c r="BY111" s="386"/>
      <c r="BZ111" s="386"/>
      <c r="CA111" s="386"/>
      <c r="CB111" s="386"/>
      <c r="CC111" s="386"/>
      <c r="CD111" s="386"/>
      <c r="CE111" s="386"/>
      <c r="CF111" s="386"/>
      <c r="CG111" s="386"/>
      <c r="CH111" s="386"/>
      <c r="CI111" s="386"/>
      <c r="CJ111" s="386"/>
      <c r="CK111" s="386"/>
      <c r="CL111" s="386"/>
    </row>
    <row r="112" spans="2:90" ht="12.75" customHeight="1" x14ac:dyDescent="0.15">
      <c r="B112" s="57"/>
      <c r="C112" s="57"/>
      <c r="D112" s="58"/>
      <c r="E112" s="59"/>
      <c r="F112" s="63"/>
      <c r="G112" s="63"/>
      <c r="H112" s="63"/>
      <c r="I112" s="63"/>
      <c r="J112" s="65"/>
      <c r="K112" s="392"/>
      <c r="L112" s="65"/>
      <c r="M112" s="65"/>
      <c r="N112" s="65"/>
      <c r="O112" s="386"/>
      <c r="P112" s="386"/>
      <c r="Q112" s="386"/>
      <c r="R112" s="386"/>
      <c r="S112" s="386"/>
      <c r="T112" s="386"/>
      <c r="U112" s="386"/>
      <c r="V112" s="386"/>
      <c r="W112" s="386"/>
      <c r="X112" s="386"/>
      <c r="Y112" s="386"/>
      <c r="Z112" s="386"/>
      <c r="AA112" s="386"/>
      <c r="AB112" s="386"/>
      <c r="AC112" s="386"/>
      <c r="AD112" s="386"/>
      <c r="AE112" s="386"/>
      <c r="AF112" s="386"/>
      <c r="AG112" s="386"/>
      <c r="AH112" s="386"/>
      <c r="AI112" s="386"/>
      <c r="AJ112" s="386"/>
      <c r="AK112" s="386"/>
      <c r="AL112" s="386"/>
      <c r="AM112" s="386"/>
      <c r="AN112" s="386"/>
      <c r="AO112" s="386"/>
      <c r="AP112" s="386"/>
      <c r="AQ112" s="386"/>
      <c r="AR112" s="386"/>
      <c r="AS112" s="386"/>
      <c r="AT112" s="386"/>
      <c r="AU112" s="386"/>
      <c r="AV112" s="386"/>
      <c r="AW112" s="386"/>
      <c r="AX112" s="386"/>
      <c r="AY112" s="386"/>
      <c r="AZ112" s="386"/>
      <c r="BA112" s="386"/>
      <c r="BB112" s="386"/>
      <c r="BC112" s="386"/>
      <c r="BD112" s="386"/>
      <c r="BE112" s="386"/>
      <c r="BF112" s="386"/>
      <c r="BG112" s="386"/>
      <c r="BH112" s="386"/>
      <c r="BI112" s="386"/>
      <c r="BJ112" s="386"/>
      <c r="BK112" s="386"/>
      <c r="BL112" s="386"/>
      <c r="BM112" s="386"/>
      <c r="BN112" s="386"/>
      <c r="BO112" s="386"/>
      <c r="BP112" s="386"/>
      <c r="BQ112" s="386"/>
      <c r="BR112" s="386"/>
      <c r="BS112" s="386"/>
      <c r="BT112" s="386"/>
      <c r="BU112" s="386"/>
      <c r="BV112" s="386"/>
      <c r="BW112" s="386"/>
      <c r="BX112" s="386"/>
      <c r="BY112" s="386"/>
      <c r="BZ112" s="386"/>
      <c r="CA112" s="386"/>
      <c r="CB112" s="386"/>
      <c r="CC112" s="386"/>
      <c r="CD112" s="386"/>
      <c r="CE112" s="386"/>
      <c r="CF112" s="386"/>
      <c r="CG112" s="386"/>
      <c r="CH112" s="386"/>
      <c r="CI112" s="386"/>
      <c r="CJ112" s="386"/>
      <c r="CK112" s="386"/>
      <c r="CL112" s="386"/>
    </row>
    <row r="113" spans="2:90" ht="12.75" customHeight="1" x14ac:dyDescent="0.15">
      <c r="B113" s="57"/>
      <c r="C113" s="57"/>
      <c r="D113" s="58"/>
      <c r="E113" s="59"/>
      <c r="F113" s="63"/>
      <c r="G113" s="63"/>
      <c r="H113" s="63"/>
      <c r="I113" s="63"/>
      <c r="J113" s="65"/>
      <c r="K113" s="392"/>
      <c r="L113" s="65"/>
      <c r="M113" s="65"/>
      <c r="N113" s="65"/>
      <c r="O113" s="386"/>
      <c r="P113" s="386"/>
      <c r="Q113" s="386"/>
      <c r="R113" s="386"/>
      <c r="S113" s="386"/>
      <c r="T113" s="386"/>
      <c r="U113" s="386"/>
      <c r="V113" s="386"/>
      <c r="W113" s="386"/>
      <c r="X113" s="386"/>
      <c r="Y113" s="386"/>
      <c r="Z113" s="386"/>
      <c r="AA113" s="386"/>
      <c r="AB113" s="386"/>
      <c r="AC113" s="386"/>
      <c r="AD113" s="386"/>
      <c r="AE113" s="386"/>
      <c r="AF113" s="386"/>
      <c r="AG113" s="386"/>
      <c r="AH113" s="386"/>
      <c r="AI113" s="386"/>
      <c r="AJ113" s="386"/>
      <c r="AK113" s="386"/>
      <c r="AL113" s="386"/>
      <c r="AM113" s="386"/>
      <c r="AN113" s="386"/>
      <c r="AO113" s="386"/>
      <c r="AP113" s="386"/>
      <c r="AQ113" s="386"/>
      <c r="AR113" s="386"/>
      <c r="AS113" s="386"/>
      <c r="AT113" s="386"/>
      <c r="AU113" s="386"/>
      <c r="AV113" s="386"/>
      <c r="AW113" s="386"/>
      <c r="AX113" s="386"/>
      <c r="AY113" s="386"/>
      <c r="AZ113" s="386"/>
      <c r="BA113" s="386"/>
      <c r="BB113" s="386"/>
      <c r="BC113" s="386"/>
      <c r="BD113" s="386"/>
      <c r="BE113" s="386"/>
      <c r="BF113" s="386"/>
      <c r="BG113" s="386"/>
      <c r="BH113" s="386"/>
      <c r="BI113" s="386"/>
      <c r="BJ113" s="386"/>
      <c r="BK113" s="386"/>
      <c r="BL113" s="386"/>
      <c r="BM113" s="386"/>
      <c r="BN113" s="386"/>
      <c r="BO113" s="386"/>
      <c r="BP113" s="386"/>
      <c r="BQ113" s="386"/>
      <c r="BR113" s="386"/>
      <c r="BS113" s="386"/>
      <c r="BT113" s="386"/>
      <c r="BU113" s="386"/>
      <c r="BV113" s="386"/>
      <c r="BW113" s="386"/>
      <c r="BX113" s="386"/>
      <c r="BY113" s="386"/>
      <c r="BZ113" s="386"/>
      <c r="CA113" s="386"/>
      <c r="CB113" s="386"/>
      <c r="CC113" s="386"/>
      <c r="CD113" s="386"/>
      <c r="CE113" s="386"/>
      <c r="CF113" s="386"/>
      <c r="CG113" s="386"/>
      <c r="CH113" s="386"/>
      <c r="CI113" s="386"/>
      <c r="CJ113" s="386"/>
      <c r="CK113" s="386"/>
      <c r="CL113" s="386"/>
    </row>
    <row r="114" spans="2:90" ht="12.75" customHeight="1" x14ac:dyDescent="0.15">
      <c r="B114" s="57"/>
      <c r="C114" s="57"/>
      <c r="D114" s="58"/>
      <c r="E114" s="59"/>
      <c r="F114" s="63"/>
      <c r="G114" s="63"/>
      <c r="H114" s="63"/>
      <c r="I114" s="63"/>
      <c r="J114" s="65"/>
      <c r="K114" s="392"/>
      <c r="L114" s="65"/>
      <c r="M114" s="65"/>
      <c r="N114" s="65"/>
      <c r="O114" s="386"/>
      <c r="P114" s="386"/>
      <c r="Q114" s="386"/>
      <c r="R114" s="386"/>
      <c r="S114" s="386"/>
      <c r="T114" s="386"/>
      <c r="U114" s="386"/>
      <c r="V114" s="386"/>
      <c r="W114" s="386"/>
      <c r="X114" s="386"/>
      <c r="Y114" s="386"/>
      <c r="Z114" s="386"/>
      <c r="AA114" s="386"/>
      <c r="AB114" s="386"/>
      <c r="AC114" s="386"/>
      <c r="AD114" s="386"/>
      <c r="AE114" s="386"/>
      <c r="AF114" s="386"/>
      <c r="AG114" s="386"/>
      <c r="AH114" s="386"/>
      <c r="AI114" s="386"/>
      <c r="AJ114" s="386"/>
      <c r="AK114" s="386"/>
      <c r="AL114" s="386"/>
      <c r="AM114" s="386"/>
      <c r="AN114" s="386"/>
      <c r="AO114" s="386"/>
      <c r="AP114" s="386"/>
      <c r="AQ114" s="386"/>
      <c r="AR114" s="386"/>
      <c r="AS114" s="386"/>
      <c r="AT114" s="386"/>
      <c r="AU114" s="386"/>
      <c r="AV114" s="386"/>
      <c r="AW114" s="386"/>
      <c r="AX114" s="386"/>
      <c r="AY114" s="386"/>
      <c r="AZ114" s="386"/>
      <c r="BA114" s="386"/>
      <c r="BB114" s="386"/>
      <c r="BC114" s="386"/>
      <c r="BD114" s="386"/>
      <c r="BE114" s="386"/>
      <c r="BF114" s="386"/>
      <c r="BG114" s="386"/>
      <c r="BH114" s="386"/>
      <c r="BI114" s="386"/>
      <c r="BJ114" s="386"/>
      <c r="BK114" s="386"/>
      <c r="BL114" s="386"/>
      <c r="BM114" s="386"/>
      <c r="BN114" s="386"/>
      <c r="BO114" s="386"/>
      <c r="BP114" s="386"/>
      <c r="BQ114" s="386"/>
      <c r="BR114" s="386"/>
      <c r="BS114" s="386"/>
      <c r="BT114" s="386"/>
      <c r="BU114" s="386"/>
      <c r="BV114" s="386"/>
      <c r="BW114" s="386"/>
      <c r="BX114" s="386"/>
      <c r="BY114" s="386"/>
      <c r="BZ114" s="386"/>
      <c r="CA114" s="386"/>
      <c r="CB114" s="386"/>
      <c r="CC114" s="386"/>
      <c r="CD114" s="386"/>
      <c r="CE114" s="386"/>
      <c r="CF114" s="386"/>
      <c r="CG114" s="386"/>
      <c r="CH114" s="386"/>
      <c r="CI114" s="386"/>
      <c r="CJ114" s="386"/>
      <c r="CK114" s="386"/>
      <c r="CL114" s="386"/>
    </row>
    <row r="115" spans="2:90" ht="12.75" customHeight="1" x14ac:dyDescent="0.15">
      <c r="B115" s="57"/>
      <c r="C115" s="57"/>
      <c r="D115" s="58"/>
      <c r="E115" s="59"/>
      <c r="F115" s="63"/>
      <c r="G115" s="63"/>
      <c r="H115" s="63"/>
      <c r="I115" s="63"/>
      <c r="J115" s="65"/>
      <c r="K115" s="392"/>
      <c r="L115" s="65"/>
      <c r="M115" s="65"/>
      <c r="N115" s="65"/>
      <c r="O115" s="386"/>
      <c r="P115" s="386"/>
      <c r="Q115" s="386"/>
      <c r="R115" s="386"/>
      <c r="S115" s="386"/>
      <c r="T115" s="386"/>
      <c r="U115" s="386"/>
      <c r="V115" s="386"/>
      <c r="W115" s="386"/>
      <c r="X115" s="386"/>
      <c r="Y115" s="386"/>
      <c r="Z115" s="386"/>
      <c r="AA115" s="386"/>
      <c r="AB115" s="386"/>
      <c r="AC115" s="386"/>
      <c r="AD115" s="386"/>
      <c r="AE115" s="386"/>
      <c r="AF115" s="386"/>
      <c r="AG115" s="386"/>
      <c r="AH115" s="386"/>
      <c r="AI115" s="386"/>
      <c r="AJ115" s="386"/>
      <c r="AK115" s="386"/>
      <c r="AL115" s="386"/>
      <c r="AM115" s="386"/>
      <c r="AN115" s="386"/>
      <c r="AO115" s="386"/>
      <c r="AP115" s="386"/>
      <c r="AQ115" s="386"/>
      <c r="AR115" s="386"/>
      <c r="AS115" s="386"/>
      <c r="AT115" s="386"/>
      <c r="AU115" s="386"/>
      <c r="AV115" s="386"/>
      <c r="AW115" s="386"/>
      <c r="AX115" s="386"/>
      <c r="AY115" s="386"/>
      <c r="AZ115" s="386"/>
      <c r="BA115" s="386"/>
      <c r="BB115" s="386"/>
      <c r="BC115" s="386"/>
      <c r="BD115" s="386"/>
      <c r="BE115" s="386"/>
      <c r="BF115" s="386"/>
      <c r="BG115" s="386"/>
      <c r="BH115" s="386"/>
      <c r="BI115" s="386"/>
      <c r="BJ115" s="386"/>
      <c r="BK115" s="386"/>
      <c r="BL115" s="386"/>
      <c r="BM115" s="386"/>
      <c r="BN115" s="386"/>
      <c r="BO115" s="386"/>
      <c r="BP115" s="386"/>
      <c r="BQ115" s="386"/>
      <c r="BR115" s="386"/>
      <c r="BS115" s="386"/>
      <c r="BT115" s="386"/>
      <c r="BU115" s="386"/>
      <c r="BV115" s="386"/>
      <c r="BW115" s="386"/>
      <c r="BX115" s="386"/>
      <c r="BY115" s="386"/>
      <c r="BZ115" s="386"/>
      <c r="CA115" s="386"/>
      <c r="CB115" s="386"/>
      <c r="CC115" s="386"/>
      <c r="CD115" s="386"/>
      <c r="CE115" s="386"/>
      <c r="CF115" s="386"/>
      <c r="CG115" s="386"/>
      <c r="CH115" s="386"/>
      <c r="CI115" s="386"/>
      <c r="CJ115" s="386"/>
      <c r="CK115" s="386"/>
      <c r="CL115" s="386"/>
    </row>
    <row r="116" spans="2:90" ht="12.75" customHeight="1" x14ac:dyDescent="0.15">
      <c r="B116" s="57"/>
      <c r="C116" s="57"/>
      <c r="D116" s="58"/>
      <c r="E116" s="59"/>
      <c r="F116" s="63"/>
      <c r="G116" s="63"/>
      <c r="H116" s="63"/>
      <c r="I116" s="63"/>
      <c r="J116" s="65"/>
      <c r="K116" s="392"/>
      <c r="L116" s="65"/>
      <c r="M116" s="65"/>
      <c r="N116" s="65"/>
      <c r="O116" s="386"/>
      <c r="P116" s="386"/>
      <c r="Q116" s="386"/>
      <c r="R116" s="386"/>
      <c r="S116" s="386"/>
      <c r="T116" s="386"/>
      <c r="U116" s="386"/>
      <c r="V116" s="386"/>
      <c r="W116" s="386"/>
      <c r="X116" s="386"/>
      <c r="Y116" s="386"/>
      <c r="Z116" s="386"/>
      <c r="AA116" s="386"/>
      <c r="AB116" s="386"/>
      <c r="AC116" s="386"/>
      <c r="AD116" s="386"/>
      <c r="AE116" s="386"/>
      <c r="AF116" s="386"/>
      <c r="AG116" s="386"/>
      <c r="AH116" s="386"/>
      <c r="AI116" s="386"/>
      <c r="AJ116" s="386"/>
      <c r="AK116" s="386"/>
      <c r="AL116" s="386"/>
      <c r="AM116" s="386"/>
      <c r="AN116" s="386"/>
      <c r="AO116" s="386"/>
      <c r="AP116" s="386"/>
      <c r="AQ116" s="386"/>
      <c r="AR116" s="386"/>
      <c r="AS116" s="386"/>
      <c r="AT116" s="386"/>
      <c r="AU116" s="386"/>
      <c r="AV116" s="386"/>
      <c r="AW116" s="386"/>
      <c r="AX116" s="386"/>
      <c r="AY116" s="386"/>
      <c r="AZ116" s="386"/>
      <c r="BA116" s="386"/>
      <c r="BB116" s="386"/>
      <c r="BC116" s="386"/>
      <c r="BD116" s="386"/>
      <c r="BE116" s="386"/>
      <c r="BF116" s="386"/>
      <c r="BG116" s="386"/>
      <c r="BH116" s="386"/>
      <c r="BI116" s="386"/>
      <c r="BJ116" s="386"/>
      <c r="BK116" s="386"/>
      <c r="BL116" s="386"/>
      <c r="BM116" s="386"/>
      <c r="BN116" s="386"/>
      <c r="BO116" s="386"/>
      <c r="BP116" s="386"/>
      <c r="BQ116" s="386"/>
      <c r="BR116" s="386"/>
      <c r="BS116" s="386"/>
      <c r="BT116" s="386"/>
      <c r="BU116" s="386"/>
      <c r="BV116" s="386"/>
      <c r="BW116" s="386"/>
      <c r="BX116" s="386"/>
      <c r="BY116" s="386"/>
      <c r="BZ116" s="386"/>
      <c r="CA116" s="386"/>
      <c r="CB116" s="386"/>
      <c r="CC116" s="386"/>
      <c r="CD116" s="386"/>
      <c r="CE116" s="386"/>
      <c r="CF116" s="386"/>
      <c r="CG116" s="386"/>
      <c r="CH116" s="386"/>
      <c r="CI116" s="386"/>
      <c r="CJ116" s="386"/>
      <c r="CK116" s="386"/>
      <c r="CL116" s="386"/>
    </row>
    <row r="117" spans="2:90" ht="12.75" customHeight="1" x14ac:dyDescent="0.15">
      <c r="B117" s="57"/>
      <c r="C117" s="57"/>
      <c r="D117" s="58"/>
      <c r="E117" s="59"/>
      <c r="F117" s="63"/>
      <c r="G117" s="63"/>
      <c r="H117" s="63"/>
      <c r="I117" s="63"/>
      <c r="J117" s="65"/>
      <c r="K117" s="392"/>
      <c r="L117" s="65"/>
      <c r="M117" s="65"/>
      <c r="N117" s="65"/>
      <c r="O117" s="386"/>
      <c r="P117" s="386"/>
      <c r="Q117" s="386"/>
      <c r="R117" s="386"/>
      <c r="S117" s="386"/>
      <c r="T117" s="386"/>
      <c r="U117" s="386"/>
      <c r="V117" s="386"/>
      <c r="W117" s="386"/>
      <c r="X117" s="386"/>
      <c r="Y117" s="386"/>
      <c r="Z117" s="386"/>
      <c r="AA117" s="386"/>
      <c r="AB117" s="386"/>
      <c r="AC117" s="386"/>
      <c r="AD117" s="386"/>
      <c r="AE117" s="386"/>
      <c r="AF117" s="386"/>
      <c r="AG117" s="386"/>
      <c r="AH117" s="386"/>
      <c r="AI117" s="386"/>
      <c r="AJ117" s="386"/>
      <c r="AK117" s="386"/>
      <c r="AL117" s="386"/>
      <c r="AM117" s="386"/>
      <c r="AN117" s="386"/>
      <c r="AO117" s="386"/>
      <c r="AP117" s="386"/>
      <c r="AQ117" s="386"/>
      <c r="AR117" s="386"/>
      <c r="AS117" s="386"/>
      <c r="AT117" s="386"/>
      <c r="AU117" s="386"/>
      <c r="AV117" s="386"/>
      <c r="AW117" s="386"/>
      <c r="AX117" s="386"/>
      <c r="AY117" s="386"/>
      <c r="AZ117" s="386"/>
      <c r="BA117" s="386"/>
      <c r="BB117" s="386"/>
      <c r="BC117" s="386"/>
      <c r="BD117" s="386"/>
      <c r="BE117" s="386"/>
      <c r="BF117" s="386"/>
      <c r="BG117" s="386"/>
      <c r="BH117" s="386"/>
      <c r="BI117" s="386"/>
      <c r="BJ117" s="386"/>
      <c r="BK117" s="386"/>
      <c r="BL117" s="386"/>
      <c r="BM117" s="386"/>
      <c r="BN117" s="386"/>
      <c r="BO117" s="386"/>
      <c r="BP117" s="386"/>
      <c r="BQ117" s="386"/>
      <c r="BR117" s="386"/>
      <c r="BS117" s="386"/>
      <c r="BT117" s="386"/>
      <c r="BU117" s="386"/>
      <c r="BV117" s="386"/>
      <c r="BW117" s="386"/>
      <c r="BX117" s="386"/>
      <c r="BY117" s="386"/>
      <c r="BZ117" s="386"/>
      <c r="CA117" s="386"/>
      <c r="CB117" s="386"/>
      <c r="CC117" s="386"/>
      <c r="CD117" s="386"/>
      <c r="CE117" s="386"/>
      <c r="CF117" s="386"/>
      <c r="CG117" s="386"/>
      <c r="CH117" s="386"/>
      <c r="CI117" s="386"/>
      <c r="CJ117" s="386"/>
      <c r="CK117" s="386"/>
      <c r="CL117" s="386"/>
    </row>
    <row r="118" spans="2:90" ht="12.75" customHeight="1" x14ac:dyDescent="0.15">
      <c r="B118" s="57"/>
      <c r="C118" s="57"/>
      <c r="D118" s="58"/>
      <c r="E118" s="59"/>
      <c r="F118" s="63"/>
      <c r="G118" s="63"/>
      <c r="H118" s="63"/>
      <c r="I118" s="63"/>
      <c r="J118" s="65"/>
      <c r="K118" s="392"/>
      <c r="L118" s="65"/>
      <c r="M118" s="65"/>
      <c r="N118" s="65"/>
      <c r="O118" s="386"/>
      <c r="P118" s="386"/>
      <c r="Q118" s="386"/>
      <c r="R118" s="386"/>
      <c r="S118" s="386"/>
      <c r="T118" s="386"/>
      <c r="U118" s="386"/>
      <c r="V118" s="386"/>
      <c r="W118" s="386"/>
      <c r="X118" s="386"/>
      <c r="Y118" s="386"/>
      <c r="Z118" s="386"/>
      <c r="AA118" s="386"/>
      <c r="AB118" s="386"/>
      <c r="AC118" s="386"/>
      <c r="AD118" s="386"/>
      <c r="AE118" s="386"/>
      <c r="AF118" s="386"/>
      <c r="AG118" s="386"/>
      <c r="AH118" s="386"/>
      <c r="AI118" s="386"/>
      <c r="AJ118" s="386"/>
      <c r="AK118" s="386"/>
      <c r="AL118" s="386"/>
      <c r="AM118" s="386"/>
      <c r="AN118" s="386"/>
      <c r="AO118" s="386"/>
      <c r="AP118" s="386"/>
      <c r="AQ118" s="386"/>
      <c r="AR118" s="386"/>
      <c r="AS118" s="386"/>
      <c r="AT118" s="386"/>
      <c r="AU118" s="386"/>
      <c r="AV118" s="386"/>
      <c r="AW118" s="386"/>
      <c r="AX118" s="386"/>
      <c r="AY118" s="386"/>
      <c r="AZ118" s="386"/>
      <c r="BA118" s="386"/>
      <c r="BB118" s="386"/>
      <c r="BC118" s="386"/>
      <c r="BD118" s="386"/>
      <c r="BE118" s="386"/>
      <c r="BF118" s="386"/>
      <c r="BG118" s="386"/>
      <c r="BH118" s="386"/>
      <c r="BI118" s="386"/>
      <c r="BJ118" s="386"/>
      <c r="BK118" s="386"/>
      <c r="BL118" s="386"/>
      <c r="BM118" s="386"/>
      <c r="BN118" s="386"/>
      <c r="BO118" s="386"/>
      <c r="BP118" s="386"/>
      <c r="BQ118" s="386"/>
      <c r="BR118" s="386"/>
      <c r="BS118" s="386"/>
      <c r="BT118" s="386"/>
      <c r="BU118" s="386"/>
      <c r="BV118" s="386"/>
      <c r="BW118" s="386"/>
      <c r="BX118" s="386"/>
      <c r="BY118" s="386"/>
      <c r="BZ118" s="386"/>
      <c r="CA118" s="386"/>
      <c r="CB118" s="386"/>
      <c r="CC118" s="386"/>
      <c r="CD118" s="386"/>
      <c r="CE118" s="386"/>
      <c r="CF118" s="386"/>
      <c r="CG118" s="386"/>
      <c r="CH118" s="386"/>
      <c r="CI118" s="386"/>
      <c r="CJ118" s="386"/>
      <c r="CK118" s="386"/>
      <c r="CL118" s="386"/>
    </row>
    <row r="119" spans="2:90" ht="12.75" customHeight="1" x14ac:dyDescent="0.15">
      <c r="B119" s="57"/>
      <c r="C119" s="57"/>
      <c r="D119" s="58"/>
      <c r="E119" s="59"/>
      <c r="F119" s="63"/>
      <c r="G119" s="63"/>
      <c r="H119" s="63"/>
      <c r="I119" s="63"/>
      <c r="J119" s="65"/>
      <c r="K119" s="392"/>
      <c r="L119" s="65"/>
      <c r="M119" s="65"/>
      <c r="N119" s="65"/>
      <c r="O119" s="386"/>
      <c r="P119" s="386"/>
      <c r="Q119" s="386"/>
      <c r="R119" s="386"/>
      <c r="S119" s="386"/>
      <c r="T119" s="386"/>
      <c r="U119" s="386"/>
      <c r="V119" s="386"/>
      <c r="W119" s="386"/>
      <c r="X119" s="386"/>
      <c r="Y119" s="386"/>
      <c r="Z119" s="386"/>
      <c r="AA119" s="386"/>
      <c r="AB119" s="386"/>
      <c r="AC119" s="386"/>
      <c r="AD119" s="386"/>
      <c r="AE119" s="386"/>
      <c r="AF119" s="386"/>
      <c r="AG119" s="386"/>
      <c r="AH119" s="386"/>
      <c r="AI119" s="386"/>
      <c r="AJ119" s="386"/>
      <c r="AK119" s="386"/>
      <c r="AL119" s="386"/>
      <c r="AM119" s="386"/>
      <c r="AN119" s="386"/>
      <c r="AO119" s="386"/>
      <c r="AP119" s="386"/>
      <c r="AQ119" s="386"/>
      <c r="AR119" s="386"/>
      <c r="AS119" s="386"/>
      <c r="AT119" s="386"/>
      <c r="AU119" s="386"/>
      <c r="AV119" s="386"/>
      <c r="AW119" s="386"/>
      <c r="AX119" s="386"/>
      <c r="AY119" s="386"/>
      <c r="AZ119" s="386"/>
      <c r="BA119" s="386"/>
      <c r="BB119" s="386"/>
      <c r="BC119" s="386"/>
      <c r="BD119" s="386"/>
      <c r="BE119" s="386"/>
      <c r="BF119" s="386"/>
      <c r="BG119" s="386"/>
      <c r="BH119" s="386"/>
      <c r="BI119" s="386"/>
      <c r="BJ119" s="386"/>
      <c r="BK119" s="386"/>
      <c r="BL119" s="386"/>
      <c r="BM119" s="386"/>
      <c r="BN119" s="386"/>
      <c r="BO119" s="386"/>
      <c r="BP119" s="386"/>
      <c r="BQ119" s="386"/>
      <c r="BR119" s="386"/>
      <c r="BS119" s="386"/>
      <c r="BT119" s="386"/>
      <c r="BU119" s="386"/>
      <c r="BV119" s="386"/>
      <c r="BW119" s="386"/>
      <c r="BX119" s="386"/>
      <c r="BY119" s="386"/>
      <c r="BZ119" s="386"/>
      <c r="CA119" s="386"/>
      <c r="CB119" s="386"/>
      <c r="CC119" s="386"/>
      <c r="CD119" s="386"/>
      <c r="CE119" s="386"/>
      <c r="CF119" s="386"/>
      <c r="CG119" s="386"/>
      <c r="CH119" s="386"/>
      <c r="CI119" s="386"/>
      <c r="CJ119" s="386"/>
      <c r="CK119" s="386"/>
      <c r="CL119" s="386"/>
    </row>
    <row r="120" spans="2:90" ht="12.75" customHeight="1" x14ac:dyDescent="0.15">
      <c r="B120" s="57"/>
      <c r="C120" s="57"/>
      <c r="D120" s="58"/>
      <c r="E120" s="59"/>
      <c r="F120" s="63"/>
      <c r="G120" s="63"/>
      <c r="H120" s="63"/>
      <c r="I120" s="63"/>
      <c r="J120" s="65"/>
      <c r="K120" s="392"/>
      <c r="L120" s="65"/>
      <c r="M120" s="65"/>
      <c r="N120" s="65"/>
      <c r="O120" s="386"/>
      <c r="P120" s="386"/>
      <c r="Q120" s="386"/>
      <c r="R120" s="386"/>
      <c r="S120" s="386"/>
      <c r="T120" s="386"/>
      <c r="U120" s="386"/>
      <c r="V120" s="386"/>
      <c r="W120" s="386"/>
      <c r="X120" s="386"/>
      <c r="Y120" s="386"/>
      <c r="Z120" s="386"/>
      <c r="AA120" s="386"/>
      <c r="AB120" s="386"/>
      <c r="AC120" s="386"/>
      <c r="AD120" s="386"/>
      <c r="AE120" s="386"/>
      <c r="AF120" s="386"/>
      <c r="AG120" s="386"/>
      <c r="AH120" s="386"/>
      <c r="AI120" s="386"/>
      <c r="AJ120" s="386"/>
      <c r="AK120" s="386"/>
      <c r="AL120" s="386"/>
      <c r="AM120" s="386"/>
      <c r="AN120" s="386"/>
      <c r="AO120" s="386"/>
      <c r="AP120" s="386"/>
      <c r="AQ120" s="386"/>
      <c r="AR120" s="386"/>
      <c r="AS120" s="386"/>
      <c r="AT120" s="386"/>
      <c r="AU120" s="386"/>
      <c r="AV120" s="386"/>
      <c r="AW120" s="386"/>
      <c r="AX120" s="386"/>
      <c r="AY120" s="386"/>
      <c r="AZ120" s="386"/>
      <c r="BA120" s="386"/>
      <c r="BB120" s="386"/>
      <c r="BC120" s="386"/>
      <c r="BD120" s="386"/>
      <c r="BE120" s="386"/>
      <c r="BF120" s="386"/>
      <c r="BG120" s="386"/>
      <c r="BH120" s="386"/>
      <c r="BI120" s="386"/>
      <c r="BJ120" s="386"/>
      <c r="BK120" s="386"/>
      <c r="BL120" s="386"/>
      <c r="BM120" s="386"/>
      <c r="BN120" s="386"/>
      <c r="BO120" s="386"/>
      <c r="BP120" s="386"/>
      <c r="BQ120" s="386"/>
      <c r="BR120" s="386"/>
      <c r="BS120" s="386"/>
      <c r="BT120" s="386"/>
      <c r="BU120" s="386"/>
      <c r="BV120" s="386"/>
      <c r="BW120" s="386"/>
      <c r="BX120" s="386"/>
      <c r="BY120" s="386"/>
      <c r="BZ120" s="386"/>
      <c r="CA120" s="386"/>
      <c r="CB120" s="386"/>
      <c r="CC120" s="386"/>
      <c r="CD120" s="386"/>
      <c r="CE120" s="386"/>
      <c r="CF120" s="386"/>
      <c r="CG120" s="386"/>
      <c r="CH120" s="386"/>
      <c r="CI120" s="386"/>
      <c r="CJ120" s="386"/>
      <c r="CK120" s="386"/>
      <c r="CL120" s="386"/>
    </row>
    <row r="121" spans="2:90" ht="12.75" customHeight="1" x14ac:dyDescent="0.15">
      <c r="B121" s="57"/>
      <c r="C121" s="57"/>
      <c r="D121" s="58"/>
      <c r="E121" s="59"/>
      <c r="F121" s="63"/>
      <c r="G121" s="63"/>
      <c r="H121" s="63"/>
      <c r="I121" s="63"/>
      <c r="J121" s="65"/>
      <c r="K121" s="392"/>
      <c r="L121" s="65"/>
      <c r="M121" s="65"/>
      <c r="N121" s="65"/>
      <c r="O121" s="386"/>
      <c r="P121" s="386"/>
      <c r="Q121" s="386"/>
      <c r="R121" s="386"/>
      <c r="S121" s="386"/>
      <c r="T121" s="386"/>
      <c r="U121" s="386"/>
      <c r="V121" s="386"/>
      <c r="W121" s="386"/>
      <c r="X121" s="386"/>
      <c r="Y121" s="386"/>
      <c r="Z121" s="386"/>
      <c r="AA121" s="386"/>
      <c r="AB121" s="386"/>
      <c r="AC121" s="386"/>
      <c r="AD121" s="386"/>
      <c r="AE121" s="386"/>
      <c r="AF121" s="386"/>
      <c r="AG121" s="386"/>
      <c r="AH121" s="386"/>
      <c r="AI121" s="386"/>
      <c r="AJ121" s="386"/>
      <c r="AK121" s="386"/>
      <c r="AL121" s="386"/>
      <c r="AM121" s="386"/>
      <c r="AN121" s="386"/>
      <c r="AO121" s="386"/>
      <c r="AP121" s="386"/>
      <c r="AQ121" s="386"/>
      <c r="AR121" s="386"/>
      <c r="AS121" s="386"/>
      <c r="AT121" s="386"/>
      <c r="AU121" s="386"/>
      <c r="AV121" s="386"/>
      <c r="AW121" s="386"/>
      <c r="AX121" s="386"/>
      <c r="AY121" s="386"/>
      <c r="AZ121" s="386"/>
      <c r="BA121" s="386"/>
      <c r="BB121" s="386"/>
      <c r="BC121" s="386"/>
      <c r="BD121" s="386"/>
      <c r="BE121" s="386"/>
      <c r="BF121" s="386"/>
      <c r="BG121" s="386"/>
      <c r="BH121" s="386"/>
      <c r="BI121" s="386"/>
      <c r="BJ121" s="386"/>
      <c r="BK121" s="386"/>
      <c r="BL121" s="386"/>
      <c r="BM121" s="386"/>
      <c r="BN121" s="386"/>
      <c r="BO121" s="386"/>
      <c r="BP121" s="386"/>
      <c r="BQ121" s="386"/>
      <c r="BR121" s="386"/>
      <c r="BS121" s="386"/>
      <c r="BT121" s="386"/>
      <c r="BU121" s="386"/>
      <c r="BV121" s="386"/>
      <c r="BW121" s="386"/>
      <c r="BX121" s="386"/>
      <c r="BY121" s="386"/>
      <c r="BZ121" s="386"/>
      <c r="CA121" s="386"/>
      <c r="CB121" s="386"/>
      <c r="CC121" s="386"/>
      <c r="CD121" s="386"/>
      <c r="CE121" s="386"/>
      <c r="CF121" s="386"/>
      <c r="CG121" s="386"/>
      <c r="CH121" s="386"/>
      <c r="CI121" s="386"/>
      <c r="CJ121" s="386"/>
      <c r="CK121" s="386"/>
      <c r="CL121" s="386"/>
    </row>
    <row r="122" spans="2:90" ht="12.75" customHeight="1" x14ac:dyDescent="0.15">
      <c r="B122" s="57"/>
      <c r="C122" s="57"/>
      <c r="D122" s="58"/>
      <c r="E122" s="59"/>
      <c r="F122" s="63"/>
      <c r="G122" s="63"/>
      <c r="H122" s="63"/>
      <c r="I122" s="63"/>
      <c r="J122" s="65"/>
      <c r="K122" s="392"/>
      <c r="L122" s="65"/>
      <c r="M122" s="65"/>
      <c r="N122" s="65"/>
      <c r="O122" s="386"/>
      <c r="P122" s="386"/>
      <c r="Q122" s="386"/>
      <c r="R122" s="386"/>
      <c r="S122" s="386"/>
      <c r="T122" s="386"/>
      <c r="U122" s="386"/>
      <c r="V122" s="386"/>
      <c r="W122" s="386"/>
      <c r="X122" s="386"/>
      <c r="Y122" s="386"/>
      <c r="Z122" s="386"/>
      <c r="AA122" s="386"/>
      <c r="AB122" s="386"/>
      <c r="AC122" s="386"/>
      <c r="AD122" s="386"/>
      <c r="AE122" s="386"/>
      <c r="AF122" s="386"/>
      <c r="AG122" s="386"/>
      <c r="AH122" s="386"/>
      <c r="AI122" s="386"/>
      <c r="AJ122" s="386"/>
      <c r="AK122" s="386"/>
      <c r="AL122" s="386"/>
      <c r="AM122" s="386"/>
      <c r="AN122" s="386"/>
      <c r="AO122" s="386"/>
      <c r="AP122" s="386"/>
      <c r="AQ122" s="386"/>
      <c r="AR122" s="386"/>
      <c r="AS122" s="386"/>
      <c r="AT122" s="386"/>
      <c r="AU122" s="386"/>
      <c r="AV122" s="386"/>
      <c r="AW122" s="386"/>
      <c r="AX122" s="386"/>
      <c r="AY122" s="386"/>
      <c r="AZ122" s="386"/>
      <c r="BA122" s="386"/>
      <c r="BB122" s="386"/>
      <c r="BC122" s="386"/>
      <c r="BD122" s="386"/>
      <c r="BE122" s="386"/>
      <c r="BF122" s="386"/>
      <c r="BG122" s="386"/>
      <c r="BH122" s="386"/>
      <c r="BI122" s="386"/>
      <c r="BJ122" s="386"/>
      <c r="BK122" s="386"/>
      <c r="BL122" s="386"/>
      <c r="BM122" s="386"/>
      <c r="BN122" s="386"/>
      <c r="BO122" s="386"/>
      <c r="BP122" s="386"/>
      <c r="BQ122" s="386"/>
      <c r="BR122" s="386"/>
      <c r="BS122" s="386"/>
      <c r="BT122" s="386"/>
      <c r="BU122" s="386"/>
      <c r="BV122" s="386"/>
      <c r="BW122" s="386"/>
      <c r="BX122" s="386"/>
      <c r="BY122" s="386"/>
      <c r="BZ122" s="386"/>
      <c r="CA122" s="386"/>
      <c r="CB122" s="386"/>
      <c r="CC122" s="386"/>
      <c r="CD122" s="386"/>
      <c r="CE122" s="386"/>
      <c r="CF122" s="386"/>
      <c r="CG122" s="386"/>
      <c r="CH122" s="386"/>
      <c r="CI122" s="386"/>
      <c r="CJ122" s="386"/>
      <c r="CK122" s="386"/>
      <c r="CL122" s="386"/>
    </row>
    <row r="123" spans="2:90" ht="12.75" customHeight="1" x14ac:dyDescent="0.15">
      <c r="B123" s="57"/>
      <c r="C123" s="57"/>
      <c r="D123" s="58"/>
      <c r="E123" s="59"/>
      <c r="F123" s="63"/>
      <c r="G123" s="63"/>
      <c r="H123" s="63"/>
      <c r="I123" s="63"/>
      <c r="J123" s="65"/>
      <c r="K123" s="392"/>
      <c r="L123" s="65"/>
      <c r="M123" s="65"/>
      <c r="N123" s="65"/>
      <c r="O123" s="386"/>
      <c r="P123" s="386"/>
      <c r="Q123" s="386"/>
      <c r="R123" s="386"/>
      <c r="S123" s="386"/>
      <c r="T123" s="386"/>
      <c r="U123" s="386"/>
      <c r="V123" s="386"/>
      <c r="W123" s="386"/>
      <c r="X123" s="386"/>
      <c r="Y123" s="386"/>
      <c r="Z123" s="386"/>
      <c r="AA123" s="386"/>
      <c r="AB123" s="386"/>
      <c r="AC123" s="386"/>
      <c r="AD123" s="386"/>
      <c r="AE123" s="386"/>
      <c r="AF123" s="386"/>
      <c r="AG123" s="386"/>
      <c r="AH123" s="386"/>
      <c r="AI123" s="386"/>
      <c r="AJ123" s="386"/>
      <c r="AK123" s="386"/>
      <c r="AL123" s="386"/>
      <c r="AM123" s="386"/>
      <c r="AN123" s="386"/>
      <c r="AO123" s="386"/>
      <c r="AP123" s="386"/>
      <c r="AQ123" s="386"/>
      <c r="AR123" s="386"/>
      <c r="AS123" s="386"/>
      <c r="AT123" s="386"/>
      <c r="AU123" s="386"/>
      <c r="AV123" s="386"/>
      <c r="AW123" s="386"/>
      <c r="AX123" s="386"/>
      <c r="AY123" s="386"/>
      <c r="AZ123" s="386"/>
      <c r="BA123" s="386"/>
      <c r="BB123" s="386"/>
      <c r="BC123" s="386"/>
      <c r="BD123" s="386"/>
      <c r="BE123" s="386"/>
      <c r="BF123" s="386"/>
      <c r="BG123" s="386"/>
      <c r="BH123" s="386"/>
      <c r="BI123" s="386"/>
      <c r="BJ123" s="386"/>
      <c r="BK123" s="386"/>
      <c r="BL123" s="386"/>
      <c r="BM123" s="386"/>
      <c r="BN123" s="386"/>
      <c r="BO123" s="386"/>
      <c r="BP123" s="386"/>
      <c r="BQ123" s="386"/>
      <c r="BR123" s="386"/>
      <c r="BS123" s="386"/>
      <c r="BT123" s="386"/>
      <c r="BU123" s="386"/>
      <c r="BV123" s="386"/>
      <c r="BW123" s="386"/>
      <c r="BX123" s="386"/>
      <c r="BY123" s="386"/>
      <c r="BZ123" s="386"/>
      <c r="CA123" s="386"/>
      <c r="CB123" s="386"/>
      <c r="CC123" s="386"/>
      <c r="CD123" s="386"/>
      <c r="CE123" s="386"/>
      <c r="CF123" s="386"/>
      <c r="CG123" s="386"/>
      <c r="CH123" s="386"/>
      <c r="CI123" s="386"/>
      <c r="CJ123" s="386"/>
      <c r="CK123" s="386"/>
      <c r="CL123" s="386"/>
    </row>
    <row r="124" spans="2:90" ht="12.75" customHeight="1" x14ac:dyDescent="0.15">
      <c r="B124" s="57"/>
      <c r="C124" s="57"/>
      <c r="D124" s="58"/>
      <c r="E124" s="59"/>
      <c r="F124" s="63"/>
      <c r="G124" s="63"/>
      <c r="H124" s="63"/>
      <c r="I124" s="63"/>
      <c r="J124" s="65"/>
      <c r="K124" s="392"/>
      <c r="L124" s="65"/>
      <c r="M124" s="65"/>
      <c r="N124" s="65"/>
      <c r="O124" s="386"/>
      <c r="P124" s="386"/>
      <c r="Q124" s="386"/>
      <c r="R124" s="386"/>
      <c r="S124" s="386"/>
      <c r="T124" s="386"/>
      <c r="U124" s="386"/>
      <c r="V124" s="386"/>
      <c r="W124" s="386"/>
      <c r="X124" s="386"/>
      <c r="Y124" s="386"/>
      <c r="Z124" s="386"/>
      <c r="AA124" s="386"/>
      <c r="AB124" s="386"/>
      <c r="AC124" s="386"/>
      <c r="AD124" s="386"/>
      <c r="AE124" s="386"/>
      <c r="AF124" s="386"/>
      <c r="AG124" s="386"/>
      <c r="AH124" s="386"/>
      <c r="AI124" s="386"/>
      <c r="AJ124" s="386"/>
      <c r="AK124" s="386"/>
      <c r="AL124" s="386"/>
      <c r="AM124" s="386"/>
      <c r="AN124" s="386"/>
      <c r="AO124" s="386"/>
      <c r="AP124" s="386"/>
      <c r="AQ124" s="386"/>
      <c r="AR124" s="386"/>
      <c r="AS124" s="386"/>
      <c r="AT124" s="386"/>
      <c r="AU124" s="386"/>
      <c r="AV124" s="386"/>
      <c r="AW124" s="386"/>
      <c r="AX124" s="386"/>
      <c r="AY124" s="386"/>
      <c r="AZ124" s="386"/>
      <c r="BA124" s="386"/>
      <c r="BB124" s="386"/>
      <c r="BC124" s="386"/>
      <c r="BD124" s="386"/>
      <c r="BE124" s="386"/>
      <c r="BF124" s="386"/>
      <c r="BG124" s="386"/>
      <c r="BH124" s="386"/>
      <c r="BI124" s="386"/>
      <c r="BJ124" s="386"/>
      <c r="BK124" s="386"/>
      <c r="BL124" s="386"/>
      <c r="BM124" s="386"/>
      <c r="BN124" s="386"/>
      <c r="BO124" s="386"/>
      <c r="BP124" s="386"/>
      <c r="BQ124" s="386"/>
      <c r="BR124" s="386"/>
      <c r="BS124" s="386"/>
      <c r="BT124" s="386"/>
      <c r="BU124" s="386"/>
      <c r="BV124" s="386"/>
      <c r="BW124" s="386"/>
      <c r="BX124" s="386"/>
      <c r="BY124" s="386"/>
      <c r="BZ124" s="386"/>
      <c r="CA124" s="386"/>
      <c r="CB124" s="386"/>
      <c r="CC124" s="386"/>
      <c r="CD124" s="386"/>
      <c r="CE124" s="386"/>
      <c r="CF124" s="386"/>
      <c r="CG124" s="386"/>
      <c r="CH124" s="386"/>
      <c r="CI124" s="386"/>
      <c r="CJ124" s="386"/>
      <c r="CK124" s="386"/>
      <c r="CL124" s="386"/>
    </row>
    <row r="125" spans="2:90" ht="12.75" customHeight="1" x14ac:dyDescent="0.15">
      <c r="B125" s="57"/>
      <c r="C125" s="57"/>
      <c r="D125" s="58"/>
      <c r="E125" s="59"/>
      <c r="F125" s="63"/>
      <c r="G125" s="63"/>
      <c r="H125" s="63"/>
      <c r="I125" s="63"/>
      <c r="J125" s="65"/>
      <c r="K125" s="392"/>
      <c r="L125" s="65"/>
      <c r="M125" s="65"/>
      <c r="N125" s="65"/>
      <c r="O125" s="386"/>
      <c r="P125" s="386"/>
      <c r="Q125" s="386"/>
      <c r="R125" s="386"/>
      <c r="S125" s="386"/>
      <c r="T125" s="386"/>
      <c r="U125" s="386"/>
      <c r="V125" s="386"/>
      <c r="W125" s="386"/>
      <c r="X125" s="386"/>
      <c r="Y125" s="386"/>
      <c r="Z125" s="386"/>
      <c r="AA125" s="386"/>
      <c r="AB125" s="386"/>
      <c r="AC125" s="386"/>
      <c r="AD125" s="386"/>
      <c r="AE125" s="386"/>
      <c r="AF125" s="386"/>
      <c r="AG125" s="386"/>
      <c r="AH125" s="386"/>
      <c r="AI125" s="386"/>
      <c r="AJ125" s="386"/>
      <c r="AK125" s="386"/>
      <c r="AL125" s="386"/>
      <c r="AM125" s="386"/>
      <c r="AN125" s="386"/>
      <c r="AO125" s="386"/>
      <c r="AP125" s="386"/>
      <c r="AQ125" s="386"/>
      <c r="AR125" s="386"/>
      <c r="AS125" s="386"/>
      <c r="AT125" s="386"/>
      <c r="AU125" s="386"/>
      <c r="AV125" s="386"/>
      <c r="AW125" s="386"/>
      <c r="AX125" s="386"/>
      <c r="AY125" s="386"/>
      <c r="AZ125" s="386"/>
      <c r="BA125" s="386"/>
      <c r="BB125" s="386"/>
      <c r="BC125" s="386"/>
      <c r="BD125" s="386"/>
      <c r="BE125" s="386"/>
      <c r="BF125" s="386"/>
      <c r="BG125" s="386"/>
      <c r="BH125" s="386"/>
      <c r="BI125" s="386"/>
      <c r="BJ125" s="386"/>
      <c r="BK125" s="386"/>
      <c r="BL125" s="386"/>
      <c r="BM125" s="386"/>
      <c r="BN125" s="386"/>
      <c r="BO125" s="386"/>
      <c r="BP125" s="386"/>
      <c r="BQ125" s="386"/>
      <c r="BR125" s="386"/>
      <c r="BS125" s="386"/>
      <c r="BT125" s="386"/>
      <c r="BU125" s="386"/>
      <c r="BV125" s="386"/>
      <c r="BW125" s="386"/>
      <c r="BX125" s="386"/>
      <c r="BY125" s="386"/>
      <c r="BZ125" s="386"/>
      <c r="CA125" s="386"/>
      <c r="CB125" s="386"/>
      <c r="CC125" s="386"/>
      <c r="CD125" s="386"/>
      <c r="CE125" s="386"/>
      <c r="CF125" s="386"/>
      <c r="CG125" s="386"/>
      <c r="CH125" s="386"/>
      <c r="CI125" s="386"/>
      <c r="CJ125" s="386"/>
      <c r="CK125" s="386"/>
      <c r="CL125" s="386"/>
    </row>
    <row r="126" spans="2:90" ht="12.75" customHeight="1" x14ac:dyDescent="0.15">
      <c r="B126" s="57"/>
      <c r="C126" s="57"/>
      <c r="D126" s="58"/>
      <c r="E126" s="59"/>
      <c r="F126" s="63"/>
      <c r="G126" s="63"/>
      <c r="H126" s="63"/>
      <c r="I126" s="63"/>
      <c r="J126" s="65"/>
      <c r="K126" s="392"/>
      <c r="L126" s="65"/>
      <c r="M126" s="65"/>
      <c r="N126" s="65"/>
      <c r="O126" s="386"/>
      <c r="P126" s="386"/>
      <c r="Q126" s="386"/>
      <c r="R126" s="386"/>
      <c r="S126" s="386"/>
      <c r="T126" s="386"/>
      <c r="U126" s="386"/>
      <c r="V126" s="386"/>
      <c r="W126" s="386"/>
      <c r="X126" s="386"/>
      <c r="Y126" s="386"/>
      <c r="Z126" s="386"/>
      <c r="AA126" s="386"/>
      <c r="AB126" s="386"/>
      <c r="AC126" s="386"/>
      <c r="AD126" s="386"/>
      <c r="AE126" s="386"/>
      <c r="AF126" s="386"/>
      <c r="AG126" s="386"/>
      <c r="AH126" s="386"/>
      <c r="AI126" s="386"/>
      <c r="AJ126" s="386"/>
      <c r="AK126" s="386"/>
      <c r="AL126" s="386"/>
      <c r="AM126" s="386"/>
      <c r="AN126" s="386"/>
      <c r="AO126" s="386"/>
      <c r="AP126" s="386"/>
      <c r="AQ126" s="386"/>
      <c r="AR126" s="386"/>
      <c r="AS126" s="386"/>
      <c r="AT126" s="386"/>
      <c r="AU126" s="386"/>
      <c r="AV126" s="386"/>
      <c r="AW126" s="386"/>
      <c r="AX126" s="386"/>
      <c r="AY126" s="386"/>
      <c r="AZ126" s="386"/>
      <c r="BA126" s="386"/>
      <c r="BB126" s="386"/>
      <c r="BC126" s="386"/>
      <c r="BD126" s="386"/>
      <c r="BE126" s="386"/>
      <c r="BF126" s="386"/>
      <c r="BG126" s="386"/>
      <c r="BH126" s="386"/>
      <c r="BI126" s="386"/>
      <c r="BJ126" s="386"/>
      <c r="BK126" s="386"/>
      <c r="BL126" s="386"/>
      <c r="BM126" s="386"/>
      <c r="BN126" s="386"/>
      <c r="BO126" s="386"/>
      <c r="BP126" s="386"/>
      <c r="BQ126" s="386"/>
      <c r="BR126" s="386"/>
      <c r="BS126" s="386"/>
      <c r="BT126" s="386"/>
      <c r="BU126" s="386"/>
      <c r="BV126" s="386"/>
      <c r="BW126" s="386"/>
      <c r="BX126" s="386"/>
      <c r="BY126" s="386"/>
      <c r="BZ126" s="386"/>
      <c r="CA126" s="386"/>
      <c r="CB126" s="386"/>
      <c r="CC126" s="386"/>
      <c r="CD126" s="386"/>
      <c r="CE126" s="386"/>
      <c r="CF126" s="386"/>
      <c r="CG126" s="386"/>
      <c r="CH126" s="386"/>
      <c r="CI126" s="386"/>
      <c r="CJ126" s="386"/>
      <c r="CK126" s="386"/>
      <c r="CL126" s="386"/>
    </row>
    <row r="127" spans="2:90" ht="12.75" customHeight="1" x14ac:dyDescent="0.15">
      <c r="B127" s="57"/>
      <c r="C127" s="57"/>
      <c r="D127" s="58"/>
      <c r="E127" s="59"/>
      <c r="F127" s="63"/>
      <c r="G127" s="63"/>
      <c r="H127" s="63"/>
      <c r="I127" s="63"/>
      <c r="J127" s="65"/>
      <c r="K127" s="392"/>
      <c r="L127" s="65"/>
      <c r="M127" s="65"/>
      <c r="N127" s="65"/>
      <c r="O127" s="386"/>
      <c r="P127" s="386"/>
      <c r="Q127" s="386"/>
      <c r="R127" s="386"/>
      <c r="S127" s="386"/>
      <c r="T127" s="386"/>
      <c r="U127" s="386"/>
      <c r="V127" s="386"/>
      <c r="W127" s="386"/>
      <c r="X127" s="386"/>
      <c r="Y127" s="386"/>
      <c r="Z127" s="386"/>
      <c r="AA127" s="386"/>
      <c r="AB127" s="386"/>
      <c r="AC127" s="386"/>
      <c r="AD127" s="386"/>
      <c r="AE127" s="386"/>
      <c r="AF127" s="386"/>
      <c r="AG127" s="386"/>
      <c r="AH127" s="386"/>
      <c r="AI127" s="386"/>
      <c r="AJ127" s="386"/>
      <c r="AK127" s="386"/>
      <c r="AL127" s="386"/>
      <c r="AM127" s="386"/>
      <c r="AN127" s="386"/>
      <c r="AO127" s="386"/>
      <c r="AP127" s="386"/>
      <c r="AQ127" s="386"/>
      <c r="AR127" s="386"/>
      <c r="AS127" s="386"/>
      <c r="AT127" s="386"/>
      <c r="AU127" s="386"/>
      <c r="AV127" s="386"/>
      <c r="AW127" s="386"/>
      <c r="AX127" s="386"/>
      <c r="AY127" s="386"/>
      <c r="AZ127" s="386"/>
      <c r="BA127" s="386"/>
      <c r="BB127" s="386"/>
      <c r="BC127" s="386"/>
      <c r="BD127" s="386"/>
      <c r="BE127" s="386"/>
      <c r="BF127" s="386"/>
      <c r="BG127" s="386"/>
      <c r="BH127" s="386"/>
      <c r="BI127" s="386"/>
      <c r="BJ127" s="386"/>
      <c r="BK127" s="386"/>
      <c r="BL127" s="386"/>
      <c r="BM127" s="386"/>
      <c r="BN127" s="386"/>
      <c r="BO127" s="386"/>
      <c r="BP127" s="386"/>
      <c r="BQ127" s="386"/>
      <c r="BR127" s="386"/>
      <c r="BS127" s="386"/>
      <c r="BT127" s="386"/>
      <c r="BU127" s="386"/>
      <c r="BV127" s="386"/>
      <c r="BW127" s="386"/>
      <c r="BX127" s="386"/>
      <c r="BY127" s="386"/>
      <c r="BZ127" s="386"/>
      <c r="CA127" s="386"/>
      <c r="CB127" s="386"/>
      <c r="CC127" s="386"/>
      <c r="CD127" s="386"/>
      <c r="CE127" s="386"/>
      <c r="CF127" s="386"/>
      <c r="CG127" s="386"/>
      <c r="CH127" s="386"/>
      <c r="CI127" s="386"/>
      <c r="CJ127" s="386"/>
      <c r="CK127" s="386"/>
      <c r="CL127" s="386"/>
    </row>
    <row r="128" spans="2:90" ht="12.75" customHeight="1" x14ac:dyDescent="0.15">
      <c r="B128" s="57"/>
      <c r="C128" s="57"/>
      <c r="D128" s="58"/>
      <c r="E128" s="59"/>
      <c r="F128" s="63"/>
      <c r="G128" s="63"/>
      <c r="H128" s="63"/>
      <c r="I128" s="63"/>
      <c r="J128" s="65"/>
      <c r="K128" s="392"/>
      <c r="L128" s="65"/>
      <c r="M128" s="65"/>
      <c r="N128" s="65"/>
      <c r="O128" s="386"/>
      <c r="P128" s="386"/>
      <c r="Q128" s="386"/>
      <c r="R128" s="386"/>
      <c r="S128" s="386"/>
      <c r="T128" s="386"/>
      <c r="U128" s="386"/>
      <c r="V128" s="386"/>
      <c r="W128" s="386"/>
      <c r="X128" s="386"/>
      <c r="Y128" s="386"/>
      <c r="Z128" s="386"/>
      <c r="AA128" s="386"/>
      <c r="AB128" s="386"/>
      <c r="AC128" s="386"/>
      <c r="AD128" s="386"/>
      <c r="AE128" s="386"/>
      <c r="AF128" s="386"/>
      <c r="AG128" s="386"/>
      <c r="AH128" s="386"/>
      <c r="AI128" s="386"/>
      <c r="AJ128" s="386"/>
      <c r="AK128" s="386"/>
      <c r="AL128" s="386"/>
      <c r="AM128" s="386"/>
      <c r="AN128" s="386"/>
      <c r="AO128" s="386"/>
      <c r="AP128" s="386"/>
      <c r="AQ128" s="386"/>
      <c r="AR128" s="386"/>
      <c r="AS128" s="386"/>
      <c r="AT128" s="386"/>
      <c r="AU128" s="386"/>
      <c r="AV128" s="386"/>
      <c r="AW128" s="386"/>
      <c r="AX128" s="386"/>
      <c r="AY128" s="386"/>
      <c r="AZ128" s="386"/>
      <c r="BA128" s="386"/>
      <c r="BB128" s="386"/>
      <c r="BC128" s="386"/>
      <c r="BD128" s="386"/>
      <c r="BE128" s="386"/>
      <c r="BF128" s="386"/>
      <c r="BG128" s="386"/>
      <c r="BH128" s="386"/>
      <c r="BI128" s="386"/>
      <c r="BJ128" s="386"/>
      <c r="BK128" s="386"/>
      <c r="BL128" s="386"/>
      <c r="BM128" s="386"/>
      <c r="BN128" s="386"/>
      <c r="BO128" s="386"/>
      <c r="BP128" s="386"/>
      <c r="BQ128" s="386"/>
      <c r="BR128" s="386"/>
      <c r="BS128" s="386"/>
      <c r="BT128" s="386"/>
      <c r="BU128" s="386"/>
      <c r="BV128" s="386"/>
      <c r="BW128" s="386"/>
      <c r="BX128" s="386"/>
      <c r="BY128" s="386"/>
      <c r="BZ128" s="386"/>
      <c r="CA128" s="386"/>
      <c r="CB128" s="386"/>
      <c r="CC128" s="386"/>
      <c r="CD128" s="386"/>
      <c r="CE128" s="386"/>
      <c r="CF128" s="386"/>
      <c r="CG128" s="386"/>
      <c r="CH128" s="386"/>
      <c r="CI128" s="386"/>
      <c r="CJ128" s="386"/>
      <c r="CK128" s="386"/>
      <c r="CL128" s="386"/>
    </row>
    <row r="129" spans="2:90" ht="12.75" customHeight="1" x14ac:dyDescent="0.15">
      <c r="B129" s="57"/>
      <c r="C129" s="57"/>
      <c r="D129" s="58"/>
      <c r="E129" s="59"/>
      <c r="F129" s="63"/>
      <c r="G129" s="63"/>
      <c r="H129" s="63"/>
      <c r="I129" s="63"/>
      <c r="J129" s="65"/>
      <c r="K129" s="392"/>
      <c r="L129" s="65"/>
      <c r="M129" s="65"/>
      <c r="N129" s="65"/>
      <c r="O129" s="386"/>
      <c r="P129" s="386"/>
      <c r="Q129" s="386"/>
      <c r="R129" s="386"/>
      <c r="S129" s="386"/>
      <c r="T129" s="386"/>
      <c r="U129" s="386"/>
      <c r="V129" s="386"/>
      <c r="W129" s="386"/>
      <c r="X129" s="386"/>
      <c r="Y129" s="386"/>
      <c r="Z129" s="386"/>
      <c r="AA129" s="386"/>
      <c r="AB129" s="386"/>
      <c r="AC129" s="386"/>
      <c r="AD129" s="386"/>
      <c r="AE129" s="386"/>
      <c r="AF129" s="386"/>
      <c r="AG129" s="386"/>
      <c r="AH129" s="386"/>
      <c r="AI129" s="386"/>
      <c r="AJ129" s="386"/>
      <c r="AK129" s="386"/>
      <c r="AL129" s="386"/>
      <c r="AM129" s="386"/>
      <c r="AN129" s="386"/>
      <c r="AO129" s="386"/>
      <c r="AP129" s="386"/>
      <c r="AQ129" s="386"/>
      <c r="AR129" s="386"/>
      <c r="AS129" s="386"/>
      <c r="AT129" s="386"/>
      <c r="AU129" s="386"/>
      <c r="AV129" s="386"/>
      <c r="AW129" s="386"/>
      <c r="AX129" s="386"/>
      <c r="AY129" s="386"/>
      <c r="AZ129" s="386"/>
      <c r="BA129" s="386"/>
      <c r="BB129" s="386"/>
      <c r="BC129" s="386"/>
      <c r="BD129" s="386"/>
      <c r="BE129" s="386"/>
      <c r="BF129" s="386"/>
      <c r="BG129" s="386"/>
      <c r="BH129" s="386"/>
      <c r="BI129" s="386"/>
      <c r="BJ129" s="386"/>
      <c r="BK129" s="386"/>
      <c r="BL129" s="386"/>
      <c r="BM129" s="386"/>
      <c r="BN129" s="386"/>
      <c r="BO129" s="386"/>
      <c r="BP129" s="386"/>
      <c r="BQ129" s="386"/>
      <c r="BR129" s="386"/>
      <c r="BS129" s="386"/>
      <c r="BT129" s="386"/>
      <c r="BU129" s="386"/>
      <c r="BV129" s="386"/>
      <c r="BW129" s="386"/>
      <c r="BX129" s="386"/>
      <c r="BY129" s="386"/>
      <c r="BZ129" s="386"/>
      <c r="CA129" s="386"/>
      <c r="CB129" s="386"/>
      <c r="CC129" s="386"/>
      <c r="CD129" s="386"/>
      <c r="CE129" s="386"/>
      <c r="CF129" s="386"/>
      <c r="CG129" s="386"/>
      <c r="CH129" s="386"/>
      <c r="CI129" s="386"/>
      <c r="CJ129" s="386"/>
      <c r="CK129" s="386"/>
      <c r="CL129" s="386"/>
    </row>
    <row r="130" spans="2:90" ht="12.75" customHeight="1" x14ac:dyDescent="0.15">
      <c r="B130" s="57"/>
      <c r="C130" s="57"/>
      <c r="D130" s="58"/>
      <c r="E130" s="59"/>
      <c r="F130" s="63"/>
      <c r="G130" s="63"/>
      <c r="H130" s="63"/>
      <c r="I130" s="63"/>
      <c r="J130" s="65"/>
      <c r="K130" s="392"/>
      <c r="L130" s="65"/>
      <c r="M130" s="65"/>
      <c r="N130" s="65"/>
      <c r="O130" s="386"/>
      <c r="P130" s="386"/>
      <c r="Q130" s="386"/>
      <c r="R130" s="386"/>
      <c r="S130" s="386"/>
      <c r="T130" s="386"/>
      <c r="U130" s="386"/>
      <c r="V130" s="386"/>
      <c r="W130" s="386"/>
      <c r="X130" s="386"/>
      <c r="Y130" s="386"/>
      <c r="Z130" s="386"/>
      <c r="AA130" s="386"/>
      <c r="AB130" s="386"/>
      <c r="AC130" s="386"/>
      <c r="AD130" s="386"/>
      <c r="AE130" s="386"/>
      <c r="AF130" s="386"/>
      <c r="AG130" s="386"/>
      <c r="AH130" s="386"/>
      <c r="AI130" s="386"/>
      <c r="AJ130" s="386"/>
      <c r="AK130" s="386"/>
      <c r="AL130" s="386"/>
      <c r="AM130" s="386"/>
      <c r="AN130" s="386"/>
      <c r="AO130" s="386"/>
      <c r="AP130" s="386"/>
      <c r="AQ130" s="386"/>
      <c r="AR130" s="386"/>
      <c r="AS130" s="386"/>
      <c r="AT130" s="386"/>
      <c r="AU130" s="386"/>
      <c r="AV130" s="386"/>
      <c r="AW130" s="386"/>
      <c r="AX130" s="386"/>
      <c r="AY130" s="386"/>
      <c r="AZ130" s="386"/>
      <c r="BA130" s="386"/>
      <c r="BB130" s="386"/>
      <c r="BC130" s="386"/>
      <c r="BD130" s="386"/>
      <c r="BE130" s="386"/>
      <c r="BF130" s="386"/>
      <c r="BG130" s="386"/>
      <c r="BH130" s="386"/>
      <c r="BI130" s="386"/>
      <c r="BJ130" s="386"/>
      <c r="BK130" s="386"/>
      <c r="BL130" s="386"/>
      <c r="BM130" s="386"/>
      <c r="BN130" s="386"/>
      <c r="BO130" s="386"/>
      <c r="BP130" s="386"/>
      <c r="BQ130" s="386"/>
      <c r="BR130" s="386"/>
      <c r="BS130" s="386"/>
      <c r="BT130" s="386"/>
      <c r="BU130" s="386"/>
      <c r="BV130" s="386"/>
      <c r="BW130" s="386"/>
      <c r="BX130" s="386"/>
      <c r="BY130" s="386"/>
      <c r="BZ130" s="386"/>
      <c r="CA130" s="386"/>
      <c r="CB130" s="386"/>
      <c r="CC130" s="386"/>
      <c r="CD130" s="386"/>
      <c r="CE130" s="386"/>
      <c r="CF130" s="386"/>
      <c r="CG130" s="386"/>
      <c r="CH130" s="386"/>
      <c r="CI130" s="386"/>
      <c r="CJ130" s="386"/>
      <c r="CK130" s="386"/>
      <c r="CL130" s="386"/>
    </row>
    <row r="131" spans="2:90" ht="12.75" customHeight="1" x14ac:dyDescent="0.15">
      <c r="B131" s="57"/>
      <c r="C131" s="57"/>
      <c r="D131" s="58"/>
      <c r="E131" s="59"/>
      <c r="F131" s="63"/>
      <c r="G131" s="63"/>
      <c r="H131" s="63"/>
      <c r="I131" s="63"/>
      <c r="J131" s="65"/>
      <c r="K131" s="392"/>
      <c r="L131" s="65"/>
      <c r="M131" s="65"/>
      <c r="N131" s="65"/>
      <c r="O131" s="386"/>
      <c r="P131" s="386"/>
      <c r="Q131" s="386"/>
      <c r="R131" s="386"/>
      <c r="S131" s="386"/>
      <c r="T131" s="386"/>
      <c r="U131" s="386"/>
      <c r="V131" s="386"/>
      <c r="W131" s="386"/>
      <c r="X131" s="386"/>
      <c r="Y131" s="386"/>
      <c r="Z131" s="386"/>
      <c r="AA131" s="386"/>
      <c r="AB131" s="386"/>
      <c r="AC131" s="386"/>
      <c r="AD131" s="386"/>
      <c r="AE131" s="386"/>
      <c r="AF131" s="386"/>
      <c r="AG131" s="386"/>
      <c r="AH131" s="386"/>
      <c r="AI131" s="386"/>
      <c r="AJ131" s="386"/>
      <c r="AK131" s="386"/>
      <c r="AL131" s="386"/>
      <c r="AM131" s="386"/>
      <c r="AN131" s="386"/>
      <c r="AO131" s="386"/>
      <c r="AP131" s="386"/>
      <c r="AQ131" s="386"/>
      <c r="AR131" s="386"/>
      <c r="AS131" s="386"/>
      <c r="AT131" s="386"/>
      <c r="AU131" s="386"/>
      <c r="AV131" s="386"/>
      <c r="AW131" s="386"/>
      <c r="AX131" s="386"/>
      <c r="AY131" s="386"/>
      <c r="AZ131" s="386"/>
      <c r="BA131" s="386"/>
      <c r="BB131" s="386"/>
      <c r="BC131" s="386"/>
      <c r="BD131" s="386"/>
      <c r="BE131" s="386"/>
      <c r="BF131" s="386"/>
      <c r="BG131" s="386"/>
      <c r="BH131" s="386"/>
      <c r="BI131" s="386"/>
      <c r="BJ131" s="386"/>
      <c r="BK131" s="386"/>
      <c r="BL131" s="386"/>
      <c r="BM131" s="386"/>
      <c r="BN131" s="386"/>
      <c r="BO131" s="386"/>
      <c r="BP131" s="386"/>
      <c r="BQ131" s="386"/>
      <c r="BR131" s="386"/>
      <c r="BS131" s="386"/>
      <c r="BT131" s="386"/>
      <c r="BU131" s="386"/>
      <c r="BV131" s="386"/>
      <c r="BW131" s="386"/>
      <c r="BX131" s="386"/>
      <c r="BY131" s="386"/>
      <c r="BZ131" s="386"/>
      <c r="CA131" s="386"/>
      <c r="CB131" s="386"/>
      <c r="CC131" s="386"/>
      <c r="CD131" s="386"/>
      <c r="CE131" s="386"/>
      <c r="CF131" s="386"/>
      <c r="CG131" s="386"/>
      <c r="CH131" s="386"/>
      <c r="CI131" s="386"/>
      <c r="CJ131" s="386"/>
      <c r="CK131" s="386"/>
      <c r="CL131" s="386"/>
    </row>
    <row r="132" spans="2:90" ht="12.75" customHeight="1" x14ac:dyDescent="0.15">
      <c r="B132" s="57"/>
      <c r="C132" s="57"/>
      <c r="D132" s="58"/>
      <c r="E132" s="59"/>
      <c r="F132" s="63"/>
      <c r="G132" s="63"/>
      <c r="H132" s="63"/>
      <c r="I132" s="63"/>
      <c r="J132" s="65"/>
      <c r="K132" s="392"/>
      <c r="L132" s="65"/>
      <c r="M132" s="65"/>
      <c r="N132" s="65"/>
      <c r="O132" s="386"/>
      <c r="P132" s="386"/>
      <c r="Q132" s="386"/>
      <c r="R132" s="386"/>
      <c r="S132" s="386"/>
      <c r="T132" s="386"/>
      <c r="U132" s="386"/>
      <c r="V132" s="386"/>
      <c r="W132" s="386"/>
      <c r="X132" s="386"/>
      <c r="Y132" s="386"/>
      <c r="Z132" s="386"/>
      <c r="AA132" s="386"/>
      <c r="AB132" s="386"/>
      <c r="AC132" s="386"/>
      <c r="AD132" s="386"/>
      <c r="AE132" s="386"/>
      <c r="AF132" s="386"/>
      <c r="AG132" s="386"/>
      <c r="AH132" s="386"/>
      <c r="AI132" s="386"/>
      <c r="AJ132" s="386"/>
      <c r="AK132" s="386"/>
      <c r="AL132" s="386"/>
      <c r="AM132" s="386"/>
      <c r="AN132" s="386"/>
      <c r="AO132" s="386"/>
      <c r="AP132" s="386"/>
      <c r="AQ132" s="386"/>
      <c r="AR132" s="386"/>
      <c r="AS132" s="386"/>
      <c r="AT132" s="386"/>
      <c r="AU132" s="386"/>
      <c r="AV132" s="386"/>
      <c r="AW132" s="386"/>
      <c r="AX132" s="386"/>
      <c r="AY132" s="386"/>
      <c r="AZ132" s="386"/>
      <c r="BA132" s="386"/>
      <c r="BB132" s="386"/>
      <c r="BC132" s="386"/>
      <c r="BD132" s="386"/>
      <c r="BE132" s="386"/>
      <c r="BF132" s="386"/>
      <c r="BG132" s="386"/>
      <c r="BH132" s="386"/>
      <c r="BI132" s="386"/>
      <c r="BJ132" s="386"/>
      <c r="BK132" s="386"/>
      <c r="BL132" s="386"/>
      <c r="BM132" s="386"/>
      <c r="BN132" s="386"/>
      <c r="BO132" s="386"/>
      <c r="BP132" s="386"/>
      <c r="BQ132" s="386"/>
      <c r="BR132" s="386"/>
      <c r="BS132" s="386"/>
      <c r="BT132" s="386"/>
      <c r="BU132" s="386"/>
      <c r="BV132" s="386"/>
      <c r="BW132" s="386"/>
      <c r="BX132" s="386"/>
      <c r="BY132" s="386"/>
      <c r="BZ132" s="386"/>
      <c r="CA132" s="386"/>
      <c r="CB132" s="386"/>
      <c r="CC132" s="386"/>
      <c r="CD132" s="386"/>
      <c r="CE132" s="386"/>
      <c r="CF132" s="386"/>
      <c r="CG132" s="386"/>
      <c r="CH132" s="386"/>
      <c r="CI132" s="386"/>
      <c r="CJ132" s="386"/>
      <c r="CK132" s="386"/>
      <c r="CL132" s="386"/>
    </row>
    <row r="133" spans="2:90" ht="12.75" customHeight="1" x14ac:dyDescent="0.15">
      <c r="B133" s="57"/>
      <c r="C133" s="57"/>
      <c r="D133" s="58"/>
      <c r="E133" s="59"/>
      <c r="F133" s="63"/>
      <c r="G133" s="63"/>
      <c r="H133" s="63"/>
      <c r="I133" s="63"/>
      <c r="J133" s="65"/>
      <c r="K133" s="392"/>
      <c r="L133" s="65"/>
      <c r="M133" s="65"/>
      <c r="N133" s="65"/>
      <c r="O133" s="386"/>
      <c r="P133" s="386"/>
      <c r="Q133" s="386"/>
      <c r="R133" s="386"/>
      <c r="S133" s="386"/>
      <c r="T133" s="386"/>
      <c r="U133" s="386"/>
      <c r="V133" s="386"/>
      <c r="W133" s="386"/>
      <c r="X133" s="386"/>
      <c r="Y133" s="386"/>
      <c r="Z133" s="386"/>
      <c r="AA133" s="386"/>
      <c r="AB133" s="386"/>
      <c r="AC133" s="386"/>
      <c r="AD133" s="386"/>
      <c r="AE133" s="386"/>
      <c r="AF133" s="386"/>
      <c r="AG133" s="386"/>
      <c r="AH133" s="386"/>
      <c r="AI133" s="386"/>
      <c r="AJ133" s="386"/>
      <c r="AK133" s="386"/>
      <c r="AL133" s="386"/>
      <c r="AM133" s="386"/>
      <c r="AN133" s="386"/>
      <c r="AO133" s="386"/>
      <c r="AP133" s="386"/>
      <c r="AQ133" s="386"/>
      <c r="AR133" s="386"/>
      <c r="AS133" s="386"/>
      <c r="AT133" s="386"/>
      <c r="AU133" s="386"/>
      <c r="AV133" s="386"/>
      <c r="AW133" s="386"/>
      <c r="AX133" s="386"/>
      <c r="AY133" s="386"/>
      <c r="AZ133" s="386"/>
      <c r="BA133" s="386"/>
      <c r="BB133" s="386"/>
      <c r="BC133" s="386"/>
      <c r="BD133" s="386"/>
      <c r="BE133" s="386"/>
      <c r="BF133" s="386"/>
      <c r="BG133" s="386"/>
      <c r="BH133" s="386"/>
      <c r="BI133" s="386"/>
      <c r="BJ133" s="386"/>
      <c r="BK133" s="386"/>
      <c r="BL133" s="386"/>
      <c r="BM133" s="386"/>
      <c r="BN133" s="386"/>
      <c r="BO133" s="386"/>
      <c r="BP133" s="386"/>
      <c r="BQ133" s="386"/>
      <c r="BR133" s="386"/>
      <c r="BS133" s="386"/>
      <c r="BT133" s="386"/>
      <c r="BU133" s="386"/>
      <c r="BV133" s="386"/>
      <c r="BW133" s="386"/>
      <c r="BX133" s="386"/>
      <c r="BY133" s="386"/>
      <c r="BZ133" s="386"/>
      <c r="CA133" s="386"/>
      <c r="CB133" s="386"/>
      <c r="CC133" s="386"/>
      <c r="CD133" s="386"/>
      <c r="CE133" s="386"/>
      <c r="CF133" s="386"/>
      <c r="CG133" s="386"/>
      <c r="CH133" s="386"/>
      <c r="CI133" s="386"/>
      <c r="CJ133" s="386"/>
      <c r="CK133" s="386"/>
      <c r="CL133" s="386"/>
    </row>
    <row r="134" spans="2:90" ht="12.75" customHeight="1" x14ac:dyDescent="0.15">
      <c r="B134" s="57"/>
      <c r="C134" s="57"/>
      <c r="D134" s="58"/>
      <c r="E134" s="59"/>
      <c r="F134" s="63"/>
      <c r="G134" s="63"/>
      <c r="H134" s="63"/>
      <c r="I134" s="63"/>
      <c r="J134" s="65"/>
      <c r="K134" s="392"/>
      <c r="L134" s="65"/>
      <c r="M134" s="65"/>
      <c r="N134" s="65"/>
      <c r="O134" s="386"/>
      <c r="P134" s="386"/>
      <c r="Q134" s="386"/>
      <c r="R134" s="386"/>
      <c r="S134" s="386"/>
      <c r="T134" s="386"/>
      <c r="U134" s="386"/>
      <c r="V134" s="386"/>
      <c r="W134" s="386"/>
      <c r="X134" s="386"/>
      <c r="Y134" s="386"/>
      <c r="Z134" s="386"/>
      <c r="AA134" s="386"/>
      <c r="AB134" s="386"/>
      <c r="AC134" s="386"/>
      <c r="AD134" s="386"/>
      <c r="AE134" s="386"/>
      <c r="AF134" s="386"/>
      <c r="AG134" s="386"/>
      <c r="AH134" s="386"/>
      <c r="AI134" s="386"/>
      <c r="AJ134" s="386"/>
      <c r="AK134" s="386"/>
      <c r="AL134" s="386"/>
      <c r="AM134" s="386"/>
      <c r="AN134" s="386"/>
      <c r="AO134" s="386"/>
      <c r="AP134" s="386"/>
      <c r="AQ134" s="386"/>
      <c r="AR134" s="386"/>
      <c r="AS134" s="386"/>
      <c r="AT134" s="386"/>
      <c r="AU134" s="386"/>
      <c r="AV134" s="386"/>
      <c r="AW134" s="386"/>
      <c r="AX134" s="386"/>
      <c r="AY134" s="386"/>
      <c r="AZ134" s="386"/>
      <c r="BA134" s="386"/>
      <c r="BB134" s="386"/>
      <c r="BC134" s="386"/>
      <c r="BD134" s="386"/>
      <c r="BE134" s="386"/>
      <c r="BF134" s="386"/>
      <c r="BG134" s="386"/>
      <c r="BH134" s="386"/>
      <c r="BI134" s="386"/>
      <c r="BJ134" s="386"/>
      <c r="BK134" s="386"/>
      <c r="BL134" s="386"/>
      <c r="BM134" s="386"/>
      <c r="BN134" s="386"/>
      <c r="BO134" s="386"/>
      <c r="BP134" s="386"/>
      <c r="BQ134" s="386"/>
      <c r="BR134" s="386"/>
      <c r="BS134" s="386"/>
      <c r="BT134" s="386"/>
      <c r="BU134" s="386"/>
      <c r="BV134" s="386"/>
      <c r="BW134" s="386"/>
      <c r="BX134" s="386"/>
      <c r="BY134" s="386"/>
      <c r="BZ134" s="386"/>
      <c r="CA134" s="386"/>
      <c r="CB134" s="386"/>
      <c r="CC134" s="386"/>
      <c r="CD134" s="386"/>
      <c r="CE134" s="386"/>
      <c r="CF134" s="386"/>
      <c r="CG134" s="386"/>
      <c r="CH134" s="386"/>
      <c r="CI134" s="386"/>
      <c r="CJ134" s="386"/>
      <c r="CK134" s="386"/>
      <c r="CL134" s="386"/>
    </row>
    <row r="135" spans="2:90" ht="12.75" customHeight="1" x14ac:dyDescent="0.15">
      <c r="B135" s="57"/>
      <c r="C135" s="57"/>
      <c r="D135" s="58"/>
      <c r="E135" s="59"/>
      <c r="F135" s="63"/>
      <c r="G135" s="63"/>
      <c r="H135" s="63"/>
      <c r="I135" s="63"/>
      <c r="J135" s="65"/>
      <c r="K135" s="392"/>
      <c r="L135" s="65"/>
      <c r="M135" s="65"/>
      <c r="N135" s="65"/>
      <c r="O135" s="386"/>
      <c r="P135" s="386"/>
      <c r="Q135" s="386"/>
      <c r="R135" s="386"/>
      <c r="S135" s="386"/>
      <c r="T135" s="386"/>
      <c r="U135" s="386"/>
      <c r="V135" s="386"/>
      <c r="W135" s="386"/>
      <c r="X135" s="386"/>
      <c r="Y135" s="386"/>
      <c r="Z135" s="386"/>
      <c r="AA135" s="386"/>
      <c r="AB135" s="386"/>
      <c r="AC135" s="386"/>
      <c r="AD135" s="386"/>
      <c r="AE135" s="386"/>
      <c r="AF135" s="386"/>
      <c r="AG135" s="386"/>
      <c r="AH135" s="386"/>
      <c r="AI135" s="386"/>
      <c r="AJ135" s="386"/>
      <c r="AK135" s="386"/>
      <c r="AL135" s="386"/>
      <c r="AM135" s="386"/>
      <c r="AN135" s="386"/>
      <c r="AO135" s="386"/>
      <c r="AP135" s="386"/>
      <c r="AQ135" s="386"/>
      <c r="AR135" s="386"/>
      <c r="AS135" s="386"/>
      <c r="AT135" s="386"/>
      <c r="AU135" s="386"/>
      <c r="AV135" s="386"/>
      <c r="AW135" s="386"/>
      <c r="AX135" s="386"/>
      <c r="AY135" s="386"/>
      <c r="AZ135" s="386"/>
      <c r="BA135" s="386"/>
      <c r="BB135" s="386"/>
      <c r="BC135" s="386"/>
      <c r="BD135" s="386"/>
      <c r="BE135" s="386"/>
      <c r="BF135" s="386"/>
      <c r="BG135" s="386"/>
      <c r="BH135" s="386"/>
      <c r="BI135" s="386"/>
      <c r="BJ135" s="386"/>
      <c r="BK135" s="386"/>
      <c r="BL135" s="386"/>
      <c r="BM135" s="386"/>
      <c r="BN135" s="386"/>
      <c r="BO135" s="386"/>
      <c r="BP135" s="386"/>
      <c r="BQ135" s="386"/>
      <c r="BR135" s="386"/>
      <c r="BS135" s="386"/>
      <c r="BT135" s="386"/>
      <c r="BU135" s="386"/>
      <c r="BV135" s="386"/>
      <c r="BW135" s="386"/>
      <c r="BX135" s="386"/>
      <c r="BY135" s="386"/>
      <c r="BZ135" s="386"/>
      <c r="CA135" s="386"/>
      <c r="CB135" s="386"/>
      <c r="CC135" s="386"/>
      <c r="CD135" s="386"/>
      <c r="CE135" s="386"/>
      <c r="CF135" s="386"/>
      <c r="CG135" s="386"/>
      <c r="CH135" s="386"/>
      <c r="CI135" s="386"/>
      <c r="CJ135" s="386"/>
      <c r="CK135" s="386"/>
      <c r="CL135" s="386"/>
    </row>
    <row r="136" spans="2:90" ht="12.75" customHeight="1" x14ac:dyDescent="0.15">
      <c r="B136" s="57"/>
      <c r="C136" s="57"/>
      <c r="D136" s="58"/>
      <c r="E136" s="59"/>
      <c r="F136" s="63"/>
      <c r="G136" s="63"/>
      <c r="H136" s="63"/>
      <c r="I136" s="63"/>
      <c r="J136" s="65"/>
      <c r="K136" s="392"/>
      <c r="L136" s="65"/>
      <c r="M136" s="65"/>
      <c r="N136" s="65"/>
      <c r="O136" s="386"/>
      <c r="P136" s="386"/>
      <c r="Q136" s="386"/>
      <c r="R136" s="386"/>
      <c r="S136" s="386"/>
      <c r="T136" s="386"/>
      <c r="U136" s="386"/>
      <c r="V136" s="386"/>
      <c r="W136" s="386"/>
      <c r="X136" s="386"/>
      <c r="Y136" s="386"/>
      <c r="Z136" s="386"/>
      <c r="AA136" s="386"/>
      <c r="AB136" s="386"/>
      <c r="AC136" s="386"/>
      <c r="AD136" s="386"/>
      <c r="AE136" s="386"/>
      <c r="AF136" s="386"/>
      <c r="AG136" s="386"/>
      <c r="AH136" s="386"/>
      <c r="AI136" s="386"/>
      <c r="AJ136" s="386"/>
      <c r="AK136" s="386"/>
      <c r="AL136" s="386"/>
      <c r="AM136" s="386"/>
      <c r="AN136" s="386"/>
      <c r="AO136" s="386"/>
      <c r="AP136" s="386"/>
      <c r="AQ136" s="386"/>
      <c r="AR136" s="386"/>
      <c r="AS136" s="386"/>
      <c r="AT136" s="386"/>
      <c r="AU136" s="386"/>
      <c r="AV136" s="386"/>
      <c r="AW136" s="386"/>
      <c r="AX136" s="386"/>
      <c r="AY136" s="386"/>
      <c r="AZ136" s="386"/>
      <c r="BA136" s="386"/>
      <c r="BB136" s="386"/>
      <c r="BC136" s="386"/>
      <c r="BD136" s="386"/>
      <c r="BE136" s="386"/>
      <c r="BF136" s="386"/>
      <c r="BG136" s="386"/>
      <c r="BH136" s="386"/>
      <c r="BI136" s="386"/>
      <c r="BJ136" s="386"/>
      <c r="BK136" s="386"/>
      <c r="BL136" s="386"/>
      <c r="BM136" s="386"/>
      <c r="BN136" s="386"/>
      <c r="BO136" s="386"/>
      <c r="BP136" s="386"/>
      <c r="BQ136" s="386"/>
      <c r="BR136" s="386"/>
      <c r="BS136" s="386"/>
      <c r="BT136" s="386"/>
      <c r="BU136" s="386"/>
      <c r="BV136" s="386"/>
      <c r="BW136" s="386"/>
      <c r="BX136" s="386"/>
      <c r="BY136" s="386"/>
      <c r="BZ136" s="386"/>
      <c r="CA136" s="386"/>
      <c r="CB136" s="386"/>
      <c r="CC136" s="386"/>
      <c r="CD136" s="386"/>
      <c r="CE136" s="386"/>
      <c r="CF136" s="386"/>
      <c r="CG136" s="386"/>
      <c r="CH136" s="386"/>
      <c r="CI136" s="386"/>
      <c r="CJ136" s="386"/>
      <c r="CK136" s="386"/>
      <c r="CL136" s="386"/>
    </row>
    <row r="137" spans="2:90" ht="12.75" customHeight="1" x14ac:dyDescent="0.15">
      <c r="B137" s="57"/>
      <c r="C137" s="57"/>
      <c r="D137" s="58"/>
      <c r="E137" s="59"/>
      <c r="F137" s="63"/>
      <c r="G137" s="63"/>
      <c r="H137" s="63"/>
      <c r="I137" s="63"/>
      <c r="J137" s="65"/>
      <c r="K137" s="392"/>
      <c r="L137" s="65"/>
      <c r="M137" s="65"/>
      <c r="N137" s="65"/>
      <c r="O137" s="386"/>
      <c r="P137" s="386"/>
      <c r="Q137" s="386"/>
      <c r="R137" s="386"/>
      <c r="S137" s="386"/>
      <c r="T137" s="386"/>
      <c r="U137" s="386"/>
      <c r="V137" s="386"/>
      <c r="W137" s="386"/>
      <c r="X137" s="386"/>
      <c r="Y137" s="386"/>
      <c r="Z137" s="386"/>
      <c r="AA137" s="386"/>
      <c r="AB137" s="386"/>
      <c r="AC137" s="386"/>
      <c r="AD137" s="386"/>
      <c r="AE137" s="386"/>
      <c r="AF137" s="386"/>
      <c r="AG137" s="386"/>
      <c r="AH137" s="386"/>
      <c r="AI137" s="386"/>
      <c r="AJ137" s="386"/>
      <c r="AK137" s="386"/>
      <c r="AL137" s="386"/>
      <c r="AM137" s="386"/>
      <c r="AN137" s="386"/>
      <c r="AO137" s="386"/>
      <c r="AP137" s="386"/>
      <c r="AQ137" s="386"/>
      <c r="AR137" s="386"/>
      <c r="AS137" s="386"/>
      <c r="AT137" s="386"/>
      <c r="AU137" s="386"/>
      <c r="AV137" s="386"/>
      <c r="AW137" s="386"/>
      <c r="AX137" s="386"/>
      <c r="AY137" s="386"/>
      <c r="AZ137" s="386"/>
      <c r="BA137" s="386"/>
      <c r="BB137" s="386"/>
      <c r="BC137" s="386"/>
      <c r="BD137" s="386"/>
      <c r="BE137" s="386"/>
      <c r="BF137" s="386"/>
      <c r="BG137" s="386"/>
      <c r="BH137" s="386"/>
      <c r="BI137" s="386"/>
      <c r="BJ137" s="386"/>
      <c r="BK137" s="386"/>
      <c r="BL137" s="386"/>
      <c r="BM137" s="386"/>
      <c r="BN137" s="386"/>
      <c r="BO137" s="386"/>
      <c r="BP137" s="386"/>
      <c r="BQ137" s="386"/>
      <c r="BR137" s="386"/>
      <c r="BS137" s="386"/>
      <c r="BT137" s="386"/>
      <c r="BU137" s="386"/>
      <c r="BV137" s="386"/>
      <c r="BW137" s="386"/>
      <c r="BX137" s="386"/>
      <c r="BY137" s="386"/>
      <c r="BZ137" s="386"/>
      <c r="CA137" s="386"/>
      <c r="CB137" s="386"/>
      <c r="CC137" s="386"/>
      <c r="CD137" s="386"/>
      <c r="CE137" s="386"/>
      <c r="CF137" s="386"/>
      <c r="CG137" s="386"/>
      <c r="CH137" s="386"/>
      <c r="CI137" s="386"/>
      <c r="CJ137" s="386"/>
      <c r="CK137" s="386"/>
      <c r="CL137" s="386"/>
    </row>
    <row r="138" spans="2:90" ht="12.75" customHeight="1" x14ac:dyDescent="0.15">
      <c r="B138" s="57"/>
      <c r="C138" s="57"/>
      <c r="D138" s="58"/>
      <c r="E138" s="59"/>
      <c r="F138" s="63"/>
      <c r="G138" s="63"/>
      <c r="H138" s="63"/>
      <c r="I138" s="63"/>
      <c r="J138" s="65"/>
      <c r="K138" s="392"/>
      <c r="L138" s="65"/>
      <c r="M138" s="65"/>
      <c r="N138" s="65"/>
      <c r="O138" s="386"/>
      <c r="P138" s="386"/>
      <c r="Q138" s="386"/>
      <c r="R138" s="386"/>
      <c r="S138" s="386"/>
      <c r="T138" s="386"/>
      <c r="U138" s="386"/>
      <c r="V138" s="386"/>
      <c r="W138" s="386"/>
      <c r="X138" s="386"/>
      <c r="Y138" s="386"/>
      <c r="Z138" s="386"/>
      <c r="AA138" s="386"/>
      <c r="AB138" s="386"/>
      <c r="AC138" s="386"/>
      <c r="AD138" s="386"/>
      <c r="AE138" s="386"/>
      <c r="AF138" s="386"/>
      <c r="AG138" s="386"/>
      <c r="AH138" s="386"/>
      <c r="AI138" s="386"/>
      <c r="AJ138" s="386"/>
      <c r="AK138" s="386"/>
      <c r="AL138" s="386"/>
      <c r="AM138" s="386"/>
      <c r="AN138" s="386"/>
      <c r="AO138" s="386"/>
      <c r="AP138" s="386"/>
      <c r="AQ138" s="386"/>
      <c r="AR138" s="386"/>
      <c r="AS138" s="386"/>
      <c r="AT138" s="386"/>
      <c r="AU138" s="386"/>
      <c r="AV138" s="386"/>
      <c r="AW138" s="386"/>
      <c r="AX138" s="386"/>
      <c r="AY138" s="386"/>
      <c r="AZ138" s="386"/>
      <c r="BA138" s="386"/>
      <c r="BB138" s="386"/>
      <c r="BC138" s="386"/>
      <c r="BD138" s="386"/>
      <c r="BE138" s="386"/>
      <c r="BF138" s="386"/>
      <c r="BG138" s="386"/>
      <c r="BH138" s="386"/>
      <c r="BI138" s="386"/>
      <c r="BJ138" s="386"/>
      <c r="BK138" s="386"/>
      <c r="BL138" s="386"/>
      <c r="BM138" s="386"/>
      <c r="BN138" s="386"/>
      <c r="BO138" s="386"/>
      <c r="BP138" s="386"/>
      <c r="BQ138" s="386"/>
      <c r="BR138" s="386"/>
      <c r="BS138" s="386"/>
      <c r="BT138" s="386"/>
      <c r="BU138" s="386"/>
      <c r="BV138" s="386"/>
      <c r="BW138" s="386"/>
      <c r="BX138" s="386"/>
      <c r="BY138" s="386"/>
      <c r="BZ138" s="386"/>
      <c r="CA138" s="386"/>
      <c r="CB138" s="386"/>
      <c r="CC138" s="386"/>
      <c r="CD138" s="386"/>
      <c r="CE138" s="386"/>
      <c r="CF138" s="386"/>
      <c r="CG138" s="386"/>
      <c r="CH138" s="386"/>
      <c r="CI138" s="386"/>
      <c r="CJ138" s="386"/>
      <c r="CK138" s="386"/>
      <c r="CL138" s="386"/>
    </row>
    <row r="139" spans="2:90" ht="12.75" customHeight="1" x14ac:dyDescent="0.15">
      <c r="B139" s="57"/>
      <c r="C139" s="57"/>
      <c r="D139" s="58"/>
      <c r="E139" s="59"/>
      <c r="F139" s="63"/>
      <c r="G139" s="63"/>
      <c r="H139" s="63"/>
      <c r="I139" s="63"/>
      <c r="J139" s="65"/>
      <c r="K139" s="392"/>
      <c r="L139" s="65"/>
      <c r="M139" s="65"/>
      <c r="N139" s="65"/>
      <c r="O139" s="386"/>
      <c r="P139" s="386"/>
      <c r="Q139" s="386"/>
      <c r="R139" s="386"/>
      <c r="S139" s="386"/>
      <c r="T139" s="386"/>
      <c r="U139" s="386"/>
      <c r="V139" s="386"/>
      <c r="W139" s="386"/>
      <c r="X139" s="386"/>
      <c r="Y139" s="386"/>
      <c r="Z139" s="386"/>
      <c r="AA139" s="386"/>
      <c r="AB139" s="386"/>
      <c r="AC139" s="386"/>
      <c r="AD139" s="386"/>
      <c r="AE139" s="386"/>
      <c r="AF139" s="386"/>
      <c r="AG139" s="386"/>
      <c r="AH139" s="386"/>
      <c r="AI139" s="386"/>
      <c r="AJ139" s="386"/>
      <c r="AK139" s="386"/>
      <c r="AL139" s="386"/>
      <c r="AM139" s="386"/>
      <c r="AN139" s="386"/>
      <c r="AO139" s="386"/>
      <c r="AP139" s="386"/>
      <c r="AQ139" s="386"/>
      <c r="AR139" s="386"/>
      <c r="AS139" s="386"/>
      <c r="AT139" s="386"/>
      <c r="AU139" s="386"/>
      <c r="AV139" s="386"/>
      <c r="AW139" s="386"/>
      <c r="AX139" s="386"/>
      <c r="AY139" s="386"/>
      <c r="AZ139" s="386"/>
      <c r="BA139" s="386"/>
      <c r="BB139" s="386"/>
      <c r="BC139" s="386"/>
      <c r="BD139" s="386"/>
      <c r="BE139" s="386"/>
      <c r="BF139" s="386"/>
      <c r="BG139" s="386"/>
      <c r="BH139" s="386"/>
      <c r="BI139" s="386"/>
      <c r="BJ139" s="386"/>
      <c r="BK139" s="386"/>
      <c r="BL139" s="386"/>
      <c r="BM139" s="386"/>
      <c r="BN139" s="386"/>
      <c r="BO139" s="386"/>
      <c r="BP139" s="386"/>
      <c r="BQ139" s="386"/>
      <c r="BR139" s="386"/>
      <c r="BS139" s="386"/>
      <c r="BT139" s="386"/>
      <c r="BU139" s="386"/>
      <c r="BV139" s="386"/>
      <c r="BW139" s="386"/>
      <c r="BX139" s="386"/>
      <c r="BY139" s="386"/>
      <c r="BZ139" s="386"/>
      <c r="CA139" s="386"/>
      <c r="CB139" s="386"/>
      <c r="CC139" s="386"/>
      <c r="CD139" s="386"/>
      <c r="CE139" s="386"/>
      <c r="CF139" s="386"/>
      <c r="CG139" s="386"/>
      <c r="CH139" s="386"/>
      <c r="CI139" s="386"/>
      <c r="CJ139" s="386"/>
      <c r="CK139" s="386"/>
      <c r="CL139" s="386"/>
    </row>
    <row r="140" spans="2:90" ht="12.75" customHeight="1" x14ac:dyDescent="0.15">
      <c r="B140" s="57"/>
      <c r="C140" s="57"/>
      <c r="D140" s="58"/>
      <c r="E140" s="59"/>
      <c r="F140" s="63"/>
      <c r="G140" s="63"/>
      <c r="H140" s="63"/>
      <c r="I140" s="63"/>
      <c r="J140" s="65"/>
      <c r="K140" s="392"/>
      <c r="L140" s="65"/>
      <c r="M140" s="65"/>
      <c r="N140" s="65"/>
      <c r="O140" s="386"/>
      <c r="P140" s="386"/>
      <c r="Q140" s="386"/>
      <c r="R140" s="386"/>
      <c r="S140" s="386"/>
      <c r="T140" s="386"/>
      <c r="U140" s="386"/>
      <c r="V140" s="386"/>
      <c r="W140" s="386"/>
      <c r="X140" s="386"/>
      <c r="Y140" s="386"/>
      <c r="Z140" s="386"/>
      <c r="AA140" s="386"/>
      <c r="AB140" s="386"/>
      <c r="AC140" s="386"/>
      <c r="AD140" s="386"/>
      <c r="AE140" s="386"/>
      <c r="AF140" s="386"/>
      <c r="AG140" s="386"/>
      <c r="AH140" s="386"/>
      <c r="AI140" s="386"/>
      <c r="AJ140" s="386"/>
      <c r="AK140" s="386"/>
      <c r="AL140" s="386"/>
      <c r="AM140" s="386"/>
      <c r="AN140" s="386"/>
      <c r="AO140" s="386"/>
      <c r="AP140" s="386"/>
      <c r="AQ140" s="386"/>
      <c r="AR140" s="386"/>
      <c r="AS140" s="386"/>
      <c r="AT140" s="386"/>
      <c r="AU140" s="386"/>
      <c r="AV140" s="386"/>
      <c r="AW140" s="386"/>
      <c r="AX140" s="386"/>
      <c r="AY140" s="386"/>
      <c r="AZ140" s="386"/>
      <c r="BA140" s="386"/>
      <c r="BB140" s="386"/>
      <c r="BC140" s="386"/>
      <c r="BD140" s="386"/>
      <c r="BE140" s="386"/>
      <c r="BF140" s="386"/>
      <c r="BG140" s="386"/>
      <c r="BH140" s="386"/>
      <c r="BI140" s="386"/>
      <c r="BJ140" s="386"/>
      <c r="BK140" s="386"/>
      <c r="BL140" s="386"/>
      <c r="BM140" s="386"/>
      <c r="BN140" s="386"/>
      <c r="BO140" s="386"/>
      <c r="BP140" s="386"/>
      <c r="BQ140" s="386"/>
      <c r="BR140" s="386"/>
      <c r="BS140" s="386"/>
      <c r="BT140" s="386"/>
      <c r="BU140" s="386"/>
      <c r="BV140" s="386"/>
      <c r="BW140" s="386"/>
      <c r="BX140" s="386"/>
      <c r="BY140" s="386"/>
      <c r="BZ140" s="386"/>
      <c r="CA140" s="386"/>
      <c r="CB140" s="386"/>
      <c r="CC140" s="386"/>
      <c r="CD140" s="386"/>
      <c r="CE140" s="386"/>
      <c r="CF140" s="386"/>
      <c r="CG140" s="386"/>
      <c r="CH140" s="386"/>
      <c r="CI140" s="386"/>
      <c r="CJ140" s="386"/>
      <c r="CK140" s="386"/>
      <c r="CL140" s="386"/>
    </row>
    <row r="141" spans="2:90" ht="12.75" customHeight="1" x14ac:dyDescent="0.15">
      <c r="B141" s="57"/>
      <c r="C141" s="57"/>
      <c r="D141" s="58"/>
      <c r="E141" s="59"/>
      <c r="F141" s="63"/>
      <c r="G141" s="63"/>
      <c r="H141" s="63"/>
      <c r="I141" s="63"/>
      <c r="J141" s="65"/>
      <c r="K141" s="392"/>
      <c r="L141" s="65"/>
      <c r="M141" s="65"/>
      <c r="N141" s="65"/>
      <c r="O141" s="386"/>
      <c r="P141" s="386"/>
      <c r="Q141" s="386"/>
      <c r="R141" s="386"/>
      <c r="S141" s="386"/>
      <c r="T141" s="386"/>
      <c r="U141" s="386"/>
      <c r="V141" s="386"/>
      <c r="W141" s="386"/>
      <c r="X141" s="386"/>
      <c r="Y141" s="386"/>
      <c r="Z141" s="386"/>
      <c r="AA141" s="386"/>
      <c r="AB141" s="386"/>
      <c r="AC141" s="386"/>
      <c r="AD141" s="386"/>
      <c r="AE141" s="386"/>
      <c r="AF141" s="386"/>
      <c r="AG141" s="386"/>
      <c r="AH141" s="386"/>
      <c r="AI141" s="386"/>
      <c r="AJ141" s="386"/>
      <c r="AK141" s="386"/>
      <c r="AL141" s="386"/>
      <c r="AM141" s="386"/>
      <c r="AN141" s="386"/>
      <c r="AO141" s="386"/>
      <c r="AP141" s="386"/>
      <c r="AQ141" s="386"/>
      <c r="AR141" s="386"/>
      <c r="AS141" s="386"/>
      <c r="AT141" s="386"/>
      <c r="AU141" s="386"/>
      <c r="AV141" s="386"/>
      <c r="AW141" s="386"/>
      <c r="AX141" s="386"/>
      <c r="AY141" s="386"/>
      <c r="AZ141" s="386"/>
      <c r="BA141" s="386"/>
      <c r="BB141" s="386"/>
      <c r="BC141" s="386"/>
      <c r="BD141" s="386"/>
      <c r="BE141" s="386"/>
      <c r="BF141" s="386"/>
      <c r="BG141" s="386"/>
      <c r="BH141" s="386"/>
      <c r="BI141" s="386"/>
      <c r="BJ141" s="386"/>
      <c r="BK141" s="386"/>
      <c r="BL141" s="386"/>
      <c r="BM141" s="386"/>
      <c r="BN141" s="386"/>
      <c r="BO141" s="386"/>
      <c r="BP141" s="386"/>
      <c r="BQ141" s="386"/>
      <c r="BR141" s="386"/>
      <c r="BS141" s="386"/>
      <c r="BT141" s="386"/>
      <c r="BU141" s="386"/>
      <c r="BV141" s="386"/>
      <c r="BW141" s="386"/>
      <c r="BX141" s="386"/>
      <c r="BY141" s="386"/>
      <c r="BZ141" s="386"/>
      <c r="CA141" s="386"/>
      <c r="CB141" s="386"/>
      <c r="CC141" s="386"/>
      <c r="CD141" s="386"/>
      <c r="CE141" s="386"/>
      <c r="CF141" s="386"/>
      <c r="CG141" s="386"/>
      <c r="CH141" s="386"/>
      <c r="CI141" s="386"/>
      <c r="CJ141" s="386"/>
      <c r="CK141" s="386"/>
      <c r="CL141" s="386"/>
    </row>
    <row r="142" spans="2:90" ht="12.75" customHeight="1" x14ac:dyDescent="0.15">
      <c r="B142" s="57"/>
      <c r="C142" s="57"/>
      <c r="D142" s="58"/>
      <c r="E142" s="59"/>
      <c r="F142" s="63"/>
      <c r="G142" s="63"/>
      <c r="H142" s="63"/>
      <c r="I142" s="63"/>
      <c r="J142" s="65"/>
      <c r="K142" s="392"/>
      <c r="L142" s="65"/>
      <c r="M142" s="65"/>
      <c r="N142" s="65"/>
      <c r="O142" s="386"/>
      <c r="P142" s="386"/>
      <c r="Q142" s="386"/>
      <c r="R142" s="386"/>
      <c r="S142" s="386"/>
      <c r="T142" s="386"/>
      <c r="U142" s="386"/>
      <c r="V142" s="386"/>
      <c r="W142" s="386"/>
      <c r="X142" s="386"/>
      <c r="Y142" s="386"/>
      <c r="Z142" s="386"/>
      <c r="AA142" s="386"/>
      <c r="AB142" s="386"/>
      <c r="AC142" s="386"/>
      <c r="AD142" s="386"/>
      <c r="AE142" s="386"/>
      <c r="AF142" s="386"/>
      <c r="AG142" s="386"/>
      <c r="AH142" s="386"/>
      <c r="AI142" s="386"/>
      <c r="AJ142" s="386"/>
      <c r="AK142" s="386"/>
      <c r="AL142" s="386"/>
      <c r="AM142" s="386"/>
      <c r="AN142" s="386"/>
      <c r="AO142" s="386"/>
      <c r="AP142" s="386"/>
      <c r="AQ142" s="386"/>
      <c r="AR142" s="386"/>
      <c r="AS142" s="386"/>
      <c r="AT142" s="386"/>
      <c r="AU142" s="386"/>
      <c r="AV142" s="386"/>
      <c r="AW142" s="386"/>
      <c r="AX142" s="386"/>
      <c r="AY142" s="386"/>
      <c r="AZ142" s="386"/>
      <c r="BA142" s="386"/>
      <c r="BB142" s="386"/>
      <c r="BC142" s="386"/>
      <c r="BD142" s="386"/>
      <c r="BE142" s="386"/>
      <c r="BF142" s="386"/>
      <c r="BG142" s="386"/>
      <c r="BH142" s="386"/>
      <c r="BI142" s="386"/>
      <c r="BJ142" s="386"/>
      <c r="BK142" s="386"/>
      <c r="BL142" s="386"/>
      <c r="BM142" s="386"/>
      <c r="BN142" s="386"/>
      <c r="BO142" s="386"/>
      <c r="BP142" s="386"/>
      <c r="BQ142" s="386"/>
      <c r="BR142" s="386"/>
      <c r="BS142" s="386"/>
      <c r="BT142" s="386"/>
      <c r="BU142" s="386"/>
      <c r="BV142" s="386"/>
      <c r="BW142" s="386"/>
      <c r="BX142" s="386"/>
      <c r="BY142" s="386"/>
      <c r="BZ142" s="386"/>
      <c r="CA142" s="386"/>
      <c r="CB142" s="386"/>
      <c r="CC142" s="386"/>
      <c r="CD142" s="386"/>
      <c r="CE142" s="386"/>
      <c r="CF142" s="386"/>
      <c r="CG142" s="386"/>
      <c r="CH142" s="386"/>
      <c r="CI142" s="386"/>
      <c r="CJ142" s="386"/>
      <c r="CK142" s="386"/>
      <c r="CL142" s="386"/>
    </row>
    <row r="143" spans="2:90" ht="12.75" customHeight="1" x14ac:dyDescent="0.15">
      <c r="B143" s="57"/>
      <c r="C143" s="57"/>
      <c r="D143" s="58"/>
      <c r="E143" s="59"/>
      <c r="F143" s="63"/>
      <c r="G143" s="63"/>
      <c r="H143" s="63"/>
      <c r="I143" s="63"/>
      <c r="J143" s="65"/>
      <c r="K143" s="392"/>
      <c r="L143" s="65"/>
      <c r="M143" s="65"/>
      <c r="N143" s="65"/>
      <c r="O143" s="386"/>
      <c r="P143" s="386"/>
      <c r="Q143" s="386"/>
      <c r="R143" s="386"/>
      <c r="S143" s="386"/>
      <c r="T143" s="386"/>
      <c r="U143" s="386"/>
      <c r="V143" s="386"/>
      <c r="W143" s="386"/>
      <c r="X143" s="386"/>
      <c r="Y143" s="386"/>
      <c r="Z143" s="386"/>
      <c r="AA143" s="386"/>
      <c r="AB143" s="386"/>
      <c r="AC143" s="386"/>
      <c r="AD143" s="386"/>
      <c r="AE143" s="386"/>
      <c r="AF143" s="386"/>
      <c r="AG143" s="386"/>
      <c r="AH143" s="386"/>
      <c r="AI143" s="386"/>
      <c r="AJ143" s="386"/>
      <c r="AK143" s="386"/>
      <c r="AL143" s="386"/>
      <c r="AM143" s="386"/>
      <c r="AN143" s="386"/>
      <c r="AO143" s="386"/>
      <c r="AP143" s="386"/>
      <c r="AQ143" s="386"/>
      <c r="AR143" s="386"/>
      <c r="AS143" s="386"/>
      <c r="AT143" s="386"/>
      <c r="AU143" s="386"/>
      <c r="AV143" s="386"/>
      <c r="AW143" s="386"/>
      <c r="AX143" s="386"/>
      <c r="AY143" s="386"/>
      <c r="AZ143" s="386"/>
      <c r="BA143" s="386"/>
      <c r="BB143" s="386"/>
      <c r="BC143" s="386"/>
      <c r="BD143" s="386"/>
      <c r="BE143" s="386"/>
      <c r="BF143" s="386"/>
      <c r="BG143" s="386"/>
      <c r="BH143" s="386"/>
      <c r="BI143" s="386"/>
      <c r="BJ143" s="386"/>
      <c r="BK143" s="386"/>
      <c r="BL143" s="386"/>
      <c r="BM143" s="386"/>
      <c r="BN143" s="386"/>
      <c r="BO143" s="386"/>
      <c r="BP143" s="386"/>
      <c r="BQ143" s="386"/>
      <c r="BR143" s="386"/>
      <c r="BS143" s="386"/>
      <c r="BT143" s="386"/>
      <c r="BU143" s="386"/>
      <c r="BV143" s="386"/>
      <c r="BW143" s="386"/>
      <c r="BX143" s="386"/>
      <c r="BY143" s="386"/>
      <c r="BZ143" s="386"/>
      <c r="CA143" s="386"/>
      <c r="CB143" s="386"/>
      <c r="CC143" s="386"/>
      <c r="CD143" s="386"/>
      <c r="CE143" s="386"/>
      <c r="CF143" s="386"/>
      <c r="CG143" s="386"/>
      <c r="CH143" s="386"/>
      <c r="CI143" s="386"/>
      <c r="CJ143" s="386"/>
      <c r="CK143" s="386"/>
      <c r="CL143" s="386"/>
    </row>
    <row r="144" spans="2:90" ht="12.75" customHeight="1" x14ac:dyDescent="0.15">
      <c r="B144" s="57"/>
      <c r="C144" s="57"/>
      <c r="D144" s="58"/>
      <c r="E144" s="59"/>
      <c r="F144" s="63"/>
      <c r="G144" s="63"/>
      <c r="H144" s="63"/>
      <c r="I144" s="63"/>
      <c r="J144" s="65"/>
      <c r="K144" s="392"/>
      <c r="L144" s="65"/>
      <c r="M144" s="65"/>
      <c r="N144" s="65"/>
      <c r="O144" s="386"/>
      <c r="P144" s="386"/>
      <c r="Q144" s="386"/>
      <c r="R144" s="386"/>
      <c r="S144" s="386"/>
      <c r="T144" s="386"/>
      <c r="U144" s="386"/>
      <c r="V144" s="386"/>
      <c r="W144" s="386"/>
      <c r="X144" s="386"/>
      <c r="Y144" s="386"/>
      <c r="Z144" s="386"/>
      <c r="AA144" s="386"/>
      <c r="AB144" s="386"/>
      <c r="AC144" s="386"/>
      <c r="AD144" s="386"/>
      <c r="AE144" s="386"/>
      <c r="AF144" s="386"/>
      <c r="AG144" s="386"/>
      <c r="AH144" s="386"/>
      <c r="AI144" s="386"/>
      <c r="AJ144" s="386"/>
      <c r="AK144" s="386"/>
      <c r="AL144" s="386"/>
      <c r="AM144" s="386"/>
      <c r="AN144" s="386"/>
      <c r="AO144" s="386"/>
      <c r="AP144" s="386"/>
      <c r="AQ144" s="386"/>
      <c r="AR144" s="386"/>
      <c r="AS144" s="386"/>
      <c r="AT144" s="386"/>
      <c r="AU144" s="386"/>
      <c r="AV144" s="386"/>
      <c r="AW144" s="386"/>
      <c r="AX144" s="386"/>
      <c r="AY144" s="386"/>
      <c r="AZ144" s="386"/>
      <c r="BA144" s="386"/>
      <c r="BB144" s="386"/>
      <c r="BC144" s="386"/>
      <c r="BD144" s="386"/>
      <c r="BE144" s="386"/>
      <c r="BF144" s="386"/>
      <c r="BG144" s="386"/>
      <c r="BH144" s="386"/>
      <c r="BI144" s="386"/>
      <c r="BJ144" s="386"/>
      <c r="BK144" s="386"/>
      <c r="BL144" s="386"/>
      <c r="BM144" s="386"/>
      <c r="BN144" s="386"/>
      <c r="BO144" s="386"/>
      <c r="BP144" s="386"/>
      <c r="BQ144" s="386"/>
      <c r="BR144" s="386"/>
      <c r="BS144" s="386"/>
      <c r="BT144" s="386"/>
      <c r="BU144" s="386"/>
      <c r="BV144" s="386"/>
      <c r="BW144" s="386"/>
      <c r="BX144" s="386"/>
      <c r="BY144" s="386"/>
      <c r="BZ144" s="386"/>
      <c r="CA144" s="386"/>
      <c r="CB144" s="386"/>
      <c r="CC144" s="386"/>
      <c r="CD144" s="386"/>
      <c r="CE144" s="386"/>
      <c r="CF144" s="386"/>
      <c r="CG144" s="386"/>
      <c r="CH144" s="386"/>
      <c r="CI144" s="386"/>
      <c r="CJ144" s="386"/>
      <c r="CK144" s="386"/>
      <c r="CL144" s="386"/>
    </row>
    <row r="145" spans="2:90" ht="12.75" customHeight="1" x14ac:dyDescent="0.15">
      <c r="B145" s="57"/>
      <c r="C145" s="57"/>
      <c r="D145" s="58"/>
      <c r="E145" s="59"/>
      <c r="F145" s="63"/>
      <c r="G145" s="63"/>
      <c r="H145" s="63"/>
      <c r="I145" s="63"/>
      <c r="J145" s="65"/>
      <c r="K145" s="392"/>
      <c r="L145" s="65"/>
      <c r="M145" s="65"/>
      <c r="N145" s="65"/>
      <c r="O145" s="386"/>
      <c r="P145" s="386"/>
      <c r="Q145" s="386"/>
      <c r="R145" s="386"/>
      <c r="S145" s="386"/>
      <c r="T145" s="386"/>
      <c r="U145" s="386"/>
      <c r="V145" s="386"/>
      <c r="W145" s="386"/>
      <c r="X145" s="386"/>
      <c r="Y145" s="386"/>
      <c r="Z145" s="386"/>
      <c r="AA145" s="386"/>
      <c r="AB145" s="386"/>
      <c r="AC145" s="386"/>
      <c r="AD145" s="386"/>
      <c r="AE145" s="386"/>
      <c r="AF145" s="386"/>
      <c r="AG145" s="386"/>
      <c r="AH145" s="386"/>
      <c r="AI145" s="386"/>
      <c r="AJ145" s="386"/>
      <c r="AK145" s="386"/>
      <c r="AL145" s="386"/>
      <c r="AM145" s="386"/>
      <c r="AN145" s="386"/>
      <c r="AO145" s="386"/>
      <c r="AP145" s="386"/>
      <c r="AQ145" s="386"/>
      <c r="AR145" s="386"/>
      <c r="AS145" s="386"/>
      <c r="AT145" s="386"/>
      <c r="AU145" s="386"/>
      <c r="AV145" s="386"/>
      <c r="AW145" s="386"/>
      <c r="AX145" s="386"/>
      <c r="AY145" s="386"/>
      <c r="AZ145" s="386"/>
      <c r="BA145" s="386"/>
      <c r="BB145" s="386"/>
      <c r="BC145" s="386"/>
      <c r="BD145" s="386"/>
      <c r="BE145" s="386"/>
      <c r="BF145" s="386"/>
      <c r="BG145" s="386"/>
      <c r="BH145" s="386"/>
      <c r="BI145" s="386"/>
      <c r="BJ145" s="386"/>
      <c r="BK145" s="386"/>
      <c r="BL145" s="386"/>
      <c r="BM145" s="386"/>
      <c r="BN145" s="386"/>
      <c r="BO145" s="386"/>
      <c r="BP145" s="386"/>
      <c r="BQ145" s="386"/>
      <c r="BR145" s="386"/>
      <c r="BS145" s="386"/>
      <c r="BT145" s="386"/>
      <c r="BU145" s="386"/>
      <c r="BV145" s="386"/>
      <c r="BW145" s="386"/>
      <c r="BX145" s="386"/>
      <c r="BY145" s="386"/>
      <c r="BZ145" s="386"/>
      <c r="CA145" s="386"/>
      <c r="CB145" s="386"/>
      <c r="CC145" s="386"/>
      <c r="CD145" s="386"/>
      <c r="CE145" s="386"/>
      <c r="CF145" s="386"/>
      <c r="CG145" s="386"/>
      <c r="CH145" s="386"/>
      <c r="CI145" s="386"/>
      <c r="CJ145" s="386"/>
      <c r="CK145" s="386"/>
      <c r="CL145" s="386"/>
    </row>
    <row r="146" spans="2:90" ht="12.75" customHeight="1" x14ac:dyDescent="0.15">
      <c r="B146" s="57"/>
      <c r="C146" s="57"/>
      <c r="D146" s="58"/>
      <c r="E146" s="59"/>
      <c r="F146" s="63"/>
      <c r="G146" s="63"/>
      <c r="H146" s="63"/>
      <c r="I146" s="63"/>
      <c r="J146" s="65"/>
      <c r="K146" s="392"/>
      <c r="L146" s="65"/>
      <c r="M146" s="65"/>
      <c r="N146" s="65"/>
      <c r="O146" s="386"/>
      <c r="P146" s="386"/>
      <c r="Q146" s="386"/>
      <c r="R146" s="386"/>
      <c r="S146" s="386"/>
      <c r="T146" s="386"/>
      <c r="U146" s="386"/>
      <c r="V146" s="386"/>
      <c r="W146" s="386"/>
      <c r="X146" s="386"/>
      <c r="Y146" s="386"/>
      <c r="Z146" s="386"/>
      <c r="AA146" s="386"/>
      <c r="AB146" s="386"/>
      <c r="AC146" s="386"/>
      <c r="AD146" s="386"/>
      <c r="AE146" s="386"/>
      <c r="AF146" s="386"/>
      <c r="AG146" s="386"/>
      <c r="AH146" s="386"/>
      <c r="AI146" s="386"/>
      <c r="AJ146" s="386"/>
      <c r="AK146" s="386"/>
      <c r="AL146" s="386"/>
      <c r="AM146" s="386"/>
      <c r="AN146" s="386"/>
      <c r="AO146" s="386"/>
      <c r="AP146" s="386"/>
      <c r="AQ146" s="386"/>
      <c r="AR146" s="386"/>
      <c r="AS146" s="386"/>
      <c r="AT146" s="386"/>
      <c r="AU146" s="386"/>
      <c r="AV146" s="386"/>
      <c r="AW146" s="386"/>
      <c r="AX146" s="386"/>
      <c r="AY146" s="386"/>
      <c r="AZ146" s="386"/>
      <c r="BA146" s="386"/>
      <c r="BB146" s="386"/>
      <c r="BC146" s="386"/>
      <c r="BD146" s="386"/>
      <c r="BE146" s="386"/>
      <c r="BF146" s="386"/>
      <c r="BG146" s="386"/>
      <c r="BH146" s="386"/>
      <c r="BI146" s="386"/>
      <c r="BJ146" s="386"/>
      <c r="BK146" s="386"/>
      <c r="BL146" s="386"/>
      <c r="BM146" s="386"/>
      <c r="BN146" s="386"/>
      <c r="BO146" s="386"/>
      <c r="BP146" s="386"/>
      <c r="BQ146" s="386"/>
      <c r="BR146" s="386"/>
      <c r="BS146" s="386"/>
      <c r="BT146" s="386"/>
      <c r="BU146" s="386"/>
      <c r="BV146" s="386"/>
      <c r="BW146" s="386"/>
      <c r="BX146" s="386"/>
      <c r="BY146" s="386"/>
      <c r="BZ146" s="386"/>
      <c r="CA146" s="386"/>
      <c r="CB146" s="386"/>
      <c r="CC146" s="386"/>
      <c r="CD146" s="386"/>
      <c r="CE146" s="386"/>
      <c r="CF146" s="386"/>
      <c r="CG146" s="386"/>
      <c r="CH146" s="386"/>
      <c r="CI146" s="386"/>
      <c r="CJ146" s="386"/>
      <c r="CK146" s="386"/>
      <c r="CL146" s="386"/>
    </row>
    <row r="147" spans="2:90" ht="12.75" customHeight="1" x14ac:dyDescent="0.15">
      <c r="B147" s="57"/>
      <c r="C147" s="57"/>
      <c r="D147" s="58"/>
      <c r="E147" s="59"/>
      <c r="F147" s="63"/>
      <c r="G147" s="63"/>
      <c r="H147" s="63"/>
      <c r="I147" s="63"/>
      <c r="J147" s="65"/>
      <c r="K147" s="392"/>
      <c r="L147" s="65"/>
      <c r="M147" s="65"/>
      <c r="N147" s="65"/>
      <c r="O147" s="386"/>
      <c r="P147" s="386"/>
      <c r="Q147" s="386"/>
      <c r="R147" s="386"/>
      <c r="S147" s="386"/>
      <c r="T147" s="386"/>
      <c r="U147" s="386"/>
      <c r="V147" s="386"/>
      <c r="W147" s="386"/>
      <c r="X147" s="386"/>
      <c r="Y147" s="386"/>
      <c r="Z147" s="386"/>
      <c r="AA147" s="386"/>
      <c r="AB147" s="386"/>
      <c r="AC147" s="386"/>
      <c r="AD147" s="386"/>
      <c r="AE147" s="386"/>
      <c r="AF147" s="386"/>
      <c r="AG147" s="386"/>
      <c r="AH147" s="386"/>
      <c r="AI147" s="386"/>
      <c r="AJ147" s="386"/>
      <c r="AK147" s="386"/>
      <c r="AL147" s="386"/>
      <c r="AM147" s="386"/>
      <c r="AN147" s="386"/>
      <c r="AO147" s="386"/>
      <c r="AP147" s="386"/>
      <c r="AQ147" s="386"/>
      <c r="AR147" s="386"/>
      <c r="AS147" s="386"/>
      <c r="AT147" s="386"/>
      <c r="AU147" s="386"/>
      <c r="AV147" s="386"/>
      <c r="AW147" s="386"/>
      <c r="AX147" s="386"/>
      <c r="AY147" s="386"/>
      <c r="AZ147" s="386"/>
      <c r="BA147" s="386"/>
      <c r="BB147" s="386"/>
      <c r="BC147" s="386"/>
      <c r="BD147" s="386"/>
      <c r="BE147" s="386"/>
      <c r="BF147" s="386"/>
      <c r="BG147" s="386"/>
      <c r="BH147" s="386"/>
      <c r="BI147" s="386"/>
      <c r="BJ147" s="386"/>
      <c r="BK147" s="386"/>
      <c r="BL147" s="386"/>
      <c r="BM147" s="386"/>
      <c r="BN147" s="386"/>
      <c r="BO147" s="386"/>
      <c r="BP147" s="386"/>
      <c r="BQ147" s="386"/>
      <c r="BR147" s="386"/>
      <c r="BS147" s="386"/>
      <c r="BT147" s="386"/>
      <c r="BU147" s="386"/>
      <c r="BV147" s="386"/>
      <c r="BW147" s="386"/>
      <c r="BX147" s="386"/>
      <c r="BY147" s="386"/>
      <c r="BZ147" s="386"/>
      <c r="CA147" s="386"/>
      <c r="CB147" s="386"/>
      <c r="CC147" s="386"/>
      <c r="CD147" s="386"/>
      <c r="CE147" s="386"/>
      <c r="CF147" s="386"/>
      <c r="CG147" s="386"/>
      <c r="CH147" s="386"/>
      <c r="CI147" s="386"/>
      <c r="CJ147" s="386"/>
      <c r="CK147" s="386"/>
      <c r="CL147" s="386"/>
    </row>
    <row r="148" spans="2:90" ht="12.75" customHeight="1" x14ac:dyDescent="0.15">
      <c r="B148" s="57"/>
      <c r="C148" s="57"/>
      <c r="D148" s="58"/>
      <c r="E148" s="59"/>
      <c r="F148" s="63"/>
      <c r="G148" s="63"/>
      <c r="H148" s="63"/>
      <c r="I148" s="63"/>
      <c r="J148" s="65"/>
      <c r="K148" s="392"/>
      <c r="L148" s="65"/>
      <c r="M148" s="65"/>
      <c r="N148" s="65"/>
      <c r="O148" s="386"/>
      <c r="P148" s="386"/>
      <c r="Q148" s="386"/>
      <c r="R148" s="386"/>
      <c r="S148" s="386"/>
      <c r="T148" s="386"/>
      <c r="U148" s="386"/>
      <c r="V148" s="386"/>
      <c r="W148" s="386"/>
      <c r="X148" s="386"/>
      <c r="Y148" s="386"/>
      <c r="Z148" s="386"/>
      <c r="AA148" s="386"/>
      <c r="AB148" s="386"/>
      <c r="AC148" s="386"/>
      <c r="AD148" s="386"/>
      <c r="AE148" s="386"/>
      <c r="AF148" s="386"/>
      <c r="AG148" s="386"/>
      <c r="AH148" s="386"/>
      <c r="AI148" s="386"/>
      <c r="AJ148" s="386"/>
      <c r="AK148" s="386"/>
      <c r="AL148" s="386"/>
      <c r="AM148" s="386"/>
      <c r="AN148" s="386"/>
      <c r="AO148" s="386"/>
      <c r="AP148" s="386"/>
      <c r="AQ148" s="386"/>
      <c r="AR148" s="386"/>
      <c r="AS148" s="386"/>
      <c r="AT148" s="386"/>
      <c r="AU148" s="386"/>
      <c r="AV148" s="386"/>
      <c r="AW148" s="386"/>
      <c r="AX148" s="386"/>
      <c r="AY148" s="386"/>
      <c r="AZ148" s="386"/>
      <c r="BA148" s="386"/>
      <c r="BB148" s="386"/>
      <c r="BC148" s="386"/>
      <c r="BD148" s="386"/>
      <c r="BE148" s="386"/>
      <c r="BF148" s="386"/>
      <c r="BG148" s="386"/>
      <c r="BH148" s="386"/>
      <c r="BI148" s="386"/>
      <c r="BJ148" s="386"/>
      <c r="BK148" s="386"/>
      <c r="BL148" s="386"/>
      <c r="BM148" s="386"/>
      <c r="BN148" s="386"/>
      <c r="BO148" s="386"/>
      <c r="BP148" s="386"/>
      <c r="BQ148" s="386"/>
      <c r="BR148" s="386"/>
      <c r="BS148" s="386"/>
      <c r="BT148" s="386"/>
      <c r="BU148" s="386"/>
      <c r="BV148" s="386"/>
      <c r="BW148" s="386"/>
      <c r="BX148" s="386"/>
      <c r="BY148" s="386"/>
      <c r="BZ148" s="386"/>
      <c r="CA148" s="386"/>
      <c r="CB148" s="386"/>
      <c r="CC148" s="386"/>
      <c r="CD148" s="386"/>
      <c r="CE148" s="386"/>
      <c r="CF148" s="386"/>
      <c r="CG148" s="386"/>
      <c r="CH148" s="386"/>
      <c r="CI148" s="386"/>
      <c r="CJ148" s="386"/>
      <c r="CK148" s="386"/>
      <c r="CL148" s="386"/>
    </row>
    <row r="149" spans="2:90" ht="12.75" customHeight="1" x14ac:dyDescent="0.15">
      <c r="B149" s="57"/>
      <c r="C149" s="57"/>
      <c r="D149" s="58"/>
      <c r="E149" s="59"/>
      <c r="F149" s="63"/>
      <c r="G149" s="63"/>
      <c r="H149" s="63"/>
      <c r="I149" s="63"/>
      <c r="J149" s="65"/>
      <c r="K149" s="392"/>
      <c r="L149" s="65"/>
      <c r="M149" s="65"/>
      <c r="N149" s="65"/>
      <c r="O149" s="386"/>
      <c r="P149" s="386"/>
      <c r="Q149" s="386"/>
      <c r="R149" s="386"/>
      <c r="S149" s="386"/>
      <c r="T149" s="386"/>
      <c r="U149" s="386"/>
      <c r="V149" s="386"/>
      <c r="W149" s="386"/>
      <c r="X149" s="386"/>
      <c r="Y149" s="386"/>
      <c r="Z149" s="386"/>
      <c r="AA149" s="386"/>
      <c r="AB149" s="386"/>
      <c r="AC149" s="386"/>
      <c r="AD149" s="386"/>
      <c r="AE149" s="386"/>
      <c r="AF149" s="386"/>
      <c r="AG149" s="386"/>
      <c r="AH149" s="386"/>
      <c r="AI149" s="386"/>
      <c r="AJ149" s="386"/>
      <c r="AK149" s="386"/>
      <c r="AL149" s="386"/>
      <c r="AM149" s="386"/>
      <c r="AN149" s="386"/>
      <c r="AO149" s="386"/>
      <c r="AP149" s="386"/>
      <c r="AQ149" s="386"/>
      <c r="AR149" s="386"/>
      <c r="AS149" s="386"/>
      <c r="AT149" s="386"/>
      <c r="AU149" s="386"/>
      <c r="AV149" s="386"/>
      <c r="AW149" s="386"/>
      <c r="AX149" s="386"/>
      <c r="AY149" s="386"/>
      <c r="AZ149" s="386"/>
      <c r="BA149" s="386"/>
      <c r="BB149" s="386"/>
      <c r="BC149" s="386"/>
      <c r="BD149" s="386"/>
      <c r="BE149" s="386"/>
      <c r="BF149" s="386"/>
      <c r="BG149" s="386"/>
      <c r="BH149" s="386"/>
      <c r="BI149" s="386"/>
      <c r="BJ149" s="386"/>
      <c r="BK149" s="386"/>
      <c r="BL149" s="386"/>
      <c r="BM149" s="386"/>
      <c r="BN149" s="386"/>
      <c r="BO149" s="386"/>
      <c r="BP149" s="386"/>
      <c r="BQ149" s="386"/>
      <c r="BR149" s="386"/>
      <c r="BS149" s="386"/>
      <c r="BT149" s="386"/>
      <c r="BU149" s="386"/>
      <c r="BV149" s="386"/>
      <c r="BW149" s="386"/>
      <c r="BX149" s="386"/>
      <c r="BY149" s="386"/>
      <c r="BZ149" s="386"/>
      <c r="CA149" s="386"/>
      <c r="CB149" s="386"/>
      <c r="CC149" s="386"/>
      <c r="CD149" s="386"/>
      <c r="CE149" s="386"/>
      <c r="CF149" s="386"/>
      <c r="CG149" s="386"/>
      <c r="CH149" s="386"/>
      <c r="CI149" s="386"/>
      <c r="CJ149" s="386"/>
      <c r="CK149" s="386"/>
      <c r="CL149" s="386"/>
    </row>
    <row r="150" spans="2:90" ht="12.75" customHeight="1" x14ac:dyDescent="0.15">
      <c r="B150" s="57"/>
      <c r="C150" s="57"/>
      <c r="D150" s="58"/>
      <c r="E150" s="59"/>
      <c r="F150" s="63"/>
      <c r="G150" s="63"/>
      <c r="H150" s="63"/>
      <c r="I150" s="63"/>
      <c r="J150" s="65"/>
      <c r="K150" s="392"/>
      <c r="L150" s="65"/>
      <c r="M150" s="65"/>
      <c r="N150" s="65"/>
      <c r="O150" s="386"/>
      <c r="P150" s="386"/>
      <c r="Q150" s="386"/>
      <c r="R150" s="386"/>
      <c r="S150" s="386"/>
      <c r="T150" s="386"/>
      <c r="U150" s="386"/>
      <c r="V150" s="386"/>
      <c r="W150" s="386"/>
      <c r="X150" s="386"/>
      <c r="Y150" s="386"/>
      <c r="Z150" s="386"/>
      <c r="AA150" s="386"/>
      <c r="AB150" s="386"/>
      <c r="AC150" s="386"/>
      <c r="AD150" s="386"/>
      <c r="AE150" s="386"/>
      <c r="AF150" s="386"/>
      <c r="AG150" s="386"/>
      <c r="AH150" s="386"/>
      <c r="AI150" s="386"/>
      <c r="AJ150" s="386"/>
      <c r="AK150" s="386"/>
      <c r="AL150" s="386"/>
      <c r="AM150" s="386"/>
      <c r="AN150" s="386"/>
      <c r="AO150" s="386"/>
      <c r="AP150" s="386"/>
      <c r="AQ150" s="386"/>
      <c r="AR150" s="386"/>
      <c r="AS150" s="386"/>
      <c r="AT150" s="386"/>
      <c r="AU150" s="386"/>
      <c r="AV150" s="386"/>
      <c r="AW150" s="386"/>
      <c r="AX150" s="386"/>
      <c r="AY150" s="386"/>
      <c r="AZ150" s="386"/>
      <c r="BA150" s="386"/>
      <c r="BB150" s="386"/>
      <c r="BC150" s="386"/>
      <c r="BD150" s="386"/>
      <c r="BE150" s="386"/>
      <c r="BF150" s="386"/>
      <c r="BG150" s="386"/>
      <c r="BH150" s="386"/>
      <c r="BI150" s="386"/>
      <c r="BJ150" s="386"/>
      <c r="BK150" s="386"/>
      <c r="BL150" s="386"/>
      <c r="BM150" s="386"/>
      <c r="BN150" s="386"/>
      <c r="BO150" s="386"/>
      <c r="BP150" s="386"/>
      <c r="BQ150" s="386"/>
      <c r="BR150" s="386"/>
      <c r="BS150" s="386"/>
      <c r="BT150" s="386"/>
      <c r="BU150" s="386"/>
      <c r="BV150" s="386"/>
      <c r="BW150" s="386"/>
      <c r="BX150" s="386"/>
      <c r="BY150" s="386"/>
      <c r="BZ150" s="386"/>
      <c r="CA150" s="386"/>
      <c r="CB150" s="386"/>
      <c r="CC150" s="386"/>
      <c r="CD150" s="386"/>
      <c r="CE150" s="386"/>
      <c r="CF150" s="386"/>
      <c r="CG150" s="386"/>
      <c r="CH150" s="386"/>
      <c r="CI150" s="386"/>
      <c r="CJ150" s="386"/>
      <c r="CK150" s="386"/>
      <c r="CL150" s="386"/>
    </row>
    <row r="151" spans="2:90" ht="12.75" customHeight="1" x14ac:dyDescent="0.15">
      <c r="B151" s="57"/>
      <c r="C151" s="57"/>
      <c r="D151" s="58"/>
      <c r="E151" s="59"/>
      <c r="F151" s="63"/>
      <c r="G151" s="63"/>
      <c r="H151" s="63"/>
      <c r="I151" s="63"/>
      <c r="J151" s="65"/>
      <c r="K151" s="392"/>
      <c r="L151" s="65"/>
      <c r="M151" s="65"/>
      <c r="N151" s="65"/>
      <c r="O151" s="386"/>
      <c r="P151" s="386"/>
      <c r="Q151" s="386"/>
      <c r="R151" s="386"/>
      <c r="S151" s="386"/>
      <c r="T151" s="386"/>
      <c r="U151" s="386"/>
      <c r="V151" s="386"/>
      <c r="W151" s="386"/>
      <c r="X151" s="386"/>
      <c r="Y151" s="386"/>
      <c r="Z151" s="386"/>
      <c r="AA151" s="386"/>
      <c r="AB151" s="386"/>
      <c r="AC151" s="386"/>
      <c r="AD151" s="386"/>
      <c r="AE151" s="386"/>
      <c r="AF151" s="386"/>
      <c r="AG151" s="386"/>
      <c r="AH151" s="386"/>
      <c r="AI151" s="386"/>
      <c r="AJ151" s="386"/>
      <c r="AK151" s="386"/>
      <c r="AL151" s="386"/>
      <c r="AM151" s="386"/>
      <c r="AN151" s="386"/>
      <c r="AO151" s="386"/>
      <c r="AP151" s="386"/>
      <c r="AQ151" s="386"/>
      <c r="AR151" s="386"/>
      <c r="AS151" s="386"/>
      <c r="AT151" s="386"/>
      <c r="AU151" s="386"/>
      <c r="AV151" s="386"/>
      <c r="AW151" s="386"/>
      <c r="AX151" s="386"/>
      <c r="AY151" s="386"/>
      <c r="AZ151" s="386"/>
      <c r="BA151" s="386"/>
      <c r="BB151" s="386"/>
      <c r="BC151" s="386"/>
      <c r="BD151" s="386"/>
      <c r="BE151" s="386"/>
      <c r="BF151" s="386"/>
      <c r="BG151" s="386"/>
      <c r="BH151" s="386"/>
      <c r="BI151" s="386"/>
      <c r="BJ151" s="386"/>
      <c r="BK151" s="386"/>
      <c r="BL151" s="386"/>
      <c r="BM151" s="386"/>
      <c r="BN151" s="386"/>
      <c r="BO151" s="386"/>
      <c r="BP151" s="386"/>
      <c r="BQ151" s="386"/>
      <c r="BR151" s="386"/>
      <c r="BS151" s="386"/>
      <c r="BT151" s="386"/>
      <c r="BU151" s="386"/>
      <c r="BV151" s="386"/>
      <c r="BW151" s="386"/>
      <c r="BX151" s="386"/>
      <c r="BY151" s="386"/>
      <c r="BZ151" s="386"/>
      <c r="CA151" s="386"/>
      <c r="CB151" s="386"/>
      <c r="CC151" s="386"/>
      <c r="CD151" s="386"/>
      <c r="CE151" s="386"/>
      <c r="CF151" s="386"/>
      <c r="CG151" s="386"/>
      <c r="CH151" s="386"/>
      <c r="CI151" s="386"/>
      <c r="CJ151" s="386"/>
      <c r="CK151" s="386"/>
      <c r="CL151" s="386"/>
    </row>
    <row r="152" spans="2:90" ht="12.75" customHeight="1" x14ac:dyDescent="0.15">
      <c r="B152" s="57"/>
      <c r="C152" s="57"/>
      <c r="D152" s="58"/>
      <c r="E152" s="59"/>
      <c r="F152" s="63"/>
      <c r="G152" s="63"/>
      <c r="H152" s="63"/>
      <c r="I152" s="63"/>
      <c r="J152" s="65"/>
      <c r="K152" s="392"/>
      <c r="L152" s="65"/>
      <c r="M152" s="65"/>
      <c r="N152" s="65"/>
      <c r="O152" s="386"/>
      <c r="P152" s="386"/>
      <c r="Q152" s="386"/>
      <c r="R152" s="386"/>
      <c r="S152" s="386"/>
      <c r="T152" s="386"/>
      <c r="U152" s="386"/>
      <c r="V152" s="386"/>
      <c r="W152" s="386"/>
      <c r="X152" s="386"/>
      <c r="Y152" s="386"/>
      <c r="Z152" s="386"/>
      <c r="AA152" s="386"/>
      <c r="AB152" s="386"/>
      <c r="AC152" s="386"/>
      <c r="AD152" s="386"/>
      <c r="AE152" s="386"/>
      <c r="AF152" s="386"/>
      <c r="AG152" s="386"/>
      <c r="AH152" s="386"/>
      <c r="AI152" s="386"/>
      <c r="AJ152" s="386"/>
      <c r="AK152" s="386"/>
      <c r="AL152" s="386"/>
      <c r="AM152" s="386"/>
      <c r="AN152" s="386"/>
      <c r="AO152" s="386"/>
      <c r="AP152" s="386"/>
      <c r="AQ152" s="386"/>
      <c r="AR152" s="386"/>
      <c r="AS152" s="386"/>
      <c r="AT152" s="386"/>
      <c r="AU152" s="386"/>
      <c r="AV152" s="386"/>
      <c r="AW152" s="386"/>
      <c r="AX152" s="386"/>
      <c r="AY152" s="386"/>
      <c r="AZ152" s="386"/>
      <c r="BA152" s="386"/>
      <c r="BB152" s="386"/>
      <c r="BC152" s="386"/>
      <c r="BD152" s="386"/>
      <c r="BE152" s="386"/>
      <c r="BF152" s="386"/>
      <c r="BG152" s="386"/>
      <c r="BH152" s="386"/>
      <c r="BI152" s="386"/>
      <c r="BJ152" s="386"/>
      <c r="BK152" s="386"/>
      <c r="BL152" s="386"/>
      <c r="BM152" s="386"/>
      <c r="BN152" s="386"/>
      <c r="BO152" s="386"/>
      <c r="BP152" s="386"/>
      <c r="BQ152" s="386"/>
      <c r="BR152" s="386"/>
      <c r="BS152" s="386"/>
      <c r="BT152" s="386"/>
      <c r="BU152" s="386"/>
      <c r="BV152" s="386"/>
      <c r="BW152" s="386"/>
      <c r="BX152" s="386"/>
      <c r="BY152" s="386"/>
      <c r="BZ152" s="386"/>
      <c r="CA152" s="386"/>
      <c r="CB152" s="386"/>
      <c r="CC152" s="386"/>
      <c r="CD152" s="386"/>
      <c r="CE152" s="386"/>
      <c r="CF152" s="386"/>
      <c r="CG152" s="386"/>
      <c r="CH152" s="386"/>
      <c r="CI152" s="386"/>
      <c r="CJ152" s="386"/>
      <c r="CK152" s="386"/>
      <c r="CL152" s="386"/>
    </row>
    <row r="153" spans="2:90" ht="12.75" customHeight="1" x14ac:dyDescent="0.15">
      <c r="B153" s="57"/>
      <c r="C153" s="57"/>
      <c r="D153" s="58"/>
      <c r="E153" s="59"/>
      <c r="F153" s="63"/>
      <c r="G153" s="63"/>
      <c r="H153" s="63"/>
      <c r="I153" s="63"/>
      <c r="J153" s="65"/>
      <c r="K153" s="392"/>
      <c r="L153" s="65"/>
      <c r="M153" s="65"/>
      <c r="N153" s="65"/>
      <c r="O153" s="386"/>
      <c r="P153" s="386"/>
      <c r="Q153" s="386"/>
      <c r="R153" s="386"/>
      <c r="S153" s="386"/>
      <c r="T153" s="386"/>
      <c r="U153" s="386"/>
      <c r="V153" s="386"/>
      <c r="W153" s="386"/>
      <c r="X153" s="386"/>
      <c r="Y153" s="386"/>
      <c r="Z153" s="386"/>
      <c r="AA153" s="386"/>
      <c r="AB153" s="386"/>
      <c r="AC153" s="386"/>
      <c r="AD153" s="386"/>
      <c r="AE153" s="386"/>
      <c r="AF153" s="386"/>
      <c r="AG153" s="386"/>
      <c r="AH153" s="386"/>
      <c r="AI153" s="386"/>
      <c r="AJ153" s="386"/>
      <c r="AK153" s="386"/>
      <c r="AL153" s="386"/>
      <c r="AM153" s="386"/>
      <c r="AN153" s="386"/>
      <c r="AO153" s="386"/>
      <c r="AP153" s="386"/>
      <c r="AQ153" s="386"/>
      <c r="AR153" s="386"/>
      <c r="AS153" s="386"/>
      <c r="AT153" s="386"/>
      <c r="AU153" s="386"/>
      <c r="AV153" s="386"/>
      <c r="AW153" s="386"/>
      <c r="AX153" s="386"/>
      <c r="AY153" s="386"/>
      <c r="AZ153" s="386"/>
      <c r="BA153" s="386"/>
      <c r="BB153" s="386"/>
      <c r="BC153" s="386"/>
      <c r="BD153" s="386"/>
      <c r="BE153" s="386"/>
      <c r="BF153" s="386"/>
      <c r="BG153" s="386"/>
      <c r="BH153" s="386"/>
      <c r="BI153" s="386"/>
      <c r="BJ153" s="386"/>
      <c r="BK153" s="386"/>
      <c r="BL153" s="386"/>
      <c r="BM153" s="386"/>
      <c r="BN153" s="386"/>
      <c r="BO153" s="386"/>
      <c r="BP153" s="386"/>
      <c r="BQ153" s="386"/>
      <c r="BR153" s="386"/>
      <c r="BS153" s="386"/>
      <c r="BT153" s="386"/>
      <c r="BU153" s="386"/>
      <c r="BV153" s="386"/>
      <c r="BW153" s="386"/>
      <c r="BX153" s="386"/>
      <c r="BY153" s="386"/>
      <c r="BZ153" s="386"/>
      <c r="CA153" s="386"/>
      <c r="CB153" s="386"/>
      <c r="CC153" s="386"/>
      <c r="CD153" s="386"/>
      <c r="CE153" s="386"/>
      <c r="CF153" s="386"/>
      <c r="CG153" s="386"/>
      <c r="CH153" s="386"/>
      <c r="CI153" s="386"/>
      <c r="CJ153" s="386"/>
      <c r="CK153" s="386"/>
      <c r="CL153" s="386"/>
    </row>
    <row r="154" spans="2:90" ht="12.75" customHeight="1" x14ac:dyDescent="0.15">
      <c r="B154" s="57"/>
      <c r="C154" s="57"/>
      <c r="D154" s="58"/>
      <c r="E154" s="59"/>
      <c r="F154" s="63"/>
      <c r="G154" s="63"/>
      <c r="H154" s="63"/>
      <c r="I154" s="63"/>
      <c r="J154" s="65"/>
      <c r="K154" s="392"/>
      <c r="L154" s="65"/>
      <c r="M154" s="65"/>
      <c r="N154" s="65"/>
      <c r="O154" s="386"/>
      <c r="P154" s="386"/>
      <c r="Q154" s="386"/>
      <c r="R154" s="386"/>
      <c r="S154" s="386"/>
      <c r="T154" s="386"/>
      <c r="U154" s="386"/>
      <c r="V154" s="386"/>
      <c r="W154" s="386"/>
      <c r="X154" s="386"/>
      <c r="Y154" s="386"/>
      <c r="Z154" s="386"/>
      <c r="AA154" s="386"/>
      <c r="AB154" s="386"/>
      <c r="AC154" s="386"/>
      <c r="AD154" s="386"/>
      <c r="AE154" s="386"/>
      <c r="AF154" s="386"/>
      <c r="AG154" s="386"/>
      <c r="AH154" s="386"/>
      <c r="AI154" s="386"/>
      <c r="AJ154" s="386"/>
      <c r="AK154" s="386"/>
      <c r="AL154" s="386"/>
      <c r="AM154" s="386"/>
      <c r="AN154" s="386"/>
      <c r="AO154" s="386"/>
      <c r="AP154" s="386"/>
      <c r="AQ154" s="386"/>
      <c r="AR154" s="386"/>
      <c r="AS154" s="386"/>
      <c r="AT154" s="386"/>
      <c r="AU154" s="386"/>
      <c r="AV154" s="386"/>
      <c r="AW154" s="386"/>
      <c r="AX154" s="386"/>
      <c r="AY154" s="386"/>
      <c r="AZ154" s="386"/>
      <c r="BA154" s="386"/>
      <c r="BB154" s="386"/>
      <c r="BC154" s="386"/>
      <c r="BD154" s="386"/>
      <c r="BE154" s="386"/>
      <c r="BF154" s="386"/>
      <c r="BG154" s="386"/>
      <c r="BH154" s="386"/>
      <c r="BI154" s="386"/>
      <c r="BJ154" s="386"/>
      <c r="BK154" s="386"/>
      <c r="BL154" s="386"/>
      <c r="BM154" s="386"/>
      <c r="BN154" s="386"/>
      <c r="BO154" s="386"/>
      <c r="BP154" s="386"/>
      <c r="BQ154" s="386"/>
      <c r="BR154" s="386"/>
      <c r="BS154" s="386"/>
      <c r="BT154" s="386"/>
      <c r="BU154" s="386"/>
      <c r="BV154" s="386"/>
      <c r="BW154" s="386"/>
      <c r="BX154" s="386"/>
      <c r="BY154" s="386"/>
      <c r="BZ154" s="386"/>
      <c r="CA154" s="386"/>
      <c r="CB154" s="386"/>
      <c r="CC154" s="386"/>
      <c r="CD154" s="386"/>
      <c r="CE154" s="386"/>
      <c r="CF154" s="386"/>
      <c r="CG154" s="386"/>
      <c r="CH154" s="386"/>
      <c r="CI154" s="386"/>
      <c r="CJ154" s="386"/>
      <c r="CK154" s="386"/>
      <c r="CL154" s="386"/>
    </row>
    <row r="155" spans="2:90" ht="12.75" customHeight="1" x14ac:dyDescent="0.15">
      <c r="B155" s="57"/>
      <c r="C155" s="57"/>
      <c r="D155" s="58"/>
      <c r="E155" s="59"/>
      <c r="F155" s="63"/>
      <c r="G155" s="63"/>
      <c r="H155" s="63"/>
      <c r="I155" s="63"/>
      <c r="J155" s="65"/>
      <c r="K155" s="392"/>
      <c r="L155" s="65"/>
      <c r="M155" s="65"/>
      <c r="N155" s="65"/>
      <c r="O155" s="386"/>
      <c r="P155" s="386"/>
      <c r="Q155" s="386"/>
      <c r="R155" s="386"/>
      <c r="S155" s="386"/>
      <c r="T155" s="386"/>
      <c r="U155" s="386"/>
      <c r="V155" s="386"/>
      <c r="W155" s="386"/>
      <c r="X155" s="386"/>
      <c r="Y155" s="386"/>
      <c r="Z155" s="386"/>
      <c r="AA155" s="386"/>
      <c r="AB155" s="386"/>
      <c r="AC155" s="386"/>
      <c r="AD155" s="386"/>
      <c r="AE155" s="386"/>
      <c r="AF155" s="386"/>
      <c r="AG155" s="386"/>
      <c r="AH155" s="386"/>
      <c r="AI155" s="386"/>
      <c r="AJ155" s="386"/>
      <c r="AK155" s="386"/>
      <c r="AL155" s="386"/>
      <c r="AM155" s="386"/>
      <c r="AN155" s="386"/>
      <c r="AO155" s="386"/>
      <c r="AP155" s="386"/>
      <c r="AQ155" s="386"/>
      <c r="AR155" s="386"/>
      <c r="AS155" s="386"/>
      <c r="AT155" s="386"/>
      <c r="AU155" s="386"/>
      <c r="AV155" s="386"/>
      <c r="AW155" s="386"/>
      <c r="AX155" s="386"/>
      <c r="AY155" s="386"/>
      <c r="AZ155" s="386"/>
      <c r="BA155" s="386"/>
      <c r="BB155" s="386"/>
      <c r="BC155" s="386"/>
      <c r="BD155" s="386"/>
      <c r="BE155" s="386"/>
      <c r="BF155" s="386"/>
      <c r="BG155" s="386"/>
      <c r="BH155" s="386"/>
      <c r="BI155" s="386"/>
      <c r="BJ155" s="386"/>
      <c r="BK155" s="386"/>
      <c r="BL155" s="386"/>
      <c r="BM155" s="386"/>
      <c r="BN155" s="386"/>
      <c r="BO155" s="386"/>
      <c r="BP155" s="386"/>
      <c r="BQ155" s="386"/>
      <c r="BR155" s="386"/>
      <c r="BS155" s="386"/>
      <c r="BT155" s="386"/>
      <c r="BU155" s="386"/>
      <c r="BV155" s="386"/>
      <c r="BW155" s="386"/>
      <c r="BX155" s="386"/>
      <c r="BY155" s="386"/>
      <c r="BZ155" s="386"/>
      <c r="CA155" s="386"/>
      <c r="CB155" s="386"/>
      <c r="CC155" s="386"/>
      <c r="CD155" s="386"/>
      <c r="CE155" s="386"/>
      <c r="CF155" s="386"/>
      <c r="CG155" s="386"/>
      <c r="CH155" s="386"/>
      <c r="CI155" s="386"/>
      <c r="CJ155" s="386"/>
      <c r="CK155" s="386"/>
      <c r="CL155" s="386"/>
    </row>
    <row r="156" spans="2:90" ht="12.75" customHeight="1" x14ac:dyDescent="0.15">
      <c r="B156" s="57"/>
      <c r="C156" s="57"/>
      <c r="D156" s="58"/>
      <c r="E156" s="59"/>
      <c r="F156" s="63"/>
      <c r="G156" s="63"/>
      <c r="H156" s="63"/>
      <c r="I156" s="63"/>
      <c r="J156" s="65"/>
      <c r="K156" s="392"/>
      <c r="L156" s="65"/>
      <c r="M156" s="65"/>
      <c r="N156" s="65"/>
      <c r="O156" s="386"/>
      <c r="P156" s="386"/>
      <c r="Q156" s="386"/>
      <c r="R156" s="386"/>
      <c r="S156" s="386"/>
      <c r="T156" s="386"/>
      <c r="U156" s="386"/>
      <c r="V156" s="386"/>
      <c r="W156" s="386"/>
      <c r="X156" s="386"/>
      <c r="Y156" s="386"/>
      <c r="Z156" s="386"/>
      <c r="AA156" s="386"/>
      <c r="AB156" s="386"/>
      <c r="AC156" s="386"/>
      <c r="AD156" s="386"/>
      <c r="AE156" s="386"/>
      <c r="AF156" s="386"/>
      <c r="AG156" s="386"/>
      <c r="AH156" s="386"/>
      <c r="AI156" s="386"/>
      <c r="AJ156" s="386"/>
      <c r="AK156" s="386"/>
      <c r="AL156" s="386"/>
      <c r="AM156" s="386"/>
      <c r="AN156" s="386"/>
      <c r="AO156" s="386"/>
      <c r="AP156" s="386"/>
      <c r="AQ156" s="386"/>
      <c r="AR156" s="386"/>
      <c r="AS156" s="386"/>
      <c r="AT156" s="386"/>
      <c r="AU156" s="386"/>
      <c r="AV156" s="386"/>
      <c r="AW156" s="386"/>
      <c r="AX156" s="386"/>
      <c r="AY156" s="386"/>
      <c r="AZ156" s="386"/>
      <c r="BA156" s="386"/>
      <c r="BB156" s="386"/>
      <c r="BC156" s="386"/>
      <c r="BD156" s="386"/>
      <c r="BE156" s="386"/>
      <c r="BF156" s="386"/>
      <c r="BG156" s="386"/>
      <c r="BH156" s="386"/>
      <c r="BI156" s="386"/>
      <c r="BJ156" s="386"/>
      <c r="BK156" s="386"/>
      <c r="BL156" s="386"/>
      <c r="BM156" s="386"/>
      <c r="BN156" s="386"/>
      <c r="BO156" s="386"/>
      <c r="BP156" s="386"/>
      <c r="BQ156" s="386"/>
      <c r="BR156" s="386"/>
      <c r="BS156" s="386"/>
      <c r="BT156" s="386"/>
      <c r="BU156" s="386"/>
      <c r="BV156" s="386"/>
      <c r="BW156" s="386"/>
      <c r="BX156" s="386"/>
      <c r="BY156" s="386"/>
      <c r="BZ156" s="386"/>
      <c r="CA156" s="386"/>
      <c r="CB156" s="386"/>
      <c r="CC156" s="386"/>
      <c r="CD156" s="386"/>
      <c r="CE156" s="386"/>
      <c r="CF156" s="386"/>
      <c r="CG156" s="386"/>
      <c r="CH156" s="386"/>
      <c r="CI156" s="386"/>
      <c r="CJ156" s="386"/>
      <c r="CK156" s="386"/>
      <c r="CL156" s="386"/>
    </row>
    <row r="157" spans="2:90" ht="12.75" customHeight="1" x14ac:dyDescent="0.15">
      <c r="B157" s="57"/>
      <c r="C157" s="57"/>
      <c r="D157" s="58"/>
      <c r="E157" s="59"/>
      <c r="F157" s="63"/>
      <c r="G157" s="63"/>
      <c r="H157" s="63"/>
      <c r="I157" s="63"/>
      <c r="J157" s="65"/>
      <c r="K157" s="392"/>
      <c r="L157" s="65"/>
      <c r="M157" s="65"/>
      <c r="N157" s="65"/>
      <c r="O157" s="386"/>
      <c r="P157" s="386"/>
      <c r="Q157" s="386"/>
      <c r="R157" s="386"/>
      <c r="S157" s="386"/>
      <c r="T157" s="386"/>
      <c r="U157" s="386"/>
      <c r="V157" s="386"/>
      <c r="W157" s="386"/>
      <c r="X157" s="386"/>
      <c r="Y157" s="386"/>
      <c r="Z157" s="386"/>
      <c r="AA157" s="386"/>
      <c r="AB157" s="386"/>
      <c r="AC157" s="386"/>
      <c r="AD157" s="386"/>
      <c r="AE157" s="386"/>
      <c r="AF157" s="386"/>
      <c r="AG157" s="386"/>
      <c r="AH157" s="386"/>
      <c r="AI157" s="386"/>
      <c r="AJ157" s="386"/>
      <c r="AK157" s="386"/>
      <c r="AL157" s="386"/>
      <c r="AM157" s="386"/>
      <c r="AN157" s="386"/>
      <c r="AO157" s="386"/>
      <c r="AP157" s="386"/>
      <c r="AQ157" s="386"/>
      <c r="AR157" s="386"/>
      <c r="AS157" s="386"/>
      <c r="AT157" s="386"/>
      <c r="AU157" s="386"/>
      <c r="AV157" s="386"/>
      <c r="AW157" s="386"/>
      <c r="AX157" s="386"/>
      <c r="AY157" s="386"/>
      <c r="AZ157" s="386"/>
      <c r="BA157" s="386"/>
      <c r="BB157" s="386"/>
      <c r="BC157" s="386"/>
      <c r="BD157" s="386"/>
      <c r="BE157" s="386"/>
      <c r="BF157" s="386"/>
      <c r="BG157" s="386"/>
      <c r="BH157" s="386"/>
      <c r="BI157" s="386"/>
      <c r="BJ157" s="386"/>
      <c r="BK157" s="386"/>
      <c r="BL157" s="386"/>
      <c r="BM157" s="386"/>
      <c r="BN157" s="386"/>
      <c r="BO157" s="386"/>
      <c r="BP157" s="386"/>
      <c r="BQ157" s="386"/>
      <c r="BR157" s="386"/>
      <c r="BS157" s="386"/>
      <c r="BT157" s="386"/>
      <c r="BU157" s="386"/>
      <c r="BV157" s="386"/>
      <c r="BW157" s="386"/>
      <c r="BX157" s="386"/>
      <c r="BY157" s="386"/>
      <c r="BZ157" s="386"/>
      <c r="CA157" s="386"/>
      <c r="CB157" s="386"/>
      <c r="CC157" s="386"/>
      <c r="CD157" s="386"/>
      <c r="CE157" s="386"/>
      <c r="CF157" s="386"/>
      <c r="CG157" s="386"/>
      <c r="CH157" s="386"/>
      <c r="CI157" s="386"/>
      <c r="CJ157" s="386"/>
      <c r="CK157" s="386"/>
      <c r="CL157" s="386"/>
    </row>
    <row r="158" spans="2:90" ht="12.75" customHeight="1" x14ac:dyDescent="0.15">
      <c r="B158" s="57"/>
      <c r="C158" s="57"/>
      <c r="D158" s="58"/>
      <c r="E158" s="59"/>
      <c r="F158" s="63"/>
      <c r="G158" s="63"/>
      <c r="H158" s="63"/>
      <c r="I158" s="63"/>
      <c r="J158" s="65"/>
      <c r="K158" s="392"/>
      <c r="L158" s="65"/>
      <c r="M158" s="65"/>
      <c r="N158" s="65"/>
      <c r="O158" s="386"/>
      <c r="P158" s="386"/>
      <c r="Q158" s="386"/>
      <c r="R158" s="386"/>
      <c r="S158" s="386"/>
      <c r="T158" s="386"/>
      <c r="U158" s="386"/>
      <c r="V158" s="386"/>
      <c r="W158" s="386"/>
      <c r="X158" s="386"/>
      <c r="Y158" s="386"/>
      <c r="Z158" s="386"/>
      <c r="AA158" s="386"/>
      <c r="AB158" s="386"/>
      <c r="AC158" s="386"/>
      <c r="AD158" s="386"/>
      <c r="AE158" s="386"/>
      <c r="AF158" s="386"/>
      <c r="AG158" s="386"/>
      <c r="AH158" s="386"/>
      <c r="AI158" s="386"/>
      <c r="AJ158" s="386"/>
      <c r="AK158" s="386"/>
      <c r="AL158" s="386"/>
      <c r="AM158" s="386"/>
      <c r="AN158" s="386"/>
      <c r="AO158" s="386"/>
      <c r="AP158" s="386"/>
      <c r="AQ158" s="386"/>
      <c r="AR158" s="386"/>
      <c r="AS158" s="386"/>
      <c r="AT158" s="386"/>
      <c r="AU158" s="386"/>
      <c r="AV158" s="386"/>
      <c r="AW158" s="386"/>
      <c r="AX158" s="386"/>
      <c r="AY158" s="386"/>
      <c r="AZ158" s="386"/>
      <c r="BA158" s="386"/>
      <c r="BB158" s="386"/>
      <c r="BC158" s="386"/>
      <c r="BD158" s="386"/>
      <c r="BE158" s="386"/>
      <c r="BF158" s="386"/>
      <c r="BG158" s="386"/>
      <c r="BH158" s="386"/>
      <c r="BI158" s="386"/>
      <c r="BJ158" s="386"/>
      <c r="BK158" s="386"/>
      <c r="BL158" s="386"/>
      <c r="BM158" s="386"/>
      <c r="BN158" s="386"/>
      <c r="BO158" s="386"/>
      <c r="BP158" s="386"/>
      <c r="BQ158" s="386"/>
      <c r="BR158" s="386"/>
      <c r="BS158" s="386"/>
      <c r="BT158" s="386"/>
      <c r="BU158" s="386"/>
      <c r="BV158" s="386"/>
      <c r="BW158" s="386"/>
      <c r="BX158" s="386"/>
      <c r="BY158" s="386"/>
      <c r="BZ158" s="386"/>
      <c r="CA158" s="386"/>
      <c r="CB158" s="386"/>
      <c r="CC158" s="386"/>
      <c r="CD158" s="386"/>
      <c r="CE158" s="386"/>
      <c r="CF158" s="386"/>
      <c r="CG158" s="386"/>
      <c r="CH158" s="386"/>
      <c r="CI158" s="386"/>
      <c r="CJ158" s="386"/>
      <c r="CK158" s="386"/>
      <c r="CL158" s="386"/>
    </row>
    <row r="159" spans="2:90" ht="12.75" customHeight="1" x14ac:dyDescent="0.15">
      <c r="B159" s="57"/>
      <c r="C159" s="57"/>
      <c r="D159" s="58"/>
      <c r="E159" s="59"/>
      <c r="F159" s="63"/>
      <c r="G159" s="63"/>
      <c r="H159" s="63"/>
      <c r="I159" s="63"/>
      <c r="J159" s="65"/>
      <c r="K159" s="392"/>
      <c r="L159" s="65"/>
      <c r="M159" s="65"/>
      <c r="N159" s="65"/>
      <c r="O159" s="386"/>
      <c r="P159" s="386"/>
      <c r="Q159" s="386"/>
      <c r="R159" s="386"/>
      <c r="S159" s="386"/>
      <c r="T159" s="386"/>
      <c r="U159" s="386"/>
      <c r="V159" s="386"/>
      <c r="W159" s="386"/>
      <c r="X159" s="386"/>
      <c r="Y159" s="386"/>
      <c r="Z159" s="386"/>
      <c r="AA159" s="386"/>
      <c r="AB159" s="386"/>
      <c r="AC159" s="386"/>
      <c r="AD159" s="386"/>
      <c r="AE159" s="386"/>
      <c r="AF159" s="386"/>
      <c r="AG159" s="386"/>
      <c r="AH159" s="386"/>
      <c r="AI159" s="386"/>
      <c r="AJ159" s="386"/>
      <c r="AK159" s="386"/>
      <c r="AL159" s="386"/>
      <c r="AM159" s="386"/>
      <c r="AN159" s="386"/>
      <c r="AO159" s="386"/>
      <c r="AP159" s="386"/>
      <c r="AQ159" s="386"/>
      <c r="AR159" s="386"/>
      <c r="AS159" s="386"/>
      <c r="AT159" s="386"/>
      <c r="AU159" s="386"/>
      <c r="AV159" s="386"/>
      <c r="AW159" s="386"/>
      <c r="AX159" s="386"/>
      <c r="AY159" s="386"/>
      <c r="AZ159" s="386"/>
      <c r="BA159" s="386"/>
      <c r="BB159" s="386"/>
      <c r="BC159" s="386"/>
      <c r="BD159" s="386"/>
      <c r="BE159" s="386"/>
      <c r="BF159" s="386"/>
      <c r="BG159" s="386"/>
      <c r="BH159" s="386"/>
      <c r="BI159" s="386"/>
      <c r="BJ159" s="386"/>
      <c r="BK159" s="386"/>
      <c r="BL159" s="386"/>
      <c r="BM159" s="386"/>
      <c r="BN159" s="386"/>
      <c r="BO159" s="386"/>
      <c r="BP159" s="386"/>
      <c r="BQ159" s="386"/>
      <c r="BR159" s="386"/>
      <c r="BS159" s="386"/>
      <c r="BT159" s="386"/>
      <c r="BU159" s="386"/>
      <c r="BV159" s="386"/>
      <c r="BW159" s="386"/>
      <c r="BX159" s="386"/>
      <c r="BY159" s="386"/>
      <c r="BZ159" s="386"/>
      <c r="CA159" s="386"/>
      <c r="CB159" s="386"/>
      <c r="CC159" s="386"/>
      <c r="CD159" s="386"/>
      <c r="CE159" s="386"/>
      <c r="CF159" s="386"/>
      <c r="CG159" s="386"/>
      <c r="CH159" s="386"/>
      <c r="CI159" s="386"/>
      <c r="CJ159" s="386"/>
      <c r="CK159" s="386"/>
      <c r="CL159" s="386"/>
    </row>
    <row r="160" spans="2:90" ht="12.75" customHeight="1" x14ac:dyDescent="0.15">
      <c r="B160" s="57"/>
      <c r="C160" s="57"/>
      <c r="D160" s="58"/>
      <c r="E160" s="59"/>
      <c r="F160" s="63"/>
      <c r="G160" s="63"/>
      <c r="H160" s="63"/>
      <c r="I160" s="63"/>
      <c r="J160" s="65"/>
      <c r="K160" s="392"/>
      <c r="L160" s="65"/>
      <c r="M160" s="65"/>
      <c r="N160" s="65"/>
      <c r="O160" s="386"/>
      <c r="P160" s="386"/>
      <c r="Q160" s="386"/>
      <c r="R160" s="386"/>
      <c r="S160" s="386"/>
      <c r="T160" s="386"/>
      <c r="U160" s="386"/>
      <c r="V160" s="386"/>
      <c r="W160" s="386"/>
      <c r="X160" s="386"/>
      <c r="Y160" s="386"/>
      <c r="Z160" s="386"/>
      <c r="AA160" s="386"/>
      <c r="AB160" s="386"/>
      <c r="AC160" s="386"/>
      <c r="AD160" s="386"/>
      <c r="AE160" s="386"/>
      <c r="AF160" s="386"/>
      <c r="AG160" s="386"/>
      <c r="AH160" s="386"/>
      <c r="AI160" s="386"/>
      <c r="AJ160" s="386"/>
      <c r="AK160" s="386"/>
      <c r="AL160" s="386"/>
      <c r="AM160" s="386"/>
      <c r="AN160" s="386"/>
      <c r="AO160" s="386"/>
      <c r="AP160" s="386"/>
      <c r="AQ160" s="386"/>
      <c r="AR160" s="386"/>
      <c r="AS160" s="386"/>
      <c r="AT160" s="386"/>
      <c r="AU160" s="386"/>
      <c r="AV160" s="386"/>
      <c r="AW160" s="386"/>
      <c r="AX160" s="386"/>
      <c r="AY160" s="386"/>
      <c r="AZ160" s="386"/>
      <c r="BA160" s="386"/>
      <c r="BB160" s="386"/>
      <c r="BC160" s="386"/>
      <c r="BD160" s="386"/>
      <c r="BE160" s="386"/>
      <c r="BF160" s="386"/>
      <c r="BG160" s="386"/>
      <c r="BH160" s="386"/>
      <c r="BI160" s="386"/>
      <c r="BJ160" s="386"/>
      <c r="BK160" s="386"/>
      <c r="BL160" s="386"/>
      <c r="BM160" s="386"/>
      <c r="BN160" s="386"/>
      <c r="BO160" s="386"/>
      <c r="BP160" s="386"/>
      <c r="BQ160" s="386"/>
      <c r="BR160" s="386"/>
      <c r="BS160" s="386"/>
      <c r="BT160" s="386"/>
      <c r="BU160" s="386"/>
      <c r="BV160" s="386"/>
      <c r="BW160" s="386"/>
      <c r="BX160" s="386"/>
      <c r="BY160" s="386"/>
      <c r="BZ160" s="386"/>
      <c r="CA160" s="386"/>
      <c r="CB160" s="386"/>
      <c r="CC160" s="386"/>
      <c r="CD160" s="386"/>
      <c r="CE160" s="386"/>
      <c r="CF160" s="386"/>
      <c r="CG160" s="386"/>
      <c r="CH160" s="386"/>
      <c r="CI160" s="386"/>
      <c r="CJ160" s="386"/>
      <c r="CK160" s="386"/>
      <c r="CL160" s="386"/>
    </row>
    <row r="161" spans="2:90" ht="12.75" customHeight="1" x14ac:dyDescent="0.15">
      <c r="B161" s="57"/>
      <c r="C161" s="57"/>
      <c r="D161" s="58"/>
      <c r="E161" s="59"/>
      <c r="F161" s="63"/>
      <c r="G161" s="63"/>
      <c r="H161" s="63"/>
      <c r="I161" s="63"/>
      <c r="J161" s="65"/>
      <c r="K161" s="392"/>
      <c r="L161" s="65"/>
      <c r="M161" s="65"/>
      <c r="N161" s="65"/>
      <c r="O161" s="386"/>
      <c r="P161" s="386"/>
      <c r="Q161" s="386"/>
      <c r="R161" s="386"/>
      <c r="S161" s="386"/>
      <c r="T161" s="386"/>
      <c r="U161" s="386"/>
      <c r="V161" s="386"/>
      <c r="W161" s="386"/>
      <c r="X161" s="386"/>
      <c r="Y161" s="386"/>
      <c r="Z161" s="386"/>
      <c r="AA161" s="386"/>
      <c r="AB161" s="386"/>
      <c r="AC161" s="386"/>
      <c r="AD161" s="386"/>
      <c r="AE161" s="386"/>
      <c r="AF161" s="386"/>
      <c r="AG161" s="386"/>
      <c r="AH161" s="386"/>
      <c r="AI161" s="386"/>
      <c r="AJ161" s="386"/>
      <c r="AK161" s="386"/>
      <c r="AL161" s="386"/>
      <c r="AM161" s="386"/>
      <c r="AN161" s="386"/>
      <c r="AO161" s="386"/>
      <c r="AP161" s="386"/>
      <c r="AQ161" s="386"/>
      <c r="AR161" s="386"/>
      <c r="AS161" s="386"/>
      <c r="AT161" s="386"/>
      <c r="AU161" s="386"/>
      <c r="AV161" s="386"/>
      <c r="AW161" s="386"/>
      <c r="AX161" s="386"/>
      <c r="AY161" s="386"/>
      <c r="AZ161" s="386"/>
      <c r="BA161" s="386"/>
      <c r="BB161" s="386"/>
      <c r="BC161" s="386"/>
      <c r="BD161" s="386"/>
      <c r="BE161" s="386"/>
      <c r="BF161" s="386"/>
      <c r="BG161" s="386"/>
      <c r="BH161" s="386"/>
      <c r="BI161" s="386"/>
      <c r="BJ161" s="386"/>
      <c r="BK161" s="386"/>
      <c r="BL161" s="386"/>
      <c r="BM161" s="386"/>
      <c r="BN161" s="386"/>
      <c r="BO161" s="386"/>
      <c r="BP161" s="386"/>
      <c r="BQ161" s="386"/>
      <c r="BR161" s="386"/>
      <c r="BS161" s="386"/>
      <c r="BT161" s="386"/>
      <c r="BU161" s="386"/>
      <c r="BV161" s="386"/>
      <c r="BW161" s="386"/>
      <c r="BX161" s="386"/>
      <c r="BY161" s="386"/>
      <c r="BZ161" s="386"/>
      <c r="CA161" s="386"/>
      <c r="CB161" s="386"/>
      <c r="CC161" s="386"/>
      <c r="CD161" s="386"/>
      <c r="CE161" s="386"/>
      <c r="CF161" s="386"/>
      <c r="CG161" s="386"/>
      <c r="CH161" s="386"/>
      <c r="CI161" s="386"/>
      <c r="CJ161" s="386"/>
      <c r="CK161" s="386"/>
      <c r="CL161" s="386"/>
    </row>
    <row r="162" spans="2:90" ht="12.75" customHeight="1" x14ac:dyDescent="0.15">
      <c r="B162" s="57"/>
      <c r="C162" s="57"/>
      <c r="D162" s="58"/>
      <c r="E162" s="59"/>
      <c r="F162" s="63"/>
      <c r="G162" s="63"/>
      <c r="H162" s="63"/>
      <c r="I162" s="63"/>
      <c r="J162" s="65"/>
      <c r="K162" s="392"/>
      <c r="L162" s="65"/>
      <c r="M162" s="65"/>
      <c r="N162" s="65"/>
      <c r="O162" s="386"/>
      <c r="P162" s="386"/>
      <c r="Q162" s="386"/>
      <c r="R162" s="386"/>
      <c r="S162" s="386"/>
      <c r="T162" s="386"/>
      <c r="U162" s="386"/>
      <c r="V162" s="386"/>
      <c r="W162" s="386"/>
      <c r="X162" s="386"/>
      <c r="Y162" s="386"/>
      <c r="Z162" s="386"/>
      <c r="AA162" s="386"/>
      <c r="AB162" s="386"/>
      <c r="AC162" s="386"/>
      <c r="AD162" s="386"/>
      <c r="AE162" s="386"/>
      <c r="AF162" s="386"/>
      <c r="AG162" s="386"/>
      <c r="AH162" s="386"/>
      <c r="AI162" s="386"/>
      <c r="AJ162" s="386"/>
      <c r="AK162" s="386"/>
      <c r="AL162" s="386"/>
      <c r="AM162" s="386"/>
      <c r="AN162" s="386"/>
      <c r="AO162" s="386"/>
      <c r="AP162" s="386"/>
      <c r="AQ162" s="386"/>
      <c r="AR162" s="386"/>
      <c r="AS162" s="386"/>
      <c r="AT162" s="386"/>
      <c r="AU162" s="386"/>
      <c r="AV162" s="386"/>
      <c r="AW162" s="386"/>
      <c r="AX162" s="386"/>
      <c r="AY162" s="386"/>
      <c r="AZ162" s="386"/>
      <c r="BA162" s="386"/>
      <c r="BB162" s="386"/>
      <c r="BC162" s="386"/>
      <c r="BD162" s="386"/>
      <c r="BE162" s="386"/>
      <c r="BF162" s="386"/>
      <c r="BG162" s="386"/>
      <c r="BH162" s="386"/>
      <c r="BI162" s="386"/>
      <c r="BJ162" s="386"/>
      <c r="BK162" s="386"/>
      <c r="BL162" s="386"/>
      <c r="BM162" s="386"/>
      <c r="BN162" s="386"/>
      <c r="BO162" s="386"/>
      <c r="BP162" s="386"/>
      <c r="BQ162" s="386"/>
      <c r="BR162" s="386"/>
      <c r="BS162" s="386"/>
      <c r="BT162" s="386"/>
      <c r="BU162" s="386"/>
      <c r="BV162" s="386"/>
      <c r="BW162" s="386"/>
      <c r="BX162" s="386"/>
      <c r="BY162" s="386"/>
      <c r="BZ162" s="386"/>
      <c r="CA162" s="386"/>
      <c r="CB162" s="386"/>
      <c r="CC162" s="386"/>
      <c r="CD162" s="386"/>
      <c r="CE162" s="386"/>
      <c r="CF162" s="386"/>
      <c r="CG162" s="386"/>
      <c r="CH162" s="386"/>
      <c r="CI162" s="386"/>
      <c r="CJ162" s="386"/>
      <c r="CK162" s="386"/>
      <c r="CL162" s="386"/>
    </row>
    <row r="163" spans="2:90" ht="12.75" customHeight="1" x14ac:dyDescent="0.15">
      <c r="B163" s="57"/>
      <c r="C163" s="57"/>
      <c r="D163" s="58"/>
      <c r="E163" s="59"/>
      <c r="F163" s="63"/>
      <c r="G163" s="63"/>
      <c r="H163" s="63"/>
      <c r="I163" s="63"/>
      <c r="J163" s="65"/>
      <c r="K163" s="392"/>
      <c r="L163" s="65"/>
      <c r="M163" s="65"/>
      <c r="N163" s="65"/>
      <c r="O163" s="386"/>
      <c r="P163" s="386"/>
      <c r="Q163" s="386"/>
      <c r="R163" s="386"/>
      <c r="S163" s="386"/>
      <c r="T163" s="386"/>
      <c r="U163" s="386"/>
      <c r="V163" s="386"/>
      <c r="W163" s="386"/>
      <c r="X163" s="386"/>
      <c r="Y163" s="386"/>
      <c r="Z163" s="386"/>
      <c r="AA163" s="386"/>
      <c r="AB163" s="386"/>
      <c r="AC163" s="386"/>
      <c r="AD163" s="386"/>
      <c r="AE163" s="386"/>
      <c r="AF163" s="386"/>
      <c r="AG163" s="386"/>
      <c r="AH163" s="386"/>
      <c r="AI163" s="386"/>
      <c r="AJ163" s="386"/>
      <c r="AK163" s="386"/>
      <c r="AL163" s="386"/>
      <c r="AM163" s="386"/>
      <c r="AN163" s="386"/>
      <c r="AO163" s="386"/>
      <c r="AP163" s="386"/>
      <c r="AQ163" s="386"/>
      <c r="AR163" s="386"/>
      <c r="AS163" s="386"/>
      <c r="AT163" s="386"/>
      <c r="AU163" s="386"/>
      <c r="AV163" s="386"/>
      <c r="AW163" s="386"/>
      <c r="AX163" s="386"/>
      <c r="AY163" s="386"/>
      <c r="AZ163" s="386"/>
      <c r="BA163" s="386"/>
      <c r="BB163" s="386"/>
      <c r="BC163" s="386"/>
      <c r="BD163" s="386"/>
      <c r="BE163" s="386"/>
      <c r="BF163" s="386"/>
      <c r="BG163" s="386"/>
      <c r="BH163" s="386"/>
      <c r="BI163" s="386"/>
      <c r="BJ163" s="386"/>
      <c r="BK163" s="386"/>
      <c r="BL163" s="386"/>
      <c r="BM163" s="386"/>
      <c r="BN163" s="386"/>
      <c r="BO163" s="386"/>
      <c r="BP163" s="386"/>
      <c r="BQ163" s="386"/>
      <c r="BR163" s="386"/>
      <c r="BS163" s="386"/>
      <c r="BT163" s="386"/>
      <c r="BU163" s="386"/>
      <c r="BV163" s="386"/>
      <c r="BW163" s="386"/>
      <c r="BX163" s="386"/>
      <c r="BY163" s="386"/>
      <c r="BZ163" s="386"/>
      <c r="CA163" s="386"/>
      <c r="CB163" s="386"/>
      <c r="CC163" s="386"/>
      <c r="CD163" s="386"/>
      <c r="CE163" s="386"/>
      <c r="CF163" s="386"/>
      <c r="CG163" s="386"/>
      <c r="CH163" s="386"/>
      <c r="CI163" s="386"/>
      <c r="CJ163" s="386"/>
      <c r="CK163" s="386"/>
      <c r="CL163" s="386"/>
    </row>
    <row r="164" spans="2:90" ht="12.75" customHeight="1" x14ac:dyDescent="0.15">
      <c r="B164" s="57"/>
      <c r="C164" s="57"/>
      <c r="D164" s="58"/>
      <c r="E164" s="59"/>
      <c r="F164" s="63"/>
      <c r="G164" s="63"/>
      <c r="H164" s="63"/>
      <c r="I164" s="63"/>
      <c r="J164" s="65"/>
      <c r="K164" s="392"/>
      <c r="L164" s="65"/>
      <c r="M164" s="65"/>
      <c r="N164" s="65"/>
      <c r="O164" s="386"/>
      <c r="P164" s="386"/>
      <c r="Q164" s="386"/>
      <c r="R164" s="386"/>
      <c r="S164" s="386"/>
      <c r="T164" s="386"/>
      <c r="U164" s="386"/>
      <c r="V164" s="386"/>
      <c r="W164" s="386"/>
      <c r="X164" s="386"/>
      <c r="Y164" s="386"/>
      <c r="Z164" s="386"/>
      <c r="AA164" s="386"/>
      <c r="AB164" s="386"/>
      <c r="AC164" s="386"/>
      <c r="AD164" s="386"/>
      <c r="AE164" s="386"/>
      <c r="AF164" s="386"/>
      <c r="AG164" s="386"/>
      <c r="AH164" s="386"/>
      <c r="AI164" s="386"/>
      <c r="AJ164" s="386"/>
      <c r="AK164" s="386"/>
      <c r="AL164" s="386"/>
      <c r="AM164" s="386"/>
      <c r="AN164" s="386"/>
      <c r="AO164" s="386"/>
      <c r="AP164" s="386"/>
      <c r="AQ164" s="386"/>
      <c r="AR164" s="386"/>
      <c r="AS164" s="386"/>
      <c r="AT164" s="386"/>
      <c r="AU164" s="386"/>
      <c r="AV164" s="386"/>
      <c r="AW164" s="386"/>
      <c r="AX164" s="386"/>
      <c r="AY164" s="386"/>
      <c r="AZ164" s="386"/>
      <c r="BA164" s="386"/>
      <c r="BB164" s="386"/>
      <c r="BC164" s="386"/>
      <c r="BD164" s="386"/>
      <c r="BE164" s="386"/>
      <c r="BF164" s="386"/>
      <c r="BG164" s="386"/>
      <c r="BH164" s="386"/>
      <c r="BI164" s="386"/>
      <c r="BJ164" s="386"/>
      <c r="BK164" s="386"/>
      <c r="BL164" s="386"/>
      <c r="BM164" s="386"/>
      <c r="BN164" s="386"/>
      <c r="BO164" s="386"/>
      <c r="BP164" s="386"/>
      <c r="BQ164" s="386"/>
      <c r="BR164" s="386"/>
      <c r="BS164" s="386"/>
      <c r="BT164" s="386"/>
      <c r="BU164" s="386"/>
      <c r="BV164" s="386"/>
      <c r="BW164" s="386"/>
      <c r="BX164" s="386"/>
      <c r="BY164" s="386"/>
      <c r="BZ164" s="386"/>
      <c r="CA164" s="386"/>
      <c r="CB164" s="386"/>
      <c r="CC164" s="386"/>
      <c r="CD164" s="386"/>
      <c r="CE164" s="386"/>
      <c r="CF164" s="386"/>
      <c r="CG164" s="386"/>
      <c r="CH164" s="386"/>
      <c r="CI164" s="386"/>
      <c r="CJ164" s="386"/>
      <c r="CK164" s="386"/>
      <c r="CL164" s="386"/>
    </row>
    <row r="165" spans="2:90" ht="12.75" customHeight="1" x14ac:dyDescent="0.15">
      <c r="B165" s="57"/>
      <c r="C165" s="57"/>
      <c r="D165" s="58"/>
      <c r="E165" s="59"/>
      <c r="F165" s="63"/>
      <c r="G165" s="63"/>
      <c r="H165" s="63"/>
      <c r="I165" s="63"/>
      <c r="J165" s="65"/>
      <c r="K165" s="392"/>
      <c r="L165" s="65"/>
      <c r="M165" s="65"/>
      <c r="N165" s="65"/>
      <c r="O165" s="386"/>
      <c r="P165" s="386"/>
      <c r="Q165" s="386"/>
      <c r="R165" s="386"/>
      <c r="S165" s="386"/>
      <c r="T165" s="386"/>
      <c r="U165" s="386"/>
      <c r="V165" s="386"/>
      <c r="W165" s="386"/>
      <c r="X165" s="386"/>
      <c r="Y165" s="386"/>
      <c r="Z165" s="386"/>
      <c r="AA165" s="386"/>
      <c r="AB165" s="386"/>
      <c r="AC165" s="386"/>
      <c r="AD165" s="386"/>
      <c r="AE165" s="386"/>
      <c r="AF165" s="386"/>
      <c r="AG165" s="386"/>
      <c r="AH165" s="386"/>
      <c r="AI165" s="386"/>
      <c r="AJ165" s="386"/>
      <c r="AK165" s="386"/>
      <c r="AL165" s="386"/>
      <c r="AM165" s="386"/>
      <c r="AN165" s="386"/>
      <c r="AO165" s="386"/>
      <c r="AP165" s="386"/>
      <c r="AQ165" s="386"/>
      <c r="AR165" s="386"/>
      <c r="AS165" s="386"/>
      <c r="AT165" s="386"/>
      <c r="AU165" s="386"/>
      <c r="AV165" s="386"/>
      <c r="AW165" s="386"/>
      <c r="AX165" s="386"/>
      <c r="AY165" s="386"/>
      <c r="AZ165" s="386"/>
      <c r="BA165" s="386"/>
      <c r="BB165" s="386"/>
      <c r="BC165" s="386"/>
      <c r="BD165" s="386"/>
      <c r="BE165" s="386"/>
      <c r="BF165" s="386"/>
      <c r="BG165" s="386"/>
      <c r="BH165" s="386"/>
      <c r="BI165" s="386"/>
      <c r="BJ165" s="386"/>
      <c r="BK165" s="386"/>
      <c r="BL165" s="386"/>
      <c r="BM165" s="386"/>
      <c r="BN165" s="386"/>
      <c r="BO165" s="386"/>
      <c r="BP165" s="386"/>
      <c r="BQ165" s="386"/>
      <c r="BR165" s="386"/>
      <c r="BS165" s="386"/>
      <c r="BT165" s="386"/>
      <c r="BU165" s="386"/>
      <c r="BV165" s="386"/>
      <c r="BW165" s="386"/>
      <c r="BX165" s="386"/>
      <c r="BY165" s="386"/>
      <c r="BZ165" s="386"/>
      <c r="CA165" s="386"/>
      <c r="CB165" s="386"/>
      <c r="CC165" s="386"/>
      <c r="CD165" s="386"/>
      <c r="CE165" s="386"/>
      <c r="CF165" s="386"/>
      <c r="CG165" s="386"/>
      <c r="CH165" s="386"/>
      <c r="CI165" s="386"/>
      <c r="CJ165" s="386"/>
      <c r="CK165" s="386"/>
      <c r="CL165" s="386"/>
    </row>
    <row r="166" spans="2:90" ht="12.75" customHeight="1" x14ac:dyDescent="0.15">
      <c r="B166" s="57"/>
      <c r="C166" s="57"/>
      <c r="D166" s="58"/>
      <c r="E166" s="59"/>
      <c r="F166" s="63"/>
      <c r="G166" s="63"/>
      <c r="H166" s="63"/>
      <c r="I166" s="63"/>
      <c r="J166" s="65"/>
      <c r="K166" s="392"/>
      <c r="L166" s="65"/>
      <c r="M166" s="65"/>
      <c r="N166" s="65"/>
      <c r="O166" s="386"/>
      <c r="P166" s="386"/>
      <c r="Q166" s="386"/>
      <c r="R166" s="386"/>
      <c r="S166" s="386"/>
      <c r="T166" s="386"/>
      <c r="U166" s="386"/>
      <c r="V166" s="386"/>
      <c r="W166" s="386"/>
      <c r="X166" s="386"/>
      <c r="Y166" s="386"/>
      <c r="Z166" s="386"/>
      <c r="AA166" s="386"/>
      <c r="AB166" s="386"/>
      <c r="AC166" s="386"/>
      <c r="AD166" s="386"/>
      <c r="AE166" s="386"/>
      <c r="AF166" s="386"/>
      <c r="AG166" s="386"/>
      <c r="AH166" s="386"/>
      <c r="AI166" s="386"/>
      <c r="AJ166" s="386"/>
      <c r="AK166" s="386"/>
      <c r="AL166" s="386"/>
      <c r="AM166" s="386"/>
      <c r="AN166" s="386"/>
      <c r="AO166" s="386"/>
      <c r="AP166" s="386"/>
      <c r="AQ166" s="386"/>
      <c r="AR166" s="386"/>
      <c r="AS166" s="386"/>
      <c r="AT166" s="386"/>
      <c r="AU166" s="386"/>
      <c r="AV166" s="386"/>
      <c r="AW166" s="386"/>
      <c r="AX166" s="386"/>
      <c r="AY166" s="386"/>
      <c r="AZ166" s="386"/>
      <c r="BA166" s="386"/>
      <c r="BB166" s="386"/>
      <c r="BC166" s="386"/>
      <c r="BD166" s="386"/>
      <c r="BE166" s="386"/>
      <c r="BF166" s="386"/>
      <c r="BG166" s="386"/>
      <c r="BH166" s="386"/>
      <c r="BI166" s="386"/>
      <c r="BJ166" s="386"/>
      <c r="BK166" s="386"/>
      <c r="BL166" s="386"/>
      <c r="BM166" s="386"/>
      <c r="BN166" s="386"/>
      <c r="BO166" s="386"/>
      <c r="BP166" s="386"/>
      <c r="BQ166" s="386"/>
      <c r="BR166" s="386"/>
      <c r="BS166" s="386"/>
      <c r="BT166" s="386"/>
      <c r="BU166" s="386"/>
      <c r="BV166" s="386"/>
      <c r="BW166" s="386"/>
      <c r="BX166" s="386"/>
      <c r="BY166" s="386"/>
      <c r="BZ166" s="386"/>
      <c r="CA166" s="386"/>
      <c r="CB166" s="386"/>
      <c r="CC166" s="386"/>
      <c r="CD166" s="386"/>
      <c r="CE166" s="386"/>
      <c r="CF166" s="386"/>
      <c r="CG166" s="386"/>
      <c r="CH166" s="386"/>
      <c r="CI166" s="386"/>
      <c r="CJ166" s="386"/>
      <c r="CK166" s="386"/>
      <c r="CL166" s="386"/>
    </row>
    <row r="167" spans="2:90" ht="12.75" customHeight="1" x14ac:dyDescent="0.15">
      <c r="B167" s="57"/>
      <c r="C167" s="57"/>
      <c r="D167" s="58"/>
      <c r="E167" s="59"/>
      <c r="F167" s="63"/>
      <c r="G167" s="63"/>
      <c r="H167" s="63"/>
      <c r="I167" s="63"/>
      <c r="J167" s="65"/>
      <c r="K167" s="392"/>
      <c r="L167" s="65"/>
      <c r="M167" s="65"/>
      <c r="N167" s="65"/>
      <c r="O167" s="386"/>
      <c r="P167" s="386"/>
      <c r="Q167" s="386"/>
      <c r="R167" s="386"/>
      <c r="S167" s="386"/>
      <c r="T167" s="386"/>
      <c r="U167" s="386"/>
      <c r="V167" s="386"/>
      <c r="W167" s="386"/>
      <c r="X167" s="386"/>
      <c r="Y167" s="386"/>
      <c r="Z167" s="386"/>
      <c r="AA167" s="386"/>
      <c r="AB167" s="386"/>
      <c r="AC167" s="386"/>
      <c r="AD167" s="386"/>
      <c r="AE167" s="386"/>
      <c r="AF167" s="386"/>
      <c r="AG167" s="386"/>
      <c r="AH167" s="386"/>
      <c r="AI167" s="386"/>
      <c r="AJ167" s="386"/>
      <c r="AK167" s="386"/>
      <c r="AL167" s="386"/>
      <c r="AM167" s="386"/>
      <c r="AN167" s="386"/>
      <c r="AO167" s="386"/>
      <c r="AP167" s="386"/>
      <c r="AQ167" s="386"/>
      <c r="AR167" s="386"/>
      <c r="AS167" s="386"/>
      <c r="AT167" s="386"/>
      <c r="AU167" s="386"/>
      <c r="AV167" s="386"/>
      <c r="AW167" s="386"/>
      <c r="AX167" s="386"/>
      <c r="AY167" s="386"/>
      <c r="AZ167" s="386"/>
      <c r="BA167" s="386"/>
      <c r="BB167" s="386"/>
      <c r="BC167" s="386"/>
      <c r="BD167" s="386"/>
      <c r="BE167" s="386"/>
      <c r="BF167" s="386"/>
      <c r="BG167" s="386"/>
      <c r="BH167" s="386"/>
      <c r="BI167" s="386"/>
      <c r="BJ167" s="386"/>
      <c r="BK167" s="386"/>
      <c r="BL167" s="386"/>
      <c r="BM167" s="386"/>
      <c r="BN167" s="386"/>
      <c r="BO167" s="386"/>
      <c r="BP167" s="386"/>
      <c r="BQ167" s="386"/>
      <c r="BR167" s="386"/>
      <c r="BS167" s="386"/>
      <c r="BT167" s="386"/>
      <c r="BU167" s="386"/>
      <c r="BV167" s="386"/>
      <c r="BW167" s="386"/>
      <c r="BX167" s="386"/>
      <c r="BY167" s="386"/>
      <c r="BZ167" s="386"/>
      <c r="CA167" s="386"/>
      <c r="CB167" s="386"/>
      <c r="CC167" s="386"/>
      <c r="CD167" s="386"/>
      <c r="CE167" s="386"/>
      <c r="CF167" s="386"/>
      <c r="CG167" s="386"/>
      <c r="CH167" s="386"/>
      <c r="CI167" s="386"/>
      <c r="CJ167" s="386"/>
      <c r="CK167" s="386"/>
      <c r="CL167" s="386"/>
    </row>
    <row r="168" spans="2:90" ht="12.75" customHeight="1" x14ac:dyDescent="0.15">
      <c r="B168" s="57"/>
      <c r="C168" s="57"/>
      <c r="D168" s="58"/>
      <c r="E168" s="59"/>
      <c r="F168" s="63"/>
      <c r="G168" s="63"/>
      <c r="H168" s="63"/>
      <c r="I168" s="63"/>
      <c r="J168" s="65"/>
      <c r="K168" s="392"/>
      <c r="L168" s="65"/>
      <c r="M168" s="65"/>
      <c r="N168" s="65"/>
      <c r="O168" s="386"/>
      <c r="P168" s="386"/>
      <c r="Q168" s="386"/>
      <c r="R168" s="386"/>
      <c r="S168" s="386"/>
      <c r="T168" s="386"/>
      <c r="U168" s="386"/>
      <c r="V168" s="386"/>
      <c r="W168" s="386"/>
      <c r="X168" s="386"/>
      <c r="Y168" s="386"/>
      <c r="Z168" s="386"/>
      <c r="AA168" s="386"/>
      <c r="AB168" s="386"/>
      <c r="AC168" s="386"/>
      <c r="AD168" s="386"/>
      <c r="AE168" s="386"/>
      <c r="AF168" s="386"/>
      <c r="AG168" s="386"/>
      <c r="AH168" s="386"/>
      <c r="AI168" s="386"/>
      <c r="AJ168" s="386"/>
      <c r="AK168" s="386"/>
      <c r="AL168" s="386"/>
      <c r="AM168" s="386"/>
      <c r="AN168" s="386"/>
      <c r="AO168" s="386"/>
      <c r="AP168" s="386"/>
      <c r="AQ168" s="386"/>
      <c r="AR168" s="386"/>
      <c r="AS168" s="386"/>
      <c r="AT168" s="386"/>
      <c r="AU168" s="386"/>
      <c r="AV168" s="386"/>
      <c r="AW168" s="386"/>
      <c r="AX168" s="386"/>
      <c r="AY168" s="386"/>
      <c r="AZ168" s="386"/>
      <c r="BA168" s="386"/>
      <c r="BB168" s="386"/>
      <c r="BC168" s="386"/>
      <c r="BD168" s="386"/>
      <c r="BE168" s="386"/>
      <c r="BF168" s="386"/>
      <c r="BG168" s="386"/>
      <c r="BH168" s="386"/>
      <c r="BI168" s="386"/>
      <c r="BJ168" s="386"/>
      <c r="BK168" s="386"/>
      <c r="BL168" s="386"/>
      <c r="BM168" s="386"/>
      <c r="BN168" s="386"/>
      <c r="BO168" s="386"/>
      <c r="BP168" s="386"/>
      <c r="BQ168" s="386"/>
      <c r="BR168" s="386"/>
      <c r="BS168" s="386"/>
      <c r="BT168" s="386"/>
      <c r="BU168" s="386"/>
      <c r="BV168" s="386"/>
      <c r="BW168" s="386"/>
      <c r="BX168" s="386"/>
      <c r="BY168" s="386"/>
      <c r="BZ168" s="386"/>
      <c r="CA168" s="386"/>
      <c r="CB168" s="386"/>
      <c r="CC168" s="386"/>
      <c r="CD168" s="386"/>
      <c r="CE168" s="386"/>
      <c r="CF168" s="386"/>
      <c r="CG168" s="386"/>
      <c r="CH168" s="386"/>
      <c r="CI168" s="386"/>
      <c r="CJ168" s="386"/>
      <c r="CK168" s="386"/>
      <c r="CL168" s="386"/>
    </row>
    <row r="169" spans="2:90" ht="12.75" customHeight="1" x14ac:dyDescent="0.15">
      <c r="B169" s="57"/>
      <c r="C169" s="57"/>
      <c r="D169" s="58"/>
      <c r="E169" s="59"/>
      <c r="F169" s="63"/>
      <c r="G169" s="63"/>
      <c r="H169" s="63"/>
      <c r="I169" s="63"/>
      <c r="J169" s="65"/>
      <c r="K169" s="392"/>
      <c r="L169" s="65"/>
      <c r="M169" s="65"/>
      <c r="N169" s="65"/>
      <c r="O169" s="386"/>
      <c r="P169" s="386"/>
      <c r="Q169" s="386"/>
      <c r="R169" s="386"/>
      <c r="S169" s="386"/>
      <c r="T169" s="386"/>
      <c r="U169" s="386"/>
      <c r="V169" s="386"/>
      <c r="W169" s="386"/>
      <c r="X169" s="386"/>
      <c r="Y169" s="386"/>
      <c r="Z169" s="386"/>
      <c r="AA169" s="386"/>
      <c r="AB169" s="386"/>
      <c r="AC169" s="386"/>
      <c r="AD169" s="386"/>
      <c r="AE169" s="386"/>
      <c r="AF169" s="386"/>
      <c r="AG169" s="386"/>
      <c r="AH169" s="386"/>
      <c r="AI169" s="386"/>
      <c r="AJ169" s="386"/>
      <c r="AK169" s="386"/>
      <c r="AL169" s="386"/>
      <c r="AM169" s="386"/>
      <c r="AN169" s="386"/>
      <c r="AO169" s="386"/>
      <c r="AP169" s="386"/>
      <c r="AQ169" s="386"/>
      <c r="AR169" s="386"/>
      <c r="AS169" s="386"/>
      <c r="AT169" s="386"/>
      <c r="AU169" s="386"/>
      <c r="AV169" s="386"/>
      <c r="AW169" s="386"/>
      <c r="AX169" s="386"/>
      <c r="AY169" s="386"/>
      <c r="AZ169" s="386"/>
      <c r="BA169" s="386"/>
      <c r="BB169" s="386"/>
      <c r="BC169" s="386"/>
      <c r="BD169" s="386"/>
      <c r="BE169" s="386"/>
      <c r="BF169" s="386"/>
      <c r="BG169" s="386"/>
      <c r="BH169" s="386"/>
      <c r="BI169" s="386"/>
      <c r="BJ169" s="386"/>
      <c r="BK169" s="386"/>
      <c r="BL169" s="386"/>
      <c r="BM169" s="386"/>
      <c r="BN169" s="386"/>
      <c r="BO169" s="386"/>
      <c r="BP169" s="386"/>
      <c r="BQ169" s="386"/>
      <c r="BR169" s="386"/>
      <c r="BS169" s="386"/>
      <c r="BT169" s="386"/>
      <c r="BU169" s="386"/>
      <c r="BV169" s="386"/>
      <c r="BW169" s="386"/>
      <c r="BX169" s="386"/>
      <c r="BY169" s="386"/>
      <c r="BZ169" s="386"/>
      <c r="CA169" s="386"/>
      <c r="CB169" s="386"/>
      <c r="CC169" s="386"/>
      <c r="CD169" s="386"/>
      <c r="CE169" s="386"/>
      <c r="CF169" s="386"/>
      <c r="CG169" s="386"/>
      <c r="CH169" s="386"/>
      <c r="CI169" s="386"/>
      <c r="CJ169" s="386"/>
      <c r="CK169" s="386"/>
      <c r="CL169" s="386"/>
    </row>
    <row r="170" spans="2:90" ht="12.75" customHeight="1" x14ac:dyDescent="0.15">
      <c r="B170" s="57"/>
      <c r="C170" s="57"/>
      <c r="D170" s="58"/>
      <c r="E170" s="59"/>
      <c r="F170" s="63"/>
      <c r="G170" s="63"/>
      <c r="H170" s="63"/>
      <c r="I170" s="63"/>
      <c r="J170" s="65"/>
      <c r="K170" s="392"/>
      <c r="L170" s="65"/>
      <c r="M170" s="65"/>
      <c r="N170" s="65"/>
      <c r="O170" s="386"/>
      <c r="P170" s="386"/>
      <c r="Q170" s="386"/>
      <c r="R170" s="386"/>
      <c r="S170" s="386"/>
      <c r="T170" s="386"/>
      <c r="U170" s="386"/>
      <c r="V170" s="386"/>
      <c r="W170" s="386"/>
      <c r="X170" s="386"/>
      <c r="Y170" s="386"/>
      <c r="Z170" s="386"/>
      <c r="AA170" s="386"/>
      <c r="AB170" s="386"/>
      <c r="AC170" s="386"/>
      <c r="AD170" s="386"/>
      <c r="AE170" s="386"/>
      <c r="AF170" s="386"/>
      <c r="AG170" s="386"/>
      <c r="AH170" s="386"/>
      <c r="AI170" s="386"/>
      <c r="AJ170" s="386"/>
      <c r="AK170" s="386"/>
      <c r="AL170" s="386"/>
      <c r="AM170" s="386"/>
      <c r="AN170" s="386"/>
      <c r="AO170" s="386"/>
      <c r="AP170" s="386"/>
      <c r="AQ170" s="386"/>
      <c r="AR170" s="386"/>
      <c r="AS170" s="386"/>
      <c r="AT170" s="386"/>
      <c r="AU170" s="386"/>
      <c r="AV170" s="386"/>
      <c r="AW170" s="386"/>
      <c r="AX170" s="386"/>
      <c r="AY170" s="386"/>
      <c r="AZ170" s="386"/>
      <c r="BA170" s="386"/>
      <c r="BB170" s="386"/>
      <c r="BC170" s="386"/>
      <c r="BD170" s="386"/>
      <c r="BE170" s="386"/>
      <c r="BF170" s="386"/>
      <c r="BG170" s="386"/>
      <c r="BH170" s="386"/>
      <c r="BI170" s="386"/>
      <c r="BJ170" s="386"/>
      <c r="BK170" s="386"/>
      <c r="BL170" s="386"/>
      <c r="BM170" s="386"/>
      <c r="BN170" s="386"/>
      <c r="BO170" s="386"/>
      <c r="BP170" s="386"/>
      <c r="BQ170" s="386"/>
      <c r="BR170" s="386"/>
      <c r="BS170" s="386"/>
      <c r="BT170" s="386"/>
      <c r="BU170" s="386"/>
      <c r="BV170" s="386"/>
      <c r="BW170" s="386"/>
      <c r="BX170" s="386"/>
      <c r="BY170" s="386"/>
      <c r="BZ170" s="386"/>
      <c r="CA170" s="386"/>
      <c r="CB170" s="386"/>
      <c r="CC170" s="386"/>
      <c r="CD170" s="386"/>
      <c r="CE170" s="386"/>
      <c r="CF170" s="386"/>
      <c r="CG170" s="386"/>
      <c r="CH170" s="386"/>
      <c r="CI170" s="386"/>
      <c r="CJ170" s="386"/>
      <c r="CK170" s="386"/>
      <c r="CL170" s="386"/>
    </row>
    <row r="171" spans="2:90" ht="12.75" customHeight="1" x14ac:dyDescent="0.15">
      <c r="B171" s="57"/>
      <c r="C171" s="57"/>
      <c r="D171" s="58"/>
      <c r="E171" s="59"/>
      <c r="F171" s="63"/>
      <c r="G171" s="63"/>
      <c r="H171" s="63"/>
      <c r="I171" s="63"/>
      <c r="J171" s="65"/>
      <c r="K171" s="392"/>
      <c r="L171" s="65"/>
      <c r="M171" s="65"/>
      <c r="N171" s="65"/>
      <c r="O171" s="386"/>
      <c r="P171" s="386"/>
      <c r="Q171" s="386"/>
      <c r="R171" s="386"/>
      <c r="S171" s="386"/>
      <c r="T171" s="386"/>
      <c r="U171" s="386"/>
      <c r="V171" s="386"/>
      <c r="W171" s="386"/>
      <c r="X171" s="386"/>
      <c r="Y171" s="386"/>
      <c r="Z171" s="386"/>
      <c r="AA171" s="386"/>
      <c r="AB171" s="386"/>
      <c r="AC171" s="386"/>
      <c r="AD171" s="386"/>
      <c r="AE171" s="386"/>
      <c r="AF171" s="386"/>
      <c r="AG171" s="386"/>
      <c r="AH171" s="386"/>
      <c r="AI171" s="386"/>
      <c r="AJ171" s="386"/>
      <c r="AK171" s="386"/>
      <c r="AL171" s="386"/>
      <c r="AM171" s="386"/>
      <c r="AN171" s="386"/>
      <c r="AO171" s="386"/>
      <c r="AP171" s="386"/>
      <c r="AQ171" s="386"/>
      <c r="AR171" s="386"/>
      <c r="AS171" s="386"/>
      <c r="AT171" s="386"/>
      <c r="AU171" s="386"/>
      <c r="AV171" s="386"/>
      <c r="AW171" s="386"/>
      <c r="AX171" s="386"/>
      <c r="AY171" s="386"/>
      <c r="AZ171" s="386"/>
      <c r="BA171" s="386"/>
      <c r="BB171" s="386"/>
      <c r="BC171" s="386"/>
      <c r="BD171" s="386"/>
      <c r="BE171" s="386"/>
      <c r="BF171" s="386"/>
      <c r="BG171" s="386"/>
      <c r="BH171" s="386"/>
      <c r="BI171" s="386"/>
      <c r="BJ171" s="386"/>
      <c r="BK171" s="386"/>
      <c r="BL171" s="386"/>
      <c r="BM171" s="386"/>
      <c r="BN171" s="386"/>
      <c r="BO171" s="386"/>
      <c r="BP171" s="386"/>
      <c r="BQ171" s="386"/>
      <c r="BR171" s="386"/>
      <c r="BS171" s="386"/>
      <c r="BT171" s="386"/>
      <c r="BU171" s="386"/>
      <c r="BV171" s="386"/>
      <c r="BW171" s="386"/>
      <c r="BX171" s="386"/>
      <c r="BY171" s="386"/>
      <c r="BZ171" s="386"/>
      <c r="CA171" s="386"/>
      <c r="CB171" s="386"/>
      <c r="CC171" s="386"/>
      <c r="CD171" s="386"/>
      <c r="CE171" s="386"/>
      <c r="CF171" s="386"/>
      <c r="CG171" s="386"/>
      <c r="CH171" s="386"/>
      <c r="CI171" s="386"/>
      <c r="CJ171" s="386"/>
      <c r="CK171" s="386"/>
      <c r="CL171" s="386"/>
    </row>
    <row r="172" spans="2:90" ht="12.75" customHeight="1" x14ac:dyDescent="0.15">
      <c r="B172" s="57"/>
      <c r="C172" s="57"/>
      <c r="D172" s="58"/>
      <c r="E172" s="59"/>
      <c r="F172" s="63"/>
      <c r="G172" s="63"/>
      <c r="H172" s="63"/>
      <c r="I172" s="63"/>
      <c r="J172" s="65"/>
      <c r="K172" s="392"/>
      <c r="L172" s="65"/>
      <c r="M172" s="65"/>
      <c r="N172" s="65"/>
      <c r="O172" s="386"/>
      <c r="P172" s="386"/>
      <c r="Q172" s="386"/>
      <c r="R172" s="386"/>
      <c r="S172" s="386"/>
      <c r="T172" s="386"/>
      <c r="U172" s="386"/>
      <c r="V172" s="386"/>
      <c r="W172" s="386"/>
      <c r="X172" s="386"/>
      <c r="Y172" s="386"/>
      <c r="Z172" s="386"/>
      <c r="AA172" s="386"/>
      <c r="AB172" s="386"/>
      <c r="AC172" s="386"/>
      <c r="AD172" s="386"/>
      <c r="AE172" s="386"/>
      <c r="AF172" s="386"/>
      <c r="AG172" s="386"/>
      <c r="AH172" s="386"/>
      <c r="AI172" s="386"/>
      <c r="AJ172" s="386"/>
      <c r="AK172" s="386"/>
      <c r="AL172" s="386"/>
      <c r="AM172" s="386"/>
      <c r="AN172" s="386"/>
      <c r="AO172" s="386"/>
      <c r="AP172" s="386"/>
      <c r="AQ172" s="386"/>
      <c r="AR172" s="386"/>
      <c r="AS172" s="386"/>
      <c r="AT172" s="386"/>
      <c r="AU172" s="386"/>
      <c r="AV172" s="386"/>
      <c r="AW172" s="386"/>
      <c r="AX172" s="386"/>
      <c r="AY172" s="386"/>
      <c r="AZ172" s="386"/>
      <c r="BA172" s="386"/>
      <c r="BB172" s="386"/>
      <c r="BC172" s="386"/>
      <c r="BD172" s="386"/>
      <c r="BE172" s="386"/>
      <c r="BF172" s="386"/>
      <c r="BG172" s="386"/>
      <c r="BH172" s="386"/>
      <c r="BI172" s="386"/>
      <c r="BJ172" s="386"/>
      <c r="BK172" s="386"/>
      <c r="BL172" s="386"/>
      <c r="BM172" s="386"/>
      <c r="BN172" s="386"/>
      <c r="BO172" s="386"/>
      <c r="BP172" s="386"/>
      <c r="BQ172" s="386"/>
      <c r="BR172" s="386"/>
      <c r="BS172" s="386"/>
      <c r="BT172" s="386"/>
      <c r="BU172" s="386"/>
      <c r="BV172" s="386"/>
      <c r="BW172" s="386"/>
      <c r="BX172" s="386"/>
      <c r="BY172" s="386"/>
      <c r="BZ172" s="386"/>
      <c r="CA172" s="386"/>
      <c r="CB172" s="386"/>
      <c r="CC172" s="386"/>
      <c r="CD172" s="386"/>
      <c r="CE172" s="386"/>
      <c r="CF172" s="386"/>
      <c r="CG172" s="386"/>
      <c r="CH172" s="386"/>
      <c r="CI172" s="386"/>
      <c r="CJ172" s="386"/>
      <c r="CK172" s="386"/>
      <c r="CL172" s="386"/>
    </row>
    <row r="173" spans="2:90" ht="12.75" customHeight="1" x14ac:dyDescent="0.15">
      <c r="B173" s="57"/>
      <c r="C173" s="57"/>
      <c r="D173" s="58"/>
      <c r="E173" s="59"/>
      <c r="F173" s="63"/>
      <c r="G173" s="63"/>
      <c r="H173" s="63"/>
      <c r="I173" s="63"/>
      <c r="J173" s="65"/>
      <c r="K173" s="392"/>
      <c r="L173" s="65"/>
      <c r="M173" s="65"/>
      <c r="N173" s="65"/>
      <c r="O173" s="386"/>
      <c r="P173" s="386"/>
      <c r="Q173" s="386"/>
      <c r="R173" s="386"/>
      <c r="S173" s="386"/>
      <c r="T173" s="386"/>
      <c r="U173" s="386"/>
      <c r="V173" s="386"/>
      <c r="W173" s="386"/>
      <c r="X173" s="386"/>
      <c r="Y173" s="386"/>
      <c r="Z173" s="386"/>
      <c r="AA173" s="386"/>
      <c r="AB173" s="386"/>
      <c r="AC173" s="386"/>
      <c r="AD173" s="386"/>
      <c r="AE173" s="386"/>
      <c r="AF173" s="386"/>
      <c r="AG173" s="386"/>
      <c r="AH173" s="386"/>
      <c r="AI173" s="386"/>
      <c r="AJ173" s="386"/>
      <c r="AK173" s="386"/>
      <c r="AL173" s="386"/>
      <c r="AM173" s="386"/>
      <c r="AN173" s="386"/>
      <c r="AO173" s="386"/>
      <c r="AP173" s="386"/>
      <c r="AQ173" s="386"/>
      <c r="AR173" s="386"/>
      <c r="AS173" s="386"/>
      <c r="AT173" s="386"/>
      <c r="AU173" s="386"/>
      <c r="AV173" s="386"/>
      <c r="AW173" s="386"/>
      <c r="AX173" s="386"/>
      <c r="AY173" s="386"/>
      <c r="AZ173" s="386"/>
      <c r="BA173" s="386"/>
      <c r="BB173" s="386"/>
      <c r="BC173" s="386"/>
      <c r="BD173" s="386"/>
      <c r="BE173" s="386"/>
      <c r="BF173" s="386"/>
      <c r="BG173" s="386"/>
      <c r="BH173" s="386"/>
      <c r="BI173" s="386"/>
      <c r="BJ173" s="386"/>
      <c r="BK173" s="386"/>
      <c r="BL173" s="386"/>
      <c r="BM173" s="386"/>
      <c r="BN173" s="386"/>
      <c r="BO173" s="386"/>
      <c r="BP173" s="386"/>
      <c r="BQ173" s="386"/>
      <c r="BR173" s="386"/>
      <c r="BS173" s="386"/>
      <c r="BT173" s="386"/>
      <c r="BU173" s="386"/>
      <c r="BV173" s="386"/>
      <c r="BW173" s="386"/>
      <c r="BX173" s="386"/>
      <c r="BY173" s="386"/>
      <c r="BZ173" s="386"/>
      <c r="CA173" s="386"/>
      <c r="CB173" s="386"/>
      <c r="CC173" s="386"/>
      <c r="CD173" s="386"/>
      <c r="CE173" s="386"/>
      <c r="CF173" s="386"/>
      <c r="CG173" s="386"/>
      <c r="CH173" s="386"/>
      <c r="CI173" s="386"/>
      <c r="CJ173" s="386"/>
      <c r="CK173" s="386"/>
      <c r="CL173" s="386"/>
    </row>
    <row r="174" spans="2:90" ht="12.75" customHeight="1" x14ac:dyDescent="0.15">
      <c r="B174" s="57"/>
      <c r="C174" s="57"/>
      <c r="D174" s="58"/>
      <c r="E174" s="59"/>
      <c r="F174" s="63"/>
      <c r="G174" s="63"/>
      <c r="H174" s="63"/>
      <c r="I174" s="63"/>
      <c r="J174" s="65"/>
      <c r="K174" s="392"/>
      <c r="L174" s="65"/>
      <c r="M174" s="65"/>
      <c r="N174" s="65"/>
      <c r="O174" s="386"/>
      <c r="P174" s="386"/>
      <c r="Q174" s="386"/>
      <c r="R174" s="386"/>
      <c r="S174" s="386"/>
      <c r="T174" s="386"/>
      <c r="U174" s="386"/>
      <c r="V174" s="386"/>
      <c r="W174" s="386"/>
      <c r="X174" s="386"/>
      <c r="Y174" s="386"/>
      <c r="Z174" s="386"/>
      <c r="AA174" s="386"/>
      <c r="AB174" s="386"/>
      <c r="AC174" s="386"/>
      <c r="AD174" s="386"/>
      <c r="AE174" s="386"/>
      <c r="AF174" s="386"/>
      <c r="AG174" s="386"/>
      <c r="AH174" s="386"/>
      <c r="AI174" s="386"/>
      <c r="AJ174" s="386"/>
      <c r="AK174" s="386"/>
      <c r="AL174" s="386"/>
      <c r="AM174" s="386"/>
      <c r="AN174" s="386"/>
      <c r="AO174" s="386"/>
      <c r="AP174" s="386"/>
      <c r="AQ174" s="386"/>
      <c r="AR174" s="386"/>
      <c r="AS174" s="386"/>
      <c r="AT174" s="386"/>
      <c r="AU174" s="386"/>
      <c r="AV174" s="386"/>
      <c r="AW174" s="386"/>
      <c r="AX174" s="386"/>
      <c r="AY174" s="386"/>
      <c r="AZ174" s="386"/>
      <c r="BA174" s="386"/>
      <c r="BB174" s="386"/>
      <c r="BC174" s="386"/>
      <c r="BD174" s="386"/>
      <c r="BE174" s="386"/>
      <c r="BF174" s="386"/>
      <c r="BG174" s="386"/>
      <c r="BH174" s="386"/>
      <c r="BI174" s="386"/>
      <c r="BJ174" s="386"/>
      <c r="BK174" s="386"/>
      <c r="BL174" s="386"/>
      <c r="BM174" s="386"/>
      <c r="BN174" s="386"/>
      <c r="BO174" s="386"/>
      <c r="BP174" s="386"/>
      <c r="BQ174" s="386"/>
      <c r="BR174" s="386"/>
      <c r="BS174" s="386"/>
      <c r="BT174" s="386"/>
      <c r="BU174" s="386"/>
      <c r="BV174" s="386"/>
      <c r="BW174" s="386"/>
      <c r="BX174" s="386"/>
      <c r="BY174" s="386"/>
      <c r="BZ174" s="386"/>
      <c r="CA174" s="386"/>
      <c r="CB174" s="386"/>
      <c r="CC174" s="386"/>
      <c r="CD174" s="386"/>
      <c r="CE174" s="386"/>
      <c r="CF174" s="386"/>
      <c r="CG174" s="386"/>
      <c r="CH174" s="386"/>
      <c r="CI174" s="386"/>
      <c r="CJ174" s="386"/>
      <c r="CK174" s="386"/>
      <c r="CL174" s="386"/>
    </row>
    <row r="175" spans="2:90" ht="12.75" customHeight="1" x14ac:dyDescent="0.15">
      <c r="B175" s="57"/>
      <c r="C175" s="57"/>
      <c r="D175" s="58"/>
      <c r="E175" s="59"/>
      <c r="F175" s="63"/>
      <c r="G175" s="63"/>
      <c r="H175" s="63"/>
      <c r="I175" s="63"/>
      <c r="J175" s="65"/>
      <c r="K175" s="392"/>
      <c r="L175" s="65"/>
      <c r="M175" s="65"/>
      <c r="N175" s="65"/>
      <c r="O175" s="386"/>
      <c r="P175" s="386"/>
      <c r="Q175" s="386"/>
      <c r="R175" s="386"/>
      <c r="S175" s="386"/>
      <c r="T175" s="386"/>
      <c r="U175" s="386"/>
      <c r="V175" s="386"/>
      <c r="W175" s="386"/>
      <c r="X175" s="386"/>
      <c r="Y175" s="386"/>
      <c r="Z175" s="386"/>
      <c r="AA175" s="386"/>
      <c r="AB175" s="386"/>
      <c r="AC175" s="386"/>
      <c r="AD175" s="386"/>
      <c r="AE175" s="386"/>
      <c r="AF175" s="386"/>
      <c r="AG175" s="386"/>
      <c r="AH175" s="386"/>
      <c r="AI175" s="386"/>
      <c r="AJ175" s="386"/>
      <c r="AK175" s="386"/>
      <c r="AL175" s="386"/>
      <c r="AM175" s="386"/>
      <c r="AN175" s="386"/>
      <c r="AO175" s="386"/>
      <c r="AP175" s="386"/>
      <c r="AQ175" s="386"/>
      <c r="AR175" s="386"/>
      <c r="AS175" s="386"/>
      <c r="AT175" s="386"/>
      <c r="AU175" s="386"/>
      <c r="AV175" s="386"/>
      <c r="AW175" s="386"/>
      <c r="AX175" s="386"/>
      <c r="AY175" s="386"/>
      <c r="AZ175" s="386"/>
      <c r="BA175" s="386"/>
      <c r="BB175" s="386"/>
      <c r="BC175" s="386"/>
      <c r="BD175" s="386"/>
      <c r="BE175" s="386"/>
      <c r="BF175" s="386"/>
      <c r="BG175" s="386"/>
      <c r="BH175" s="386"/>
      <c r="BI175" s="386"/>
      <c r="BJ175" s="386"/>
      <c r="BK175" s="386"/>
      <c r="BL175" s="386"/>
      <c r="BM175" s="386"/>
      <c r="BN175" s="386"/>
      <c r="BO175" s="386"/>
      <c r="BP175" s="386"/>
      <c r="BQ175" s="386"/>
      <c r="BR175" s="386"/>
      <c r="BS175" s="386"/>
      <c r="BT175" s="386"/>
      <c r="BU175" s="386"/>
      <c r="BV175" s="386"/>
      <c r="BW175" s="386"/>
      <c r="BX175" s="386"/>
      <c r="BY175" s="386"/>
      <c r="BZ175" s="386"/>
      <c r="CA175" s="386"/>
      <c r="CB175" s="386"/>
      <c r="CC175" s="386"/>
      <c r="CD175" s="386"/>
      <c r="CE175" s="386"/>
      <c r="CF175" s="386"/>
      <c r="CG175" s="386"/>
      <c r="CH175" s="386"/>
      <c r="CI175" s="386"/>
      <c r="CJ175" s="386"/>
      <c r="CK175" s="386"/>
      <c r="CL175" s="386"/>
    </row>
    <row r="176" spans="2:90" ht="12.75" customHeight="1" x14ac:dyDescent="0.15">
      <c r="B176" s="57"/>
      <c r="C176" s="57"/>
      <c r="D176" s="58"/>
      <c r="E176" s="59"/>
      <c r="F176" s="63"/>
      <c r="G176" s="63"/>
      <c r="H176" s="63"/>
      <c r="I176" s="63"/>
      <c r="J176" s="65"/>
      <c r="K176" s="392"/>
      <c r="L176" s="65"/>
      <c r="M176" s="65"/>
      <c r="N176" s="65"/>
      <c r="O176" s="386"/>
      <c r="P176" s="386"/>
      <c r="Q176" s="386"/>
      <c r="R176" s="386"/>
      <c r="S176" s="386"/>
      <c r="T176" s="386"/>
      <c r="U176" s="386"/>
      <c r="V176" s="386"/>
      <c r="W176" s="386"/>
      <c r="X176" s="386"/>
      <c r="Y176" s="386"/>
      <c r="Z176" s="386"/>
      <c r="AA176" s="386"/>
      <c r="AB176" s="386"/>
      <c r="AC176" s="386"/>
      <c r="AD176" s="386"/>
      <c r="AE176" s="386"/>
      <c r="AF176" s="386"/>
      <c r="AG176" s="386"/>
      <c r="AH176" s="386"/>
      <c r="AI176" s="386"/>
      <c r="AJ176" s="386"/>
      <c r="AK176" s="386"/>
      <c r="AL176" s="386"/>
      <c r="AM176" s="386"/>
      <c r="AN176" s="386"/>
      <c r="AO176" s="386"/>
      <c r="AP176" s="386"/>
      <c r="AQ176" s="386"/>
      <c r="AR176" s="386"/>
      <c r="AS176" s="386"/>
      <c r="AT176" s="386"/>
      <c r="AU176" s="386"/>
      <c r="AV176" s="386"/>
      <c r="AW176" s="386"/>
      <c r="AX176" s="386"/>
      <c r="AY176" s="386"/>
      <c r="AZ176" s="386"/>
      <c r="BA176" s="386"/>
      <c r="BB176" s="386"/>
      <c r="BC176" s="386"/>
      <c r="BD176" s="386"/>
      <c r="BE176" s="386"/>
      <c r="BF176" s="386"/>
      <c r="BG176" s="386"/>
      <c r="BH176" s="386"/>
      <c r="BI176" s="386"/>
      <c r="BJ176" s="386"/>
      <c r="BK176" s="386"/>
      <c r="BL176" s="386"/>
      <c r="BM176" s="386"/>
      <c r="BN176" s="386"/>
      <c r="BO176" s="386"/>
      <c r="BP176" s="386"/>
      <c r="BQ176" s="386"/>
      <c r="BR176" s="386"/>
      <c r="BS176" s="386"/>
      <c r="BT176" s="386"/>
      <c r="BU176" s="386"/>
      <c r="BV176" s="386"/>
      <c r="BW176" s="386"/>
      <c r="BX176" s="386"/>
      <c r="BY176" s="386"/>
      <c r="BZ176" s="386"/>
      <c r="CA176" s="386"/>
      <c r="CB176" s="386"/>
      <c r="CC176" s="386"/>
      <c r="CD176" s="386"/>
      <c r="CE176" s="386"/>
      <c r="CF176" s="386"/>
      <c r="CG176" s="386"/>
      <c r="CH176" s="386"/>
      <c r="CI176" s="386"/>
      <c r="CJ176" s="386"/>
      <c r="CK176" s="386"/>
      <c r="CL176" s="386"/>
    </row>
    <row r="177" spans="2:90" ht="12.75" customHeight="1" x14ac:dyDescent="0.15">
      <c r="B177" s="57"/>
      <c r="C177" s="57"/>
      <c r="D177" s="58"/>
      <c r="E177" s="59"/>
      <c r="F177" s="63"/>
      <c r="G177" s="63"/>
      <c r="H177" s="63"/>
      <c r="I177" s="63"/>
      <c r="J177" s="65"/>
      <c r="K177" s="392"/>
      <c r="L177" s="65"/>
      <c r="M177" s="65"/>
      <c r="N177" s="65"/>
      <c r="O177" s="386"/>
      <c r="P177" s="386"/>
      <c r="Q177" s="386"/>
      <c r="R177" s="386"/>
      <c r="S177" s="386"/>
      <c r="T177" s="386"/>
      <c r="U177" s="386"/>
      <c r="V177" s="386"/>
      <c r="W177" s="386"/>
      <c r="X177" s="386"/>
      <c r="Y177" s="386"/>
      <c r="Z177" s="386"/>
      <c r="AA177" s="386"/>
      <c r="AB177" s="386"/>
      <c r="AC177" s="386"/>
      <c r="AD177" s="386"/>
      <c r="AE177" s="386"/>
      <c r="AF177" s="386"/>
      <c r="AG177" s="386"/>
      <c r="AH177" s="386"/>
      <c r="AI177" s="386"/>
      <c r="AJ177" s="386"/>
      <c r="AK177" s="386"/>
      <c r="AL177" s="386"/>
      <c r="AM177" s="386"/>
      <c r="AN177" s="386"/>
      <c r="AO177" s="386"/>
      <c r="AP177" s="386"/>
      <c r="AQ177" s="386"/>
      <c r="AR177" s="386"/>
      <c r="AS177" s="386"/>
      <c r="AT177" s="386"/>
      <c r="AU177" s="386"/>
      <c r="AV177" s="386"/>
      <c r="AW177" s="386"/>
      <c r="AX177" s="386"/>
      <c r="AY177" s="386"/>
      <c r="AZ177" s="386"/>
      <c r="BA177" s="386"/>
      <c r="BB177" s="386"/>
      <c r="BC177" s="386"/>
      <c r="BD177" s="386"/>
      <c r="BE177" s="386"/>
      <c r="BF177" s="386"/>
      <c r="BG177" s="386"/>
      <c r="BH177" s="386"/>
      <c r="BI177" s="386"/>
      <c r="BJ177" s="386"/>
      <c r="BK177" s="386"/>
      <c r="BL177" s="386"/>
      <c r="BM177" s="386"/>
      <c r="BN177" s="386"/>
      <c r="BO177" s="386"/>
      <c r="BP177" s="386"/>
      <c r="BQ177" s="386"/>
      <c r="BR177" s="386"/>
      <c r="BS177" s="386"/>
      <c r="BT177" s="386"/>
      <c r="BU177" s="386"/>
      <c r="BV177" s="386"/>
      <c r="BW177" s="386"/>
      <c r="BX177" s="386"/>
      <c r="BY177" s="386"/>
      <c r="BZ177" s="386"/>
      <c r="CA177" s="386"/>
      <c r="CB177" s="386"/>
      <c r="CC177" s="386"/>
      <c r="CD177" s="386"/>
      <c r="CE177" s="386"/>
      <c r="CF177" s="386"/>
      <c r="CG177" s="386"/>
      <c r="CH177" s="386"/>
      <c r="CI177" s="386"/>
      <c r="CJ177" s="386"/>
      <c r="CK177" s="386"/>
      <c r="CL177" s="386"/>
    </row>
    <row r="178" spans="2:90" ht="12.75" customHeight="1" x14ac:dyDescent="0.15">
      <c r="B178" s="57"/>
      <c r="C178" s="57"/>
      <c r="D178" s="58"/>
      <c r="E178" s="59"/>
      <c r="F178" s="63"/>
      <c r="G178" s="63"/>
      <c r="H178" s="63"/>
      <c r="I178" s="63"/>
      <c r="J178" s="65"/>
      <c r="K178" s="392"/>
      <c r="L178" s="65"/>
      <c r="M178" s="65"/>
      <c r="N178" s="65"/>
      <c r="O178" s="386"/>
      <c r="P178" s="386"/>
      <c r="Q178" s="386"/>
      <c r="R178" s="386"/>
      <c r="S178" s="386"/>
      <c r="T178" s="386"/>
      <c r="U178" s="386"/>
      <c r="V178" s="386"/>
      <c r="W178" s="386"/>
      <c r="X178" s="386"/>
      <c r="Y178" s="386"/>
      <c r="Z178" s="386"/>
      <c r="AA178" s="386"/>
      <c r="AB178" s="386"/>
      <c r="AC178" s="386"/>
      <c r="AD178" s="386"/>
      <c r="AE178" s="386"/>
      <c r="AF178" s="386"/>
      <c r="AG178" s="386"/>
      <c r="AH178" s="386"/>
      <c r="AI178" s="386"/>
      <c r="AJ178" s="386"/>
      <c r="AK178" s="386"/>
      <c r="AL178" s="386"/>
      <c r="AM178" s="386"/>
      <c r="AN178" s="386"/>
      <c r="AO178" s="386"/>
      <c r="AP178" s="386"/>
      <c r="AQ178" s="386"/>
      <c r="AR178" s="386"/>
      <c r="AS178" s="386"/>
      <c r="AT178" s="386"/>
      <c r="AU178" s="386"/>
      <c r="AV178" s="386"/>
      <c r="AW178" s="386"/>
      <c r="AX178" s="386"/>
      <c r="AY178" s="386"/>
      <c r="AZ178" s="386"/>
      <c r="BA178" s="386"/>
      <c r="BB178" s="386"/>
      <c r="BC178" s="386"/>
      <c r="BD178" s="386"/>
      <c r="BE178" s="386"/>
      <c r="BF178" s="386"/>
      <c r="BG178" s="386"/>
      <c r="BH178" s="386"/>
      <c r="BI178" s="386"/>
      <c r="BJ178" s="386"/>
      <c r="BK178" s="386"/>
      <c r="BL178" s="386"/>
      <c r="BM178" s="386"/>
      <c r="BN178" s="386"/>
      <c r="BO178" s="386"/>
      <c r="BP178" s="386"/>
      <c r="BQ178" s="386"/>
      <c r="BR178" s="386"/>
      <c r="BS178" s="386"/>
      <c r="BT178" s="386"/>
      <c r="BU178" s="386"/>
      <c r="BV178" s="386"/>
      <c r="BW178" s="386"/>
      <c r="BX178" s="386"/>
      <c r="BY178" s="386"/>
      <c r="BZ178" s="386"/>
      <c r="CA178" s="386"/>
      <c r="CB178" s="386"/>
      <c r="CC178" s="386"/>
      <c r="CD178" s="386"/>
      <c r="CE178" s="386"/>
      <c r="CF178" s="386"/>
      <c r="CG178" s="386"/>
      <c r="CH178" s="386"/>
      <c r="CI178" s="386"/>
      <c r="CJ178" s="386"/>
      <c r="CK178" s="386"/>
      <c r="CL178" s="386"/>
    </row>
    <row r="179" spans="2:90" ht="12.75" customHeight="1" x14ac:dyDescent="0.15">
      <c r="B179" s="57"/>
      <c r="C179" s="57"/>
      <c r="D179" s="58"/>
      <c r="E179" s="59"/>
      <c r="F179" s="63"/>
      <c r="G179" s="63"/>
      <c r="H179" s="63"/>
      <c r="I179" s="63"/>
      <c r="J179" s="65"/>
      <c r="K179" s="392"/>
      <c r="L179" s="65"/>
      <c r="M179" s="65"/>
      <c r="N179" s="65"/>
      <c r="O179" s="386"/>
      <c r="P179" s="386"/>
      <c r="Q179" s="386"/>
      <c r="R179" s="386"/>
      <c r="S179" s="386"/>
      <c r="T179" s="386"/>
      <c r="U179" s="386"/>
      <c r="V179" s="386"/>
      <c r="W179" s="386"/>
      <c r="X179" s="386"/>
      <c r="Y179" s="386"/>
      <c r="Z179" s="386"/>
      <c r="AA179" s="386"/>
      <c r="AB179" s="386"/>
      <c r="AC179" s="386"/>
      <c r="AD179" s="386"/>
      <c r="AE179" s="386"/>
      <c r="AF179" s="386"/>
      <c r="AG179" s="386"/>
      <c r="AH179" s="386"/>
      <c r="AI179" s="386"/>
      <c r="AJ179" s="386"/>
      <c r="AK179" s="386"/>
      <c r="AL179" s="386"/>
      <c r="AM179" s="386"/>
      <c r="AN179" s="386"/>
      <c r="AO179" s="386"/>
      <c r="AP179" s="386"/>
      <c r="AQ179" s="386"/>
      <c r="AR179" s="386"/>
      <c r="AS179" s="386"/>
      <c r="AT179" s="386"/>
      <c r="AU179" s="386"/>
      <c r="AV179" s="386"/>
      <c r="AW179" s="386"/>
      <c r="AX179" s="386"/>
      <c r="AY179" s="386"/>
      <c r="AZ179" s="386"/>
      <c r="BA179" s="386"/>
      <c r="BB179" s="386"/>
      <c r="BC179" s="386"/>
      <c r="BD179" s="386"/>
      <c r="BE179" s="386"/>
      <c r="BF179" s="386"/>
      <c r="BG179" s="386"/>
      <c r="BH179" s="386"/>
      <c r="BI179" s="386"/>
      <c r="BJ179" s="386"/>
      <c r="BK179" s="386"/>
      <c r="BL179" s="386"/>
      <c r="BM179" s="386"/>
      <c r="BN179" s="386"/>
      <c r="BO179" s="386"/>
      <c r="BP179" s="386"/>
      <c r="BQ179" s="386"/>
      <c r="BR179" s="386"/>
      <c r="BS179" s="386"/>
      <c r="BT179" s="386"/>
      <c r="BU179" s="386"/>
      <c r="BV179" s="386"/>
      <c r="BW179" s="386"/>
      <c r="BX179" s="386"/>
      <c r="BY179" s="386"/>
      <c r="BZ179" s="386"/>
      <c r="CA179" s="386"/>
      <c r="CB179" s="386"/>
      <c r="CC179" s="386"/>
      <c r="CD179" s="386"/>
      <c r="CE179" s="386"/>
      <c r="CF179" s="386"/>
      <c r="CG179" s="386"/>
      <c r="CH179" s="386"/>
      <c r="CI179" s="386"/>
      <c r="CJ179" s="386"/>
      <c r="CK179" s="386"/>
      <c r="CL179" s="386"/>
    </row>
    <row r="180" spans="2:90" ht="12.75" customHeight="1" x14ac:dyDescent="0.15">
      <c r="B180" s="57"/>
      <c r="C180" s="57"/>
      <c r="D180" s="58"/>
      <c r="E180" s="59"/>
      <c r="F180" s="63"/>
      <c r="G180" s="63"/>
      <c r="H180" s="63"/>
      <c r="I180" s="63"/>
      <c r="J180" s="65"/>
      <c r="K180" s="392"/>
      <c r="L180" s="65"/>
      <c r="M180" s="65"/>
      <c r="N180" s="65"/>
      <c r="O180" s="386"/>
      <c r="P180" s="386"/>
      <c r="Q180" s="386"/>
      <c r="R180" s="386"/>
      <c r="S180" s="386"/>
      <c r="T180" s="386"/>
      <c r="U180" s="386"/>
      <c r="V180" s="386"/>
      <c r="W180" s="386"/>
      <c r="X180" s="386"/>
      <c r="Y180" s="386"/>
      <c r="Z180" s="386"/>
      <c r="AA180" s="386"/>
      <c r="AB180" s="386"/>
      <c r="AC180" s="386"/>
      <c r="AD180" s="386"/>
      <c r="AE180" s="386"/>
      <c r="AF180" s="386"/>
      <c r="AG180" s="386"/>
      <c r="AH180" s="386"/>
      <c r="AI180" s="386"/>
      <c r="AJ180" s="386"/>
      <c r="AK180" s="386"/>
      <c r="AL180" s="386"/>
      <c r="AM180" s="386"/>
      <c r="AN180" s="386"/>
      <c r="AO180" s="386"/>
      <c r="AP180" s="386"/>
      <c r="AQ180" s="386"/>
      <c r="AR180" s="386"/>
      <c r="AS180" s="386"/>
      <c r="AT180" s="386"/>
      <c r="AU180" s="386"/>
      <c r="AV180" s="386"/>
      <c r="AW180" s="386"/>
      <c r="AX180" s="386"/>
      <c r="AY180" s="386"/>
      <c r="AZ180" s="386"/>
      <c r="BA180" s="386"/>
      <c r="BB180" s="386"/>
      <c r="BC180" s="386"/>
      <c r="BD180" s="386"/>
      <c r="BE180" s="386"/>
      <c r="BF180" s="386"/>
      <c r="BG180" s="386"/>
      <c r="BH180" s="386"/>
      <c r="BI180" s="386"/>
      <c r="BJ180" s="386"/>
      <c r="BK180" s="386"/>
      <c r="BL180" s="386"/>
      <c r="BM180" s="386"/>
      <c r="BN180" s="386"/>
      <c r="BO180" s="386"/>
      <c r="BP180" s="386"/>
      <c r="BQ180" s="386"/>
      <c r="BR180" s="386"/>
      <c r="BS180" s="386"/>
      <c r="BT180" s="386"/>
      <c r="BU180" s="386"/>
      <c r="BV180" s="386"/>
      <c r="BW180" s="386"/>
      <c r="BX180" s="386"/>
      <c r="BY180" s="386"/>
      <c r="BZ180" s="386"/>
      <c r="CA180" s="386"/>
      <c r="CB180" s="386"/>
      <c r="CC180" s="386"/>
      <c r="CD180" s="386"/>
      <c r="CE180" s="386"/>
      <c r="CF180" s="386"/>
      <c r="CG180" s="386"/>
      <c r="CH180" s="386"/>
      <c r="CI180" s="386"/>
      <c r="CJ180" s="386"/>
      <c r="CK180" s="386"/>
      <c r="CL180" s="386"/>
    </row>
    <row r="181" spans="2:90" ht="12.75" customHeight="1" x14ac:dyDescent="0.15">
      <c r="B181" s="57"/>
      <c r="C181" s="57"/>
      <c r="D181" s="58"/>
      <c r="E181" s="59"/>
      <c r="F181" s="63"/>
      <c r="G181" s="63"/>
      <c r="H181" s="63"/>
      <c r="I181" s="63"/>
      <c r="J181" s="65"/>
      <c r="K181" s="392"/>
      <c r="L181" s="65"/>
      <c r="M181" s="65"/>
      <c r="N181" s="65"/>
      <c r="O181" s="386"/>
      <c r="P181" s="386"/>
      <c r="Q181" s="386"/>
      <c r="R181" s="386"/>
      <c r="S181" s="386"/>
      <c r="T181" s="386"/>
      <c r="U181" s="386"/>
      <c r="V181" s="386"/>
      <c r="W181" s="386"/>
      <c r="X181" s="386"/>
      <c r="Y181" s="386"/>
      <c r="Z181" s="386"/>
      <c r="AA181" s="386"/>
      <c r="AB181" s="386"/>
      <c r="AC181" s="386"/>
      <c r="AD181" s="386"/>
      <c r="AE181" s="386"/>
      <c r="AF181" s="386"/>
      <c r="AG181" s="386"/>
      <c r="AH181" s="386"/>
      <c r="AI181" s="386"/>
      <c r="AJ181" s="386"/>
      <c r="AK181" s="386"/>
      <c r="AL181" s="386"/>
      <c r="AM181" s="386"/>
      <c r="AN181" s="386"/>
      <c r="AO181" s="386"/>
      <c r="AP181" s="386"/>
      <c r="AQ181" s="386"/>
      <c r="AR181" s="386"/>
      <c r="AS181" s="386"/>
      <c r="AT181" s="386"/>
      <c r="AU181" s="386"/>
      <c r="AV181" s="386"/>
      <c r="AW181" s="386"/>
      <c r="AX181" s="386"/>
      <c r="AY181" s="386"/>
      <c r="AZ181" s="386"/>
      <c r="BA181" s="386"/>
      <c r="BB181" s="386"/>
      <c r="BC181" s="386"/>
      <c r="BD181" s="386"/>
      <c r="BE181" s="386"/>
      <c r="BF181" s="386"/>
      <c r="BG181" s="386"/>
      <c r="BH181" s="386"/>
      <c r="BI181" s="386"/>
      <c r="BJ181" s="386"/>
      <c r="BK181" s="386"/>
      <c r="BL181" s="386"/>
      <c r="BM181" s="386"/>
      <c r="BN181" s="386"/>
      <c r="BO181" s="386"/>
      <c r="BP181" s="386"/>
      <c r="BQ181" s="386"/>
      <c r="BR181" s="386"/>
      <c r="BS181" s="386"/>
      <c r="BT181" s="386"/>
      <c r="BU181" s="386"/>
      <c r="BV181" s="386"/>
      <c r="BW181" s="386"/>
      <c r="BX181" s="386"/>
      <c r="BY181" s="386"/>
      <c r="BZ181" s="386"/>
      <c r="CA181" s="386"/>
      <c r="CB181" s="386"/>
      <c r="CC181" s="386"/>
      <c r="CD181" s="386"/>
      <c r="CE181" s="386"/>
      <c r="CF181" s="386"/>
      <c r="CG181" s="386"/>
      <c r="CH181" s="386"/>
      <c r="CI181" s="386"/>
      <c r="CJ181" s="386"/>
      <c r="CK181" s="386"/>
      <c r="CL181" s="386"/>
    </row>
    <row r="182" spans="2:90" ht="12.75" customHeight="1" x14ac:dyDescent="0.15">
      <c r="B182" s="57"/>
      <c r="C182" s="57"/>
      <c r="D182" s="58"/>
      <c r="E182" s="59"/>
      <c r="F182" s="63"/>
      <c r="G182" s="63"/>
      <c r="H182" s="63"/>
      <c r="I182" s="63"/>
      <c r="J182" s="65"/>
      <c r="K182" s="392"/>
      <c r="L182" s="65"/>
      <c r="M182" s="65"/>
      <c r="N182" s="65"/>
      <c r="O182" s="386"/>
      <c r="P182" s="386"/>
      <c r="Q182" s="386"/>
      <c r="R182" s="386"/>
      <c r="S182" s="386"/>
      <c r="T182" s="386"/>
      <c r="U182" s="386"/>
      <c r="V182" s="386"/>
      <c r="W182" s="386"/>
      <c r="X182" s="386"/>
      <c r="Y182" s="386"/>
      <c r="Z182" s="386"/>
      <c r="AA182" s="386"/>
      <c r="AB182" s="386"/>
      <c r="AC182" s="386"/>
      <c r="AD182" s="386"/>
      <c r="AE182" s="386"/>
      <c r="AF182" s="386"/>
      <c r="AG182" s="386"/>
      <c r="AH182" s="386"/>
      <c r="AI182" s="386"/>
      <c r="AJ182" s="386"/>
      <c r="AK182" s="386"/>
      <c r="AL182" s="386"/>
      <c r="AM182" s="386"/>
      <c r="AN182" s="386"/>
      <c r="AO182" s="386"/>
      <c r="AP182" s="386"/>
      <c r="AQ182" s="386"/>
      <c r="AR182" s="386"/>
      <c r="AS182" s="386"/>
      <c r="AT182" s="386"/>
      <c r="AU182" s="386"/>
      <c r="AV182" s="386"/>
      <c r="AW182" s="386"/>
      <c r="AX182" s="386"/>
      <c r="AY182" s="386"/>
      <c r="AZ182" s="386"/>
      <c r="BA182" s="386"/>
      <c r="BB182" s="386"/>
      <c r="BC182" s="386"/>
      <c r="BD182" s="386"/>
      <c r="BE182" s="386"/>
      <c r="BF182" s="386"/>
      <c r="BG182" s="386"/>
      <c r="BH182" s="386"/>
      <c r="BI182" s="386"/>
      <c r="BJ182" s="386"/>
      <c r="BK182" s="386"/>
      <c r="BL182" s="386"/>
      <c r="BM182" s="386"/>
      <c r="BN182" s="386"/>
      <c r="BO182" s="386"/>
      <c r="BP182" s="386"/>
      <c r="BQ182" s="386"/>
      <c r="BR182" s="386"/>
      <c r="BS182" s="386"/>
      <c r="BT182" s="386"/>
      <c r="BU182" s="386"/>
      <c r="BV182" s="386"/>
      <c r="BW182" s="386"/>
      <c r="BX182" s="386"/>
      <c r="BY182" s="386"/>
      <c r="BZ182" s="386"/>
      <c r="CA182" s="386"/>
      <c r="CB182" s="386"/>
      <c r="CC182" s="386"/>
      <c r="CD182" s="386"/>
      <c r="CE182" s="386"/>
      <c r="CF182" s="386"/>
      <c r="CG182" s="386"/>
      <c r="CH182" s="386"/>
      <c r="CI182" s="386"/>
      <c r="CJ182" s="386"/>
      <c r="CK182" s="386"/>
      <c r="CL182" s="386"/>
    </row>
    <row r="183" spans="2:90" ht="12.75" customHeight="1" x14ac:dyDescent="0.15">
      <c r="B183" s="57"/>
      <c r="C183" s="57"/>
      <c r="D183" s="58"/>
      <c r="E183" s="59"/>
      <c r="F183" s="63"/>
      <c r="G183" s="63"/>
      <c r="H183" s="63"/>
      <c r="I183" s="63"/>
      <c r="J183" s="65"/>
      <c r="K183" s="392"/>
      <c r="L183" s="65"/>
      <c r="M183" s="65"/>
      <c r="N183" s="65"/>
      <c r="O183" s="386"/>
      <c r="P183" s="386"/>
      <c r="Q183" s="386"/>
      <c r="R183" s="386"/>
      <c r="S183" s="386"/>
      <c r="T183" s="386"/>
      <c r="U183" s="386"/>
      <c r="V183" s="386"/>
      <c r="W183" s="386"/>
      <c r="X183" s="386"/>
      <c r="Y183" s="386"/>
      <c r="Z183" s="386"/>
      <c r="AA183" s="386"/>
      <c r="AB183" s="386"/>
      <c r="AC183" s="386"/>
      <c r="AD183" s="386"/>
      <c r="AE183" s="386"/>
      <c r="AF183" s="386"/>
      <c r="AG183" s="386"/>
      <c r="AH183" s="386"/>
      <c r="AI183" s="386"/>
      <c r="AJ183" s="386"/>
      <c r="AK183" s="386"/>
      <c r="AL183" s="386"/>
      <c r="AM183" s="386"/>
      <c r="AN183" s="386"/>
      <c r="AO183" s="386"/>
      <c r="AP183" s="386"/>
      <c r="AQ183" s="386"/>
      <c r="AR183" s="386"/>
      <c r="AS183" s="386"/>
      <c r="AT183" s="386"/>
      <c r="AU183" s="386"/>
      <c r="AV183" s="386"/>
      <c r="AW183" s="386"/>
      <c r="AX183" s="386"/>
      <c r="AY183" s="386"/>
      <c r="AZ183" s="386"/>
      <c r="BA183" s="386"/>
      <c r="BB183" s="386"/>
      <c r="BC183" s="386"/>
      <c r="BD183" s="386"/>
      <c r="BE183" s="386"/>
      <c r="BF183" s="386"/>
      <c r="BG183" s="386"/>
      <c r="BH183" s="386"/>
      <c r="BI183" s="386"/>
      <c r="BJ183" s="386"/>
      <c r="BK183" s="386"/>
      <c r="BL183" s="386"/>
      <c r="BM183" s="386"/>
      <c r="BN183" s="386"/>
      <c r="BO183" s="386"/>
      <c r="BP183" s="386"/>
      <c r="BQ183" s="386"/>
      <c r="BR183" s="386"/>
      <c r="BS183" s="386"/>
      <c r="BT183" s="386"/>
      <c r="BU183" s="386"/>
      <c r="BV183" s="386"/>
      <c r="BW183" s="386"/>
      <c r="BX183" s="386"/>
      <c r="BY183" s="386"/>
      <c r="BZ183" s="386"/>
      <c r="CA183" s="386"/>
      <c r="CB183" s="386"/>
      <c r="CC183" s="386"/>
      <c r="CD183" s="386"/>
      <c r="CE183" s="386"/>
      <c r="CF183" s="386"/>
      <c r="CG183" s="386"/>
      <c r="CH183" s="386"/>
      <c r="CI183" s="386"/>
      <c r="CJ183" s="386"/>
      <c r="CK183" s="386"/>
      <c r="CL183" s="386"/>
    </row>
    <row r="184" spans="2:90" ht="12.75" customHeight="1" x14ac:dyDescent="0.15">
      <c r="B184" s="57"/>
      <c r="C184" s="57"/>
      <c r="D184" s="58"/>
      <c r="E184" s="59"/>
      <c r="F184" s="63"/>
      <c r="G184" s="63"/>
      <c r="H184" s="63"/>
      <c r="I184" s="63"/>
      <c r="J184" s="65"/>
      <c r="K184" s="392"/>
      <c r="L184" s="65"/>
      <c r="M184" s="65"/>
      <c r="N184" s="65"/>
      <c r="O184" s="386"/>
      <c r="P184" s="386"/>
      <c r="Q184" s="386"/>
      <c r="R184" s="386"/>
      <c r="S184" s="386"/>
      <c r="T184" s="386"/>
      <c r="U184" s="386"/>
      <c r="V184" s="386"/>
      <c r="W184" s="386"/>
      <c r="X184" s="386"/>
      <c r="Y184" s="386"/>
      <c r="Z184" s="386"/>
      <c r="AA184" s="386"/>
      <c r="AB184" s="386"/>
      <c r="AC184" s="386"/>
      <c r="AD184" s="386"/>
      <c r="AE184" s="386"/>
      <c r="AF184" s="386"/>
      <c r="AG184" s="386"/>
      <c r="AH184" s="386"/>
      <c r="AI184" s="386"/>
      <c r="AJ184" s="386"/>
      <c r="AK184" s="386"/>
      <c r="AL184" s="386"/>
      <c r="AM184" s="386"/>
      <c r="AN184" s="386"/>
      <c r="AO184" s="386"/>
      <c r="AP184" s="386"/>
      <c r="AQ184" s="386"/>
      <c r="AR184" s="386"/>
      <c r="AS184" s="386"/>
      <c r="AT184" s="386"/>
      <c r="AU184" s="386"/>
      <c r="AV184" s="386"/>
      <c r="AW184" s="386"/>
      <c r="AX184" s="386"/>
      <c r="AY184" s="386"/>
      <c r="AZ184" s="386"/>
      <c r="BA184" s="386"/>
      <c r="BB184" s="386"/>
      <c r="BC184" s="386"/>
      <c r="BD184" s="386"/>
      <c r="BE184" s="386"/>
      <c r="BF184" s="386"/>
      <c r="BG184" s="386"/>
      <c r="BH184" s="386"/>
      <c r="BI184" s="386"/>
      <c r="BJ184" s="386"/>
      <c r="BK184" s="386"/>
      <c r="BL184" s="386"/>
      <c r="BM184" s="386"/>
      <c r="BN184" s="386"/>
      <c r="BO184" s="386"/>
      <c r="BP184" s="386"/>
      <c r="BQ184" s="386"/>
      <c r="BR184" s="386"/>
      <c r="BS184" s="386"/>
      <c r="BT184" s="386"/>
      <c r="BU184" s="386"/>
      <c r="BV184" s="386"/>
      <c r="BW184" s="386"/>
      <c r="BX184" s="386"/>
      <c r="BY184" s="386"/>
      <c r="BZ184" s="386"/>
      <c r="CA184" s="386"/>
      <c r="CB184" s="386"/>
      <c r="CC184" s="386"/>
      <c r="CD184" s="386"/>
      <c r="CE184" s="386"/>
      <c r="CF184" s="386"/>
      <c r="CG184" s="386"/>
      <c r="CH184" s="386"/>
      <c r="CI184" s="386"/>
      <c r="CJ184" s="386"/>
      <c r="CK184" s="386"/>
      <c r="CL184" s="386"/>
    </row>
    <row r="185" spans="2:90" ht="12.75" customHeight="1" x14ac:dyDescent="0.15">
      <c r="B185" s="57"/>
      <c r="C185" s="57"/>
      <c r="D185" s="58"/>
      <c r="E185" s="59"/>
      <c r="F185" s="63"/>
      <c r="G185" s="63"/>
      <c r="H185" s="63"/>
      <c r="I185" s="63"/>
      <c r="J185" s="65"/>
      <c r="K185" s="392"/>
      <c r="L185" s="65"/>
      <c r="M185" s="65"/>
      <c r="N185" s="65"/>
      <c r="O185" s="386"/>
      <c r="P185" s="386"/>
      <c r="Q185" s="386"/>
      <c r="R185" s="386"/>
      <c r="S185" s="386"/>
      <c r="T185" s="386"/>
      <c r="U185" s="386"/>
      <c r="V185" s="386"/>
      <c r="W185" s="386"/>
      <c r="X185" s="386"/>
      <c r="Y185" s="386"/>
      <c r="Z185" s="386"/>
      <c r="AA185" s="386"/>
      <c r="AB185" s="386"/>
      <c r="AC185" s="386"/>
      <c r="AD185" s="386"/>
      <c r="AE185" s="386"/>
      <c r="AF185" s="386"/>
      <c r="AG185" s="386"/>
      <c r="AH185" s="386"/>
      <c r="AI185" s="386"/>
      <c r="AJ185" s="386"/>
      <c r="AK185" s="386"/>
      <c r="AL185" s="386"/>
      <c r="AM185" s="386"/>
      <c r="AN185" s="386"/>
      <c r="AO185" s="386"/>
      <c r="AP185" s="386"/>
      <c r="AQ185" s="386"/>
      <c r="AR185" s="386"/>
      <c r="AS185" s="386"/>
      <c r="AT185" s="386"/>
      <c r="AU185" s="386"/>
      <c r="AV185" s="386"/>
      <c r="AW185" s="386"/>
      <c r="AX185" s="386"/>
      <c r="AY185" s="386"/>
      <c r="AZ185" s="386"/>
      <c r="BA185" s="386"/>
      <c r="BB185" s="386"/>
      <c r="BC185" s="386"/>
      <c r="BD185" s="386"/>
      <c r="BE185" s="386"/>
      <c r="BF185" s="386"/>
      <c r="BG185" s="386"/>
      <c r="BH185" s="386"/>
      <c r="BI185" s="386"/>
      <c r="BJ185" s="386"/>
      <c r="BK185" s="386"/>
      <c r="BL185" s="386"/>
      <c r="BM185" s="386"/>
      <c r="BN185" s="386"/>
      <c r="BO185" s="386"/>
      <c r="BP185" s="386"/>
      <c r="BQ185" s="386"/>
      <c r="BR185" s="386"/>
      <c r="BS185" s="386"/>
      <c r="BT185" s="386"/>
      <c r="BU185" s="386"/>
      <c r="BV185" s="386"/>
      <c r="BW185" s="386"/>
      <c r="BX185" s="386"/>
      <c r="BY185" s="386"/>
      <c r="BZ185" s="386"/>
      <c r="CA185" s="386"/>
      <c r="CB185" s="386"/>
      <c r="CC185" s="386"/>
      <c r="CD185" s="386"/>
      <c r="CE185" s="386"/>
      <c r="CF185" s="386"/>
      <c r="CG185" s="386"/>
      <c r="CH185" s="386"/>
      <c r="CI185" s="386"/>
      <c r="CJ185" s="386"/>
      <c r="CK185" s="386"/>
      <c r="CL185" s="386"/>
    </row>
    <row r="186" spans="2:90" ht="12.75" customHeight="1" x14ac:dyDescent="0.15">
      <c r="B186" s="57"/>
      <c r="C186" s="57"/>
      <c r="D186" s="58"/>
      <c r="E186" s="59"/>
      <c r="F186" s="63"/>
      <c r="G186" s="63"/>
      <c r="H186" s="63"/>
      <c r="I186" s="63"/>
      <c r="J186" s="65"/>
      <c r="K186" s="392"/>
      <c r="L186" s="65"/>
      <c r="M186" s="65"/>
      <c r="N186" s="65"/>
      <c r="O186" s="386"/>
      <c r="P186" s="386"/>
      <c r="Q186" s="386"/>
      <c r="R186" s="386"/>
      <c r="S186" s="386"/>
      <c r="T186" s="386"/>
      <c r="U186" s="386"/>
      <c r="V186" s="386"/>
      <c r="W186" s="386"/>
      <c r="X186" s="386"/>
      <c r="Y186" s="386"/>
      <c r="Z186" s="386"/>
      <c r="AA186" s="386"/>
      <c r="AB186" s="386"/>
      <c r="AC186" s="386"/>
      <c r="AD186" s="386"/>
      <c r="AE186" s="386"/>
      <c r="AF186" s="386"/>
      <c r="AG186" s="386"/>
      <c r="AH186" s="386"/>
      <c r="AI186" s="386"/>
      <c r="AJ186" s="386"/>
      <c r="AK186" s="386"/>
      <c r="AL186" s="386"/>
      <c r="AM186" s="386"/>
      <c r="AN186" s="386"/>
      <c r="AO186" s="386"/>
      <c r="AP186" s="386"/>
      <c r="AQ186" s="386"/>
      <c r="AR186" s="386"/>
      <c r="AS186" s="386"/>
      <c r="AT186" s="386"/>
      <c r="AU186" s="386"/>
      <c r="AV186" s="386"/>
      <c r="AW186" s="386"/>
      <c r="AX186" s="386"/>
      <c r="AY186" s="386"/>
      <c r="AZ186" s="386"/>
      <c r="BA186" s="386"/>
      <c r="BB186" s="386"/>
      <c r="BC186" s="386"/>
      <c r="BD186" s="386"/>
      <c r="BE186" s="386"/>
      <c r="BF186" s="386"/>
      <c r="BG186" s="386"/>
      <c r="BH186" s="386"/>
      <c r="BI186" s="386"/>
      <c r="BJ186" s="386"/>
      <c r="BK186" s="386"/>
      <c r="BL186" s="386"/>
      <c r="BM186" s="386"/>
      <c r="BN186" s="386"/>
      <c r="BO186" s="386"/>
      <c r="BP186" s="386"/>
      <c r="BQ186" s="386"/>
      <c r="BR186" s="386"/>
      <c r="BS186" s="386"/>
      <c r="BT186" s="386"/>
      <c r="BU186" s="386"/>
      <c r="BV186" s="386"/>
      <c r="BW186" s="386"/>
      <c r="BX186" s="386"/>
      <c r="BY186" s="386"/>
      <c r="BZ186" s="386"/>
      <c r="CA186" s="386"/>
      <c r="CB186" s="386"/>
      <c r="CC186" s="386"/>
      <c r="CD186" s="386"/>
      <c r="CE186" s="386"/>
      <c r="CF186" s="386"/>
      <c r="CG186" s="386"/>
      <c r="CH186" s="386"/>
      <c r="CI186" s="386"/>
      <c r="CJ186" s="386"/>
      <c r="CK186" s="386"/>
      <c r="CL186" s="386"/>
    </row>
    <row r="187" spans="2:90" ht="12.75" customHeight="1" x14ac:dyDescent="0.15">
      <c r="B187" s="57"/>
      <c r="C187" s="57"/>
      <c r="D187" s="58"/>
      <c r="E187" s="59"/>
      <c r="F187" s="63"/>
      <c r="G187" s="63"/>
      <c r="H187" s="63"/>
      <c r="I187" s="63"/>
      <c r="J187" s="65"/>
      <c r="K187" s="392"/>
      <c r="L187" s="65"/>
      <c r="M187" s="65"/>
      <c r="N187" s="65"/>
      <c r="O187" s="386"/>
      <c r="P187" s="386"/>
      <c r="Q187" s="386"/>
      <c r="R187" s="386"/>
      <c r="S187" s="386"/>
      <c r="T187" s="386"/>
      <c r="U187" s="386"/>
      <c r="V187" s="386"/>
      <c r="W187" s="386"/>
      <c r="X187" s="386"/>
      <c r="Y187" s="386"/>
      <c r="Z187" s="386"/>
      <c r="AA187" s="386"/>
      <c r="AB187" s="386"/>
      <c r="AC187" s="386"/>
      <c r="AD187" s="386"/>
      <c r="AE187" s="386"/>
      <c r="AF187" s="386"/>
      <c r="AG187" s="386"/>
      <c r="AH187" s="386"/>
      <c r="AI187" s="386"/>
      <c r="AJ187" s="386"/>
      <c r="AK187" s="386"/>
      <c r="AL187" s="386"/>
      <c r="AM187" s="386"/>
      <c r="AN187" s="386"/>
      <c r="AO187" s="386"/>
      <c r="AP187" s="386"/>
      <c r="AQ187" s="386"/>
      <c r="AR187" s="386"/>
      <c r="AS187" s="386"/>
      <c r="AT187" s="386"/>
      <c r="AU187" s="386"/>
      <c r="AV187" s="386"/>
      <c r="AW187" s="386"/>
      <c r="AX187" s="386"/>
      <c r="AY187" s="386"/>
      <c r="AZ187" s="386"/>
      <c r="BA187" s="386"/>
      <c r="BB187" s="386"/>
      <c r="BC187" s="386"/>
      <c r="BD187" s="386"/>
      <c r="BE187" s="386"/>
      <c r="BF187" s="386"/>
      <c r="BG187" s="386"/>
      <c r="BH187" s="386"/>
      <c r="BI187" s="386"/>
      <c r="BJ187" s="386"/>
      <c r="BK187" s="386"/>
      <c r="BL187" s="386"/>
      <c r="BM187" s="386"/>
      <c r="BN187" s="386"/>
      <c r="BO187" s="386"/>
      <c r="BP187" s="386"/>
      <c r="BQ187" s="386"/>
      <c r="BR187" s="386"/>
      <c r="BS187" s="386"/>
      <c r="BT187" s="386"/>
      <c r="BU187" s="386"/>
      <c r="BV187" s="386"/>
      <c r="BW187" s="386"/>
      <c r="BX187" s="386"/>
      <c r="BY187" s="386"/>
      <c r="BZ187" s="386"/>
      <c r="CA187" s="386"/>
      <c r="CB187" s="386"/>
      <c r="CC187" s="386"/>
      <c r="CD187" s="386"/>
      <c r="CE187" s="386"/>
      <c r="CF187" s="386"/>
      <c r="CG187" s="386"/>
      <c r="CH187" s="386"/>
      <c r="CI187" s="386"/>
      <c r="CJ187" s="386"/>
      <c r="CK187" s="386"/>
      <c r="CL187" s="386"/>
    </row>
    <row r="188" spans="2:90" ht="12.75" customHeight="1" x14ac:dyDescent="0.15">
      <c r="B188" s="57"/>
      <c r="C188" s="57"/>
      <c r="D188" s="58"/>
      <c r="E188" s="59"/>
      <c r="F188" s="63"/>
      <c r="G188" s="63"/>
      <c r="H188" s="63"/>
      <c r="I188" s="63"/>
      <c r="J188" s="65"/>
      <c r="K188" s="392"/>
      <c r="L188" s="65"/>
      <c r="M188" s="65"/>
      <c r="N188" s="65"/>
      <c r="O188" s="386"/>
      <c r="P188" s="386"/>
      <c r="Q188" s="386"/>
      <c r="R188" s="386"/>
      <c r="S188" s="386"/>
      <c r="T188" s="386"/>
      <c r="U188" s="386"/>
      <c r="V188" s="386"/>
      <c r="W188" s="386"/>
      <c r="X188" s="386"/>
      <c r="Y188" s="386"/>
      <c r="Z188" s="386"/>
      <c r="AA188" s="386"/>
      <c r="AB188" s="386"/>
      <c r="AC188" s="386"/>
      <c r="AD188" s="386"/>
      <c r="AE188" s="386"/>
      <c r="AF188" s="386"/>
      <c r="AG188" s="386"/>
      <c r="AH188" s="386"/>
      <c r="AI188" s="386"/>
      <c r="AJ188" s="386"/>
      <c r="AK188" s="386"/>
      <c r="AL188" s="386"/>
      <c r="AM188" s="386"/>
      <c r="AN188" s="386"/>
      <c r="AO188" s="386"/>
      <c r="AP188" s="386"/>
      <c r="AQ188" s="386"/>
      <c r="AR188" s="386"/>
      <c r="AS188" s="386"/>
      <c r="AT188" s="386"/>
      <c r="AU188" s="386"/>
      <c r="AV188" s="386"/>
      <c r="AW188" s="386"/>
      <c r="AX188" s="386"/>
      <c r="AY188" s="386"/>
      <c r="AZ188" s="386"/>
      <c r="BA188" s="386"/>
      <c r="BB188" s="386"/>
      <c r="BC188" s="386"/>
      <c r="BD188" s="386"/>
      <c r="BE188" s="386"/>
      <c r="BF188" s="386"/>
      <c r="BG188" s="386"/>
      <c r="BH188" s="386"/>
      <c r="BI188" s="386"/>
      <c r="BJ188" s="386"/>
      <c r="BK188" s="386"/>
      <c r="BL188" s="386"/>
      <c r="BM188" s="386"/>
      <c r="BN188" s="386"/>
      <c r="BO188" s="386"/>
      <c r="BP188" s="386"/>
      <c r="BQ188" s="386"/>
      <c r="BR188" s="386"/>
      <c r="BS188" s="386"/>
      <c r="BT188" s="386"/>
      <c r="BU188" s="386"/>
      <c r="BV188" s="386"/>
      <c r="BW188" s="386"/>
      <c r="BX188" s="386"/>
      <c r="BY188" s="386"/>
      <c r="BZ188" s="386"/>
      <c r="CA188" s="386"/>
      <c r="CB188" s="386"/>
      <c r="CC188" s="386"/>
      <c r="CD188" s="386"/>
      <c r="CE188" s="386"/>
      <c r="CF188" s="386"/>
      <c r="CG188" s="386"/>
      <c r="CH188" s="386"/>
      <c r="CI188" s="386"/>
      <c r="CJ188" s="386"/>
      <c r="CK188" s="386"/>
      <c r="CL188" s="386"/>
    </row>
    <row r="189" spans="2:90" ht="12.75" customHeight="1" x14ac:dyDescent="0.15">
      <c r="B189" s="57"/>
      <c r="C189" s="57"/>
      <c r="D189" s="58"/>
      <c r="E189" s="59"/>
      <c r="F189" s="63"/>
      <c r="G189" s="63"/>
      <c r="H189" s="63"/>
      <c r="I189" s="63"/>
      <c r="J189" s="65"/>
      <c r="K189" s="392"/>
      <c r="L189" s="65"/>
      <c r="M189" s="65"/>
      <c r="N189" s="65"/>
      <c r="O189" s="386"/>
      <c r="P189" s="386"/>
      <c r="Q189" s="386"/>
      <c r="R189" s="386"/>
      <c r="S189" s="386"/>
      <c r="T189" s="386"/>
      <c r="U189" s="386"/>
      <c r="V189" s="386"/>
      <c r="W189" s="386"/>
      <c r="X189" s="386"/>
      <c r="Y189" s="386"/>
      <c r="Z189" s="386"/>
      <c r="AA189" s="386"/>
      <c r="AB189" s="386"/>
      <c r="AC189" s="386"/>
      <c r="AD189" s="386"/>
      <c r="AE189" s="386"/>
      <c r="AF189" s="386"/>
      <c r="AG189" s="386"/>
      <c r="AH189" s="386"/>
      <c r="AI189" s="386"/>
      <c r="AJ189" s="386"/>
      <c r="AK189" s="386"/>
      <c r="AL189" s="386"/>
      <c r="AM189" s="386"/>
      <c r="AN189" s="386"/>
      <c r="AO189" s="386"/>
      <c r="AP189" s="386"/>
      <c r="AQ189" s="386"/>
      <c r="AR189" s="386"/>
      <c r="AS189" s="386"/>
      <c r="AT189" s="386"/>
      <c r="AU189" s="386"/>
      <c r="AV189" s="386"/>
      <c r="AW189" s="386"/>
      <c r="AX189" s="386"/>
      <c r="AY189" s="386"/>
      <c r="AZ189" s="386"/>
      <c r="BA189" s="386"/>
      <c r="BB189" s="386"/>
      <c r="BC189" s="386"/>
      <c r="BD189" s="386"/>
      <c r="BE189" s="386"/>
      <c r="BF189" s="386"/>
      <c r="BG189" s="386"/>
      <c r="BH189" s="386"/>
      <c r="BI189" s="386"/>
      <c r="BJ189" s="386"/>
      <c r="BK189" s="386"/>
      <c r="BL189" s="386"/>
      <c r="BM189" s="386"/>
      <c r="BN189" s="386"/>
      <c r="BO189" s="386"/>
      <c r="BP189" s="386"/>
      <c r="BQ189" s="386"/>
      <c r="BR189" s="386"/>
      <c r="BS189" s="386"/>
      <c r="BT189" s="386"/>
      <c r="BU189" s="386"/>
      <c r="BV189" s="386"/>
      <c r="BW189" s="386"/>
      <c r="BX189" s="386"/>
      <c r="BY189" s="386"/>
      <c r="BZ189" s="386"/>
      <c r="CA189" s="386"/>
      <c r="CB189" s="386"/>
      <c r="CC189" s="386"/>
      <c r="CD189" s="386"/>
      <c r="CE189" s="386"/>
      <c r="CF189" s="386"/>
      <c r="CG189" s="386"/>
      <c r="CH189" s="386"/>
      <c r="CI189" s="386"/>
      <c r="CJ189" s="386"/>
      <c r="CK189" s="386"/>
      <c r="CL189" s="386"/>
    </row>
    <row r="190" spans="2:90" ht="12.75" customHeight="1" x14ac:dyDescent="0.15">
      <c r="B190" s="57"/>
      <c r="C190" s="57"/>
      <c r="D190" s="58"/>
      <c r="E190" s="59"/>
      <c r="F190" s="63"/>
      <c r="G190" s="63"/>
      <c r="H190" s="63"/>
      <c r="I190" s="63"/>
      <c r="J190" s="65"/>
      <c r="K190" s="392"/>
      <c r="L190" s="65"/>
      <c r="M190" s="65"/>
      <c r="N190" s="65"/>
      <c r="O190" s="386"/>
      <c r="P190" s="386"/>
      <c r="Q190" s="386"/>
      <c r="R190" s="386"/>
      <c r="S190" s="386"/>
      <c r="T190" s="386"/>
      <c r="U190" s="386"/>
      <c r="V190" s="386"/>
      <c r="W190" s="386"/>
      <c r="X190" s="386"/>
      <c r="Y190" s="386"/>
      <c r="Z190" s="386"/>
      <c r="AA190" s="386"/>
      <c r="AB190" s="386"/>
      <c r="AC190" s="386"/>
      <c r="AD190" s="386"/>
      <c r="AE190" s="386"/>
      <c r="AF190" s="386"/>
      <c r="AG190" s="386"/>
      <c r="AH190" s="386"/>
      <c r="AI190" s="386"/>
      <c r="AJ190" s="386"/>
      <c r="AK190" s="386"/>
      <c r="AL190" s="386"/>
      <c r="AM190" s="386"/>
      <c r="AN190" s="386"/>
      <c r="AO190" s="386"/>
      <c r="AP190" s="386"/>
      <c r="AQ190" s="386"/>
      <c r="AR190" s="386"/>
      <c r="AS190" s="386"/>
      <c r="AT190" s="386"/>
      <c r="AU190" s="386"/>
      <c r="AV190" s="386"/>
      <c r="AW190" s="386"/>
      <c r="AX190" s="386"/>
      <c r="AY190" s="386"/>
      <c r="AZ190" s="386"/>
      <c r="BA190" s="386"/>
      <c r="BB190" s="386"/>
      <c r="BC190" s="386"/>
      <c r="BD190" s="386"/>
      <c r="BE190" s="386"/>
      <c r="BF190" s="386"/>
      <c r="BG190" s="386"/>
      <c r="BH190" s="386"/>
      <c r="BI190" s="386"/>
      <c r="BJ190" s="386"/>
      <c r="BK190" s="386"/>
      <c r="BL190" s="386"/>
      <c r="BM190" s="386"/>
      <c r="BN190" s="386"/>
      <c r="BO190" s="386"/>
      <c r="BP190" s="386"/>
      <c r="BQ190" s="386"/>
      <c r="BR190" s="386"/>
      <c r="BS190" s="386"/>
      <c r="BT190" s="386"/>
      <c r="BU190" s="386"/>
      <c r="BV190" s="386"/>
      <c r="BW190" s="386"/>
      <c r="BX190" s="386"/>
      <c r="BY190" s="386"/>
      <c r="BZ190" s="386"/>
      <c r="CA190" s="386"/>
      <c r="CB190" s="386"/>
      <c r="CC190" s="386"/>
      <c r="CD190" s="386"/>
      <c r="CE190" s="386"/>
      <c r="CF190" s="386"/>
      <c r="CG190" s="386"/>
      <c r="CH190" s="386"/>
      <c r="CI190" s="386"/>
      <c r="CJ190" s="386"/>
      <c r="CK190" s="386"/>
      <c r="CL190" s="386"/>
    </row>
    <row r="191" spans="2:90" ht="12.75" customHeight="1" x14ac:dyDescent="0.15">
      <c r="B191" s="57"/>
      <c r="C191" s="57"/>
      <c r="D191" s="58"/>
      <c r="E191" s="59"/>
      <c r="F191" s="63"/>
      <c r="G191" s="63"/>
      <c r="H191" s="63"/>
      <c r="I191" s="63"/>
      <c r="J191" s="65"/>
      <c r="K191" s="392"/>
      <c r="L191" s="65"/>
      <c r="M191" s="65"/>
      <c r="N191" s="65"/>
      <c r="O191" s="386"/>
      <c r="P191" s="386"/>
      <c r="Q191" s="386"/>
      <c r="R191" s="386"/>
      <c r="S191" s="386"/>
      <c r="T191" s="386"/>
      <c r="U191" s="386"/>
      <c r="V191" s="386"/>
      <c r="W191" s="386"/>
      <c r="X191" s="386"/>
      <c r="Y191" s="386"/>
      <c r="Z191" s="386"/>
      <c r="AA191" s="386"/>
      <c r="AB191" s="386"/>
      <c r="AC191" s="386"/>
      <c r="AD191" s="386"/>
      <c r="AE191" s="386"/>
      <c r="AF191" s="386"/>
      <c r="AG191" s="386"/>
      <c r="AH191" s="386"/>
      <c r="AI191" s="386"/>
      <c r="AJ191" s="386"/>
      <c r="AK191" s="386"/>
      <c r="AL191" s="386"/>
      <c r="AM191" s="386"/>
      <c r="AN191" s="386"/>
      <c r="AO191" s="386"/>
      <c r="AP191" s="386"/>
      <c r="AQ191" s="386"/>
      <c r="AR191" s="386"/>
      <c r="AS191" s="386"/>
      <c r="AT191" s="386"/>
      <c r="AU191" s="386"/>
      <c r="AV191" s="386"/>
      <c r="AW191" s="386"/>
      <c r="AX191" s="386"/>
      <c r="AY191" s="386"/>
      <c r="AZ191" s="386"/>
      <c r="BA191" s="386"/>
      <c r="BB191" s="386"/>
      <c r="BC191" s="386"/>
      <c r="BD191" s="386"/>
      <c r="BE191" s="386"/>
      <c r="BF191" s="386"/>
      <c r="BG191" s="386"/>
      <c r="BH191" s="386"/>
      <c r="BI191" s="386"/>
      <c r="BJ191" s="386"/>
      <c r="BK191" s="386"/>
      <c r="BL191" s="386"/>
      <c r="BM191" s="386"/>
      <c r="BN191" s="386"/>
      <c r="BO191" s="386"/>
      <c r="BP191" s="386"/>
      <c r="BQ191" s="386"/>
      <c r="BR191" s="386"/>
      <c r="BS191" s="386"/>
      <c r="BT191" s="386"/>
      <c r="BU191" s="386"/>
      <c r="BV191" s="386"/>
      <c r="BW191" s="386"/>
      <c r="BX191" s="386"/>
      <c r="BY191" s="386"/>
      <c r="BZ191" s="386"/>
      <c r="CA191" s="386"/>
      <c r="CB191" s="386"/>
      <c r="CC191" s="386"/>
      <c r="CD191" s="386"/>
      <c r="CE191" s="386"/>
      <c r="CF191" s="386"/>
      <c r="CG191" s="386"/>
      <c r="CH191" s="386"/>
      <c r="CI191" s="386"/>
      <c r="CJ191" s="386"/>
      <c r="CK191" s="386"/>
      <c r="CL191" s="386"/>
    </row>
    <row r="192" spans="2:90" ht="12.75" customHeight="1" x14ac:dyDescent="0.15">
      <c r="B192" s="57"/>
      <c r="C192" s="57"/>
      <c r="D192" s="58"/>
      <c r="E192" s="59"/>
      <c r="F192" s="63"/>
      <c r="G192" s="63"/>
      <c r="H192" s="63"/>
      <c r="I192" s="63"/>
      <c r="J192" s="65"/>
      <c r="K192" s="392"/>
      <c r="L192" s="65"/>
      <c r="M192" s="65"/>
      <c r="N192" s="65"/>
      <c r="O192" s="386"/>
      <c r="P192" s="386"/>
      <c r="Q192" s="386"/>
      <c r="R192" s="386"/>
      <c r="S192" s="386"/>
      <c r="T192" s="386"/>
      <c r="U192" s="386"/>
      <c r="V192" s="386"/>
      <c r="W192" s="386"/>
      <c r="X192" s="386"/>
      <c r="Y192" s="386"/>
      <c r="Z192" s="386"/>
      <c r="AA192" s="386"/>
      <c r="AB192" s="386"/>
      <c r="AC192" s="386"/>
      <c r="AD192" s="386"/>
      <c r="AE192" s="386"/>
      <c r="AF192" s="386"/>
      <c r="AG192" s="386"/>
      <c r="AH192" s="386"/>
      <c r="AI192" s="386"/>
      <c r="AJ192" s="386"/>
      <c r="AK192" s="386"/>
      <c r="AL192" s="386"/>
      <c r="AM192" s="386"/>
      <c r="AN192" s="386"/>
      <c r="AO192" s="386"/>
      <c r="AP192" s="386"/>
      <c r="AQ192" s="386"/>
      <c r="AR192" s="386"/>
      <c r="AS192" s="386"/>
      <c r="AT192" s="386"/>
      <c r="AU192" s="386"/>
      <c r="AV192" s="386"/>
      <c r="AW192" s="386"/>
      <c r="AX192" s="386"/>
      <c r="AY192" s="386"/>
      <c r="AZ192" s="386"/>
      <c r="BA192" s="386"/>
      <c r="BB192" s="386"/>
      <c r="BC192" s="386"/>
      <c r="BD192" s="386"/>
      <c r="BE192" s="386"/>
      <c r="BF192" s="386"/>
      <c r="BG192" s="386"/>
      <c r="BH192" s="386"/>
      <c r="BI192" s="386"/>
      <c r="BJ192" s="386"/>
      <c r="BK192" s="386"/>
      <c r="BL192" s="386"/>
      <c r="BM192" s="386"/>
      <c r="BN192" s="386"/>
      <c r="BO192" s="386"/>
      <c r="BP192" s="386"/>
      <c r="BQ192" s="386"/>
      <c r="BR192" s="386"/>
      <c r="BS192" s="386"/>
      <c r="BT192" s="386"/>
      <c r="BU192" s="386"/>
      <c r="BV192" s="386"/>
      <c r="BW192" s="386"/>
      <c r="BX192" s="386"/>
      <c r="BY192" s="386"/>
      <c r="BZ192" s="386"/>
      <c r="CA192" s="386"/>
      <c r="CB192" s="386"/>
      <c r="CC192" s="386"/>
      <c r="CD192" s="386"/>
      <c r="CE192" s="386"/>
      <c r="CF192" s="386"/>
      <c r="CG192" s="386"/>
      <c r="CH192" s="386"/>
      <c r="CI192" s="386"/>
      <c r="CJ192" s="386"/>
      <c r="CK192" s="386"/>
      <c r="CL192" s="386"/>
    </row>
    <row r="193" spans="2:90" ht="12.75" customHeight="1" x14ac:dyDescent="0.15">
      <c r="B193" s="57"/>
      <c r="C193" s="57"/>
      <c r="D193" s="58"/>
      <c r="E193" s="59"/>
      <c r="F193" s="63"/>
      <c r="G193" s="63"/>
      <c r="H193" s="63"/>
      <c r="I193" s="63"/>
      <c r="J193" s="65"/>
      <c r="K193" s="392"/>
      <c r="L193" s="65"/>
      <c r="M193" s="65"/>
      <c r="N193" s="65"/>
      <c r="O193" s="386"/>
      <c r="P193" s="386"/>
      <c r="Q193" s="386"/>
      <c r="R193" s="386"/>
      <c r="S193" s="386"/>
      <c r="T193" s="386"/>
      <c r="U193" s="386"/>
      <c r="V193" s="386"/>
      <c r="W193" s="386"/>
      <c r="X193" s="386"/>
      <c r="Y193" s="386"/>
      <c r="Z193" s="386"/>
      <c r="AA193" s="386"/>
      <c r="AB193" s="386"/>
      <c r="AC193" s="386"/>
      <c r="AD193" s="386"/>
      <c r="AE193" s="386"/>
      <c r="AF193" s="386"/>
      <c r="AG193" s="386"/>
      <c r="AH193" s="386"/>
      <c r="AI193" s="386"/>
      <c r="AJ193" s="386"/>
      <c r="AK193" s="386"/>
      <c r="AL193" s="386"/>
      <c r="AM193" s="386"/>
      <c r="AN193" s="386"/>
      <c r="AO193" s="386"/>
      <c r="AP193" s="386"/>
      <c r="AQ193" s="386"/>
      <c r="AR193" s="386"/>
      <c r="AS193" s="386"/>
      <c r="AT193" s="386"/>
      <c r="AU193" s="386"/>
      <c r="AV193" s="386"/>
      <c r="AW193" s="386"/>
      <c r="AX193" s="386"/>
      <c r="AY193" s="386"/>
      <c r="AZ193" s="386"/>
      <c r="BA193" s="386"/>
      <c r="BB193" s="386"/>
      <c r="BC193" s="386"/>
      <c r="BD193" s="386"/>
      <c r="BE193" s="386"/>
      <c r="BF193" s="386"/>
      <c r="BG193" s="386"/>
      <c r="BH193" s="386"/>
      <c r="BI193" s="386"/>
      <c r="BJ193" s="386"/>
      <c r="BK193" s="386"/>
      <c r="BL193" s="386"/>
      <c r="BM193" s="386"/>
      <c r="BN193" s="386"/>
      <c r="BO193" s="386"/>
      <c r="BP193" s="386"/>
      <c r="BQ193" s="386"/>
      <c r="BR193" s="386"/>
      <c r="BS193" s="386"/>
      <c r="BT193" s="386"/>
      <c r="BU193" s="386"/>
      <c r="BV193" s="386"/>
      <c r="BW193" s="386"/>
      <c r="BX193" s="386"/>
      <c r="BY193" s="386"/>
      <c r="BZ193" s="386"/>
      <c r="CA193" s="386"/>
      <c r="CB193" s="386"/>
      <c r="CC193" s="386"/>
      <c r="CD193" s="386"/>
      <c r="CE193" s="386"/>
      <c r="CF193" s="386"/>
      <c r="CG193" s="386"/>
      <c r="CH193" s="386"/>
      <c r="CI193" s="386"/>
      <c r="CJ193" s="386"/>
      <c r="CK193" s="386"/>
      <c r="CL193" s="386"/>
    </row>
    <row r="194" spans="2:90" ht="12.75" customHeight="1" x14ac:dyDescent="0.15">
      <c r="B194" s="57"/>
      <c r="C194" s="57"/>
      <c r="D194" s="58"/>
      <c r="E194" s="59"/>
      <c r="F194" s="63"/>
      <c r="G194" s="63"/>
      <c r="H194" s="63"/>
      <c r="I194" s="63"/>
      <c r="J194" s="65"/>
      <c r="K194" s="392"/>
      <c r="L194" s="65"/>
      <c r="M194" s="65"/>
      <c r="N194" s="65"/>
      <c r="O194" s="386"/>
      <c r="P194" s="386"/>
      <c r="Q194" s="386"/>
      <c r="R194" s="386"/>
      <c r="S194" s="386"/>
      <c r="T194" s="386"/>
      <c r="U194" s="386"/>
      <c r="V194" s="386"/>
      <c r="W194" s="386"/>
      <c r="X194" s="386"/>
      <c r="Y194" s="386"/>
      <c r="Z194" s="386"/>
      <c r="AA194" s="386"/>
      <c r="AB194" s="386"/>
      <c r="AC194" s="386"/>
      <c r="AD194" s="386"/>
      <c r="AE194" s="386"/>
      <c r="AF194" s="386"/>
      <c r="AG194" s="386"/>
      <c r="AH194" s="386"/>
      <c r="AI194" s="386"/>
      <c r="AJ194" s="386"/>
      <c r="AK194" s="386"/>
      <c r="AL194" s="386"/>
      <c r="AM194" s="386"/>
      <c r="AN194" s="386"/>
      <c r="AO194" s="386"/>
      <c r="AP194" s="386"/>
      <c r="AQ194" s="386"/>
      <c r="AR194" s="386"/>
      <c r="AS194" s="386"/>
      <c r="AT194" s="386"/>
      <c r="AU194" s="386"/>
      <c r="AV194" s="386"/>
      <c r="AW194" s="386"/>
      <c r="AX194" s="386"/>
      <c r="AY194" s="386"/>
      <c r="AZ194" s="386"/>
      <c r="BA194" s="386"/>
      <c r="BB194" s="386"/>
      <c r="BC194" s="386"/>
      <c r="BD194" s="386"/>
      <c r="BE194" s="386"/>
      <c r="BF194" s="386"/>
      <c r="BG194" s="386"/>
      <c r="BH194" s="386"/>
      <c r="BI194" s="386"/>
      <c r="BJ194" s="386"/>
      <c r="BK194" s="386"/>
      <c r="BL194" s="386"/>
      <c r="BM194" s="386"/>
      <c r="BN194" s="386"/>
      <c r="BO194" s="386"/>
      <c r="BP194" s="386"/>
      <c r="BQ194" s="386"/>
      <c r="BR194" s="386"/>
      <c r="BS194" s="386"/>
      <c r="BT194" s="386"/>
      <c r="BU194" s="386"/>
      <c r="BV194" s="386"/>
      <c r="BW194" s="386"/>
      <c r="BX194" s="386"/>
      <c r="BY194" s="386"/>
      <c r="BZ194" s="386"/>
      <c r="CA194" s="386"/>
      <c r="CB194" s="386"/>
      <c r="CC194" s="386"/>
      <c r="CD194" s="386"/>
      <c r="CE194" s="386"/>
      <c r="CF194" s="386"/>
      <c r="CG194" s="386"/>
      <c r="CH194" s="386"/>
      <c r="CI194" s="386"/>
      <c r="CJ194" s="386"/>
      <c r="CK194" s="386"/>
      <c r="CL194" s="386"/>
    </row>
    <row r="195" spans="2:90" ht="12.75" customHeight="1" x14ac:dyDescent="0.15">
      <c r="B195" s="57"/>
      <c r="C195" s="57"/>
      <c r="D195" s="58"/>
      <c r="E195" s="59"/>
      <c r="F195" s="63"/>
      <c r="G195" s="63"/>
      <c r="H195" s="63"/>
      <c r="I195" s="63"/>
      <c r="J195" s="65"/>
      <c r="K195" s="392"/>
      <c r="L195" s="65"/>
      <c r="M195" s="65"/>
      <c r="N195" s="65"/>
      <c r="O195" s="386"/>
      <c r="P195" s="386"/>
      <c r="Q195" s="386"/>
      <c r="R195" s="386"/>
      <c r="S195" s="386"/>
      <c r="T195" s="386"/>
      <c r="U195" s="386"/>
      <c r="V195" s="386"/>
      <c r="W195" s="386"/>
      <c r="X195" s="386"/>
      <c r="Y195" s="386"/>
      <c r="Z195" s="386"/>
      <c r="AA195" s="386"/>
      <c r="AB195" s="386"/>
      <c r="AC195" s="386"/>
      <c r="AD195" s="386"/>
      <c r="AE195" s="386"/>
      <c r="AF195" s="386"/>
      <c r="AG195" s="386"/>
      <c r="AH195" s="386"/>
      <c r="AI195" s="386"/>
      <c r="AJ195" s="386"/>
      <c r="AK195" s="386"/>
      <c r="AL195" s="386"/>
      <c r="AM195" s="386"/>
      <c r="AN195" s="386"/>
      <c r="AO195" s="386"/>
      <c r="AP195" s="386"/>
      <c r="AQ195" s="386"/>
      <c r="AR195" s="386"/>
      <c r="AS195" s="386"/>
      <c r="AT195" s="386"/>
      <c r="AU195" s="386"/>
      <c r="AV195" s="386"/>
      <c r="AW195" s="386"/>
      <c r="AX195" s="386"/>
      <c r="AY195" s="386"/>
      <c r="AZ195" s="386"/>
      <c r="BA195" s="386"/>
      <c r="BB195" s="386"/>
      <c r="BC195" s="386"/>
      <c r="BD195" s="386"/>
      <c r="BE195" s="386"/>
      <c r="BF195" s="386"/>
      <c r="BG195" s="386"/>
      <c r="BH195" s="386"/>
      <c r="BI195" s="386"/>
      <c r="BJ195" s="386"/>
      <c r="BK195" s="386"/>
      <c r="BL195" s="386"/>
      <c r="BM195" s="386"/>
      <c r="BN195" s="386"/>
      <c r="BO195" s="386"/>
      <c r="BP195" s="386"/>
      <c r="BQ195" s="386"/>
      <c r="BR195" s="386"/>
      <c r="BS195" s="386"/>
      <c r="BT195" s="386"/>
      <c r="BU195" s="386"/>
      <c r="BV195" s="386"/>
      <c r="BW195" s="386"/>
      <c r="BX195" s="386"/>
      <c r="BY195" s="386"/>
      <c r="BZ195" s="386"/>
      <c r="CA195" s="386"/>
      <c r="CB195" s="386"/>
      <c r="CC195" s="386"/>
      <c r="CD195" s="386"/>
      <c r="CE195" s="386"/>
      <c r="CF195" s="386"/>
      <c r="CG195" s="386"/>
      <c r="CH195" s="386"/>
      <c r="CI195" s="386"/>
      <c r="CJ195" s="386"/>
      <c r="CK195" s="386"/>
      <c r="CL195" s="386"/>
    </row>
    <row r="196" spans="2:90" ht="12.75" customHeight="1" x14ac:dyDescent="0.15">
      <c r="B196" s="57"/>
      <c r="C196" s="57"/>
      <c r="D196" s="58"/>
      <c r="E196" s="59"/>
      <c r="F196" s="63"/>
      <c r="G196" s="63"/>
      <c r="H196" s="63"/>
      <c r="I196" s="63"/>
      <c r="J196" s="65"/>
      <c r="K196" s="392"/>
      <c r="L196" s="65"/>
      <c r="M196" s="65"/>
      <c r="N196" s="65"/>
      <c r="O196" s="386"/>
      <c r="P196" s="386"/>
      <c r="Q196" s="386"/>
      <c r="R196" s="386"/>
      <c r="S196" s="386"/>
      <c r="T196" s="386"/>
      <c r="U196" s="386"/>
      <c r="V196" s="386"/>
      <c r="W196" s="386"/>
      <c r="X196" s="386"/>
      <c r="Y196" s="386"/>
      <c r="Z196" s="386"/>
      <c r="AA196" s="386"/>
      <c r="AB196" s="386"/>
      <c r="AC196" s="386"/>
      <c r="AD196" s="386"/>
      <c r="AE196" s="386"/>
      <c r="AF196" s="386"/>
      <c r="AG196" s="386"/>
      <c r="AH196" s="386"/>
      <c r="AI196" s="386"/>
      <c r="AJ196" s="386"/>
      <c r="AK196" s="386"/>
      <c r="AL196" s="386"/>
      <c r="AM196" s="386"/>
      <c r="AN196" s="386"/>
      <c r="AO196" s="386"/>
      <c r="AP196" s="386"/>
      <c r="AQ196" s="386"/>
      <c r="AR196" s="386"/>
      <c r="AS196" s="386"/>
      <c r="AT196" s="386"/>
      <c r="AU196" s="386"/>
      <c r="AV196" s="386"/>
      <c r="AW196" s="386"/>
      <c r="AX196" s="386"/>
      <c r="AY196" s="386"/>
      <c r="AZ196" s="386"/>
      <c r="BA196" s="386"/>
      <c r="BB196" s="386"/>
      <c r="BC196" s="386"/>
      <c r="BD196" s="386"/>
      <c r="BE196" s="386"/>
      <c r="BF196" s="386"/>
      <c r="BG196" s="386"/>
      <c r="BH196" s="386"/>
      <c r="BI196" s="386"/>
      <c r="BJ196" s="386"/>
      <c r="BK196" s="386"/>
      <c r="BL196" s="386"/>
      <c r="BM196" s="386"/>
      <c r="BN196" s="386"/>
      <c r="BO196" s="386"/>
      <c r="BP196" s="386"/>
      <c r="BQ196" s="386"/>
      <c r="BR196" s="386"/>
      <c r="BS196" s="386"/>
      <c r="BT196" s="386"/>
      <c r="BU196" s="386"/>
      <c r="BV196" s="386"/>
      <c r="BW196" s="386"/>
      <c r="BX196" s="386"/>
      <c r="BY196" s="386"/>
      <c r="BZ196" s="386"/>
      <c r="CA196" s="386"/>
      <c r="CB196" s="386"/>
      <c r="CC196" s="386"/>
      <c r="CD196" s="386"/>
      <c r="CE196" s="386"/>
      <c r="CF196" s="386"/>
      <c r="CG196" s="386"/>
      <c r="CH196" s="386"/>
      <c r="CI196" s="386"/>
      <c r="CJ196" s="386"/>
      <c r="CK196" s="386"/>
      <c r="CL196" s="386"/>
    </row>
    <row r="197" spans="2:90" ht="12.75" customHeight="1" x14ac:dyDescent="0.15">
      <c r="B197" s="57"/>
      <c r="C197" s="57"/>
      <c r="D197" s="58"/>
      <c r="E197" s="59"/>
      <c r="F197" s="63"/>
      <c r="G197" s="63"/>
      <c r="H197" s="63"/>
      <c r="I197" s="63"/>
      <c r="J197" s="65"/>
      <c r="K197" s="392"/>
      <c r="L197" s="65"/>
      <c r="M197" s="65"/>
      <c r="N197" s="65"/>
      <c r="O197" s="386"/>
      <c r="P197" s="386"/>
      <c r="Q197" s="386"/>
      <c r="R197" s="386"/>
      <c r="S197" s="386"/>
      <c r="T197" s="386"/>
      <c r="U197" s="386"/>
      <c r="V197" s="386"/>
      <c r="W197" s="386"/>
      <c r="X197" s="386"/>
      <c r="Y197" s="386"/>
      <c r="Z197" s="386"/>
      <c r="AA197" s="386"/>
      <c r="AB197" s="386"/>
      <c r="AC197" s="386"/>
      <c r="AD197" s="386"/>
      <c r="AE197" s="386"/>
      <c r="AF197" s="386"/>
      <c r="AG197" s="386"/>
      <c r="AH197" s="386"/>
      <c r="AI197" s="386"/>
      <c r="AJ197" s="386"/>
      <c r="AK197" s="386"/>
      <c r="AL197" s="386"/>
      <c r="AM197" s="386"/>
      <c r="AN197" s="386"/>
      <c r="AO197" s="386"/>
      <c r="AP197" s="386"/>
      <c r="AQ197" s="386"/>
      <c r="AR197" s="386"/>
      <c r="AS197" s="386"/>
      <c r="AT197" s="386"/>
      <c r="AU197" s="386"/>
      <c r="AV197" s="386"/>
      <c r="AW197" s="386"/>
      <c r="AX197" s="386"/>
      <c r="AY197" s="386"/>
      <c r="AZ197" s="386"/>
      <c r="BA197" s="386"/>
      <c r="BB197" s="386"/>
      <c r="BC197" s="386"/>
      <c r="BD197" s="386"/>
      <c r="BE197" s="386"/>
      <c r="BF197" s="386"/>
      <c r="BG197" s="386"/>
      <c r="BH197" s="386"/>
      <c r="BI197" s="386"/>
      <c r="BJ197" s="386"/>
      <c r="BK197" s="386"/>
      <c r="BL197" s="386"/>
      <c r="BM197" s="386"/>
      <c r="BN197" s="386"/>
      <c r="BO197" s="386"/>
      <c r="BP197" s="386"/>
      <c r="BQ197" s="386"/>
      <c r="BR197" s="386"/>
      <c r="BS197" s="386"/>
      <c r="BT197" s="386"/>
      <c r="BU197" s="386"/>
      <c r="BV197" s="386"/>
      <c r="BW197" s="386"/>
      <c r="BX197" s="386"/>
      <c r="BY197" s="386"/>
      <c r="BZ197" s="386"/>
      <c r="CA197" s="386"/>
      <c r="CB197" s="386"/>
      <c r="CC197" s="386"/>
      <c r="CD197" s="386"/>
      <c r="CE197" s="386"/>
      <c r="CF197" s="386"/>
      <c r="CG197" s="386"/>
      <c r="CH197" s="386"/>
      <c r="CI197" s="386"/>
      <c r="CJ197" s="386"/>
      <c r="CK197" s="386"/>
      <c r="CL197" s="386"/>
    </row>
    <row r="198" spans="2:90" ht="12.75" customHeight="1" x14ac:dyDescent="0.15">
      <c r="B198" s="57"/>
      <c r="C198" s="57"/>
      <c r="D198" s="58"/>
      <c r="E198" s="59"/>
      <c r="F198" s="63"/>
      <c r="G198" s="63"/>
      <c r="H198" s="63"/>
      <c r="I198" s="63"/>
      <c r="J198" s="65"/>
      <c r="K198" s="392"/>
      <c r="L198" s="65"/>
      <c r="M198" s="65"/>
      <c r="N198" s="65"/>
      <c r="O198" s="386"/>
      <c r="P198" s="386"/>
      <c r="Q198" s="386"/>
      <c r="R198" s="386"/>
      <c r="S198" s="386"/>
      <c r="T198" s="386"/>
      <c r="U198" s="386"/>
      <c r="V198" s="386"/>
      <c r="W198" s="386"/>
      <c r="X198" s="386"/>
      <c r="Y198" s="386"/>
      <c r="Z198" s="386"/>
      <c r="AA198" s="386"/>
      <c r="AB198" s="386"/>
      <c r="AC198" s="386"/>
      <c r="AD198" s="386"/>
      <c r="AE198" s="386"/>
      <c r="AF198" s="386"/>
      <c r="AG198" s="386"/>
      <c r="AH198" s="386"/>
      <c r="AI198" s="386"/>
      <c r="AJ198" s="386"/>
      <c r="AK198" s="386"/>
      <c r="AL198" s="386"/>
      <c r="AM198" s="386"/>
      <c r="AN198" s="386"/>
      <c r="AO198" s="386"/>
      <c r="AP198" s="386"/>
      <c r="AQ198" s="386"/>
      <c r="AR198" s="386"/>
      <c r="AS198" s="386"/>
      <c r="AT198" s="386"/>
      <c r="AU198" s="386"/>
      <c r="AV198" s="386"/>
      <c r="AW198" s="386"/>
      <c r="AX198" s="386"/>
      <c r="AY198" s="386"/>
      <c r="AZ198" s="386"/>
      <c r="BA198" s="386"/>
      <c r="BB198" s="386"/>
      <c r="BC198" s="386"/>
      <c r="BD198" s="386"/>
      <c r="BE198" s="386"/>
      <c r="BF198" s="386"/>
      <c r="BG198" s="386"/>
      <c r="BH198" s="386"/>
      <c r="BI198" s="386"/>
      <c r="BJ198" s="386"/>
      <c r="BK198" s="386"/>
      <c r="BL198" s="386"/>
      <c r="BM198" s="386"/>
      <c r="BN198" s="386"/>
      <c r="BO198" s="386"/>
      <c r="BP198" s="386"/>
      <c r="BQ198" s="386"/>
      <c r="BR198" s="386"/>
      <c r="BS198" s="386"/>
      <c r="BT198" s="386"/>
      <c r="BU198" s="386"/>
      <c r="BV198" s="386"/>
      <c r="BW198" s="386"/>
      <c r="BX198" s="386"/>
      <c r="BY198" s="386"/>
      <c r="BZ198" s="386"/>
      <c r="CA198" s="386"/>
      <c r="CB198" s="386"/>
      <c r="CC198" s="386"/>
      <c r="CD198" s="386"/>
      <c r="CE198" s="386"/>
      <c r="CF198" s="386"/>
      <c r="CG198" s="386"/>
      <c r="CH198" s="386"/>
      <c r="CI198" s="386"/>
      <c r="CJ198" s="386"/>
      <c r="CK198" s="386"/>
      <c r="CL198" s="386"/>
    </row>
    <row r="199" spans="2:90" ht="12.75" customHeight="1" x14ac:dyDescent="0.15">
      <c r="B199" s="57"/>
      <c r="C199" s="57"/>
      <c r="D199" s="58"/>
      <c r="E199" s="59"/>
      <c r="F199" s="63"/>
      <c r="G199" s="63"/>
      <c r="H199" s="63"/>
      <c r="I199" s="63"/>
      <c r="J199" s="65"/>
      <c r="K199" s="392"/>
      <c r="L199" s="65"/>
      <c r="M199" s="65"/>
      <c r="N199" s="65"/>
      <c r="O199" s="386"/>
      <c r="P199" s="386"/>
      <c r="Q199" s="386"/>
      <c r="R199" s="386"/>
      <c r="S199" s="386"/>
      <c r="T199" s="386"/>
      <c r="U199" s="386"/>
      <c r="V199" s="386"/>
      <c r="W199" s="386"/>
      <c r="X199" s="386"/>
      <c r="Y199" s="386"/>
      <c r="Z199" s="386"/>
      <c r="AA199" s="386"/>
      <c r="AB199" s="386"/>
      <c r="AC199" s="386"/>
      <c r="AD199" s="386"/>
      <c r="AE199" s="386"/>
      <c r="AF199" s="386"/>
      <c r="AG199" s="386"/>
      <c r="AH199" s="386"/>
      <c r="AI199" s="386"/>
      <c r="AJ199" s="386"/>
      <c r="AK199" s="386"/>
      <c r="AL199" s="386"/>
      <c r="AM199" s="386"/>
      <c r="AN199" s="386"/>
      <c r="AO199" s="386"/>
      <c r="AP199" s="386"/>
      <c r="AQ199" s="386"/>
      <c r="AR199" s="386"/>
      <c r="AS199" s="386"/>
      <c r="AT199" s="386"/>
      <c r="AU199" s="386"/>
      <c r="AV199" s="386"/>
      <c r="AW199" s="386"/>
      <c r="AX199" s="386"/>
      <c r="AY199" s="386"/>
      <c r="AZ199" s="386"/>
      <c r="BA199" s="386"/>
      <c r="BB199" s="386"/>
      <c r="BC199" s="386"/>
      <c r="BD199" s="386"/>
      <c r="BE199" s="386"/>
      <c r="BF199" s="386"/>
      <c r="BG199" s="386"/>
      <c r="BH199" s="386"/>
      <c r="BI199" s="386"/>
      <c r="BJ199" s="386"/>
      <c r="BK199" s="386"/>
      <c r="BL199" s="386"/>
      <c r="BM199" s="386"/>
      <c r="BN199" s="386"/>
      <c r="BO199" s="386"/>
      <c r="BP199" s="386"/>
      <c r="BQ199" s="386"/>
      <c r="BR199" s="386"/>
      <c r="BS199" s="386"/>
      <c r="BT199" s="386"/>
      <c r="BU199" s="386"/>
      <c r="BV199" s="386"/>
      <c r="BW199" s="386"/>
      <c r="BX199" s="386"/>
      <c r="BY199" s="386"/>
      <c r="BZ199" s="386"/>
      <c r="CA199" s="386"/>
      <c r="CB199" s="386"/>
      <c r="CC199" s="386"/>
      <c r="CD199" s="386"/>
      <c r="CE199" s="386"/>
      <c r="CF199" s="386"/>
      <c r="CG199" s="386"/>
      <c r="CH199" s="386"/>
      <c r="CI199" s="386"/>
      <c r="CJ199" s="386"/>
      <c r="CK199" s="386"/>
      <c r="CL199" s="386"/>
    </row>
    <row r="200" spans="2:90" ht="12.75" customHeight="1" x14ac:dyDescent="0.15">
      <c r="B200" s="57"/>
      <c r="C200" s="57"/>
      <c r="D200" s="58"/>
      <c r="E200" s="59"/>
      <c r="F200" s="63"/>
      <c r="G200" s="63"/>
      <c r="H200" s="63"/>
      <c r="I200" s="63"/>
      <c r="J200" s="65"/>
      <c r="K200" s="392"/>
      <c r="L200" s="65"/>
      <c r="M200" s="65"/>
      <c r="N200" s="65"/>
      <c r="O200" s="386"/>
      <c r="P200" s="386"/>
      <c r="Q200" s="386"/>
      <c r="R200" s="386"/>
      <c r="S200" s="386"/>
      <c r="T200" s="386"/>
      <c r="U200" s="386"/>
      <c r="V200" s="386"/>
      <c r="W200" s="386"/>
      <c r="X200" s="386"/>
      <c r="Y200" s="386"/>
      <c r="Z200" s="386"/>
      <c r="AA200" s="386"/>
      <c r="AB200" s="386"/>
      <c r="AC200" s="386"/>
      <c r="AD200" s="386"/>
      <c r="AE200" s="386"/>
      <c r="AF200" s="386"/>
      <c r="AG200" s="386"/>
      <c r="AH200" s="386"/>
      <c r="AI200" s="386"/>
      <c r="AJ200" s="386"/>
      <c r="AK200" s="386"/>
      <c r="AL200" s="386"/>
      <c r="AM200" s="386"/>
      <c r="AN200" s="386"/>
      <c r="AO200" s="386"/>
      <c r="AP200" s="386"/>
      <c r="AQ200" s="386"/>
      <c r="AR200" s="386"/>
      <c r="AS200" s="386"/>
      <c r="AT200" s="386"/>
      <c r="AU200" s="386"/>
      <c r="AV200" s="386"/>
      <c r="AW200" s="386"/>
      <c r="AX200" s="386"/>
      <c r="AY200" s="386"/>
      <c r="AZ200" s="386"/>
      <c r="BA200" s="386"/>
      <c r="BB200" s="386"/>
      <c r="BC200" s="386"/>
      <c r="BD200" s="386"/>
      <c r="BE200" s="386"/>
      <c r="BF200" s="386"/>
      <c r="BG200" s="386"/>
      <c r="BH200" s="386"/>
      <c r="BI200" s="386"/>
      <c r="BJ200" s="386"/>
      <c r="BK200" s="386"/>
      <c r="BL200" s="386"/>
      <c r="BM200" s="386"/>
      <c r="BN200" s="386"/>
      <c r="BO200" s="386"/>
      <c r="BP200" s="386"/>
      <c r="BQ200" s="386"/>
      <c r="BR200" s="386"/>
      <c r="BS200" s="386"/>
      <c r="BT200" s="386"/>
      <c r="BU200" s="386"/>
      <c r="BV200" s="386"/>
      <c r="BW200" s="386"/>
      <c r="BX200" s="386"/>
      <c r="BY200" s="386"/>
      <c r="BZ200" s="386"/>
      <c r="CA200" s="386"/>
      <c r="CB200" s="386"/>
      <c r="CC200" s="386"/>
      <c r="CD200" s="386"/>
      <c r="CE200" s="386"/>
      <c r="CF200" s="386"/>
      <c r="CG200" s="386"/>
      <c r="CH200" s="386"/>
      <c r="CI200" s="386"/>
      <c r="CJ200" s="386"/>
      <c r="CK200" s="386"/>
      <c r="CL200" s="386"/>
    </row>
    <row r="201" spans="2:90" ht="12.75" customHeight="1" x14ac:dyDescent="0.15">
      <c r="B201" s="57"/>
      <c r="C201" s="57"/>
      <c r="D201" s="58"/>
      <c r="E201" s="59"/>
      <c r="F201" s="63"/>
      <c r="G201" s="63"/>
      <c r="H201" s="63"/>
      <c r="I201" s="63"/>
      <c r="J201" s="65"/>
      <c r="K201" s="392"/>
      <c r="L201" s="65"/>
      <c r="M201" s="65"/>
      <c r="N201" s="65"/>
      <c r="O201" s="386"/>
      <c r="P201" s="386"/>
      <c r="Q201" s="386"/>
      <c r="R201" s="386"/>
      <c r="S201" s="386"/>
      <c r="T201" s="386"/>
      <c r="U201" s="386"/>
      <c r="V201" s="386"/>
      <c r="W201" s="386"/>
      <c r="X201" s="386"/>
      <c r="Y201" s="386"/>
      <c r="Z201" s="386"/>
      <c r="AA201" s="386"/>
      <c r="AB201" s="386"/>
      <c r="AC201" s="386"/>
      <c r="AD201" s="386"/>
      <c r="AE201" s="386"/>
      <c r="AF201" s="386"/>
      <c r="AG201" s="386"/>
      <c r="AH201" s="386"/>
      <c r="AI201" s="386"/>
      <c r="AJ201" s="386"/>
      <c r="AK201" s="386"/>
      <c r="AL201" s="386"/>
      <c r="AM201" s="386"/>
      <c r="AN201" s="386"/>
      <c r="AO201" s="386"/>
      <c r="AP201" s="386"/>
      <c r="AQ201" s="386"/>
      <c r="AR201" s="386"/>
      <c r="AS201" s="386"/>
      <c r="AT201" s="386"/>
      <c r="AU201" s="386"/>
      <c r="AV201" s="386"/>
      <c r="AW201" s="386"/>
      <c r="AX201" s="386"/>
      <c r="AY201" s="386"/>
      <c r="AZ201" s="386"/>
      <c r="BA201" s="386"/>
      <c r="BB201" s="386"/>
      <c r="BC201" s="386"/>
      <c r="BD201" s="386"/>
      <c r="BE201" s="386"/>
      <c r="BF201" s="386"/>
      <c r="BG201" s="386"/>
      <c r="BH201" s="386"/>
      <c r="BI201" s="386"/>
      <c r="BJ201" s="386"/>
      <c r="BK201" s="386"/>
      <c r="BL201" s="386"/>
      <c r="BM201" s="386"/>
      <c r="BN201" s="386"/>
      <c r="BO201" s="386"/>
      <c r="BP201" s="386"/>
      <c r="BQ201" s="386"/>
      <c r="BR201" s="386"/>
      <c r="BS201" s="386"/>
      <c r="BT201" s="386"/>
      <c r="BU201" s="386"/>
      <c r="BV201" s="386"/>
      <c r="BW201" s="386"/>
      <c r="BX201" s="386"/>
      <c r="BY201" s="386"/>
      <c r="BZ201" s="386"/>
      <c r="CA201" s="386"/>
      <c r="CB201" s="386"/>
      <c r="CC201" s="386"/>
      <c r="CD201" s="386"/>
      <c r="CE201" s="386"/>
      <c r="CF201" s="386"/>
      <c r="CG201" s="386"/>
      <c r="CH201" s="386"/>
      <c r="CI201" s="386"/>
      <c r="CJ201" s="386"/>
      <c r="CK201" s="386"/>
      <c r="CL201" s="386"/>
    </row>
    <row r="202" spans="2:90" ht="12.75" customHeight="1" x14ac:dyDescent="0.15">
      <c r="B202" s="57"/>
      <c r="C202" s="57"/>
      <c r="D202" s="58"/>
      <c r="E202" s="59"/>
      <c r="F202" s="63"/>
      <c r="G202" s="63"/>
      <c r="H202" s="63"/>
      <c r="I202" s="63"/>
      <c r="J202" s="65"/>
      <c r="K202" s="392"/>
      <c r="L202" s="65"/>
      <c r="M202" s="65"/>
      <c r="N202" s="65"/>
      <c r="O202" s="386"/>
      <c r="P202" s="386"/>
      <c r="Q202" s="386"/>
      <c r="R202" s="386"/>
      <c r="S202" s="386"/>
      <c r="T202" s="386"/>
      <c r="U202" s="386"/>
      <c r="V202" s="386"/>
      <c r="W202" s="386"/>
      <c r="X202" s="386"/>
      <c r="Y202" s="386"/>
      <c r="Z202" s="386"/>
      <c r="AA202" s="386"/>
      <c r="AB202" s="386"/>
      <c r="AC202" s="386"/>
      <c r="AD202" s="386"/>
      <c r="AE202" s="386"/>
      <c r="AF202" s="386"/>
      <c r="AG202" s="386"/>
      <c r="AH202" s="386"/>
      <c r="AI202" s="386"/>
      <c r="AJ202" s="386"/>
      <c r="AK202" s="386"/>
      <c r="AL202" s="386"/>
      <c r="AM202" s="386"/>
      <c r="AN202" s="386"/>
      <c r="AO202" s="386"/>
      <c r="AP202" s="386"/>
      <c r="AQ202" s="386"/>
      <c r="AR202" s="386"/>
      <c r="AS202" s="386"/>
      <c r="AT202" s="386"/>
      <c r="AU202" s="386"/>
      <c r="AV202" s="386"/>
      <c r="AW202" s="386"/>
      <c r="AX202" s="386"/>
      <c r="AY202" s="386"/>
      <c r="AZ202" s="386"/>
      <c r="BA202" s="386"/>
      <c r="BB202" s="386"/>
      <c r="BC202" s="386"/>
      <c r="BD202" s="386"/>
      <c r="BE202" s="386"/>
      <c r="BF202" s="386"/>
      <c r="BG202" s="386"/>
      <c r="BH202" s="386"/>
      <c r="BI202" s="386"/>
      <c r="BJ202" s="386"/>
      <c r="BK202" s="386"/>
      <c r="BL202" s="386"/>
      <c r="BM202" s="386"/>
      <c r="BN202" s="386"/>
      <c r="BO202" s="386"/>
      <c r="BP202" s="386"/>
      <c r="BQ202" s="386"/>
      <c r="BR202" s="386"/>
      <c r="BS202" s="386"/>
      <c r="BT202" s="386"/>
      <c r="BU202" s="386"/>
      <c r="BV202" s="386"/>
      <c r="BW202" s="386"/>
      <c r="BX202" s="386"/>
      <c r="BY202" s="386"/>
      <c r="BZ202" s="386"/>
      <c r="CA202" s="386"/>
      <c r="CB202" s="386"/>
      <c r="CC202" s="386"/>
      <c r="CD202" s="386"/>
      <c r="CE202" s="386"/>
      <c r="CF202" s="386"/>
      <c r="CG202" s="386"/>
      <c r="CH202" s="386"/>
      <c r="CI202" s="386"/>
      <c r="CJ202" s="386"/>
      <c r="CK202" s="386"/>
      <c r="CL202" s="386"/>
    </row>
    <row r="203" spans="2:90" ht="12.75" customHeight="1" x14ac:dyDescent="0.15">
      <c r="B203" s="57"/>
      <c r="C203" s="57"/>
      <c r="D203" s="58"/>
      <c r="E203" s="59"/>
      <c r="F203" s="63"/>
      <c r="G203" s="63"/>
      <c r="H203" s="63"/>
      <c r="I203" s="63"/>
      <c r="J203" s="65"/>
      <c r="K203" s="392"/>
      <c r="L203" s="65"/>
      <c r="M203" s="65"/>
      <c r="N203" s="65"/>
      <c r="O203" s="386"/>
      <c r="P203" s="386"/>
      <c r="Q203" s="386"/>
      <c r="R203" s="386"/>
      <c r="S203" s="386"/>
      <c r="T203" s="386"/>
      <c r="U203" s="386"/>
      <c r="V203" s="386"/>
      <c r="W203" s="386"/>
      <c r="X203" s="386"/>
      <c r="Y203" s="386"/>
      <c r="Z203" s="386"/>
      <c r="AA203" s="386"/>
      <c r="AB203" s="386"/>
      <c r="AC203" s="386"/>
      <c r="AD203" s="386"/>
      <c r="AE203" s="386"/>
      <c r="AF203" s="386"/>
      <c r="AG203" s="386"/>
      <c r="AH203" s="386"/>
      <c r="AI203" s="386"/>
      <c r="AJ203" s="386"/>
      <c r="AK203" s="386"/>
      <c r="AL203" s="386"/>
      <c r="AM203" s="386"/>
      <c r="AN203" s="386"/>
      <c r="AO203" s="386"/>
      <c r="AP203" s="386"/>
      <c r="AQ203" s="386"/>
      <c r="AR203" s="386"/>
      <c r="AS203" s="386"/>
      <c r="AT203" s="386"/>
      <c r="AU203" s="386"/>
      <c r="AV203" s="386"/>
      <c r="AW203" s="386"/>
      <c r="AX203" s="386"/>
      <c r="AY203" s="386"/>
      <c r="AZ203" s="386"/>
      <c r="BA203" s="386"/>
      <c r="BB203" s="386"/>
      <c r="BC203" s="386"/>
      <c r="BD203" s="386"/>
      <c r="BE203" s="386"/>
      <c r="BF203" s="386"/>
      <c r="BG203" s="386"/>
      <c r="BH203" s="386"/>
      <c r="BI203" s="386"/>
      <c r="BJ203" s="386"/>
      <c r="BK203" s="386"/>
      <c r="BL203" s="386"/>
      <c r="BM203" s="386"/>
      <c r="BN203" s="386"/>
      <c r="BO203" s="386"/>
      <c r="BP203" s="386"/>
      <c r="BQ203" s="386"/>
      <c r="BR203" s="386"/>
      <c r="BS203" s="386"/>
      <c r="BT203" s="386"/>
      <c r="BU203" s="386"/>
      <c r="BV203" s="386"/>
      <c r="BW203" s="386"/>
      <c r="BX203" s="386"/>
      <c r="BY203" s="386"/>
      <c r="BZ203" s="386"/>
      <c r="CA203" s="386"/>
      <c r="CB203" s="386"/>
      <c r="CC203" s="386"/>
      <c r="CD203" s="386"/>
      <c r="CE203" s="386"/>
      <c r="CF203" s="386"/>
      <c r="CG203" s="386"/>
      <c r="CH203" s="386"/>
      <c r="CI203" s="386"/>
      <c r="CJ203" s="386"/>
      <c r="CK203" s="386"/>
      <c r="CL203" s="386"/>
    </row>
    <row r="204" spans="2:90" ht="12.75" customHeight="1" x14ac:dyDescent="0.15">
      <c r="B204" s="57"/>
      <c r="C204" s="57"/>
      <c r="D204" s="58"/>
      <c r="E204" s="59"/>
      <c r="F204" s="63"/>
      <c r="G204" s="63"/>
      <c r="H204" s="63"/>
      <c r="I204" s="63"/>
      <c r="J204" s="65"/>
      <c r="K204" s="392"/>
      <c r="L204" s="65"/>
      <c r="M204" s="65"/>
      <c r="N204" s="65"/>
      <c r="O204" s="386"/>
      <c r="P204" s="386"/>
      <c r="Q204" s="386"/>
      <c r="R204" s="386"/>
      <c r="S204" s="386"/>
      <c r="T204" s="386"/>
      <c r="U204" s="386"/>
      <c r="V204" s="386"/>
      <c r="W204" s="386"/>
      <c r="X204" s="386"/>
      <c r="Y204" s="386"/>
      <c r="Z204" s="386"/>
      <c r="AA204" s="386"/>
      <c r="AB204" s="386"/>
      <c r="AC204" s="386"/>
      <c r="AD204" s="386"/>
      <c r="AE204" s="386"/>
      <c r="AF204" s="386"/>
      <c r="AG204" s="386"/>
      <c r="AH204" s="386"/>
      <c r="AI204" s="386"/>
      <c r="AJ204" s="386"/>
      <c r="AK204" s="386"/>
      <c r="AL204" s="386"/>
      <c r="AM204" s="386"/>
      <c r="AN204" s="386"/>
      <c r="AO204" s="386"/>
      <c r="AP204" s="386"/>
      <c r="AQ204" s="386"/>
      <c r="AR204" s="386"/>
      <c r="AS204" s="386"/>
      <c r="AT204" s="386"/>
      <c r="AU204" s="386"/>
      <c r="AV204" s="386"/>
      <c r="AW204" s="386"/>
      <c r="AX204" s="386"/>
      <c r="AY204" s="386"/>
      <c r="AZ204" s="386"/>
      <c r="BA204" s="386"/>
      <c r="BB204" s="386"/>
      <c r="BC204" s="386"/>
      <c r="BD204" s="386"/>
      <c r="BE204" s="386"/>
      <c r="BF204" s="386"/>
      <c r="BG204" s="386"/>
      <c r="BH204" s="386"/>
      <c r="BI204" s="386"/>
      <c r="BJ204" s="386"/>
      <c r="BK204" s="386"/>
      <c r="BL204" s="386"/>
      <c r="BM204" s="386"/>
      <c r="BN204" s="386"/>
      <c r="BO204" s="386"/>
      <c r="BP204" s="386"/>
      <c r="BQ204" s="386"/>
      <c r="BR204" s="386"/>
      <c r="BS204" s="386"/>
      <c r="BT204" s="386"/>
      <c r="BU204" s="386"/>
      <c r="BV204" s="386"/>
      <c r="BW204" s="386"/>
      <c r="BX204" s="386"/>
      <c r="BY204" s="386"/>
      <c r="BZ204" s="386"/>
      <c r="CA204" s="386"/>
      <c r="CB204" s="386"/>
      <c r="CC204" s="386"/>
      <c r="CD204" s="386"/>
      <c r="CE204" s="386"/>
      <c r="CF204" s="386"/>
      <c r="CG204" s="386"/>
      <c r="CH204" s="386"/>
      <c r="CI204" s="386"/>
      <c r="CJ204" s="386"/>
      <c r="CK204" s="386"/>
      <c r="CL204" s="386"/>
    </row>
    <row r="205" spans="2:90" ht="12.75" customHeight="1" x14ac:dyDescent="0.15">
      <c r="B205" s="57"/>
      <c r="C205" s="57"/>
      <c r="D205" s="58"/>
      <c r="E205" s="59"/>
      <c r="F205" s="63"/>
      <c r="G205" s="63"/>
      <c r="H205" s="63"/>
      <c r="I205" s="63"/>
      <c r="J205" s="65"/>
      <c r="K205" s="392"/>
      <c r="L205" s="65"/>
      <c r="M205" s="65"/>
      <c r="N205" s="65"/>
      <c r="O205" s="386"/>
      <c r="P205" s="386"/>
      <c r="Q205" s="386"/>
      <c r="R205" s="386"/>
      <c r="S205" s="386"/>
      <c r="T205" s="386"/>
      <c r="U205" s="386"/>
      <c r="V205" s="386"/>
      <c r="W205" s="386"/>
      <c r="X205" s="386"/>
      <c r="Y205" s="386"/>
      <c r="Z205" s="386"/>
      <c r="AA205" s="386"/>
      <c r="AB205" s="386"/>
      <c r="AC205" s="386"/>
      <c r="AD205" s="386"/>
      <c r="AE205" s="386"/>
      <c r="AF205" s="386"/>
      <c r="AG205" s="386"/>
      <c r="AH205" s="386"/>
      <c r="AI205" s="386"/>
      <c r="AJ205" s="386"/>
      <c r="AK205" s="386"/>
      <c r="AL205" s="386"/>
      <c r="AM205" s="386"/>
      <c r="AN205" s="386"/>
      <c r="AO205" s="386"/>
      <c r="AP205" s="386"/>
      <c r="AQ205" s="386"/>
      <c r="AR205" s="386"/>
      <c r="AS205" s="386"/>
      <c r="AT205" s="386"/>
      <c r="AU205" s="386"/>
      <c r="AV205" s="386"/>
      <c r="AW205" s="386"/>
      <c r="AX205" s="386"/>
      <c r="AY205" s="386"/>
      <c r="AZ205" s="386"/>
      <c r="BA205" s="386"/>
      <c r="BB205" s="386"/>
      <c r="BC205" s="386"/>
      <c r="BD205" s="386"/>
      <c r="BE205" s="386"/>
      <c r="BF205" s="386"/>
      <c r="BG205" s="386"/>
      <c r="BH205" s="386"/>
      <c r="BI205" s="386"/>
      <c r="BJ205" s="386"/>
      <c r="BK205" s="386"/>
      <c r="BL205" s="386"/>
      <c r="BM205" s="386"/>
      <c r="BN205" s="386"/>
      <c r="BO205" s="386"/>
      <c r="BP205" s="386"/>
      <c r="BQ205" s="386"/>
      <c r="BR205" s="386"/>
      <c r="BS205" s="386"/>
      <c r="BT205" s="386"/>
      <c r="BU205" s="386"/>
      <c r="BV205" s="386"/>
      <c r="BW205" s="386"/>
      <c r="BX205" s="386"/>
      <c r="BY205" s="386"/>
      <c r="BZ205" s="386"/>
      <c r="CA205" s="386"/>
      <c r="CB205" s="386"/>
      <c r="CC205" s="386"/>
      <c r="CD205" s="386"/>
      <c r="CE205" s="386"/>
      <c r="CF205" s="386"/>
      <c r="CG205" s="386"/>
      <c r="CH205" s="386"/>
      <c r="CI205" s="386"/>
      <c r="CJ205" s="386"/>
      <c r="CK205" s="386"/>
      <c r="CL205" s="386"/>
    </row>
    <row r="206" spans="2:90" ht="12.75" customHeight="1" x14ac:dyDescent="0.15">
      <c r="B206" s="57"/>
      <c r="C206" s="57"/>
      <c r="D206" s="58"/>
      <c r="E206" s="59"/>
      <c r="F206" s="63"/>
      <c r="G206" s="63"/>
      <c r="H206" s="63"/>
      <c r="I206" s="63"/>
      <c r="J206" s="65"/>
      <c r="K206" s="392"/>
      <c r="L206" s="65"/>
      <c r="M206" s="65"/>
      <c r="N206" s="65"/>
      <c r="O206" s="386"/>
      <c r="P206" s="386"/>
      <c r="Q206" s="386"/>
      <c r="R206" s="386"/>
      <c r="S206" s="386"/>
      <c r="T206" s="386"/>
      <c r="U206" s="386"/>
      <c r="V206" s="386"/>
      <c r="W206" s="386"/>
      <c r="X206" s="386"/>
      <c r="Y206" s="386"/>
      <c r="Z206" s="386"/>
      <c r="AA206" s="386"/>
      <c r="AB206" s="386"/>
      <c r="AC206" s="386"/>
      <c r="AD206" s="386"/>
      <c r="AE206" s="386"/>
      <c r="AF206" s="386"/>
      <c r="AG206" s="386"/>
      <c r="AH206" s="386"/>
      <c r="AI206" s="386"/>
      <c r="AJ206" s="386"/>
      <c r="AK206" s="386"/>
      <c r="AL206" s="386"/>
      <c r="AM206" s="386"/>
      <c r="AN206" s="386"/>
      <c r="AO206" s="386"/>
      <c r="AP206" s="386"/>
      <c r="AQ206" s="386"/>
      <c r="AR206" s="386"/>
      <c r="AS206" s="386"/>
      <c r="AT206" s="386"/>
      <c r="AU206" s="386"/>
      <c r="AV206" s="386"/>
      <c r="AW206" s="386"/>
      <c r="AX206" s="386"/>
      <c r="AY206" s="386"/>
      <c r="AZ206" s="386"/>
      <c r="BA206" s="386"/>
      <c r="BB206" s="386"/>
      <c r="BC206" s="386"/>
      <c r="BD206" s="386"/>
      <c r="BE206" s="386"/>
      <c r="BF206" s="386"/>
      <c r="BG206" s="386"/>
      <c r="BH206" s="386"/>
      <c r="BI206" s="386"/>
      <c r="BJ206" s="386"/>
      <c r="BK206" s="386"/>
      <c r="BL206" s="386"/>
      <c r="BM206" s="386"/>
      <c r="BN206" s="386"/>
      <c r="BO206" s="386"/>
      <c r="BP206" s="386"/>
      <c r="BQ206" s="386"/>
      <c r="BR206" s="386"/>
      <c r="BS206" s="386"/>
      <c r="BT206" s="386"/>
      <c r="BU206" s="386"/>
      <c r="BV206" s="386"/>
      <c r="BW206" s="386"/>
      <c r="BX206" s="386"/>
      <c r="BY206" s="386"/>
      <c r="BZ206" s="386"/>
      <c r="CA206" s="386"/>
      <c r="CB206" s="386"/>
      <c r="CC206" s="386"/>
      <c r="CD206" s="386"/>
      <c r="CE206" s="386"/>
      <c r="CF206" s="386"/>
      <c r="CG206" s="386"/>
      <c r="CH206" s="386"/>
      <c r="CI206" s="386"/>
      <c r="CJ206" s="386"/>
      <c r="CK206" s="386"/>
      <c r="CL206" s="386"/>
    </row>
    <row r="207" spans="2:90" ht="12.75" customHeight="1" x14ac:dyDescent="0.15">
      <c r="B207" s="57"/>
      <c r="C207" s="57"/>
      <c r="D207" s="58"/>
      <c r="E207" s="59"/>
      <c r="F207" s="63"/>
      <c r="G207" s="63"/>
      <c r="H207" s="63"/>
      <c r="I207" s="63"/>
      <c r="J207" s="65"/>
      <c r="K207" s="392"/>
      <c r="L207" s="65"/>
      <c r="M207" s="65"/>
      <c r="N207" s="65"/>
      <c r="O207" s="386"/>
      <c r="P207" s="386"/>
      <c r="Q207" s="386"/>
      <c r="R207" s="386"/>
      <c r="S207" s="386"/>
      <c r="T207" s="386"/>
      <c r="U207" s="386"/>
      <c r="V207" s="386"/>
      <c r="W207" s="386"/>
      <c r="X207" s="386"/>
      <c r="Y207" s="386"/>
      <c r="Z207" s="386"/>
      <c r="AA207" s="386"/>
      <c r="AB207" s="386"/>
      <c r="AC207" s="386"/>
      <c r="AD207" s="386"/>
      <c r="AE207" s="386"/>
      <c r="AF207" s="386"/>
      <c r="AG207" s="386"/>
      <c r="AH207" s="386"/>
      <c r="AI207" s="386"/>
      <c r="AJ207" s="386"/>
      <c r="AK207" s="386"/>
      <c r="AL207" s="386"/>
      <c r="AM207" s="386"/>
      <c r="AN207" s="386"/>
      <c r="AO207" s="386"/>
      <c r="AP207" s="386"/>
      <c r="AQ207" s="386"/>
      <c r="AR207" s="386"/>
      <c r="AS207" s="386"/>
      <c r="AT207" s="386"/>
      <c r="AU207" s="386"/>
      <c r="AV207" s="386"/>
      <c r="AW207" s="386"/>
      <c r="AX207" s="386"/>
      <c r="AY207" s="386"/>
      <c r="AZ207" s="386"/>
      <c r="BA207" s="386"/>
      <c r="BB207" s="386"/>
      <c r="BC207" s="386"/>
      <c r="BD207" s="386"/>
      <c r="BE207" s="386"/>
      <c r="BF207" s="386"/>
      <c r="BG207" s="386"/>
      <c r="BH207" s="386"/>
      <c r="BI207" s="386"/>
      <c r="BJ207" s="386"/>
      <c r="BK207" s="386"/>
      <c r="BL207" s="386"/>
      <c r="BM207" s="386"/>
      <c r="BN207" s="386"/>
      <c r="BO207" s="386"/>
      <c r="BP207" s="386"/>
      <c r="BQ207" s="386"/>
      <c r="BR207" s="386"/>
      <c r="BS207" s="386"/>
      <c r="BT207" s="386"/>
      <c r="BU207" s="386"/>
      <c r="BV207" s="386"/>
      <c r="BW207" s="386"/>
      <c r="BX207" s="386"/>
      <c r="BY207" s="386"/>
      <c r="BZ207" s="386"/>
      <c r="CA207" s="386"/>
      <c r="CB207" s="386"/>
      <c r="CC207" s="386"/>
      <c r="CD207" s="386"/>
      <c r="CE207" s="386"/>
      <c r="CF207" s="386"/>
      <c r="CG207" s="386"/>
      <c r="CH207" s="386"/>
      <c r="CI207" s="386"/>
      <c r="CJ207" s="386"/>
      <c r="CK207" s="386"/>
      <c r="CL207" s="386"/>
    </row>
    <row r="208" spans="2:90" ht="12.75" customHeight="1" x14ac:dyDescent="0.15">
      <c r="B208" s="57"/>
      <c r="C208" s="57"/>
      <c r="D208" s="58"/>
      <c r="E208" s="59"/>
      <c r="F208" s="63"/>
      <c r="G208" s="63"/>
      <c r="H208" s="63"/>
      <c r="I208" s="63"/>
      <c r="J208" s="65"/>
      <c r="K208" s="392"/>
      <c r="L208" s="65"/>
      <c r="M208" s="65"/>
      <c r="N208" s="65"/>
      <c r="O208" s="386"/>
      <c r="P208" s="386"/>
      <c r="Q208" s="386"/>
      <c r="R208" s="386"/>
      <c r="S208" s="386"/>
      <c r="T208" s="386"/>
      <c r="U208" s="386"/>
      <c r="V208" s="386"/>
      <c r="W208" s="386"/>
      <c r="X208" s="386"/>
      <c r="Y208" s="386"/>
      <c r="Z208" s="386"/>
      <c r="AA208" s="386"/>
      <c r="AB208" s="386"/>
      <c r="AC208" s="386"/>
      <c r="AD208" s="386"/>
      <c r="AE208" s="386"/>
      <c r="AF208" s="386"/>
      <c r="AG208" s="386"/>
      <c r="AH208" s="386"/>
      <c r="AI208" s="386"/>
      <c r="AJ208" s="386"/>
      <c r="AK208" s="386"/>
      <c r="AL208" s="386"/>
      <c r="AM208" s="386"/>
      <c r="AN208" s="386"/>
      <c r="AO208" s="386"/>
      <c r="AP208" s="386"/>
      <c r="AQ208" s="386"/>
      <c r="AR208" s="386"/>
      <c r="AS208" s="386"/>
      <c r="AT208" s="386"/>
      <c r="AU208" s="386"/>
      <c r="AV208" s="386"/>
      <c r="AW208" s="386"/>
      <c r="AX208" s="386"/>
      <c r="AY208" s="386"/>
      <c r="AZ208" s="386"/>
      <c r="BA208" s="386"/>
      <c r="BB208" s="386"/>
      <c r="BC208" s="386"/>
      <c r="BD208" s="386"/>
      <c r="BE208" s="386"/>
      <c r="BF208" s="386"/>
      <c r="BG208" s="386"/>
      <c r="BH208" s="386"/>
      <c r="BI208" s="386"/>
      <c r="BJ208" s="386"/>
      <c r="BK208" s="386"/>
      <c r="BL208" s="386"/>
      <c r="BM208" s="386"/>
      <c r="BN208" s="386"/>
      <c r="BO208" s="386"/>
      <c r="BP208" s="386"/>
      <c r="BQ208" s="386"/>
      <c r="BR208" s="386"/>
      <c r="BS208" s="386"/>
      <c r="BT208" s="386"/>
      <c r="BU208" s="386"/>
      <c r="BV208" s="386"/>
      <c r="BW208" s="386"/>
      <c r="BX208" s="386"/>
      <c r="BY208" s="386"/>
      <c r="BZ208" s="386"/>
      <c r="CA208" s="386"/>
      <c r="CB208" s="386"/>
      <c r="CC208" s="386"/>
      <c r="CD208" s="386"/>
      <c r="CE208" s="386"/>
      <c r="CF208" s="386"/>
      <c r="CG208" s="386"/>
      <c r="CH208" s="386"/>
      <c r="CI208" s="386"/>
      <c r="CJ208" s="386"/>
      <c r="CK208" s="386"/>
      <c r="CL208" s="386"/>
    </row>
    <row r="209" spans="2:90" ht="12.75" customHeight="1" x14ac:dyDescent="0.15">
      <c r="B209" s="57"/>
      <c r="C209" s="57"/>
      <c r="D209" s="58"/>
      <c r="E209" s="59"/>
      <c r="F209" s="63"/>
      <c r="G209" s="63"/>
      <c r="H209" s="63"/>
      <c r="I209" s="63"/>
      <c r="J209" s="65"/>
      <c r="K209" s="392"/>
      <c r="L209" s="65"/>
      <c r="M209" s="65"/>
      <c r="N209" s="65"/>
      <c r="O209" s="386"/>
      <c r="P209" s="386"/>
      <c r="Q209" s="386"/>
      <c r="R209" s="386"/>
      <c r="S209" s="386"/>
      <c r="T209" s="386"/>
      <c r="U209" s="386"/>
      <c r="V209" s="386"/>
      <c r="W209" s="386"/>
      <c r="X209" s="386"/>
      <c r="Y209" s="386"/>
      <c r="Z209" s="386"/>
      <c r="AA209" s="386"/>
      <c r="AB209" s="386"/>
      <c r="AC209" s="386"/>
      <c r="AD209" s="386"/>
      <c r="AE209" s="386"/>
      <c r="AF209" s="386"/>
      <c r="AG209" s="386"/>
      <c r="AH209" s="386"/>
      <c r="AI209" s="386"/>
      <c r="AJ209" s="386"/>
      <c r="AK209" s="386"/>
      <c r="AL209" s="386"/>
      <c r="AM209" s="386"/>
      <c r="AN209" s="386"/>
      <c r="AO209" s="386"/>
      <c r="AP209" s="386"/>
      <c r="AQ209" s="386"/>
      <c r="AR209" s="386"/>
      <c r="AS209" s="386"/>
      <c r="AT209" s="386"/>
      <c r="AU209" s="386"/>
      <c r="AV209" s="386"/>
      <c r="AW209" s="386"/>
      <c r="AX209" s="386"/>
      <c r="AY209" s="386"/>
      <c r="AZ209" s="386"/>
      <c r="BA209" s="386"/>
      <c r="BB209" s="386"/>
      <c r="BC209" s="386"/>
      <c r="BD209" s="386"/>
      <c r="BE209" s="386"/>
      <c r="BF209" s="386"/>
      <c r="BG209" s="386"/>
      <c r="BH209" s="386"/>
      <c r="BI209" s="386"/>
      <c r="BJ209" s="386"/>
      <c r="BK209" s="386"/>
      <c r="BL209" s="386"/>
      <c r="BM209" s="386"/>
      <c r="BN209" s="386"/>
      <c r="BO209" s="386"/>
      <c r="BP209" s="386"/>
      <c r="BQ209" s="386"/>
      <c r="BR209" s="386"/>
      <c r="BS209" s="386"/>
      <c r="BT209" s="386"/>
      <c r="BU209" s="386"/>
      <c r="BV209" s="386"/>
      <c r="BW209" s="386"/>
      <c r="BX209" s="386"/>
      <c r="BY209" s="386"/>
      <c r="BZ209" s="386"/>
      <c r="CA209" s="386"/>
      <c r="CB209" s="386"/>
      <c r="CC209" s="386"/>
      <c r="CD209" s="386"/>
      <c r="CE209" s="386"/>
      <c r="CF209" s="386"/>
      <c r="CG209" s="386"/>
      <c r="CH209" s="386"/>
      <c r="CI209" s="386"/>
      <c r="CJ209" s="386"/>
      <c r="CK209" s="386"/>
      <c r="CL209" s="386"/>
    </row>
    <row r="210" spans="2:90" ht="12.75" customHeight="1" x14ac:dyDescent="0.15">
      <c r="B210" s="57"/>
      <c r="C210" s="57"/>
      <c r="D210" s="58"/>
      <c r="E210" s="59"/>
      <c r="F210" s="63"/>
      <c r="G210" s="63"/>
      <c r="H210" s="63"/>
      <c r="I210" s="63"/>
      <c r="J210" s="65"/>
      <c r="K210" s="392"/>
      <c r="L210" s="65"/>
      <c r="M210" s="65"/>
      <c r="N210" s="65"/>
      <c r="O210" s="386"/>
      <c r="P210" s="386"/>
      <c r="Q210" s="386"/>
      <c r="R210" s="386"/>
      <c r="S210" s="386"/>
      <c r="T210" s="386"/>
      <c r="U210" s="386"/>
      <c r="V210" s="386"/>
      <c r="W210" s="386"/>
      <c r="X210" s="386"/>
      <c r="Y210" s="386"/>
      <c r="Z210" s="386"/>
      <c r="AA210" s="386"/>
      <c r="AB210" s="386"/>
      <c r="AC210" s="386"/>
      <c r="AD210" s="386"/>
      <c r="AE210" s="386"/>
      <c r="AF210" s="386"/>
      <c r="AG210" s="386"/>
      <c r="AH210" s="386"/>
      <c r="AI210" s="386"/>
      <c r="AJ210" s="386"/>
      <c r="AK210" s="386"/>
      <c r="AL210" s="386"/>
      <c r="AM210" s="386"/>
      <c r="AN210" s="386"/>
      <c r="AO210" s="386"/>
      <c r="AP210" s="386"/>
      <c r="AQ210" s="386"/>
      <c r="AR210" s="386"/>
      <c r="AS210" s="386"/>
      <c r="AT210" s="386"/>
      <c r="AU210" s="386"/>
      <c r="AV210" s="386"/>
      <c r="AW210" s="386"/>
      <c r="AX210" s="386"/>
      <c r="AY210" s="386"/>
      <c r="AZ210" s="386"/>
      <c r="BA210" s="386"/>
      <c r="BB210" s="386"/>
      <c r="BC210" s="386"/>
      <c r="BD210" s="386"/>
      <c r="BE210" s="386"/>
      <c r="BF210" s="386"/>
      <c r="BG210" s="386"/>
      <c r="BH210" s="386"/>
      <c r="BI210" s="386"/>
      <c r="BJ210" s="386"/>
      <c r="BK210" s="386"/>
      <c r="BL210" s="386"/>
      <c r="BM210" s="386"/>
      <c r="BN210" s="386"/>
      <c r="BO210" s="386"/>
      <c r="BP210" s="386"/>
      <c r="BQ210" s="386"/>
      <c r="BR210" s="386"/>
      <c r="BS210" s="386"/>
      <c r="BT210" s="386"/>
      <c r="BU210" s="386"/>
      <c r="BV210" s="386"/>
      <c r="BW210" s="386"/>
      <c r="BX210" s="386"/>
      <c r="BY210" s="386"/>
      <c r="BZ210" s="386"/>
      <c r="CA210" s="386"/>
      <c r="CB210" s="386"/>
      <c r="CC210" s="386"/>
      <c r="CD210" s="386"/>
      <c r="CE210" s="386"/>
      <c r="CF210" s="386"/>
      <c r="CG210" s="386"/>
      <c r="CH210" s="386"/>
      <c r="CI210" s="386"/>
      <c r="CJ210" s="386"/>
      <c r="CK210" s="386"/>
      <c r="CL210" s="386"/>
    </row>
    <row r="211" spans="2:90" ht="12.75" customHeight="1" x14ac:dyDescent="0.15">
      <c r="B211" s="57"/>
      <c r="C211" s="57"/>
      <c r="D211" s="58"/>
      <c r="E211" s="59"/>
      <c r="F211" s="63"/>
      <c r="G211" s="63"/>
      <c r="H211" s="63"/>
      <c r="I211" s="63"/>
      <c r="J211" s="65"/>
      <c r="K211" s="392"/>
      <c r="L211" s="65"/>
      <c r="M211" s="65"/>
      <c r="N211" s="65"/>
      <c r="O211" s="386"/>
      <c r="P211" s="386"/>
      <c r="Q211" s="386"/>
      <c r="R211" s="386"/>
      <c r="S211" s="386"/>
      <c r="T211" s="386"/>
      <c r="U211" s="386"/>
      <c r="V211" s="386"/>
      <c r="W211" s="386"/>
      <c r="X211" s="386"/>
      <c r="Y211" s="386"/>
      <c r="Z211" s="386"/>
      <c r="AA211" s="386"/>
      <c r="AB211" s="386"/>
      <c r="AC211" s="386"/>
      <c r="AD211" s="386"/>
      <c r="AE211" s="386"/>
      <c r="AF211" s="386"/>
      <c r="AG211" s="386"/>
      <c r="AH211" s="386"/>
      <c r="AI211" s="386"/>
      <c r="AJ211" s="386"/>
      <c r="AK211" s="386"/>
      <c r="AL211" s="386"/>
      <c r="AM211" s="386"/>
      <c r="AN211" s="386"/>
      <c r="AO211" s="386"/>
      <c r="AP211" s="386"/>
      <c r="AQ211" s="386"/>
      <c r="AR211" s="386"/>
      <c r="AS211" s="386"/>
      <c r="AT211" s="386"/>
      <c r="AU211" s="386"/>
      <c r="AV211" s="386"/>
      <c r="AW211" s="386"/>
      <c r="AX211" s="386"/>
      <c r="AY211" s="386"/>
      <c r="AZ211" s="386"/>
      <c r="BA211" s="386"/>
      <c r="BB211" s="386"/>
      <c r="BC211" s="386"/>
      <c r="BD211" s="386"/>
      <c r="BE211" s="386"/>
      <c r="BF211" s="386"/>
      <c r="BG211" s="386"/>
      <c r="BH211" s="386"/>
      <c r="BI211" s="386"/>
      <c r="BJ211" s="386"/>
      <c r="BK211" s="386"/>
      <c r="BL211" s="386"/>
      <c r="BM211" s="386"/>
      <c r="BN211" s="386"/>
      <c r="BO211" s="386"/>
      <c r="BP211" s="386"/>
      <c r="BQ211" s="386"/>
      <c r="BR211" s="386"/>
      <c r="BS211" s="386"/>
      <c r="BT211" s="386"/>
      <c r="BU211" s="386"/>
      <c r="BV211" s="386"/>
      <c r="BW211" s="386"/>
      <c r="BX211" s="386"/>
      <c r="BY211" s="386"/>
      <c r="BZ211" s="386"/>
      <c r="CA211" s="386"/>
      <c r="CB211" s="386"/>
      <c r="CC211" s="386"/>
      <c r="CD211" s="386"/>
      <c r="CE211" s="386"/>
      <c r="CF211" s="386"/>
      <c r="CG211" s="386"/>
      <c r="CH211" s="386"/>
      <c r="CI211" s="386"/>
      <c r="CJ211" s="386"/>
      <c r="CK211" s="386"/>
      <c r="CL211" s="386"/>
    </row>
    <row r="212" spans="2:90" ht="12.75" customHeight="1" x14ac:dyDescent="0.15">
      <c r="B212" s="57"/>
      <c r="C212" s="57"/>
      <c r="D212" s="58"/>
      <c r="E212" s="59"/>
      <c r="F212" s="63"/>
      <c r="G212" s="63"/>
      <c r="H212" s="63"/>
      <c r="I212" s="63"/>
      <c r="J212" s="65"/>
      <c r="K212" s="392"/>
      <c r="L212" s="65"/>
      <c r="M212" s="65"/>
      <c r="N212" s="65"/>
      <c r="O212" s="386"/>
      <c r="P212" s="386"/>
      <c r="Q212" s="386"/>
      <c r="R212" s="386"/>
      <c r="S212" s="386"/>
      <c r="T212" s="386"/>
      <c r="U212" s="386"/>
      <c r="V212" s="386"/>
      <c r="W212" s="386"/>
      <c r="X212" s="386"/>
      <c r="Y212" s="386"/>
      <c r="Z212" s="386"/>
      <c r="AA212" s="386"/>
      <c r="AB212" s="386"/>
      <c r="AC212" s="386"/>
      <c r="AD212" s="386"/>
      <c r="AE212" s="386"/>
      <c r="AF212" s="386"/>
      <c r="AG212" s="386"/>
      <c r="AH212" s="386"/>
      <c r="AI212" s="386"/>
      <c r="AJ212" s="386"/>
      <c r="AK212" s="386"/>
      <c r="AL212" s="386"/>
      <c r="AM212" s="386"/>
      <c r="AN212" s="386"/>
      <c r="AO212" s="386"/>
      <c r="AP212" s="386"/>
      <c r="AQ212" s="386"/>
      <c r="AR212" s="386"/>
      <c r="AS212" s="386"/>
      <c r="AT212" s="386"/>
      <c r="AU212" s="386"/>
      <c r="AV212" s="386"/>
      <c r="AW212" s="386"/>
      <c r="AX212" s="386"/>
      <c r="AY212" s="386"/>
      <c r="AZ212" s="386"/>
      <c r="BA212" s="386"/>
      <c r="BB212" s="386"/>
      <c r="BC212" s="386"/>
      <c r="BD212" s="386"/>
      <c r="BE212" s="386"/>
      <c r="BF212" s="386"/>
      <c r="BG212" s="386"/>
      <c r="BH212" s="386"/>
      <c r="BI212" s="386"/>
      <c r="BJ212" s="386"/>
      <c r="BK212" s="386"/>
      <c r="BL212" s="386"/>
      <c r="BM212" s="386"/>
      <c r="BN212" s="386"/>
      <c r="BO212" s="386"/>
      <c r="BP212" s="386"/>
      <c r="BQ212" s="386"/>
      <c r="BR212" s="386"/>
      <c r="BS212" s="386"/>
      <c r="BT212" s="386"/>
      <c r="BU212" s="386"/>
      <c r="BV212" s="386"/>
      <c r="BW212" s="386"/>
      <c r="BX212" s="386"/>
      <c r="BY212" s="386"/>
      <c r="BZ212" s="386"/>
      <c r="CA212" s="386"/>
      <c r="CB212" s="386"/>
      <c r="CC212" s="386"/>
      <c r="CD212" s="386"/>
      <c r="CE212" s="386"/>
      <c r="CF212" s="386"/>
      <c r="CG212" s="386"/>
      <c r="CH212" s="386"/>
      <c r="CI212" s="386"/>
      <c r="CJ212" s="386"/>
      <c r="CK212" s="386"/>
      <c r="CL212" s="386"/>
    </row>
    <row r="213" spans="2:90" ht="12.75" customHeight="1" x14ac:dyDescent="0.15">
      <c r="B213" s="57"/>
      <c r="C213" s="57"/>
      <c r="D213" s="58"/>
      <c r="E213" s="59"/>
      <c r="F213" s="63"/>
      <c r="G213" s="63"/>
      <c r="H213" s="63"/>
      <c r="I213" s="63"/>
      <c r="J213" s="65"/>
      <c r="K213" s="392"/>
      <c r="L213" s="65"/>
      <c r="M213" s="65"/>
      <c r="N213" s="65"/>
      <c r="O213" s="386"/>
      <c r="P213" s="386"/>
      <c r="Q213" s="386"/>
      <c r="R213" s="386"/>
      <c r="S213" s="386"/>
      <c r="T213" s="386"/>
      <c r="U213" s="386"/>
      <c r="V213" s="386"/>
      <c r="W213" s="386"/>
      <c r="X213" s="386"/>
      <c r="Y213" s="386"/>
      <c r="Z213" s="386"/>
      <c r="AA213" s="386"/>
      <c r="AB213" s="386"/>
      <c r="AC213" s="386"/>
      <c r="AD213" s="386"/>
      <c r="AE213" s="386"/>
      <c r="AF213" s="386"/>
      <c r="AG213" s="386"/>
      <c r="AH213" s="386"/>
      <c r="AI213" s="386"/>
      <c r="AJ213" s="386"/>
      <c r="AK213" s="386"/>
      <c r="AL213" s="386"/>
      <c r="AM213" s="386"/>
      <c r="AN213" s="386"/>
      <c r="AO213" s="386"/>
      <c r="AP213" s="386"/>
      <c r="AQ213" s="386"/>
      <c r="AR213" s="386"/>
      <c r="AS213" s="386"/>
      <c r="AT213" s="386"/>
      <c r="AU213" s="386"/>
      <c r="AV213" s="386"/>
      <c r="AW213" s="386"/>
      <c r="AX213" s="386"/>
      <c r="AY213" s="386"/>
      <c r="AZ213" s="386"/>
      <c r="BA213" s="386"/>
      <c r="BB213" s="386"/>
      <c r="BC213" s="386"/>
      <c r="BD213" s="386"/>
      <c r="BE213" s="386"/>
      <c r="BF213" s="386"/>
      <c r="BG213" s="386"/>
      <c r="BH213" s="386"/>
      <c r="BI213" s="386"/>
      <c r="BJ213" s="386"/>
      <c r="BK213" s="386"/>
      <c r="BL213" s="386"/>
      <c r="BM213" s="386"/>
      <c r="BN213" s="386"/>
      <c r="BO213" s="386"/>
      <c r="BP213" s="386"/>
      <c r="BQ213" s="386"/>
      <c r="BR213" s="386"/>
      <c r="BS213" s="386"/>
      <c r="BT213" s="386"/>
      <c r="BU213" s="386"/>
      <c r="BV213" s="386"/>
      <c r="BW213" s="386"/>
      <c r="BX213" s="386"/>
      <c r="BY213" s="386"/>
      <c r="BZ213" s="386"/>
      <c r="CA213" s="386"/>
      <c r="CB213" s="386"/>
      <c r="CC213" s="386"/>
      <c r="CD213" s="386"/>
      <c r="CE213" s="386"/>
      <c r="CF213" s="386"/>
      <c r="CG213" s="386"/>
      <c r="CH213" s="386"/>
      <c r="CI213" s="386"/>
      <c r="CJ213" s="386"/>
      <c r="CK213" s="386"/>
      <c r="CL213" s="386"/>
    </row>
    <row r="214" spans="2:90" ht="12.75" customHeight="1" x14ac:dyDescent="0.15">
      <c r="B214" s="57"/>
      <c r="C214" s="57"/>
      <c r="D214" s="58"/>
      <c r="E214" s="59"/>
      <c r="F214" s="63"/>
      <c r="G214" s="63"/>
      <c r="H214" s="63"/>
      <c r="I214" s="63"/>
      <c r="J214" s="65"/>
      <c r="K214" s="392"/>
      <c r="L214" s="65"/>
      <c r="M214" s="65"/>
      <c r="N214" s="65"/>
      <c r="O214" s="386"/>
      <c r="P214" s="386"/>
      <c r="Q214" s="386"/>
      <c r="R214" s="386"/>
      <c r="S214" s="386"/>
      <c r="T214" s="386"/>
      <c r="U214" s="386"/>
      <c r="V214" s="386"/>
      <c r="W214" s="386"/>
      <c r="X214" s="386"/>
      <c r="Y214" s="386"/>
      <c r="Z214" s="386"/>
      <c r="AA214" s="386"/>
      <c r="AB214" s="386"/>
      <c r="AC214" s="386"/>
      <c r="AD214" s="386"/>
      <c r="AE214" s="386"/>
      <c r="AF214" s="386"/>
      <c r="AG214" s="386"/>
      <c r="AH214" s="386"/>
      <c r="AI214" s="386"/>
      <c r="AJ214" s="386"/>
      <c r="AK214" s="386"/>
      <c r="AL214" s="386"/>
      <c r="AM214" s="386"/>
      <c r="AN214" s="386"/>
      <c r="AO214" s="386"/>
      <c r="AP214" s="386"/>
      <c r="AQ214" s="386"/>
      <c r="AR214" s="386"/>
      <c r="AS214" s="386"/>
      <c r="AT214" s="386"/>
      <c r="AU214" s="386"/>
      <c r="AV214" s="386"/>
      <c r="AW214" s="386"/>
      <c r="AX214" s="386"/>
      <c r="AY214" s="386"/>
      <c r="AZ214" s="386"/>
      <c r="BA214" s="386"/>
      <c r="BB214" s="386"/>
      <c r="BC214" s="386"/>
      <c r="BD214" s="386"/>
      <c r="BE214" s="386"/>
      <c r="BF214" s="386"/>
      <c r="BG214" s="386"/>
      <c r="BH214" s="386"/>
      <c r="BI214" s="386"/>
      <c r="BJ214" s="386"/>
      <c r="BK214" s="386"/>
      <c r="BL214" s="386"/>
      <c r="BM214" s="386"/>
      <c r="BN214" s="386"/>
      <c r="BO214" s="386"/>
      <c r="BP214" s="386"/>
      <c r="BQ214" s="386"/>
      <c r="BR214" s="386"/>
      <c r="BS214" s="386"/>
      <c r="BT214" s="386"/>
      <c r="BU214" s="386"/>
      <c r="BV214" s="386"/>
      <c r="BW214" s="386"/>
      <c r="BX214" s="386"/>
      <c r="BY214" s="386"/>
      <c r="BZ214" s="386"/>
      <c r="CA214" s="386"/>
      <c r="CB214" s="386"/>
      <c r="CC214" s="386"/>
      <c r="CD214" s="386"/>
      <c r="CE214" s="386"/>
      <c r="CF214" s="386"/>
      <c r="CG214" s="386"/>
      <c r="CH214" s="386"/>
      <c r="CI214" s="386"/>
      <c r="CJ214" s="386"/>
      <c r="CK214" s="386"/>
      <c r="CL214" s="386"/>
    </row>
    <row r="215" spans="2:90" ht="12.75" customHeight="1" x14ac:dyDescent="0.15">
      <c r="B215" s="57"/>
      <c r="C215" s="57"/>
      <c r="D215" s="58"/>
      <c r="E215" s="59"/>
      <c r="F215" s="63"/>
      <c r="G215" s="63"/>
      <c r="H215" s="63"/>
      <c r="I215" s="63"/>
      <c r="J215" s="65"/>
      <c r="K215" s="392"/>
      <c r="L215" s="65"/>
      <c r="M215" s="65"/>
      <c r="N215" s="65"/>
      <c r="O215" s="386"/>
      <c r="P215" s="386"/>
      <c r="Q215" s="386"/>
      <c r="R215" s="386"/>
      <c r="S215" s="386"/>
      <c r="T215" s="386"/>
      <c r="U215" s="386"/>
      <c r="V215" s="386"/>
      <c r="W215" s="386"/>
      <c r="X215" s="386"/>
      <c r="Y215" s="386"/>
      <c r="Z215" s="386"/>
      <c r="AA215" s="386"/>
      <c r="AB215" s="386"/>
      <c r="AC215" s="386"/>
      <c r="AD215" s="386"/>
      <c r="AE215" s="386"/>
      <c r="AF215" s="386"/>
      <c r="AG215" s="386"/>
      <c r="AH215" s="386"/>
      <c r="AI215" s="386"/>
      <c r="AJ215" s="386"/>
      <c r="AK215" s="386"/>
      <c r="AL215" s="386"/>
      <c r="AM215" s="386"/>
      <c r="AN215" s="386"/>
      <c r="AO215" s="386"/>
      <c r="AP215" s="386"/>
      <c r="AQ215" s="386"/>
      <c r="AR215" s="386"/>
      <c r="AS215" s="386"/>
      <c r="AT215" s="386"/>
      <c r="AU215" s="386"/>
      <c r="AV215" s="386"/>
      <c r="AW215" s="386"/>
      <c r="AX215" s="386"/>
      <c r="AY215" s="386"/>
      <c r="AZ215" s="386"/>
      <c r="BA215" s="386"/>
      <c r="BB215" s="386"/>
      <c r="BC215" s="386"/>
      <c r="BD215" s="386"/>
      <c r="BE215" s="386"/>
      <c r="BF215" s="386"/>
      <c r="BG215" s="386"/>
      <c r="BH215" s="386"/>
      <c r="BI215" s="386"/>
      <c r="BJ215" s="386"/>
      <c r="BK215" s="386"/>
      <c r="BL215" s="386"/>
      <c r="BM215" s="386"/>
      <c r="BN215" s="386"/>
      <c r="BO215" s="386"/>
      <c r="BP215" s="386"/>
      <c r="BQ215" s="386"/>
      <c r="BR215" s="386"/>
      <c r="BS215" s="386"/>
      <c r="BT215" s="386"/>
      <c r="BU215" s="386"/>
      <c r="BV215" s="386"/>
      <c r="BW215" s="386"/>
      <c r="BX215" s="386"/>
      <c r="BY215" s="386"/>
      <c r="BZ215" s="386"/>
      <c r="CA215" s="386"/>
      <c r="CB215" s="386"/>
      <c r="CC215" s="386"/>
      <c r="CD215" s="386"/>
      <c r="CE215" s="386"/>
      <c r="CF215" s="386"/>
      <c r="CG215" s="386"/>
      <c r="CH215" s="386"/>
      <c r="CI215" s="386"/>
      <c r="CJ215" s="386"/>
      <c r="CK215" s="386"/>
      <c r="CL215" s="386"/>
    </row>
    <row r="216" spans="2:90" ht="12.75" customHeight="1" x14ac:dyDescent="0.15">
      <c r="B216" s="57"/>
      <c r="C216" s="57"/>
      <c r="D216" s="58"/>
      <c r="E216" s="59"/>
      <c r="F216" s="63"/>
      <c r="G216" s="63"/>
      <c r="H216" s="63"/>
      <c r="I216" s="63"/>
      <c r="J216" s="65"/>
      <c r="K216" s="392"/>
      <c r="L216" s="65"/>
      <c r="M216" s="65"/>
      <c r="N216" s="65"/>
      <c r="O216" s="386"/>
      <c r="P216" s="386"/>
      <c r="Q216" s="386"/>
      <c r="R216" s="386"/>
      <c r="S216" s="386"/>
      <c r="T216" s="386"/>
      <c r="U216" s="386"/>
      <c r="V216" s="386"/>
      <c r="W216" s="386"/>
      <c r="X216" s="386"/>
      <c r="Y216" s="386"/>
      <c r="Z216" s="386"/>
      <c r="AA216" s="386"/>
      <c r="AB216" s="386"/>
      <c r="AC216" s="386"/>
      <c r="AD216" s="386"/>
      <c r="AE216" s="386"/>
      <c r="AF216" s="386"/>
      <c r="AG216" s="386"/>
      <c r="AH216" s="386"/>
      <c r="AI216" s="386"/>
      <c r="AJ216" s="386"/>
      <c r="AK216" s="386"/>
      <c r="AL216" s="386"/>
      <c r="AM216" s="386"/>
      <c r="AN216" s="386"/>
      <c r="AO216" s="386"/>
      <c r="AP216" s="386"/>
      <c r="AQ216" s="386"/>
      <c r="AR216" s="386"/>
      <c r="AS216" s="386"/>
      <c r="AT216" s="386"/>
      <c r="AU216" s="386"/>
      <c r="AV216" s="386"/>
      <c r="AW216" s="386"/>
      <c r="AX216" s="386"/>
      <c r="AY216" s="386"/>
      <c r="AZ216" s="386"/>
      <c r="BA216" s="386"/>
      <c r="BB216" s="386"/>
      <c r="BC216" s="386"/>
      <c r="BD216" s="386"/>
      <c r="BE216" s="386"/>
      <c r="BF216" s="386"/>
      <c r="BG216" s="386"/>
      <c r="BH216" s="386"/>
      <c r="BI216" s="386"/>
      <c r="BJ216" s="386"/>
      <c r="BK216" s="386"/>
      <c r="BL216" s="386"/>
      <c r="BM216" s="386"/>
      <c r="BN216" s="386"/>
      <c r="BO216" s="386"/>
      <c r="BP216" s="386"/>
      <c r="BQ216" s="386"/>
      <c r="BR216" s="386"/>
      <c r="BS216" s="386"/>
      <c r="BT216" s="386"/>
      <c r="BU216" s="386"/>
      <c r="BV216" s="386"/>
      <c r="BW216" s="386"/>
      <c r="BX216" s="386"/>
      <c r="BY216" s="386"/>
      <c r="BZ216" s="386"/>
      <c r="CA216" s="386"/>
      <c r="CB216" s="386"/>
      <c r="CC216" s="386"/>
      <c r="CD216" s="386"/>
      <c r="CE216" s="386"/>
      <c r="CF216" s="386"/>
      <c r="CG216" s="386"/>
      <c r="CH216" s="386"/>
      <c r="CI216" s="386"/>
      <c r="CJ216" s="386"/>
      <c r="CK216" s="386"/>
      <c r="CL216" s="386"/>
    </row>
    <row r="217" spans="2:90" ht="12.75" customHeight="1" x14ac:dyDescent="0.15">
      <c r="B217" s="57"/>
      <c r="C217" s="57"/>
      <c r="D217" s="58"/>
      <c r="E217" s="59"/>
      <c r="F217" s="63"/>
      <c r="G217" s="63"/>
      <c r="H217" s="63"/>
      <c r="I217" s="63"/>
      <c r="J217" s="65"/>
      <c r="K217" s="392"/>
      <c r="L217" s="65"/>
      <c r="M217" s="65"/>
      <c r="N217" s="65"/>
      <c r="O217" s="386"/>
      <c r="P217" s="386"/>
      <c r="Q217" s="386"/>
      <c r="R217" s="386"/>
      <c r="S217" s="386"/>
      <c r="T217" s="386"/>
      <c r="U217" s="386"/>
      <c r="V217" s="386"/>
      <c r="W217" s="386"/>
      <c r="X217" s="386"/>
      <c r="Y217" s="386"/>
      <c r="Z217" s="386"/>
      <c r="AA217" s="386"/>
      <c r="AB217" s="386"/>
      <c r="AC217" s="386"/>
      <c r="AD217" s="386"/>
      <c r="AE217" s="386"/>
      <c r="AF217" s="386"/>
      <c r="AG217" s="386"/>
      <c r="AH217" s="386"/>
      <c r="AI217" s="386"/>
      <c r="AJ217" s="386"/>
      <c r="AK217" s="386"/>
      <c r="AL217" s="386"/>
      <c r="AM217" s="386"/>
      <c r="AN217" s="386"/>
      <c r="AO217" s="386"/>
      <c r="AP217" s="386"/>
      <c r="AQ217" s="386"/>
      <c r="AR217" s="386"/>
      <c r="AS217" s="386"/>
      <c r="AT217" s="386"/>
      <c r="AU217" s="386"/>
      <c r="AV217" s="386"/>
      <c r="AW217" s="386"/>
      <c r="AX217" s="386"/>
      <c r="AY217" s="386"/>
      <c r="AZ217" s="386"/>
      <c r="BA217" s="386"/>
      <c r="BB217" s="386"/>
      <c r="BC217" s="386"/>
      <c r="BD217" s="386"/>
      <c r="BE217" s="386"/>
      <c r="BF217" s="386"/>
      <c r="BG217" s="386"/>
      <c r="BH217" s="386"/>
      <c r="BI217" s="386"/>
      <c r="BJ217" s="386"/>
      <c r="BK217" s="386"/>
      <c r="BL217" s="386"/>
      <c r="BM217" s="386"/>
      <c r="BN217" s="386"/>
      <c r="BO217" s="386"/>
      <c r="BP217" s="386"/>
      <c r="BQ217" s="386"/>
      <c r="BR217" s="386"/>
      <c r="BS217" s="386"/>
      <c r="BT217" s="386"/>
      <c r="BU217" s="386"/>
      <c r="BV217" s="386"/>
      <c r="BW217" s="386"/>
      <c r="BX217" s="386"/>
      <c r="BY217" s="386"/>
      <c r="BZ217" s="386"/>
      <c r="CA217" s="386"/>
      <c r="CB217" s="386"/>
      <c r="CC217" s="386"/>
      <c r="CD217" s="386"/>
      <c r="CE217" s="386"/>
      <c r="CF217" s="386"/>
      <c r="CG217" s="386"/>
      <c r="CH217" s="386"/>
      <c r="CI217" s="386"/>
      <c r="CJ217" s="386"/>
      <c r="CK217" s="386"/>
      <c r="CL217" s="386"/>
    </row>
    <row r="218" spans="2:90" ht="12.75" customHeight="1" x14ac:dyDescent="0.15">
      <c r="B218" s="57"/>
      <c r="C218" s="57"/>
      <c r="D218" s="58"/>
      <c r="E218" s="59"/>
      <c r="F218" s="63"/>
      <c r="G218" s="63"/>
      <c r="H218" s="63"/>
      <c r="I218" s="63"/>
      <c r="J218" s="65"/>
      <c r="K218" s="392"/>
      <c r="L218" s="65"/>
      <c r="M218" s="65"/>
      <c r="N218" s="65"/>
      <c r="O218" s="386"/>
      <c r="P218" s="386"/>
      <c r="Q218" s="386"/>
      <c r="R218" s="386"/>
      <c r="S218" s="386"/>
      <c r="T218" s="386"/>
      <c r="U218" s="386"/>
      <c r="V218" s="386"/>
      <c r="W218" s="386"/>
      <c r="X218" s="386"/>
      <c r="Y218" s="386"/>
      <c r="Z218" s="386"/>
      <c r="AA218" s="386"/>
      <c r="AB218" s="386"/>
      <c r="AC218" s="386"/>
      <c r="AD218" s="386"/>
      <c r="AE218" s="386"/>
      <c r="AF218" s="386"/>
      <c r="AG218" s="386"/>
      <c r="AH218" s="386"/>
      <c r="AI218" s="386"/>
      <c r="AJ218" s="386"/>
      <c r="AK218" s="386"/>
      <c r="AL218" s="386"/>
      <c r="AM218" s="386"/>
      <c r="AN218" s="386"/>
      <c r="AO218" s="386"/>
      <c r="AP218" s="386"/>
      <c r="AQ218" s="386"/>
      <c r="AR218" s="386"/>
      <c r="AS218" s="386"/>
      <c r="AT218" s="386"/>
      <c r="AU218" s="386"/>
      <c r="AV218" s="386"/>
      <c r="AW218" s="386"/>
      <c r="AX218" s="386"/>
      <c r="AY218" s="386"/>
      <c r="AZ218" s="386"/>
      <c r="BA218" s="386"/>
      <c r="BB218" s="386"/>
      <c r="BC218" s="386"/>
      <c r="BD218" s="386"/>
      <c r="BE218" s="386"/>
      <c r="BF218" s="386"/>
      <c r="BG218" s="386"/>
      <c r="BH218" s="386"/>
      <c r="BI218" s="386"/>
      <c r="BJ218" s="386"/>
      <c r="BK218" s="386"/>
      <c r="BL218" s="386"/>
      <c r="BM218" s="386"/>
      <c r="BN218" s="386"/>
      <c r="BO218" s="386"/>
      <c r="BP218" s="386"/>
      <c r="BQ218" s="386"/>
      <c r="BR218" s="386"/>
      <c r="BS218" s="386"/>
      <c r="BT218" s="386"/>
      <c r="BU218" s="386"/>
      <c r="BV218" s="386"/>
      <c r="BW218" s="386"/>
      <c r="BX218" s="386"/>
      <c r="BY218" s="386"/>
      <c r="BZ218" s="386"/>
      <c r="CA218" s="386"/>
      <c r="CB218" s="386"/>
      <c r="CC218" s="386"/>
      <c r="CD218" s="386"/>
      <c r="CE218" s="386"/>
      <c r="CF218" s="386"/>
      <c r="CG218" s="386"/>
      <c r="CH218" s="386"/>
      <c r="CI218" s="386"/>
      <c r="CJ218" s="386"/>
      <c r="CK218" s="386"/>
      <c r="CL218" s="386"/>
    </row>
    <row r="219" spans="2:90" ht="12.75" customHeight="1" x14ac:dyDescent="0.15">
      <c r="B219" s="57"/>
      <c r="C219" s="57"/>
      <c r="D219" s="58"/>
      <c r="E219" s="59"/>
      <c r="F219" s="63"/>
      <c r="G219" s="63"/>
      <c r="H219" s="63"/>
      <c r="I219" s="63"/>
      <c r="J219" s="65"/>
      <c r="K219" s="392"/>
      <c r="L219" s="65"/>
      <c r="M219" s="65"/>
      <c r="N219" s="65"/>
      <c r="O219" s="386"/>
      <c r="P219" s="386"/>
      <c r="Q219" s="386"/>
      <c r="R219" s="386"/>
      <c r="S219" s="386"/>
      <c r="T219" s="386"/>
      <c r="U219" s="386"/>
      <c r="V219" s="386"/>
      <c r="W219" s="386"/>
      <c r="X219" s="386"/>
      <c r="Y219" s="386"/>
      <c r="Z219" s="386"/>
      <c r="AA219" s="386"/>
      <c r="AB219" s="386"/>
      <c r="AC219" s="386"/>
      <c r="AD219" s="386"/>
      <c r="AE219" s="386"/>
      <c r="AF219" s="386"/>
      <c r="AG219" s="386"/>
      <c r="AH219" s="386"/>
      <c r="AI219" s="386"/>
      <c r="AJ219" s="386"/>
      <c r="AK219" s="386"/>
      <c r="AL219" s="386"/>
      <c r="AM219" s="386"/>
      <c r="AN219" s="386"/>
      <c r="AO219" s="386"/>
      <c r="AP219" s="386"/>
      <c r="AQ219" s="386"/>
      <c r="AR219" s="386"/>
      <c r="AS219" s="386"/>
      <c r="AT219" s="386"/>
      <c r="AU219" s="386"/>
      <c r="AV219" s="386"/>
      <c r="AW219" s="386"/>
      <c r="AX219" s="386"/>
      <c r="AY219" s="386"/>
      <c r="AZ219" s="386"/>
      <c r="BA219" s="386"/>
      <c r="BB219" s="386"/>
      <c r="BC219" s="386"/>
      <c r="BD219" s="386"/>
      <c r="BE219" s="386"/>
      <c r="BF219" s="386"/>
      <c r="BG219" s="386"/>
      <c r="BH219" s="386"/>
      <c r="BI219" s="386"/>
      <c r="BJ219" s="386"/>
      <c r="BK219" s="386"/>
      <c r="BL219" s="386"/>
      <c r="BM219" s="386"/>
      <c r="BN219" s="386"/>
      <c r="BO219" s="386"/>
      <c r="BP219" s="386"/>
      <c r="BQ219" s="386"/>
      <c r="BR219" s="386"/>
      <c r="BS219" s="386"/>
      <c r="BT219" s="386"/>
      <c r="BU219" s="386"/>
      <c r="BV219" s="386"/>
      <c r="BW219" s="386"/>
      <c r="BX219" s="386"/>
      <c r="BY219" s="386"/>
      <c r="BZ219" s="386"/>
      <c r="CA219" s="386"/>
      <c r="CB219" s="386"/>
      <c r="CC219" s="386"/>
      <c r="CD219" s="386"/>
      <c r="CE219" s="386"/>
      <c r="CF219" s="386"/>
      <c r="CG219" s="386"/>
      <c r="CH219" s="386"/>
      <c r="CI219" s="386"/>
      <c r="CJ219" s="386"/>
      <c r="CK219" s="386"/>
      <c r="CL219" s="386"/>
    </row>
    <row r="220" spans="2:90" ht="12.75" customHeight="1" x14ac:dyDescent="0.15">
      <c r="B220" s="57"/>
      <c r="C220" s="57"/>
      <c r="D220" s="58"/>
      <c r="E220" s="59"/>
      <c r="F220" s="63"/>
      <c r="G220" s="63"/>
      <c r="H220" s="63"/>
      <c r="I220" s="63"/>
      <c r="J220" s="65"/>
      <c r="K220" s="392"/>
      <c r="L220" s="65"/>
      <c r="M220" s="65"/>
      <c r="N220" s="65"/>
      <c r="O220" s="386"/>
      <c r="P220" s="386"/>
      <c r="Q220" s="386"/>
      <c r="R220" s="386"/>
      <c r="S220" s="386"/>
      <c r="T220" s="386"/>
      <c r="U220" s="386"/>
      <c r="V220" s="386"/>
      <c r="W220" s="386"/>
      <c r="X220" s="386"/>
      <c r="Y220" s="386"/>
      <c r="Z220" s="386"/>
      <c r="AA220" s="386"/>
      <c r="AB220" s="386"/>
      <c r="AC220" s="386"/>
      <c r="AD220" s="386"/>
      <c r="AE220" s="386"/>
      <c r="AF220" s="386"/>
      <c r="AG220" s="386"/>
      <c r="AH220" s="386"/>
      <c r="AI220" s="386"/>
      <c r="AJ220" s="386"/>
      <c r="AK220" s="386"/>
      <c r="AL220" s="386"/>
      <c r="AM220" s="386"/>
      <c r="AN220" s="386"/>
      <c r="AO220" s="386"/>
      <c r="AP220" s="386"/>
      <c r="AQ220" s="386"/>
      <c r="AR220" s="386"/>
      <c r="AS220" s="386"/>
      <c r="AT220" s="386"/>
      <c r="AU220" s="386"/>
      <c r="AV220" s="386"/>
      <c r="AW220" s="386"/>
      <c r="AX220" s="386"/>
      <c r="AY220" s="386"/>
      <c r="AZ220" s="386"/>
      <c r="BA220" s="386"/>
      <c r="BB220" s="386"/>
      <c r="BC220" s="386"/>
      <c r="BD220" s="386"/>
      <c r="BE220" s="386"/>
      <c r="BF220" s="386"/>
      <c r="BG220" s="386"/>
      <c r="BH220" s="386"/>
      <c r="BI220" s="386"/>
      <c r="BJ220" s="386"/>
      <c r="BK220" s="386"/>
      <c r="BL220" s="386"/>
      <c r="BM220" s="386"/>
      <c r="BN220" s="386"/>
      <c r="BO220" s="386"/>
      <c r="BP220" s="386"/>
      <c r="BQ220" s="386"/>
      <c r="BR220" s="386"/>
      <c r="BS220" s="386"/>
      <c r="BT220" s="386"/>
      <c r="BU220" s="386"/>
      <c r="BV220" s="386"/>
      <c r="BW220" s="386"/>
      <c r="BX220" s="386"/>
      <c r="BY220" s="386"/>
      <c r="BZ220" s="386"/>
      <c r="CA220" s="386"/>
      <c r="CB220" s="386"/>
      <c r="CC220" s="386"/>
      <c r="CD220" s="386"/>
      <c r="CE220" s="386"/>
      <c r="CF220" s="386"/>
      <c r="CG220" s="386"/>
      <c r="CH220" s="386"/>
      <c r="CI220" s="386"/>
      <c r="CJ220" s="386"/>
      <c r="CK220" s="386"/>
      <c r="CL220" s="386"/>
    </row>
    <row r="221" spans="2:90" ht="12.75" customHeight="1" x14ac:dyDescent="0.15">
      <c r="B221" s="57"/>
      <c r="C221" s="57"/>
      <c r="D221" s="58"/>
      <c r="E221" s="59"/>
      <c r="F221" s="63"/>
      <c r="G221" s="63"/>
      <c r="H221" s="63"/>
      <c r="I221" s="63"/>
      <c r="J221" s="65"/>
      <c r="K221" s="392"/>
      <c r="L221" s="65"/>
      <c r="M221" s="65"/>
      <c r="N221" s="65"/>
      <c r="O221" s="386"/>
      <c r="P221" s="386"/>
      <c r="Q221" s="386"/>
      <c r="R221" s="386"/>
      <c r="S221" s="386"/>
      <c r="T221" s="386"/>
      <c r="U221" s="386"/>
      <c r="V221" s="386"/>
      <c r="W221" s="386"/>
      <c r="X221" s="386"/>
      <c r="Y221" s="386"/>
      <c r="Z221" s="386"/>
      <c r="AA221" s="386"/>
      <c r="AB221" s="386"/>
      <c r="AC221" s="386"/>
      <c r="AD221" s="386"/>
      <c r="AE221" s="386"/>
      <c r="AF221" s="386"/>
      <c r="AG221" s="386"/>
      <c r="AH221" s="386"/>
      <c r="AI221" s="386"/>
      <c r="AJ221" s="386"/>
      <c r="AK221" s="386"/>
      <c r="AL221" s="386"/>
      <c r="AM221" s="386"/>
      <c r="AN221" s="386"/>
      <c r="AO221" s="386"/>
      <c r="AP221" s="386"/>
      <c r="AQ221" s="386"/>
      <c r="AR221" s="386"/>
      <c r="AS221" s="386"/>
      <c r="AT221" s="386"/>
      <c r="AU221" s="386"/>
      <c r="AV221" s="386"/>
      <c r="AW221" s="386"/>
      <c r="AX221" s="386"/>
      <c r="AY221" s="386"/>
      <c r="AZ221" s="386"/>
      <c r="BA221" s="386"/>
      <c r="BB221" s="386"/>
      <c r="BC221" s="386"/>
      <c r="BD221" s="386"/>
      <c r="BE221" s="386"/>
      <c r="BF221" s="386"/>
      <c r="BG221" s="386"/>
      <c r="BH221" s="386"/>
      <c r="BI221" s="386"/>
      <c r="BJ221" s="386"/>
      <c r="BK221" s="386"/>
      <c r="BL221" s="386"/>
      <c r="BM221" s="386"/>
      <c r="BN221" s="386"/>
      <c r="BO221" s="386"/>
      <c r="BP221" s="386"/>
      <c r="BQ221" s="386"/>
      <c r="BR221" s="386"/>
      <c r="BS221" s="386"/>
      <c r="BT221" s="386"/>
      <c r="BU221" s="386"/>
      <c r="BV221" s="386"/>
      <c r="BW221" s="386"/>
      <c r="BX221" s="386"/>
      <c r="BY221" s="386"/>
      <c r="BZ221" s="386"/>
      <c r="CA221" s="386"/>
      <c r="CB221" s="386"/>
      <c r="CC221" s="386"/>
      <c r="CD221" s="386"/>
      <c r="CE221" s="386"/>
      <c r="CF221" s="386"/>
      <c r="CG221" s="386"/>
      <c r="CH221" s="386"/>
      <c r="CI221" s="386"/>
      <c r="CJ221" s="386"/>
      <c r="CK221" s="386"/>
      <c r="CL221" s="386"/>
    </row>
    <row r="222" spans="2:90" ht="12.75" customHeight="1" x14ac:dyDescent="0.15">
      <c r="B222" s="57"/>
      <c r="C222" s="57"/>
      <c r="D222" s="58"/>
      <c r="E222" s="59"/>
      <c r="F222" s="63"/>
      <c r="G222" s="63"/>
      <c r="H222" s="63"/>
      <c r="I222" s="63"/>
      <c r="J222" s="65"/>
      <c r="K222" s="392"/>
      <c r="L222" s="65"/>
      <c r="M222" s="65"/>
      <c r="N222" s="65"/>
      <c r="O222" s="386"/>
      <c r="P222" s="386"/>
      <c r="Q222" s="386"/>
      <c r="R222" s="386"/>
      <c r="S222" s="386"/>
      <c r="T222" s="386"/>
      <c r="U222" s="386"/>
      <c r="V222" s="386"/>
      <c r="W222" s="386"/>
      <c r="X222" s="386"/>
      <c r="Y222" s="386"/>
      <c r="Z222" s="386"/>
      <c r="AA222" s="386"/>
      <c r="AB222" s="386"/>
      <c r="AC222" s="386"/>
      <c r="AD222" s="386"/>
      <c r="AE222" s="386"/>
      <c r="AF222" s="386"/>
      <c r="AG222" s="386"/>
      <c r="AH222" s="386"/>
      <c r="AI222" s="386"/>
      <c r="AJ222" s="386"/>
      <c r="AK222" s="386"/>
      <c r="AL222" s="386"/>
      <c r="AM222" s="386"/>
      <c r="AN222" s="386"/>
      <c r="AO222" s="386"/>
      <c r="AP222" s="386"/>
      <c r="AQ222" s="386"/>
      <c r="AR222" s="386"/>
      <c r="AS222" s="386"/>
      <c r="AT222" s="386"/>
      <c r="AU222" s="386"/>
      <c r="AV222" s="386"/>
      <c r="AW222" s="386"/>
      <c r="AX222" s="386"/>
      <c r="AY222" s="386"/>
      <c r="AZ222" s="386"/>
      <c r="BA222" s="386"/>
      <c r="BB222" s="386"/>
      <c r="BC222" s="386"/>
      <c r="BD222" s="386"/>
      <c r="BE222" s="386"/>
      <c r="BF222" s="386"/>
      <c r="BG222" s="386"/>
      <c r="BH222" s="386"/>
      <c r="BI222" s="386"/>
      <c r="BJ222" s="386"/>
      <c r="BK222" s="386"/>
      <c r="BL222" s="386"/>
      <c r="BM222" s="386"/>
      <c r="BN222" s="386"/>
      <c r="BO222" s="386"/>
      <c r="BP222" s="386"/>
      <c r="BQ222" s="386"/>
      <c r="BR222" s="386"/>
      <c r="BS222" s="386"/>
      <c r="BT222" s="386"/>
      <c r="BU222" s="386"/>
      <c r="BV222" s="386"/>
      <c r="BW222" s="386"/>
      <c r="BX222" s="386"/>
      <c r="BY222" s="386"/>
      <c r="BZ222" s="386"/>
      <c r="CA222" s="386"/>
      <c r="CB222" s="386"/>
      <c r="CC222" s="386"/>
      <c r="CD222" s="386"/>
      <c r="CE222" s="386"/>
      <c r="CF222" s="386"/>
      <c r="CG222" s="386"/>
      <c r="CH222" s="386"/>
      <c r="CI222" s="386"/>
      <c r="CJ222" s="386"/>
      <c r="CK222" s="386"/>
      <c r="CL222" s="386"/>
    </row>
    <row r="223" spans="2:90" ht="12.75" customHeight="1" x14ac:dyDescent="0.15">
      <c r="B223" s="57"/>
      <c r="C223" s="57"/>
      <c r="D223" s="58"/>
      <c r="E223" s="59"/>
      <c r="F223" s="63"/>
      <c r="G223" s="63"/>
      <c r="H223" s="63"/>
      <c r="I223" s="63"/>
      <c r="J223" s="65"/>
      <c r="K223" s="392"/>
      <c r="L223" s="65"/>
      <c r="M223" s="65"/>
      <c r="N223" s="65"/>
      <c r="O223" s="386"/>
      <c r="P223" s="386"/>
      <c r="Q223" s="386"/>
      <c r="R223" s="386"/>
      <c r="S223" s="386"/>
      <c r="T223" s="386"/>
      <c r="U223" s="386"/>
      <c r="V223" s="386"/>
      <c r="W223" s="386"/>
      <c r="X223" s="386"/>
      <c r="Y223" s="386"/>
      <c r="Z223" s="386"/>
      <c r="AA223" s="386"/>
      <c r="AB223" s="386"/>
      <c r="AC223" s="386"/>
      <c r="AD223" s="386"/>
      <c r="AE223" s="386"/>
      <c r="AF223" s="386"/>
      <c r="AG223" s="386"/>
      <c r="AH223" s="386"/>
      <c r="AI223" s="386"/>
      <c r="AJ223" s="386"/>
      <c r="AK223" s="386"/>
      <c r="AL223" s="386"/>
      <c r="AM223" s="386"/>
      <c r="AN223" s="386"/>
      <c r="AO223" s="386"/>
      <c r="AP223" s="386"/>
      <c r="AQ223" s="386"/>
      <c r="AR223" s="386"/>
      <c r="AS223" s="386"/>
      <c r="AT223" s="386"/>
      <c r="AU223" s="386"/>
      <c r="AV223" s="386"/>
      <c r="AW223" s="386"/>
      <c r="AX223" s="386"/>
      <c r="AY223" s="386"/>
      <c r="AZ223" s="386"/>
      <c r="BA223" s="386"/>
      <c r="BB223" s="386"/>
      <c r="BC223" s="386"/>
      <c r="BD223" s="386"/>
      <c r="BE223" s="386"/>
      <c r="BF223" s="386"/>
      <c r="BG223" s="386"/>
      <c r="BH223" s="386"/>
      <c r="BI223" s="386"/>
      <c r="BJ223" s="386"/>
      <c r="BK223" s="386"/>
      <c r="BL223" s="386"/>
      <c r="BM223" s="386"/>
      <c r="BN223" s="386"/>
      <c r="BO223" s="386"/>
      <c r="BP223" s="386"/>
      <c r="BQ223" s="386"/>
      <c r="BR223" s="386"/>
      <c r="BS223" s="386"/>
      <c r="BT223" s="386"/>
      <c r="BU223" s="386"/>
      <c r="BV223" s="386"/>
      <c r="BW223" s="386"/>
      <c r="BX223" s="386"/>
      <c r="BY223" s="386"/>
      <c r="BZ223" s="386"/>
      <c r="CA223" s="386"/>
      <c r="CB223" s="386"/>
      <c r="CC223" s="386"/>
      <c r="CD223" s="386"/>
      <c r="CE223" s="386"/>
      <c r="CF223" s="386"/>
      <c r="CG223" s="386"/>
      <c r="CH223" s="386"/>
      <c r="CI223" s="386"/>
      <c r="CJ223" s="386"/>
      <c r="CK223" s="386"/>
      <c r="CL223" s="386"/>
    </row>
    <row r="224" spans="2:90" ht="12.75" customHeight="1" x14ac:dyDescent="0.15">
      <c r="B224" s="57"/>
      <c r="C224" s="57"/>
      <c r="D224" s="58"/>
      <c r="E224" s="59"/>
      <c r="F224" s="63"/>
      <c r="G224" s="63"/>
      <c r="H224" s="63"/>
      <c r="I224" s="63"/>
      <c r="J224" s="65"/>
      <c r="K224" s="392"/>
      <c r="L224" s="65"/>
      <c r="M224" s="65"/>
      <c r="N224" s="65"/>
      <c r="O224" s="386"/>
      <c r="P224" s="386"/>
      <c r="Q224" s="386"/>
      <c r="R224" s="386"/>
      <c r="S224" s="386"/>
      <c r="T224" s="386"/>
      <c r="U224" s="386"/>
      <c r="V224" s="386"/>
      <c r="W224" s="386"/>
      <c r="X224" s="386"/>
      <c r="Y224" s="386"/>
      <c r="Z224" s="386"/>
      <c r="AA224" s="386"/>
      <c r="AB224" s="386"/>
      <c r="AC224" s="386"/>
      <c r="AD224" s="386"/>
      <c r="AE224" s="386"/>
      <c r="AF224" s="386"/>
      <c r="AG224" s="386"/>
      <c r="AH224" s="386"/>
      <c r="AI224" s="386"/>
      <c r="AJ224" s="386"/>
      <c r="AK224" s="386"/>
      <c r="AL224" s="386"/>
      <c r="AM224" s="386"/>
      <c r="AN224" s="386"/>
      <c r="AO224" s="386"/>
      <c r="AP224" s="386"/>
      <c r="AQ224" s="386"/>
      <c r="AR224" s="386"/>
      <c r="AS224" s="386"/>
      <c r="AT224" s="386"/>
      <c r="AU224" s="386"/>
      <c r="AV224" s="386"/>
      <c r="AW224" s="386"/>
      <c r="AX224" s="386"/>
      <c r="AY224" s="386"/>
      <c r="AZ224" s="386"/>
      <c r="BA224" s="386"/>
      <c r="BB224" s="386"/>
      <c r="BC224" s="386"/>
      <c r="BD224" s="386"/>
      <c r="BE224" s="386"/>
      <c r="BF224" s="386"/>
      <c r="BG224" s="386"/>
      <c r="BH224" s="386"/>
      <c r="BI224" s="386"/>
      <c r="BJ224" s="386"/>
      <c r="BK224" s="386"/>
      <c r="BL224" s="386"/>
      <c r="BM224" s="386"/>
      <c r="BN224" s="386"/>
      <c r="BO224" s="386"/>
      <c r="BP224" s="386"/>
      <c r="BQ224" s="386"/>
      <c r="BR224" s="386"/>
      <c r="BS224" s="386"/>
      <c r="BT224" s="386"/>
      <c r="BU224" s="386"/>
      <c r="BV224" s="386"/>
      <c r="BW224" s="386"/>
      <c r="BX224" s="386"/>
      <c r="BY224" s="386"/>
      <c r="BZ224" s="386"/>
      <c r="CA224" s="386"/>
      <c r="CB224" s="386"/>
      <c r="CC224" s="386"/>
      <c r="CD224" s="386"/>
      <c r="CE224" s="386"/>
      <c r="CF224" s="386"/>
      <c r="CG224" s="386"/>
      <c r="CH224" s="386"/>
      <c r="CI224" s="386"/>
      <c r="CJ224" s="386"/>
      <c r="CK224" s="386"/>
      <c r="CL224" s="386"/>
    </row>
    <row r="225" spans="2:90" ht="12.75" customHeight="1" x14ac:dyDescent="0.15">
      <c r="B225" s="57"/>
      <c r="C225" s="57"/>
      <c r="D225" s="58"/>
      <c r="E225" s="59"/>
      <c r="F225" s="63"/>
      <c r="G225" s="63"/>
      <c r="H225" s="63"/>
      <c r="I225" s="63"/>
      <c r="J225" s="65"/>
      <c r="K225" s="392"/>
      <c r="L225" s="65"/>
      <c r="M225" s="65"/>
      <c r="N225" s="65"/>
      <c r="O225" s="386"/>
      <c r="P225" s="386"/>
      <c r="Q225" s="386"/>
      <c r="R225" s="386"/>
      <c r="S225" s="386"/>
      <c r="T225" s="386"/>
      <c r="U225" s="386"/>
      <c r="V225" s="386"/>
      <c r="W225" s="386"/>
      <c r="X225" s="386"/>
      <c r="Y225" s="386"/>
      <c r="Z225" s="386"/>
      <c r="AA225" s="386"/>
      <c r="AB225" s="386"/>
      <c r="AC225" s="386"/>
      <c r="AD225" s="386"/>
      <c r="AE225" s="386"/>
      <c r="AF225" s="386"/>
      <c r="AG225" s="386"/>
      <c r="AH225" s="386"/>
      <c r="AI225" s="386"/>
      <c r="AJ225" s="386"/>
      <c r="AK225" s="386"/>
      <c r="AL225" s="386"/>
      <c r="AM225" s="386"/>
      <c r="AN225" s="386"/>
      <c r="AO225" s="386"/>
      <c r="AP225" s="386"/>
      <c r="AQ225" s="386"/>
      <c r="AR225" s="386"/>
      <c r="AS225" s="386"/>
      <c r="AT225" s="386"/>
      <c r="AU225" s="386"/>
      <c r="AV225" s="386"/>
      <c r="AW225" s="386"/>
      <c r="AX225" s="386"/>
      <c r="AY225" s="386"/>
      <c r="AZ225" s="386"/>
      <c r="BA225" s="386"/>
      <c r="BB225" s="386"/>
      <c r="BC225" s="386"/>
      <c r="BD225" s="386"/>
      <c r="BE225" s="386"/>
      <c r="BF225" s="386"/>
      <c r="BG225" s="386"/>
      <c r="BH225" s="386"/>
      <c r="BI225" s="386"/>
      <c r="BJ225" s="386"/>
      <c r="BK225" s="386"/>
      <c r="BL225" s="386"/>
      <c r="BM225" s="386"/>
      <c r="BN225" s="386"/>
      <c r="BO225" s="386"/>
      <c r="BP225" s="386"/>
      <c r="BQ225" s="386"/>
      <c r="BR225" s="386"/>
      <c r="BS225" s="386"/>
      <c r="BT225" s="386"/>
      <c r="BU225" s="386"/>
      <c r="BV225" s="386"/>
      <c r="BW225" s="386"/>
      <c r="BX225" s="386"/>
      <c r="BY225" s="386"/>
      <c r="BZ225" s="386"/>
      <c r="CA225" s="386"/>
      <c r="CB225" s="386"/>
      <c r="CC225" s="386"/>
      <c r="CD225" s="386"/>
      <c r="CE225" s="386"/>
      <c r="CF225" s="386"/>
      <c r="CG225" s="386"/>
      <c r="CH225" s="386"/>
      <c r="CI225" s="386"/>
      <c r="CJ225" s="386"/>
      <c r="CK225" s="386"/>
      <c r="CL225" s="386"/>
    </row>
    <row r="226" spans="2:90" ht="12.75" customHeight="1" x14ac:dyDescent="0.15">
      <c r="B226" s="57"/>
      <c r="C226" s="57"/>
      <c r="D226" s="58"/>
      <c r="E226" s="59"/>
      <c r="F226" s="63"/>
      <c r="G226" s="63"/>
      <c r="H226" s="63"/>
      <c r="I226" s="63"/>
      <c r="J226" s="65"/>
      <c r="K226" s="392"/>
      <c r="L226" s="65"/>
      <c r="M226" s="65"/>
      <c r="N226" s="65"/>
      <c r="O226" s="386"/>
      <c r="P226" s="386"/>
      <c r="Q226" s="386"/>
      <c r="R226" s="386"/>
      <c r="S226" s="386"/>
      <c r="T226" s="386"/>
      <c r="U226" s="386"/>
      <c r="V226" s="386"/>
      <c r="W226" s="386"/>
      <c r="X226" s="386"/>
      <c r="Y226" s="386"/>
      <c r="Z226" s="386"/>
      <c r="AA226" s="386"/>
      <c r="AB226" s="386"/>
      <c r="AC226" s="386"/>
      <c r="AD226" s="386"/>
      <c r="AE226" s="386"/>
      <c r="AF226" s="386"/>
      <c r="AG226" s="386"/>
      <c r="AH226" s="386"/>
      <c r="AI226" s="386"/>
      <c r="AJ226" s="386"/>
      <c r="AK226" s="386"/>
      <c r="AL226" s="386"/>
      <c r="AM226" s="386"/>
      <c r="AN226" s="386"/>
      <c r="AO226" s="386"/>
      <c r="AP226" s="386"/>
      <c r="AQ226" s="386"/>
      <c r="AR226" s="386"/>
      <c r="AS226" s="386"/>
      <c r="AT226" s="386"/>
      <c r="AU226" s="386"/>
      <c r="AV226" s="386"/>
      <c r="AW226" s="386"/>
      <c r="AX226" s="386"/>
      <c r="AY226" s="386"/>
      <c r="AZ226" s="386"/>
      <c r="BA226" s="386"/>
      <c r="BB226" s="386"/>
      <c r="BC226" s="386"/>
      <c r="BD226" s="386"/>
      <c r="BE226" s="386"/>
      <c r="BF226" s="386"/>
      <c r="BG226" s="386"/>
      <c r="BH226" s="386"/>
      <c r="BI226" s="386"/>
      <c r="BJ226" s="386"/>
      <c r="BK226" s="386"/>
      <c r="BL226" s="386"/>
      <c r="BM226" s="386"/>
      <c r="BN226" s="386"/>
      <c r="BO226" s="386"/>
      <c r="BP226" s="386"/>
      <c r="BQ226" s="386"/>
      <c r="BR226" s="386"/>
      <c r="BS226" s="386"/>
      <c r="BT226" s="386"/>
      <c r="BU226" s="386"/>
      <c r="BV226" s="386"/>
      <c r="BW226" s="386"/>
      <c r="BX226" s="386"/>
      <c r="BY226" s="386"/>
      <c r="BZ226" s="386"/>
      <c r="CA226" s="386"/>
      <c r="CB226" s="386"/>
      <c r="CC226" s="386"/>
      <c r="CD226" s="386"/>
      <c r="CE226" s="386"/>
      <c r="CF226" s="386"/>
      <c r="CG226" s="386"/>
      <c r="CH226" s="386"/>
      <c r="CI226" s="386"/>
      <c r="CJ226" s="386"/>
      <c r="CK226" s="386"/>
      <c r="CL226" s="386"/>
    </row>
    <row r="227" spans="2:90" ht="12.75" customHeight="1" x14ac:dyDescent="0.15">
      <c r="B227" s="57"/>
      <c r="C227" s="57"/>
      <c r="D227" s="58"/>
      <c r="E227" s="59"/>
      <c r="F227" s="63"/>
      <c r="G227" s="63"/>
      <c r="H227" s="63"/>
      <c r="I227" s="63"/>
      <c r="J227" s="65"/>
      <c r="K227" s="392"/>
      <c r="L227" s="65"/>
      <c r="M227" s="65"/>
      <c r="N227" s="65"/>
      <c r="O227" s="386"/>
      <c r="P227" s="386"/>
      <c r="Q227" s="386"/>
      <c r="R227" s="386"/>
      <c r="S227" s="386"/>
      <c r="T227" s="386"/>
      <c r="U227" s="386"/>
      <c r="V227" s="386"/>
      <c r="W227" s="386"/>
      <c r="X227" s="386"/>
      <c r="Y227" s="386"/>
      <c r="Z227" s="386"/>
      <c r="AA227" s="386"/>
      <c r="AB227" s="386"/>
      <c r="AC227" s="386"/>
      <c r="AD227" s="386"/>
      <c r="AE227" s="386"/>
      <c r="AF227" s="386"/>
      <c r="AG227" s="386"/>
      <c r="AH227" s="386"/>
      <c r="AI227" s="386"/>
      <c r="AJ227" s="386"/>
      <c r="AK227" s="386"/>
      <c r="AL227" s="386"/>
      <c r="AM227" s="386"/>
      <c r="AN227" s="386"/>
      <c r="AO227" s="386"/>
      <c r="AP227" s="386"/>
      <c r="AQ227" s="386"/>
      <c r="AR227" s="386"/>
      <c r="AS227" s="386"/>
      <c r="AT227" s="386"/>
      <c r="AU227" s="386"/>
      <c r="AV227" s="386"/>
      <c r="AW227" s="386"/>
      <c r="AX227" s="386"/>
      <c r="AY227" s="386"/>
      <c r="AZ227" s="386"/>
      <c r="BA227" s="386"/>
      <c r="BB227" s="386"/>
      <c r="BC227" s="386"/>
      <c r="BD227" s="386"/>
      <c r="BE227" s="386"/>
      <c r="BF227" s="386"/>
      <c r="BG227" s="386"/>
      <c r="BH227" s="386"/>
      <c r="BI227" s="386"/>
      <c r="BJ227" s="386"/>
      <c r="BK227" s="386"/>
      <c r="BL227" s="386"/>
      <c r="BM227" s="386"/>
      <c r="BN227" s="386"/>
      <c r="BO227" s="386"/>
      <c r="BP227" s="386"/>
      <c r="BQ227" s="386"/>
      <c r="BR227" s="386"/>
      <c r="BS227" s="386"/>
      <c r="BT227" s="386"/>
      <c r="BU227" s="386"/>
      <c r="BV227" s="386"/>
      <c r="BW227" s="386"/>
      <c r="BX227" s="386"/>
      <c r="BY227" s="386"/>
      <c r="BZ227" s="386"/>
      <c r="CA227" s="386"/>
      <c r="CB227" s="386"/>
      <c r="CC227" s="386"/>
      <c r="CD227" s="386"/>
      <c r="CE227" s="386"/>
      <c r="CF227" s="386"/>
      <c r="CG227" s="386"/>
      <c r="CH227" s="386"/>
      <c r="CI227" s="386"/>
      <c r="CJ227" s="386"/>
      <c r="CK227" s="386"/>
      <c r="CL227" s="386"/>
    </row>
    <row r="228" spans="2:90" ht="12.75" customHeight="1" x14ac:dyDescent="0.15">
      <c r="B228" s="57"/>
      <c r="C228" s="57"/>
      <c r="D228" s="58"/>
      <c r="E228" s="59"/>
      <c r="F228" s="63"/>
      <c r="G228" s="63"/>
      <c r="H228" s="63"/>
      <c r="I228" s="63"/>
      <c r="J228" s="65"/>
      <c r="K228" s="392"/>
      <c r="L228" s="65"/>
      <c r="M228" s="65"/>
      <c r="N228" s="65"/>
      <c r="O228" s="386"/>
      <c r="P228" s="386"/>
      <c r="Q228" s="386"/>
      <c r="R228" s="386"/>
      <c r="S228" s="386"/>
      <c r="T228" s="386"/>
      <c r="U228" s="386"/>
      <c r="V228" s="386"/>
      <c r="W228" s="386"/>
      <c r="X228" s="386"/>
      <c r="Y228" s="386"/>
      <c r="Z228" s="386"/>
      <c r="AA228" s="386"/>
      <c r="AB228" s="386"/>
      <c r="AC228" s="386"/>
      <c r="AD228" s="386"/>
      <c r="AE228" s="386"/>
      <c r="AF228" s="386"/>
      <c r="AG228" s="386"/>
      <c r="AH228" s="386"/>
      <c r="AI228" s="386"/>
      <c r="AJ228" s="386"/>
      <c r="AK228" s="386"/>
      <c r="AL228" s="386"/>
      <c r="AM228" s="386"/>
      <c r="AN228" s="386"/>
      <c r="AO228" s="386"/>
      <c r="AP228" s="386"/>
      <c r="AQ228" s="386"/>
      <c r="AR228" s="386"/>
      <c r="AS228" s="386"/>
      <c r="AT228" s="386"/>
      <c r="AU228" s="386"/>
      <c r="AV228" s="386"/>
      <c r="AW228" s="386"/>
      <c r="AX228" s="386"/>
      <c r="AY228" s="386"/>
      <c r="AZ228" s="386"/>
      <c r="BA228" s="386"/>
      <c r="BB228" s="386"/>
      <c r="BC228" s="386"/>
      <c r="BD228" s="386"/>
      <c r="BE228" s="386"/>
      <c r="BF228" s="386"/>
      <c r="BG228" s="386"/>
      <c r="BH228" s="386"/>
      <c r="BI228" s="386"/>
      <c r="BJ228" s="386"/>
      <c r="BK228" s="386"/>
      <c r="BL228" s="386"/>
      <c r="BM228" s="386"/>
      <c r="BN228" s="386"/>
      <c r="BO228" s="386"/>
      <c r="BP228" s="386"/>
      <c r="BQ228" s="386"/>
      <c r="BR228" s="386"/>
      <c r="BS228" s="386"/>
      <c r="BT228" s="386"/>
      <c r="BU228" s="386"/>
      <c r="BV228" s="386"/>
      <c r="BW228" s="386"/>
      <c r="BX228" s="386"/>
      <c r="BY228" s="386"/>
      <c r="BZ228" s="386"/>
      <c r="CA228" s="386"/>
      <c r="CB228" s="386"/>
      <c r="CC228" s="386"/>
      <c r="CD228" s="386"/>
      <c r="CE228" s="386"/>
      <c r="CF228" s="386"/>
      <c r="CG228" s="386"/>
      <c r="CH228" s="386"/>
      <c r="CI228" s="386"/>
      <c r="CJ228" s="386"/>
      <c r="CK228" s="386"/>
      <c r="CL228" s="386"/>
    </row>
    <row r="229" spans="2:90" ht="12.75" customHeight="1" x14ac:dyDescent="0.15">
      <c r="B229" s="57"/>
      <c r="C229" s="57"/>
      <c r="D229" s="58"/>
      <c r="E229" s="59"/>
      <c r="F229" s="63"/>
      <c r="G229" s="63"/>
      <c r="H229" s="63"/>
      <c r="I229" s="63"/>
      <c r="J229" s="65"/>
      <c r="K229" s="392"/>
      <c r="L229" s="65"/>
      <c r="M229" s="65"/>
      <c r="N229" s="65"/>
      <c r="O229" s="386"/>
      <c r="P229" s="386"/>
      <c r="Q229" s="386"/>
      <c r="R229" s="386"/>
      <c r="S229" s="386"/>
      <c r="T229" s="386"/>
      <c r="U229" s="386"/>
      <c r="V229" s="386"/>
      <c r="W229" s="386"/>
      <c r="X229" s="386"/>
      <c r="Y229" s="386"/>
      <c r="Z229" s="386"/>
      <c r="AA229" s="386"/>
      <c r="AB229" s="386"/>
      <c r="AC229" s="386"/>
      <c r="AD229" s="386"/>
      <c r="AE229" s="386"/>
      <c r="AF229" s="386"/>
      <c r="AG229" s="386"/>
      <c r="AH229" s="386"/>
      <c r="AI229" s="386"/>
      <c r="AJ229" s="386"/>
      <c r="AK229" s="386"/>
      <c r="AL229" s="386"/>
      <c r="AM229" s="386"/>
      <c r="AN229" s="386"/>
      <c r="AO229" s="386"/>
      <c r="AP229" s="386"/>
      <c r="AQ229" s="386"/>
      <c r="AR229" s="386"/>
      <c r="AS229" s="386"/>
      <c r="AT229" s="386"/>
      <c r="AU229" s="386"/>
      <c r="AV229" s="386"/>
      <c r="AW229" s="386"/>
      <c r="AX229" s="386"/>
      <c r="AY229" s="386"/>
      <c r="AZ229" s="386"/>
      <c r="BA229" s="386"/>
      <c r="BB229" s="386"/>
      <c r="BC229" s="386"/>
      <c r="BD229" s="386"/>
      <c r="BE229" s="386"/>
      <c r="BF229" s="386"/>
      <c r="BG229" s="386"/>
      <c r="BH229" s="386"/>
      <c r="BI229" s="386"/>
      <c r="BJ229" s="386"/>
      <c r="BK229" s="386"/>
      <c r="BL229" s="386"/>
      <c r="BM229" s="386"/>
      <c r="BN229" s="386"/>
      <c r="BO229" s="386"/>
      <c r="BP229" s="386"/>
      <c r="BQ229" s="386"/>
      <c r="BR229" s="386"/>
      <c r="BS229" s="386"/>
      <c r="BT229" s="386"/>
      <c r="BU229" s="386"/>
      <c r="BV229" s="386"/>
      <c r="BW229" s="386"/>
      <c r="BX229" s="386"/>
      <c r="BY229" s="386"/>
      <c r="BZ229" s="386"/>
      <c r="CA229" s="386"/>
      <c r="CB229" s="386"/>
      <c r="CC229" s="386"/>
      <c r="CD229" s="386"/>
      <c r="CE229" s="386"/>
      <c r="CF229" s="386"/>
      <c r="CG229" s="386"/>
      <c r="CH229" s="386"/>
      <c r="CI229" s="386"/>
      <c r="CJ229" s="386"/>
      <c r="CK229" s="386"/>
      <c r="CL229" s="386"/>
    </row>
    <row r="230" spans="2:90" ht="12.75" customHeight="1" x14ac:dyDescent="0.15">
      <c r="B230" s="57"/>
      <c r="C230" s="57"/>
      <c r="D230" s="58"/>
      <c r="E230" s="59"/>
      <c r="F230" s="63"/>
      <c r="G230" s="63"/>
      <c r="H230" s="63"/>
      <c r="I230" s="63"/>
      <c r="J230" s="65"/>
      <c r="K230" s="392"/>
      <c r="L230" s="65"/>
      <c r="M230" s="65"/>
      <c r="N230" s="65"/>
      <c r="O230" s="386"/>
      <c r="P230" s="386"/>
      <c r="Q230" s="386"/>
      <c r="R230" s="386"/>
      <c r="S230" s="386"/>
      <c r="T230" s="386"/>
      <c r="U230" s="386"/>
      <c r="V230" s="386"/>
      <c r="W230" s="386"/>
      <c r="X230" s="386"/>
      <c r="Y230" s="386"/>
      <c r="Z230" s="386"/>
      <c r="AA230" s="386"/>
      <c r="AB230" s="386"/>
      <c r="AC230" s="386"/>
      <c r="AD230" s="386"/>
      <c r="AE230" s="386"/>
      <c r="AF230" s="386"/>
      <c r="AG230" s="386"/>
      <c r="AH230" s="386"/>
      <c r="AI230" s="386"/>
      <c r="AJ230" s="386"/>
      <c r="AK230" s="386"/>
      <c r="AL230" s="386"/>
      <c r="AM230" s="386"/>
      <c r="AN230" s="386"/>
      <c r="AO230" s="386"/>
      <c r="AP230" s="386"/>
      <c r="AQ230" s="386"/>
      <c r="AR230" s="386"/>
      <c r="AS230" s="386"/>
      <c r="AT230" s="386"/>
      <c r="AU230" s="386"/>
      <c r="AV230" s="386"/>
      <c r="AW230" s="386"/>
      <c r="AX230" s="386"/>
      <c r="AY230" s="386"/>
      <c r="AZ230" s="386"/>
      <c r="BA230" s="386"/>
      <c r="BB230" s="386"/>
      <c r="BC230" s="386"/>
      <c r="BD230" s="386"/>
      <c r="BE230" s="386"/>
      <c r="BF230" s="386"/>
      <c r="BG230" s="386"/>
      <c r="BH230" s="386"/>
      <c r="BI230" s="386"/>
      <c r="BJ230" s="386"/>
      <c r="BK230" s="386"/>
      <c r="BL230" s="386"/>
      <c r="BM230" s="386"/>
      <c r="BN230" s="386"/>
      <c r="BO230" s="386"/>
      <c r="BP230" s="386"/>
      <c r="BQ230" s="386"/>
      <c r="BR230" s="386"/>
      <c r="BS230" s="386"/>
      <c r="BT230" s="386"/>
      <c r="BU230" s="386"/>
      <c r="BV230" s="386"/>
      <c r="BW230" s="386"/>
      <c r="BX230" s="386"/>
      <c r="BY230" s="386"/>
      <c r="BZ230" s="386"/>
      <c r="CA230" s="386"/>
      <c r="CB230" s="386"/>
      <c r="CC230" s="386"/>
      <c r="CD230" s="386"/>
      <c r="CE230" s="386"/>
      <c r="CF230" s="386"/>
      <c r="CG230" s="386"/>
      <c r="CH230" s="386"/>
      <c r="CI230" s="386"/>
      <c r="CJ230" s="386"/>
      <c r="CK230" s="386"/>
      <c r="CL230" s="386"/>
    </row>
    <row r="231" spans="2:90" ht="12.75" customHeight="1" x14ac:dyDescent="0.15">
      <c r="B231" s="57"/>
      <c r="C231" s="57"/>
      <c r="D231" s="58"/>
      <c r="E231" s="59"/>
      <c r="F231" s="63"/>
      <c r="G231" s="63"/>
      <c r="H231" s="63"/>
      <c r="I231" s="63"/>
      <c r="J231" s="65"/>
      <c r="K231" s="392"/>
      <c r="L231" s="65"/>
      <c r="M231" s="65"/>
      <c r="N231" s="65"/>
      <c r="O231" s="386"/>
      <c r="P231" s="386"/>
      <c r="Q231" s="386"/>
      <c r="R231" s="386"/>
      <c r="S231" s="386"/>
      <c r="T231" s="386"/>
      <c r="U231" s="386"/>
      <c r="V231" s="386"/>
      <c r="W231" s="386"/>
      <c r="X231" s="386"/>
      <c r="Y231" s="386"/>
      <c r="Z231" s="386"/>
      <c r="AA231" s="386"/>
      <c r="AB231" s="386"/>
      <c r="AC231" s="386"/>
      <c r="AD231" s="386"/>
      <c r="AE231" s="386"/>
      <c r="AF231" s="386"/>
      <c r="AG231" s="386"/>
      <c r="AH231" s="386"/>
      <c r="AI231" s="386"/>
      <c r="AJ231" s="386"/>
      <c r="AK231" s="386"/>
      <c r="AL231" s="386"/>
      <c r="AM231" s="386"/>
      <c r="AN231" s="386"/>
      <c r="AO231" s="386"/>
      <c r="AP231" s="386"/>
      <c r="AQ231" s="386"/>
      <c r="AR231" s="386"/>
      <c r="AS231" s="386"/>
      <c r="AT231" s="386"/>
      <c r="AU231" s="386"/>
      <c r="AV231" s="386"/>
      <c r="AW231" s="386"/>
      <c r="AX231" s="386"/>
      <c r="AY231" s="386"/>
      <c r="AZ231" s="386"/>
      <c r="BA231" s="386"/>
      <c r="BB231" s="386"/>
      <c r="BC231" s="386"/>
      <c r="BD231" s="386"/>
      <c r="BE231" s="386"/>
      <c r="BF231" s="386"/>
      <c r="BG231" s="386"/>
      <c r="BH231" s="386"/>
      <c r="BI231" s="386"/>
      <c r="BJ231" s="386"/>
      <c r="BK231" s="386"/>
      <c r="BL231" s="386"/>
      <c r="BM231" s="386"/>
      <c r="BN231" s="386"/>
      <c r="BO231" s="386"/>
      <c r="BP231" s="386"/>
      <c r="BQ231" s="386"/>
      <c r="BR231" s="386"/>
      <c r="BS231" s="386"/>
      <c r="BT231" s="386"/>
      <c r="BU231" s="386"/>
      <c r="BV231" s="386"/>
      <c r="BW231" s="386"/>
      <c r="BX231" s="386"/>
      <c r="BY231" s="386"/>
      <c r="BZ231" s="386"/>
      <c r="CA231" s="386"/>
      <c r="CB231" s="386"/>
      <c r="CC231" s="386"/>
      <c r="CD231" s="386"/>
      <c r="CE231" s="386"/>
      <c r="CF231" s="386"/>
      <c r="CG231" s="386"/>
      <c r="CH231" s="386"/>
      <c r="CI231" s="386"/>
      <c r="CJ231" s="386"/>
      <c r="CK231" s="386"/>
      <c r="CL231" s="386"/>
    </row>
    <row r="232" spans="2:90" ht="12.75" customHeight="1" x14ac:dyDescent="0.15">
      <c r="B232" s="57"/>
      <c r="C232" s="57"/>
      <c r="D232" s="58"/>
      <c r="E232" s="59"/>
      <c r="F232" s="63"/>
      <c r="G232" s="63"/>
      <c r="H232" s="63"/>
      <c r="I232" s="63"/>
      <c r="J232" s="65"/>
      <c r="K232" s="392"/>
      <c r="L232" s="65"/>
      <c r="M232" s="65"/>
      <c r="N232" s="65"/>
      <c r="O232" s="386"/>
      <c r="P232" s="386"/>
      <c r="Q232" s="386"/>
      <c r="R232" s="386"/>
      <c r="S232" s="386"/>
      <c r="T232" s="386"/>
      <c r="U232" s="386"/>
      <c r="V232" s="386"/>
      <c r="W232" s="386"/>
      <c r="X232" s="386"/>
      <c r="Y232" s="386"/>
      <c r="Z232" s="386"/>
      <c r="AA232" s="386"/>
      <c r="AB232" s="386"/>
      <c r="AC232" s="386"/>
      <c r="AD232" s="386"/>
      <c r="AE232" s="386"/>
      <c r="AF232" s="386"/>
      <c r="AG232" s="386"/>
      <c r="AH232" s="386"/>
      <c r="AI232" s="386"/>
      <c r="AJ232" s="386"/>
      <c r="AK232" s="386"/>
      <c r="AL232" s="386"/>
      <c r="AM232" s="386"/>
      <c r="AN232" s="386"/>
      <c r="AO232" s="386"/>
      <c r="AP232" s="386"/>
      <c r="AQ232" s="386"/>
      <c r="AR232" s="386"/>
      <c r="AS232" s="386"/>
      <c r="AT232" s="386"/>
      <c r="AU232" s="386"/>
      <c r="AV232" s="386"/>
      <c r="AW232" s="386"/>
      <c r="AX232" s="386"/>
      <c r="AY232" s="386"/>
      <c r="AZ232" s="386"/>
      <c r="BA232" s="386"/>
      <c r="BB232" s="386"/>
      <c r="BC232" s="386"/>
      <c r="BD232" s="386"/>
      <c r="BE232" s="386"/>
      <c r="BF232" s="386"/>
      <c r="BG232" s="386"/>
      <c r="BH232" s="386"/>
      <c r="BI232" s="386"/>
      <c r="BJ232" s="386"/>
      <c r="BK232" s="386"/>
      <c r="BL232" s="386"/>
      <c r="BM232" s="386"/>
      <c r="BN232" s="386"/>
      <c r="BO232" s="386"/>
      <c r="BP232" s="386"/>
      <c r="BQ232" s="386"/>
      <c r="BR232" s="386"/>
      <c r="BS232" s="386"/>
      <c r="BT232" s="386"/>
      <c r="BU232" s="386"/>
      <c r="BV232" s="386"/>
      <c r="BW232" s="386"/>
      <c r="BX232" s="386"/>
      <c r="BY232" s="386"/>
      <c r="BZ232" s="386"/>
      <c r="CA232" s="386"/>
      <c r="CB232" s="386"/>
      <c r="CC232" s="386"/>
      <c r="CD232" s="386"/>
      <c r="CE232" s="386"/>
      <c r="CF232" s="386"/>
      <c r="CG232" s="386"/>
      <c r="CH232" s="386"/>
      <c r="CI232" s="386"/>
      <c r="CJ232" s="386"/>
      <c r="CK232" s="386"/>
      <c r="CL232" s="386"/>
    </row>
    <row r="233" spans="2:90" ht="12.75" customHeight="1" x14ac:dyDescent="0.15">
      <c r="B233" s="57"/>
      <c r="C233" s="57"/>
      <c r="D233" s="58"/>
      <c r="E233" s="59"/>
      <c r="F233" s="63"/>
      <c r="G233" s="63"/>
      <c r="H233" s="63"/>
      <c r="I233" s="63"/>
      <c r="J233" s="65"/>
      <c r="K233" s="392"/>
      <c r="L233" s="65"/>
      <c r="M233" s="65"/>
      <c r="N233" s="65"/>
      <c r="O233" s="386"/>
      <c r="P233" s="386"/>
      <c r="Q233" s="386"/>
      <c r="R233" s="386"/>
      <c r="S233" s="386"/>
      <c r="T233" s="386"/>
      <c r="U233" s="386"/>
      <c r="V233" s="386"/>
      <c r="W233" s="386"/>
      <c r="X233" s="386"/>
      <c r="Y233" s="386"/>
      <c r="Z233" s="386"/>
      <c r="AA233" s="386"/>
      <c r="AB233" s="386"/>
      <c r="AC233" s="386"/>
      <c r="AD233" s="386"/>
      <c r="AE233" s="386"/>
      <c r="AF233" s="386"/>
      <c r="AG233" s="386"/>
      <c r="AH233" s="386"/>
      <c r="AI233" s="386"/>
      <c r="AJ233" s="386"/>
      <c r="AK233" s="386"/>
      <c r="AL233" s="386"/>
      <c r="AM233" s="386"/>
      <c r="AN233" s="386"/>
      <c r="AO233" s="386"/>
      <c r="AP233" s="386"/>
      <c r="AQ233" s="386"/>
      <c r="AR233" s="386"/>
      <c r="AS233" s="386"/>
      <c r="AT233" s="386"/>
      <c r="AU233" s="386"/>
      <c r="AV233" s="386"/>
      <c r="AW233" s="386"/>
      <c r="AX233" s="386"/>
      <c r="AY233" s="386"/>
      <c r="AZ233" s="386"/>
      <c r="BA233" s="386"/>
      <c r="BB233" s="386"/>
      <c r="BC233" s="386"/>
      <c r="BD233" s="386"/>
      <c r="BE233" s="386"/>
      <c r="BF233" s="386"/>
      <c r="BG233" s="386"/>
      <c r="BH233" s="386"/>
      <c r="BI233" s="386"/>
      <c r="BJ233" s="386"/>
      <c r="BK233" s="386"/>
      <c r="BL233" s="386"/>
      <c r="BM233" s="386"/>
      <c r="BN233" s="386"/>
      <c r="BO233" s="386"/>
      <c r="BP233" s="386"/>
      <c r="BQ233" s="386"/>
      <c r="BR233" s="386"/>
      <c r="BS233" s="386"/>
      <c r="BT233" s="386"/>
      <c r="BU233" s="386"/>
      <c r="BV233" s="386"/>
      <c r="BW233" s="386"/>
      <c r="BX233" s="386"/>
      <c r="BY233" s="386"/>
      <c r="BZ233" s="386"/>
      <c r="CA233" s="386"/>
      <c r="CB233" s="386"/>
      <c r="CC233" s="386"/>
      <c r="CD233" s="386"/>
      <c r="CE233" s="386"/>
      <c r="CF233" s="386"/>
      <c r="CG233" s="386"/>
      <c r="CH233" s="386"/>
      <c r="CI233" s="386"/>
      <c r="CJ233" s="386"/>
      <c r="CK233" s="386"/>
      <c r="CL233" s="386"/>
    </row>
    <row r="234" spans="2:90" ht="12.75" customHeight="1" x14ac:dyDescent="0.15">
      <c r="B234" s="57"/>
      <c r="C234" s="57"/>
      <c r="D234" s="58"/>
      <c r="E234" s="59"/>
      <c r="F234" s="63"/>
      <c r="G234" s="63"/>
      <c r="H234" s="63"/>
      <c r="I234" s="63"/>
      <c r="J234" s="65"/>
      <c r="K234" s="392"/>
      <c r="L234" s="65"/>
      <c r="M234" s="65"/>
      <c r="N234" s="65"/>
      <c r="O234" s="386"/>
      <c r="P234" s="386"/>
      <c r="Q234" s="386"/>
      <c r="R234" s="386"/>
      <c r="S234" s="386"/>
      <c r="T234" s="386"/>
      <c r="U234" s="386"/>
      <c r="V234" s="386"/>
      <c r="W234" s="386"/>
      <c r="X234" s="386"/>
      <c r="Y234" s="386"/>
      <c r="Z234" s="386"/>
      <c r="AA234" s="386"/>
      <c r="AB234" s="386"/>
      <c r="AC234" s="386"/>
      <c r="AD234" s="386"/>
      <c r="AE234" s="386"/>
      <c r="AF234" s="386"/>
      <c r="AG234" s="386"/>
      <c r="AH234" s="386"/>
      <c r="AI234" s="386"/>
      <c r="AJ234" s="386"/>
      <c r="AK234" s="386"/>
      <c r="AL234" s="386"/>
      <c r="AM234" s="386"/>
      <c r="AN234" s="386"/>
      <c r="AO234" s="386"/>
      <c r="AP234" s="386"/>
      <c r="AQ234" s="386"/>
      <c r="AR234" s="386"/>
      <c r="AS234" s="386"/>
      <c r="AT234" s="386"/>
      <c r="AU234" s="386"/>
      <c r="AV234" s="386"/>
      <c r="AW234" s="386"/>
      <c r="AX234" s="386"/>
      <c r="AY234" s="386"/>
      <c r="AZ234" s="386"/>
      <c r="BA234" s="386"/>
      <c r="BB234" s="386"/>
      <c r="BC234" s="386"/>
      <c r="BD234" s="386"/>
      <c r="BE234" s="386"/>
      <c r="BF234" s="386"/>
      <c r="BG234" s="386"/>
      <c r="BH234" s="386"/>
      <c r="BI234" s="386"/>
      <c r="BJ234" s="386"/>
      <c r="BK234" s="386"/>
      <c r="BL234" s="386"/>
      <c r="BM234" s="386"/>
      <c r="BN234" s="386"/>
      <c r="BO234" s="386"/>
      <c r="BP234" s="386"/>
      <c r="BQ234" s="386"/>
      <c r="BR234" s="386"/>
      <c r="BS234" s="386"/>
      <c r="BT234" s="386"/>
      <c r="BU234" s="386"/>
      <c r="BV234" s="386"/>
      <c r="BW234" s="386"/>
      <c r="BX234" s="386"/>
      <c r="BY234" s="386"/>
      <c r="BZ234" s="386"/>
      <c r="CA234" s="386"/>
      <c r="CB234" s="386"/>
      <c r="CC234" s="386"/>
      <c r="CD234" s="386"/>
      <c r="CE234" s="386"/>
      <c r="CF234" s="386"/>
      <c r="CG234" s="386"/>
      <c r="CH234" s="386"/>
      <c r="CI234" s="386"/>
      <c r="CJ234" s="386"/>
      <c r="CK234" s="386"/>
      <c r="CL234" s="386"/>
    </row>
    <row r="235" spans="2:90" ht="12.75" customHeight="1" x14ac:dyDescent="0.15">
      <c r="B235" s="57"/>
      <c r="C235" s="57"/>
      <c r="D235" s="58"/>
      <c r="E235" s="59"/>
      <c r="F235" s="63"/>
      <c r="G235" s="63"/>
      <c r="H235" s="63"/>
      <c r="I235" s="63"/>
      <c r="J235" s="65"/>
      <c r="K235" s="392"/>
      <c r="L235" s="65"/>
      <c r="M235" s="65"/>
      <c r="N235" s="65"/>
      <c r="O235" s="386"/>
      <c r="P235" s="386"/>
      <c r="Q235" s="386"/>
      <c r="R235" s="386"/>
      <c r="S235" s="386"/>
      <c r="T235" s="386"/>
      <c r="U235" s="386"/>
      <c r="V235" s="386"/>
      <c r="W235" s="386"/>
      <c r="X235" s="386"/>
      <c r="Y235" s="386"/>
      <c r="Z235" s="386"/>
      <c r="AA235" s="386"/>
      <c r="AB235" s="386"/>
      <c r="AC235" s="386"/>
      <c r="AD235" s="386"/>
      <c r="AE235" s="386"/>
      <c r="AF235" s="386"/>
      <c r="AG235" s="386"/>
      <c r="AH235" s="386"/>
      <c r="AI235" s="386"/>
      <c r="AJ235" s="386"/>
      <c r="AK235" s="386"/>
      <c r="AL235" s="386"/>
      <c r="AM235" s="386"/>
      <c r="AN235" s="386"/>
      <c r="AO235" s="386"/>
      <c r="AP235" s="386"/>
      <c r="AQ235" s="386"/>
      <c r="AR235" s="386"/>
      <c r="AS235" s="386"/>
      <c r="AT235" s="386"/>
      <c r="AU235" s="386"/>
      <c r="AV235" s="386"/>
      <c r="AW235" s="386"/>
      <c r="AX235" s="386"/>
      <c r="AY235" s="386"/>
      <c r="AZ235" s="386"/>
      <c r="BA235" s="386"/>
      <c r="BB235" s="386"/>
      <c r="BC235" s="386"/>
      <c r="BD235" s="386"/>
      <c r="BE235" s="386"/>
      <c r="BF235" s="386"/>
      <c r="BG235" s="386"/>
      <c r="BH235" s="386"/>
      <c r="BI235" s="386"/>
      <c r="BJ235" s="386"/>
      <c r="BK235" s="386"/>
      <c r="BL235" s="386"/>
      <c r="BM235" s="386"/>
      <c r="BN235" s="386"/>
      <c r="BO235" s="386"/>
      <c r="BP235" s="386"/>
      <c r="BQ235" s="386"/>
      <c r="BR235" s="386"/>
      <c r="BS235" s="386"/>
      <c r="BT235" s="386"/>
      <c r="BU235" s="386"/>
      <c r="BV235" s="386"/>
      <c r="BW235" s="386"/>
      <c r="BX235" s="386"/>
      <c r="BY235" s="386"/>
      <c r="BZ235" s="386"/>
      <c r="CA235" s="386"/>
      <c r="CB235" s="386"/>
      <c r="CC235" s="386"/>
      <c r="CD235" s="386"/>
      <c r="CE235" s="386"/>
      <c r="CF235" s="386"/>
      <c r="CG235" s="386"/>
      <c r="CH235" s="386"/>
      <c r="CI235" s="386"/>
      <c r="CJ235" s="386"/>
      <c r="CK235" s="386"/>
      <c r="CL235" s="386"/>
    </row>
    <row r="236" spans="2:90" ht="12.75" customHeight="1" x14ac:dyDescent="0.15">
      <c r="B236" s="57"/>
      <c r="C236" s="57"/>
      <c r="D236" s="58"/>
      <c r="E236" s="59"/>
      <c r="F236" s="63"/>
      <c r="G236" s="63"/>
      <c r="H236" s="63"/>
      <c r="I236" s="63"/>
      <c r="J236" s="65"/>
      <c r="K236" s="392"/>
      <c r="L236" s="65"/>
      <c r="M236" s="65"/>
      <c r="N236" s="65"/>
      <c r="O236" s="386"/>
      <c r="P236" s="386"/>
      <c r="Q236" s="386"/>
      <c r="R236" s="386"/>
      <c r="S236" s="386"/>
      <c r="T236" s="386"/>
      <c r="U236" s="386"/>
      <c r="V236" s="386"/>
      <c r="W236" s="386"/>
      <c r="X236" s="386"/>
      <c r="Y236" s="386"/>
      <c r="Z236" s="386"/>
      <c r="AA236" s="386"/>
      <c r="AB236" s="386"/>
      <c r="AC236" s="386"/>
      <c r="AD236" s="386"/>
      <c r="AE236" s="386"/>
      <c r="AF236" s="386"/>
      <c r="AG236" s="386"/>
      <c r="AH236" s="386"/>
      <c r="AI236" s="386"/>
      <c r="AJ236" s="386"/>
      <c r="AK236" s="386"/>
      <c r="AL236" s="386"/>
      <c r="AM236" s="386"/>
      <c r="AN236" s="386"/>
      <c r="AO236" s="386"/>
      <c r="AP236" s="386"/>
      <c r="AQ236" s="386"/>
      <c r="AR236" s="386"/>
      <c r="AS236" s="386"/>
      <c r="AT236" s="386"/>
      <c r="AU236" s="386"/>
      <c r="AV236" s="386"/>
      <c r="AW236" s="386"/>
      <c r="AX236" s="386"/>
      <c r="AY236" s="386"/>
      <c r="AZ236" s="386"/>
      <c r="BA236" s="386"/>
      <c r="BB236" s="386"/>
      <c r="BC236" s="386"/>
      <c r="BD236" s="386"/>
      <c r="BE236" s="386"/>
      <c r="BF236" s="386"/>
      <c r="BG236" s="386"/>
      <c r="BH236" s="386"/>
      <c r="BI236" s="386"/>
      <c r="BJ236" s="386"/>
      <c r="BK236" s="386"/>
      <c r="BL236" s="386"/>
      <c r="BM236" s="386"/>
      <c r="BN236" s="386"/>
      <c r="BO236" s="386"/>
      <c r="BP236" s="386"/>
      <c r="BQ236" s="386"/>
      <c r="BR236" s="386"/>
      <c r="BS236" s="386"/>
      <c r="BT236" s="386"/>
      <c r="BU236" s="386"/>
      <c r="BV236" s="386"/>
      <c r="BW236" s="386"/>
      <c r="BX236" s="386"/>
      <c r="BY236" s="386"/>
      <c r="BZ236" s="386"/>
      <c r="CA236" s="386"/>
      <c r="CB236" s="386"/>
      <c r="CC236" s="386"/>
      <c r="CD236" s="386"/>
      <c r="CE236" s="386"/>
      <c r="CF236" s="386"/>
      <c r="CG236" s="386"/>
      <c r="CH236" s="386"/>
      <c r="CI236" s="386"/>
      <c r="CJ236" s="386"/>
      <c r="CK236" s="386"/>
      <c r="CL236" s="386"/>
    </row>
    <row r="237" spans="2:90" ht="12.75" customHeight="1" x14ac:dyDescent="0.15">
      <c r="B237" s="57"/>
      <c r="C237" s="57"/>
      <c r="D237" s="58"/>
      <c r="E237" s="59"/>
      <c r="F237" s="63"/>
      <c r="G237" s="63"/>
      <c r="H237" s="63"/>
      <c r="I237" s="63"/>
      <c r="J237" s="65"/>
      <c r="K237" s="392"/>
      <c r="L237" s="65"/>
      <c r="M237" s="65"/>
      <c r="N237" s="65"/>
      <c r="O237" s="386"/>
      <c r="P237" s="386"/>
      <c r="Q237" s="386"/>
      <c r="R237" s="386"/>
      <c r="S237" s="386"/>
      <c r="T237" s="386"/>
      <c r="U237" s="386"/>
      <c r="V237" s="386"/>
      <c r="W237" s="386"/>
      <c r="X237" s="386"/>
      <c r="Y237" s="386"/>
      <c r="Z237" s="386"/>
      <c r="AA237" s="386"/>
      <c r="AB237" s="386"/>
      <c r="AC237" s="386"/>
      <c r="AD237" s="386"/>
      <c r="AE237" s="386"/>
      <c r="AF237" s="386"/>
      <c r="AG237" s="386"/>
      <c r="AH237" s="386"/>
      <c r="AI237" s="386"/>
      <c r="AJ237" s="386"/>
      <c r="AK237" s="386"/>
      <c r="AL237" s="386"/>
      <c r="AM237" s="386"/>
      <c r="AN237" s="386"/>
      <c r="AO237" s="386"/>
      <c r="AP237" s="386"/>
      <c r="AQ237" s="386"/>
      <c r="AR237" s="386"/>
      <c r="AS237" s="386"/>
      <c r="AT237" s="386"/>
      <c r="AU237" s="386"/>
      <c r="AV237" s="386"/>
      <c r="AW237" s="386"/>
      <c r="AX237" s="386"/>
      <c r="AY237" s="386"/>
      <c r="AZ237" s="386"/>
      <c r="BA237" s="386"/>
      <c r="BB237" s="386"/>
      <c r="BC237" s="386"/>
      <c r="BD237" s="386"/>
      <c r="BE237" s="386"/>
      <c r="BF237" s="386"/>
      <c r="BG237" s="386"/>
      <c r="BH237" s="386"/>
      <c r="BI237" s="386"/>
      <c r="BJ237" s="386"/>
      <c r="BK237" s="386"/>
      <c r="BL237" s="386"/>
      <c r="BM237" s="386"/>
      <c r="BN237" s="386"/>
      <c r="BO237" s="386"/>
      <c r="BP237" s="386"/>
      <c r="BQ237" s="386"/>
      <c r="BR237" s="386"/>
      <c r="BS237" s="386"/>
      <c r="BT237" s="386"/>
      <c r="BU237" s="386"/>
      <c r="BV237" s="386"/>
      <c r="BW237" s="386"/>
      <c r="BX237" s="386"/>
      <c r="BY237" s="386"/>
      <c r="BZ237" s="386"/>
      <c r="CA237" s="386"/>
      <c r="CB237" s="386"/>
      <c r="CC237" s="386"/>
      <c r="CD237" s="386"/>
      <c r="CE237" s="386"/>
      <c r="CF237" s="386"/>
      <c r="CG237" s="386"/>
      <c r="CH237" s="386"/>
      <c r="CI237" s="386"/>
      <c r="CJ237" s="386"/>
      <c r="CK237" s="386"/>
      <c r="CL237" s="386"/>
    </row>
    <row r="238" spans="2:90" ht="12.75" customHeight="1" x14ac:dyDescent="0.15">
      <c r="B238" s="57"/>
      <c r="C238" s="57"/>
      <c r="D238" s="58"/>
      <c r="E238" s="59"/>
      <c r="F238" s="63"/>
      <c r="G238" s="63"/>
      <c r="H238" s="63"/>
      <c r="I238" s="63"/>
      <c r="J238" s="65"/>
      <c r="K238" s="392"/>
      <c r="L238" s="65"/>
      <c r="M238" s="65"/>
      <c r="N238" s="65"/>
      <c r="O238" s="386"/>
      <c r="P238" s="386"/>
      <c r="Q238" s="386"/>
      <c r="R238" s="386"/>
      <c r="S238" s="386"/>
      <c r="T238" s="386"/>
      <c r="U238" s="386"/>
      <c r="V238" s="386"/>
      <c r="W238" s="386"/>
      <c r="X238" s="386"/>
      <c r="Y238" s="386"/>
      <c r="Z238" s="386"/>
      <c r="AA238" s="386"/>
      <c r="AB238" s="386"/>
      <c r="AC238" s="386"/>
      <c r="AD238" s="386"/>
      <c r="AE238" s="386"/>
      <c r="AF238" s="386"/>
      <c r="AG238" s="386"/>
      <c r="AH238" s="386"/>
      <c r="AI238" s="386"/>
      <c r="AJ238" s="386"/>
      <c r="AK238" s="386"/>
      <c r="AL238" s="386"/>
      <c r="AM238" s="386"/>
      <c r="AN238" s="386"/>
      <c r="AO238" s="386"/>
      <c r="AP238" s="386"/>
      <c r="AQ238" s="386"/>
      <c r="AR238" s="386"/>
      <c r="AS238" s="386"/>
      <c r="AT238" s="386"/>
      <c r="AU238" s="386"/>
      <c r="AV238" s="386"/>
      <c r="AW238" s="386"/>
      <c r="AX238" s="386"/>
      <c r="AY238" s="386"/>
      <c r="AZ238" s="386"/>
      <c r="BA238" s="386"/>
      <c r="BB238" s="386"/>
      <c r="BC238" s="386"/>
      <c r="BD238" s="386"/>
      <c r="BE238" s="386"/>
      <c r="BF238" s="386"/>
      <c r="BG238" s="386"/>
      <c r="BH238" s="386"/>
      <c r="BI238" s="386"/>
      <c r="BJ238" s="386"/>
      <c r="BK238" s="386"/>
      <c r="BL238" s="386"/>
      <c r="BM238" s="386"/>
      <c r="BN238" s="386"/>
      <c r="BO238" s="386"/>
      <c r="BP238" s="386"/>
      <c r="BQ238" s="386"/>
      <c r="BR238" s="386"/>
      <c r="BS238" s="386"/>
      <c r="BT238" s="386"/>
      <c r="BU238" s="386"/>
      <c r="BV238" s="386"/>
      <c r="BW238" s="386"/>
      <c r="BX238" s="386"/>
      <c r="BY238" s="386"/>
      <c r="BZ238" s="386"/>
      <c r="CA238" s="386"/>
      <c r="CB238" s="386"/>
      <c r="CC238" s="386"/>
      <c r="CD238" s="386"/>
      <c r="CE238" s="386"/>
      <c r="CF238" s="386"/>
      <c r="CG238" s="386"/>
      <c r="CH238" s="386"/>
      <c r="CI238" s="386"/>
      <c r="CJ238" s="386"/>
      <c r="CK238" s="386"/>
      <c r="CL238" s="386"/>
    </row>
    <row r="239" spans="2:90" ht="12.75" customHeight="1" x14ac:dyDescent="0.15">
      <c r="B239" s="57"/>
      <c r="C239" s="57"/>
      <c r="D239" s="58"/>
      <c r="E239" s="59"/>
      <c r="F239" s="63"/>
      <c r="G239" s="63"/>
      <c r="H239" s="63"/>
      <c r="I239" s="63"/>
      <c r="J239" s="65"/>
      <c r="K239" s="392"/>
      <c r="L239" s="65"/>
      <c r="M239" s="65"/>
      <c r="N239" s="65"/>
      <c r="O239" s="386"/>
      <c r="P239" s="386"/>
      <c r="Q239" s="386"/>
      <c r="R239" s="386"/>
      <c r="S239" s="386"/>
      <c r="T239" s="386"/>
      <c r="U239" s="386"/>
      <c r="V239" s="386"/>
      <c r="W239" s="386"/>
      <c r="X239" s="386"/>
      <c r="Y239" s="386"/>
      <c r="Z239" s="386"/>
      <c r="AA239" s="386"/>
      <c r="AB239" s="386"/>
      <c r="AC239" s="386"/>
      <c r="AD239" s="386"/>
      <c r="AE239" s="386"/>
      <c r="AF239" s="386"/>
      <c r="AG239" s="386"/>
      <c r="AH239" s="386"/>
      <c r="AI239" s="386"/>
      <c r="AJ239" s="386"/>
      <c r="AK239" s="386"/>
      <c r="AL239" s="386"/>
      <c r="AM239" s="386"/>
      <c r="AN239" s="386"/>
      <c r="AO239" s="386"/>
      <c r="AP239" s="386"/>
      <c r="AQ239" s="386"/>
      <c r="AR239" s="386"/>
      <c r="AS239" s="386"/>
      <c r="AT239" s="386"/>
      <c r="AU239" s="386"/>
      <c r="AV239" s="386"/>
      <c r="AW239" s="386"/>
      <c r="AX239" s="386"/>
      <c r="AY239" s="386"/>
      <c r="AZ239" s="386"/>
      <c r="BA239" s="386"/>
      <c r="BB239" s="386"/>
      <c r="BC239" s="386"/>
      <c r="BD239" s="386"/>
      <c r="BE239" s="386"/>
      <c r="BF239" s="386"/>
      <c r="BG239" s="386"/>
      <c r="BH239" s="386"/>
      <c r="BI239" s="386"/>
      <c r="BJ239" s="386"/>
      <c r="BK239" s="386"/>
      <c r="BL239" s="386"/>
      <c r="BM239" s="386"/>
      <c r="BN239" s="386"/>
      <c r="BO239" s="386"/>
      <c r="BP239" s="386"/>
      <c r="BQ239" s="386"/>
      <c r="BR239" s="386"/>
      <c r="BS239" s="386"/>
      <c r="BT239" s="386"/>
      <c r="BU239" s="386"/>
      <c r="BV239" s="386"/>
      <c r="BW239" s="386"/>
      <c r="BX239" s="386"/>
      <c r="BY239" s="386"/>
      <c r="BZ239" s="386"/>
      <c r="CA239" s="386"/>
      <c r="CB239" s="386"/>
      <c r="CC239" s="386"/>
      <c r="CD239" s="386"/>
      <c r="CE239" s="386"/>
      <c r="CF239" s="386"/>
      <c r="CG239" s="386"/>
      <c r="CH239" s="386"/>
      <c r="CI239" s="386"/>
      <c r="CJ239" s="386"/>
      <c r="CK239" s="386"/>
      <c r="CL239" s="386"/>
    </row>
    <row r="240" spans="2:90" ht="12.75" customHeight="1" x14ac:dyDescent="0.15">
      <c r="B240" s="57"/>
      <c r="C240" s="57"/>
      <c r="D240" s="58"/>
      <c r="E240" s="59"/>
      <c r="F240" s="63"/>
      <c r="G240" s="63"/>
      <c r="H240" s="63"/>
      <c r="I240" s="63"/>
      <c r="J240" s="65"/>
      <c r="K240" s="392"/>
      <c r="L240" s="65"/>
      <c r="M240" s="65"/>
      <c r="N240" s="65"/>
      <c r="O240" s="386"/>
      <c r="P240" s="386"/>
      <c r="Q240" s="386"/>
      <c r="R240" s="386"/>
      <c r="S240" s="386"/>
      <c r="T240" s="386"/>
      <c r="U240" s="386"/>
      <c r="V240" s="386"/>
      <c r="W240" s="386"/>
      <c r="X240" s="386"/>
      <c r="Y240" s="386"/>
      <c r="Z240" s="386"/>
      <c r="AA240" s="386"/>
      <c r="AB240" s="386"/>
      <c r="AC240" s="386"/>
      <c r="AD240" s="386"/>
      <c r="AE240" s="386"/>
      <c r="AF240" s="386"/>
      <c r="AG240" s="386"/>
      <c r="AH240" s="386"/>
      <c r="AI240" s="386"/>
      <c r="AJ240" s="386"/>
      <c r="AK240" s="386"/>
      <c r="AL240" s="386"/>
      <c r="AM240" s="386"/>
      <c r="AN240" s="386"/>
      <c r="AO240" s="386"/>
      <c r="AP240" s="386"/>
      <c r="AQ240" s="386"/>
      <c r="AR240" s="386"/>
      <c r="AS240" s="386"/>
      <c r="AT240" s="386"/>
      <c r="AU240" s="386"/>
      <c r="AV240" s="386"/>
      <c r="AW240" s="386"/>
      <c r="AX240" s="386"/>
      <c r="AY240" s="386"/>
      <c r="AZ240" s="386"/>
      <c r="BA240" s="386"/>
      <c r="BB240" s="386"/>
      <c r="BC240" s="386"/>
      <c r="BD240" s="386"/>
      <c r="BE240" s="386"/>
      <c r="BF240" s="386"/>
      <c r="BG240" s="386"/>
      <c r="BH240" s="386"/>
      <c r="BI240" s="386"/>
      <c r="BJ240" s="386"/>
      <c r="BK240" s="386"/>
      <c r="BL240" s="386"/>
      <c r="BM240" s="386"/>
      <c r="BN240" s="386"/>
      <c r="BO240" s="386"/>
      <c r="BP240" s="386"/>
      <c r="BQ240" s="386"/>
      <c r="BR240" s="386"/>
      <c r="BS240" s="386"/>
      <c r="BT240" s="386"/>
      <c r="BU240" s="386"/>
      <c r="BV240" s="386"/>
      <c r="BW240" s="386"/>
      <c r="BX240" s="386"/>
      <c r="BY240" s="386"/>
      <c r="BZ240" s="386"/>
      <c r="CA240" s="386"/>
      <c r="CB240" s="386"/>
      <c r="CC240" s="386"/>
      <c r="CD240" s="386"/>
      <c r="CE240" s="386"/>
      <c r="CF240" s="386"/>
      <c r="CG240" s="386"/>
      <c r="CH240" s="386"/>
      <c r="CI240" s="386"/>
      <c r="CJ240" s="386"/>
      <c r="CK240" s="386"/>
      <c r="CL240" s="386"/>
    </row>
    <row r="241" spans="2:90" ht="12.75" customHeight="1" x14ac:dyDescent="0.15">
      <c r="B241" s="57"/>
      <c r="C241" s="57"/>
      <c r="D241" s="58"/>
      <c r="E241" s="59"/>
      <c r="F241" s="63"/>
      <c r="G241" s="63"/>
      <c r="H241" s="63"/>
      <c r="I241" s="63"/>
      <c r="J241" s="65"/>
      <c r="K241" s="392"/>
      <c r="L241" s="65"/>
      <c r="M241" s="65"/>
      <c r="N241" s="65"/>
      <c r="O241" s="386"/>
      <c r="P241" s="386"/>
      <c r="Q241" s="386"/>
      <c r="R241" s="386"/>
      <c r="S241" s="386"/>
      <c r="T241" s="386"/>
      <c r="U241" s="386"/>
      <c r="V241" s="386"/>
      <c r="W241" s="386"/>
      <c r="X241" s="386"/>
      <c r="Y241" s="386"/>
      <c r="Z241" s="386"/>
      <c r="AA241" s="386"/>
      <c r="AB241" s="386"/>
      <c r="AC241" s="386"/>
      <c r="AD241" s="386"/>
      <c r="AE241" s="386"/>
      <c r="AF241" s="386"/>
      <c r="AG241" s="386"/>
      <c r="AH241" s="386"/>
      <c r="AI241" s="386"/>
      <c r="AJ241" s="386"/>
      <c r="AK241" s="386"/>
      <c r="AL241" s="386"/>
      <c r="AM241" s="386"/>
      <c r="AN241" s="386"/>
      <c r="AO241" s="386"/>
      <c r="AP241" s="386"/>
      <c r="AQ241" s="386"/>
      <c r="AR241" s="386"/>
      <c r="AS241" s="386"/>
      <c r="AT241" s="386"/>
      <c r="AU241" s="386"/>
      <c r="AV241" s="386"/>
      <c r="AW241" s="386"/>
      <c r="AX241" s="386"/>
      <c r="AY241" s="386"/>
      <c r="AZ241" s="386"/>
      <c r="BA241" s="386"/>
      <c r="BB241" s="386"/>
      <c r="BC241" s="386"/>
      <c r="BD241" s="386"/>
      <c r="BE241" s="386"/>
      <c r="BF241" s="386"/>
      <c r="BG241" s="386"/>
      <c r="BH241" s="386"/>
      <c r="BI241" s="386"/>
      <c r="BJ241" s="386"/>
      <c r="BK241" s="386"/>
      <c r="BL241" s="386"/>
      <c r="BM241" s="386"/>
      <c r="BN241" s="386"/>
      <c r="BO241" s="386"/>
      <c r="BP241" s="386"/>
      <c r="BQ241" s="386"/>
      <c r="BR241" s="386"/>
      <c r="BS241" s="386"/>
      <c r="BT241" s="386"/>
      <c r="BU241" s="386"/>
      <c r="BV241" s="386"/>
      <c r="BW241" s="386"/>
      <c r="BX241" s="386"/>
      <c r="BY241" s="386"/>
      <c r="BZ241" s="386"/>
      <c r="CA241" s="386"/>
      <c r="CB241" s="386"/>
      <c r="CC241" s="386"/>
      <c r="CD241" s="386"/>
      <c r="CE241" s="386"/>
      <c r="CF241" s="386"/>
      <c r="CG241" s="386"/>
      <c r="CH241" s="386"/>
      <c r="CI241" s="386"/>
      <c r="CJ241" s="386"/>
      <c r="CK241" s="386"/>
      <c r="CL241" s="386"/>
    </row>
    <row r="242" spans="2:90" ht="12.75" customHeight="1" x14ac:dyDescent="0.15">
      <c r="B242" s="57"/>
      <c r="C242" s="57"/>
      <c r="D242" s="58"/>
      <c r="E242" s="59"/>
      <c r="F242" s="63"/>
      <c r="G242" s="63"/>
      <c r="H242" s="63"/>
      <c r="I242" s="63"/>
      <c r="J242" s="65"/>
      <c r="K242" s="392"/>
      <c r="L242" s="65"/>
      <c r="M242" s="65"/>
      <c r="N242" s="65"/>
      <c r="O242" s="386"/>
      <c r="P242" s="386"/>
      <c r="Q242" s="386"/>
      <c r="R242" s="386"/>
      <c r="S242" s="386"/>
      <c r="T242" s="386"/>
      <c r="U242" s="386"/>
      <c r="V242" s="386"/>
      <c r="W242" s="386"/>
      <c r="X242" s="386"/>
      <c r="Y242" s="386"/>
      <c r="Z242" s="386"/>
      <c r="AA242" s="386"/>
      <c r="AB242" s="386"/>
      <c r="AC242" s="386"/>
      <c r="AD242" s="386"/>
      <c r="AE242" s="386"/>
      <c r="AF242" s="386"/>
      <c r="AG242" s="386"/>
      <c r="AH242" s="386"/>
      <c r="AI242" s="386"/>
      <c r="AJ242" s="386"/>
      <c r="AK242" s="386"/>
      <c r="AL242" s="386"/>
      <c r="AM242" s="386"/>
      <c r="AN242" s="386"/>
      <c r="AO242" s="386"/>
      <c r="AP242" s="386"/>
      <c r="AQ242" s="386"/>
      <c r="AR242" s="386"/>
      <c r="AS242" s="386"/>
      <c r="AT242" s="386"/>
      <c r="AU242" s="386"/>
      <c r="AV242" s="386"/>
      <c r="AW242" s="386"/>
      <c r="AX242" s="386"/>
      <c r="AY242" s="386"/>
      <c r="AZ242" s="386"/>
      <c r="BA242" s="386"/>
      <c r="BB242" s="386"/>
      <c r="BC242" s="386"/>
      <c r="BD242" s="386"/>
      <c r="BE242" s="386"/>
      <c r="BF242" s="386"/>
      <c r="BG242" s="386"/>
      <c r="BH242" s="386"/>
      <c r="BI242" s="386"/>
      <c r="BJ242" s="386"/>
      <c r="BK242" s="386"/>
      <c r="BL242" s="386"/>
      <c r="BM242" s="386"/>
      <c r="BN242" s="386"/>
      <c r="BO242" s="386"/>
      <c r="BP242" s="386"/>
      <c r="BQ242" s="386"/>
      <c r="BR242" s="386"/>
      <c r="BS242" s="386"/>
      <c r="BT242" s="386"/>
      <c r="BU242" s="386"/>
      <c r="BV242" s="386"/>
      <c r="BW242" s="386"/>
      <c r="BX242" s="386"/>
      <c r="BY242" s="386"/>
      <c r="BZ242" s="386"/>
      <c r="CA242" s="386"/>
      <c r="CB242" s="386"/>
      <c r="CC242" s="386"/>
      <c r="CD242" s="386"/>
      <c r="CE242" s="386"/>
      <c r="CF242" s="386"/>
      <c r="CG242" s="386"/>
      <c r="CH242" s="386"/>
      <c r="CI242" s="386"/>
      <c r="CJ242" s="386"/>
      <c r="CK242" s="386"/>
      <c r="CL242" s="386"/>
    </row>
    <row r="243" spans="2:90" ht="12.75" customHeight="1" x14ac:dyDescent="0.15">
      <c r="B243" s="57"/>
      <c r="C243" s="57"/>
      <c r="D243" s="58"/>
      <c r="E243" s="59"/>
      <c r="F243" s="63"/>
      <c r="G243" s="63"/>
      <c r="H243" s="63"/>
      <c r="I243" s="63"/>
      <c r="J243" s="65"/>
      <c r="K243" s="392"/>
      <c r="L243" s="65"/>
      <c r="M243" s="65"/>
      <c r="N243" s="65"/>
      <c r="O243" s="386"/>
      <c r="P243" s="386"/>
      <c r="Q243" s="386"/>
      <c r="R243" s="386"/>
      <c r="S243" s="386"/>
      <c r="T243" s="386"/>
      <c r="U243" s="386"/>
      <c r="V243" s="386"/>
      <c r="W243" s="386"/>
      <c r="X243" s="386"/>
      <c r="Y243" s="386"/>
      <c r="Z243" s="386"/>
      <c r="AA243" s="386"/>
      <c r="AB243" s="386"/>
      <c r="AC243" s="386"/>
      <c r="AD243" s="386"/>
      <c r="AE243" s="386"/>
      <c r="AF243" s="386"/>
      <c r="AG243" s="386"/>
      <c r="AH243" s="386"/>
      <c r="AI243" s="386"/>
      <c r="AJ243" s="386"/>
      <c r="AK243" s="386"/>
      <c r="AL243" s="386"/>
      <c r="AM243" s="386"/>
      <c r="AN243" s="386"/>
      <c r="AO243" s="386"/>
      <c r="AP243" s="386"/>
      <c r="AQ243" s="386"/>
      <c r="AR243" s="386"/>
      <c r="AS243" s="386"/>
      <c r="AT243" s="386"/>
      <c r="AU243" s="386"/>
      <c r="AV243" s="386"/>
      <c r="AW243" s="386"/>
      <c r="AX243" s="386"/>
      <c r="AY243" s="386"/>
      <c r="AZ243" s="386"/>
      <c r="BA243" s="386"/>
      <c r="BB243" s="386"/>
      <c r="BC243" s="386"/>
      <c r="BD243" s="386"/>
      <c r="BE243" s="386"/>
      <c r="BF243" s="386"/>
      <c r="BG243" s="386"/>
      <c r="BH243" s="386"/>
      <c r="BI243" s="386"/>
      <c r="BJ243" s="386"/>
      <c r="BK243" s="386"/>
      <c r="BL243" s="386"/>
      <c r="BM243" s="386"/>
      <c r="BN243" s="386"/>
      <c r="BO243" s="386"/>
      <c r="BP243" s="386"/>
      <c r="BQ243" s="386"/>
      <c r="BR243" s="386"/>
      <c r="BS243" s="386"/>
      <c r="BT243" s="386"/>
      <c r="BU243" s="386"/>
      <c r="BV243" s="386"/>
      <c r="BW243" s="386"/>
      <c r="BX243" s="386"/>
      <c r="BY243" s="386"/>
      <c r="BZ243" s="386"/>
      <c r="CA243" s="386"/>
      <c r="CB243" s="386"/>
      <c r="CC243" s="386"/>
      <c r="CD243" s="386"/>
      <c r="CE243" s="386"/>
      <c r="CF243" s="386"/>
      <c r="CG243" s="386"/>
      <c r="CH243" s="386"/>
      <c r="CI243" s="386"/>
      <c r="CJ243" s="386"/>
      <c r="CK243" s="386"/>
      <c r="CL243" s="386"/>
    </row>
    <row r="244" spans="2:90" ht="12.75" customHeight="1" x14ac:dyDescent="0.15">
      <c r="B244" s="57"/>
      <c r="C244" s="57"/>
      <c r="D244" s="58"/>
      <c r="E244" s="59"/>
      <c r="F244" s="63"/>
      <c r="G244" s="63"/>
      <c r="H244" s="63"/>
      <c r="I244" s="63"/>
      <c r="J244" s="65"/>
      <c r="K244" s="392"/>
      <c r="L244" s="65"/>
      <c r="M244" s="65"/>
      <c r="N244" s="65"/>
      <c r="O244" s="386"/>
      <c r="P244" s="386"/>
      <c r="Q244" s="386"/>
      <c r="R244" s="386"/>
      <c r="S244" s="386"/>
      <c r="T244" s="386"/>
      <c r="U244" s="386"/>
      <c r="V244" s="386"/>
      <c r="W244" s="386"/>
      <c r="X244" s="386"/>
      <c r="Y244" s="386"/>
      <c r="Z244" s="386"/>
      <c r="AA244" s="386"/>
      <c r="AB244" s="386"/>
      <c r="AC244" s="386"/>
      <c r="AD244" s="386"/>
      <c r="AE244" s="386"/>
      <c r="AF244" s="386"/>
      <c r="AG244" s="386"/>
      <c r="AH244" s="386"/>
      <c r="AI244" s="386"/>
      <c r="AJ244" s="386"/>
      <c r="AK244" s="386"/>
      <c r="AL244" s="386"/>
      <c r="AM244" s="386"/>
      <c r="AN244" s="386"/>
      <c r="AO244" s="386"/>
      <c r="AP244" s="386"/>
      <c r="AQ244" s="386"/>
      <c r="AR244" s="386"/>
      <c r="AS244" s="386"/>
      <c r="AT244" s="386"/>
      <c r="AU244" s="386"/>
      <c r="AV244" s="386"/>
      <c r="AW244" s="386"/>
      <c r="AX244" s="386"/>
      <c r="AY244" s="386"/>
      <c r="AZ244" s="386"/>
      <c r="BA244" s="386"/>
      <c r="BB244" s="386"/>
      <c r="BC244" s="386"/>
      <c r="BD244" s="386"/>
      <c r="BE244" s="386"/>
      <c r="BF244" s="386"/>
      <c r="BG244" s="386"/>
      <c r="BH244" s="386"/>
      <c r="BI244" s="386"/>
      <c r="BJ244" s="386"/>
      <c r="BK244" s="386"/>
      <c r="BL244" s="386"/>
      <c r="BM244" s="386"/>
      <c r="BN244" s="386"/>
      <c r="BO244" s="386"/>
      <c r="BP244" s="386"/>
      <c r="BQ244" s="386"/>
      <c r="BR244" s="386"/>
      <c r="BS244" s="386"/>
      <c r="BT244" s="386"/>
      <c r="BU244" s="386"/>
      <c r="BV244" s="386"/>
      <c r="BW244" s="386"/>
      <c r="BX244" s="386"/>
      <c r="BY244" s="386"/>
      <c r="BZ244" s="386"/>
      <c r="CA244" s="386"/>
      <c r="CB244" s="386"/>
      <c r="CC244" s="386"/>
      <c r="CD244" s="386"/>
      <c r="CE244" s="386"/>
      <c r="CF244" s="386"/>
      <c r="CG244" s="386"/>
      <c r="CH244" s="386"/>
      <c r="CI244" s="386"/>
      <c r="CJ244" s="386"/>
      <c r="CK244" s="386"/>
      <c r="CL244" s="386"/>
    </row>
    <row r="245" spans="2:90" ht="12.75" customHeight="1" x14ac:dyDescent="0.15">
      <c r="B245" s="57"/>
      <c r="C245" s="57"/>
      <c r="D245" s="58"/>
      <c r="E245" s="59"/>
      <c r="F245" s="63"/>
      <c r="G245" s="63"/>
      <c r="H245" s="63"/>
      <c r="I245" s="63"/>
      <c r="J245" s="65"/>
      <c r="K245" s="392"/>
      <c r="L245" s="65"/>
      <c r="M245" s="65"/>
      <c r="N245" s="65"/>
      <c r="O245" s="386"/>
      <c r="P245" s="386"/>
      <c r="Q245" s="386"/>
      <c r="R245" s="386"/>
      <c r="S245" s="386"/>
      <c r="T245" s="386"/>
      <c r="U245" s="386"/>
      <c r="V245" s="386"/>
      <c r="W245" s="386"/>
      <c r="X245" s="386"/>
      <c r="Y245" s="386"/>
      <c r="Z245" s="386"/>
      <c r="AA245" s="386"/>
      <c r="AB245" s="386"/>
      <c r="AC245" s="386"/>
      <c r="AD245" s="386"/>
      <c r="AE245" s="386"/>
      <c r="AF245" s="386"/>
      <c r="AG245" s="386"/>
      <c r="AH245" s="386"/>
      <c r="AI245" s="386"/>
      <c r="AJ245" s="386"/>
      <c r="AK245" s="386"/>
      <c r="AL245" s="386"/>
      <c r="AM245" s="386"/>
      <c r="AN245" s="386"/>
      <c r="AO245" s="386"/>
      <c r="AP245" s="386"/>
      <c r="AQ245" s="386"/>
      <c r="AR245" s="386"/>
      <c r="AS245" s="386"/>
      <c r="AT245" s="386"/>
      <c r="AU245" s="386"/>
      <c r="AV245" s="386"/>
      <c r="AW245" s="386"/>
      <c r="AX245" s="386"/>
      <c r="AY245" s="386"/>
      <c r="AZ245" s="386"/>
      <c r="BA245" s="386"/>
      <c r="BB245" s="386"/>
      <c r="BC245" s="386"/>
      <c r="BD245" s="386"/>
      <c r="BE245" s="386"/>
      <c r="BF245" s="386"/>
      <c r="BG245" s="386"/>
      <c r="BH245" s="386"/>
      <c r="BI245" s="386"/>
      <c r="BJ245" s="386"/>
      <c r="BK245" s="386"/>
      <c r="BL245" s="386"/>
      <c r="BM245" s="386"/>
      <c r="BN245" s="386"/>
      <c r="BO245" s="386"/>
      <c r="BP245" s="386"/>
      <c r="BQ245" s="386"/>
      <c r="BR245" s="386"/>
      <c r="BS245" s="386"/>
      <c r="BT245" s="386"/>
      <c r="BU245" s="386"/>
      <c r="BV245" s="386"/>
      <c r="BW245" s="386"/>
      <c r="BX245" s="386"/>
      <c r="BY245" s="386"/>
      <c r="BZ245" s="386"/>
      <c r="CA245" s="386"/>
      <c r="CB245" s="386"/>
      <c r="CC245" s="386"/>
      <c r="CD245" s="386"/>
      <c r="CE245" s="386"/>
      <c r="CF245" s="386"/>
      <c r="CG245" s="386"/>
      <c r="CH245" s="386"/>
      <c r="CI245" s="386"/>
      <c r="CJ245" s="386"/>
      <c r="CK245" s="386"/>
      <c r="CL245" s="386"/>
    </row>
    <row r="246" spans="2:90" ht="12.75" customHeight="1" x14ac:dyDescent="0.15">
      <c r="B246" s="57"/>
      <c r="C246" s="57"/>
      <c r="D246" s="58"/>
      <c r="E246" s="59"/>
      <c r="F246" s="63"/>
      <c r="G246" s="63"/>
      <c r="H246" s="63"/>
      <c r="I246" s="63"/>
      <c r="J246" s="65"/>
      <c r="K246" s="392"/>
      <c r="L246" s="65"/>
      <c r="M246" s="65"/>
      <c r="N246" s="65"/>
      <c r="O246" s="386"/>
      <c r="P246" s="386"/>
      <c r="Q246" s="386"/>
      <c r="R246" s="386"/>
      <c r="S246" s="386"/>
      <c r="T246" s="386"/>
      <c r="U246" s="386"/>
      <c r="V246" s="386"/>
      <c r="W246" s="386"/>
      <c r="X246" s="386"/>
      <c r="Y246" s="386"/>
      <c r="Z246" s="386"/>
      <c r="AA246" s="386"/>
      <c r="AB246" s="386"/>
      <c r="AC246" s="386"/>
      <c r="AD246" s="386"/>
      <c r="AE246" s="386"/>
      <c r="AF246" s="386"/>
      <c r="AG246" s="386"/>
      <c r="AH246" s="386"/>
      <c r="AI246" s="386"/>
      <c r="AJ246" s="386"/>
      <c r="AK246" s="386"/>
      <c r="AL246" s="386"/>
      <c r="AM246" s="386"/>
      <c r="AN246" s="386"/>
      <c r="AO246" s="386"/>
      <c r="AP246" s="386"/>
      <c r="AQ246" s="386"/>
      <c r="AR246" s="386"/>
      <c r="AS246" s="386"/>
      <c r="AT246" s="386"/>
      <c r="AU246" s="386"/>
      <c r="AV246" s="386"/>
      <c r="AW246" s="386"/>
      <c r="AX246" s="386"/>
      <c r="AY246" s="386"/>
      <c r="AZ246" s="386"/>
      <c r="BA246" s="386"/>
      <c r="BB246" s="386"/>
      <c r="BC246" s="386"/>
      <c r="BD246" s="386"/>
      <c r="BE246" s="386"/>
      <c r="BF246" s="386"/>
      <c r="BG246" s="386"/>
      <c r="BH246" s="386"/>
      <c r="BI246" s="386"/>
      <c r="BJ246" s="386"/>
      <c r="BK246" s="386"/>
      <c r="BL246" s="386"/>
      <c r="BM246" s="386"/>
      <c r="BN246" s="386"/>
      <c r="BO246" s="386"/>
      <c r="BP246" s="386"/>
      <c r="BQ246" s="386"/>
      <c r="BR246" s="386"/>
      <c r="BS246" s="386"/>
      <c r="BT246" s="386"/>
      <c r="BU246" s="386"/>
      <c r="BV246" s="386"/>
      <c r="BW246" s="386"/>
      <c r="BX246" s="386"/>
      <c r="BY246" s="386"/>
      <c r="BZ246" s="386"/>
      <c r="CA246" s="386"/>
      <c r="CB246" s="386"/>
      <c r="CC246" s="386"/>
      <c r="CD246" s="386"/>
      <c r="CE246" s="386"/>
      <c r="CF246" s="386"/>
      <c r="CG246" s="386"/>
      <c r="CH246" s="386"/>
      <c r="CI246" s="386"/>
      <c r="CJ246" s="386"/>
      <c r="CK246" s="386"/>
      <c r="CL246" s="386"/>
    </row>
    <row r="247" spans="2:90" ht="12.75" customHeight="1" x14ac:dyDescent="0.15">
      <c r="B247" s="57"/>
      <c r="C247" s="57"/>
      <c r="D247" s="58"/>
      <c r="E247" s="59"/>
      <c r="F247" s="63"/>
      <c r="G247" s="63"/>
      <c r="H247" s="63"/>
      <c r="I247" s="63"/>
      <c r="J247" s="65"/>
      <c r="K247" s="392"/>
      <c r="L247" s="65"/>
      <c r="M247" s="65"/>
      <c r="N247" s="65"/>
      <c r="O247" s="386"/>
      <c r="P247" s="386"/>
      <c r="Q247" s="386"/>
      <c r="R247" s="386"/>
      <c r="S247" s="386"/>
      <c r="T247" s="386"/>
      <c r="U247" s="386"/>
      <c r="V247" s="386"/>
      <c r="W247" s="386"/>
      <c r="X247" s="386"/>
      <c r="Y247" s="386"/>
      <c r="Z247" s="386"/>
      <c r="AA247" s="386"/>
      <c r="AB247" s="386"/>
      <c r="AC247" s="386"/>
      <c r="AD247" s="386"/>
      <c r="AE247" s="386"/>
      <c r="AF247" s="386"/>
      <c r="AG247" s="386"/>
      <c r="AH247" s="386"/>
      <c r="AI247" s="386"/>
      <c r="AJ247" s="386"/>
      <c r="AK247" s="386"/>
      <c r="AL247" s="386"/>
      <c r="AM247" s="386"/>
      <c r="AN247" s="386"/>
      <c r="AO247" s="386"/>
      <c r="AP247" s="386"/>
      <c r="AQ247" s="386"/>
      <c r="AR247" s="386"/>
      <c r="AS247" s="386"/>
      <c r="AT247" s="386"/>
      <c r="AU247" s="386"/>
      <c r="AV247" s="386"/>
      <c r="AW247" s="386"/>
      <c r="AX247" s="386"/>
      <c r="AY247" s="386"/>
      <c r="AZ247" s="386"/>
      <c r="BA247" s="386"/>
      <c r="BB247" s="386"/>
      <c r="BC247" s="386"/>
      <c r="BD247" s="386"/>
      <c r="BE247" s="386"/>
      <c r="BF247" s="386"/>
      <c r="BG247" s="386"/>
      <c r="BH247" s="386"/>
      <c r="BI247" s="386"/>
      <c r="BJ247" s="386"/>
      <c r="BK247" s="386"/>
      <c r="BL247" s="386"/>
      <c r="BM247" s="386"/>
      <c r="BN247" s="386"/>
      <c r="BO247" s="386"/>
      <c r="BP247" s="386"/>
      <c r="BQ247" s="386"/>
      <c r="BR247" s="386"/>
      <c r="BS247" s="386"/>
      <c r="BT247" s="386"/>
      <c r="BU247" s="386"/>
      <c r="BV247" s="386"/>
      <c r="BW247" s="386"/>
      <c r="BX247" s="386"/>
      <c r="BY247" s="386"/>
      <c r="BZ247" s="386"/>
      <c r="CA247" s="386"/>
      <c r="CB247" s="386"/>
      <c r="CC247" s="386"/>
      <c r="CD247" s="386"/>
      <c r="CE247" s="386"/>
      <c r="CF247" s="386"/>
      <c r="CG247" s="386"/>
      <c r="CH247" s="386"/>
      <c r="CI247" s="386"/>
      <c r="CJ247" s="386"/>
      <c r="CK247" s="386"/>
      <c r="CL247" s="386"/>
    </row>
    <row r="248" spans="2:90" ht="12.75" customHeight="1" x14ac:dyDescent="0.15">
      <c r="B248" s="57"/>
      <c r="C248" s="57"/>
      <c r="D248" s="58"/>
      <c r="E248" s="59"/>
      <c r="F248" s="63"/>
      <c r="G248" s="63"/>
      <c r="H248" s="63"/>
      <c r="I248" s="63"/>
      <c r="J248" s="65"/>
      <c r="K248" s="392"/>
      <c r="L248" s="65"/>
      <c r="M248" s="65"/>
      <c r="N248" s="65"/>
      <c r="O248" s="386"/>
      <c r="P248" s="386"/>
      <c r="Q248" s="386"/>
      <c r="R248" s="386"/>
      <c r="S248" s="386"/>
      <c r="T248" s="386"/>
      <c r="U248" s="386"/>
      <c r="V248" s="386"/>
      <c r="W248" s="386"/>
      <c r="X248" s="386"/>
      <c r="Y248" s="386"/>
      <c r="Z248" s="386"/>
      <c r="AA248" s="386"/>
      <c r="AB248" s="386"/>
      <c r="AC248" s="386"/>
      <c r="AD248" s="386"/>
      <c r="AE248" s="386"/>
      <c r="AF248" s="386"/>
      <c r="AG248" s="386"/>
      <c r="AH248" s="386"/>
      <c r="AI248" s="386"/>
      <c r="AJ248" s="386"/>
      <c r="AK248" s="386"/>
      <c r="AL248" s="386"/>
      <c r="AM248" s="386"/>
      <c r="AN248" s="386"/>
      <c r="AO248" s="386"/>
      <c r="AP248" s="386"/>
      <c r="AQ248" s="386"/>
      <c r="AR248" s="386"/>
      <c r="AS248" s="386"/>
      <c r="AT248" s="386"/>
      <c r="AU248" s="386"/>
      <c r="AV248" s="386"/>
      <c r="AW248" s="386"/>
      <c r="AX248" s="386"/>
      <c r="AY248" s="386"/>
      <c r="AZ248" s="386"/>
      <c r="BA248" s="386"/>
      <c r="BB248" s="386"/>
      <c r="BC248" s="386"/>
      <c r="BD248" s="386"/>
      <c r="BE248" s="386"/>
      <c r="BF248" s="386"/>
      <c r="BG248" s="386"/>
      <c r="BH248" s="386"/>
      <c r="BI248" s="386"/>
      <c r="BJ248" s="386"/>
      <c r="BK248" s="386"/>
      <c r="BL248" s="386"/>
      <c r="BM248" s="386"/>
      <c r="BN248" s="386"/>
      <c r="BO248" s="386"/>
      <c r="BP248" s="386"/>
      <c r="BQ248" s="386"/>
      <c r="BR248" s="386"/>
      <c r="BS248" s="386"/>
      <c r="BT248" s="386"/>
      <c r="BU248" s="386"/>
      <c r="BV248" s="386"/>
      <c r="BW248" s="386"/>
      <c r="BX248" s="386"/>
      <c r="BY248" s="386"/>
      <c r="BZ248" s="386"/>
      <c r="CA248" s="386"/>
      <c r="CB248" s="386"/>
      <c r="CC248" s="386"/>
      <c r="CD248" s="386"/>
      <c r="CE248" s="386"/>
      <c r="CF248" s="386"/>
      <c r="CG248" s="386"/>
      <c r="CH248" s="386"/>
      <c r="CI248" s="386"/>
      <c r="CJ248" s="386"/>
      <c r="CK248" s="386"/>
      <c r="CL248" s="386"/>
    </row>
    <row r="249" spans="2:90" ht="12.75" customHeight="1" x14ac:dyDescent="0.15">
      <c r="B249" s="57"/>
      <c r="C249" s="57"/>
      <c r="D249" s="58"/>
      <c r="E249" s="59"/>
      <c r="F249" s="63"/>
      <c r="G249" s="63"/>
      <c r="H249" s="63"/>
      <c r="I249" s="63"/>
      <c r="J249" s="65"/>
      <c r="K249" s="392"/>
      <c r="L249" s="65"/>
      <c r="M249" s="65"/>
      <c r="N249" s="65"/>
      <c r="O249" s="386"/>
      <c r="P249" s="386"/>
      <c r="Q249" s="386"/>
      <c r="R249" s="386"/>
      <c r="S249" s="386"/>
      <c r="T249" s="386"/>
      <c r="U249" s="386"/>
      <c r="V249" s="386"/>
      <c r="W249" s="386"/>
      <c r="X249" s="386"/>
      <c r="Y249" s="386"/>
      <c r="Z249" s="386"/>
      <c r="AA249" s="386"/>
      <c r="AB249" s="386"/>
      <c r="AC249" s="386"/>
      <c r="AD249" s="386"/>
      <c r="AE249" s="386"/>
      <c r="AF249" s="386"/>
      <c r="AG249" s="386"/>
      <c r="AH249" s="386"/>
      <c r="AI249" s="386"/>
      <c r="AJ249" s="386"/>
      <c r="AK249" s="386"/>
      <c r="AL249" s="386"/>
      <c r="AM249" s="386"/>
      <c r="AN249" s="386"/>
      <c r="AO249" s="386"/>
      <c r="AP249" s="386"/>
      <c r="AQ249" s="386"/>
      <c r="AR249" s="386"/>
      <c r="AS249" s="386"/>
      <c r="AT249" s="386"/>
      <c r="AU249" s="386"/>
      <c r="AV249" s="386"/>
      <c r="AW249" s="386"/>
      <c r="AX249" s="386"/>
      <c r="AY249" s="386"/>
      <c r="AZ249" s="386"/>
      <c r="BA249" s="386"/>
      <c r="BB249" s="386"/>
      <c r="BC249" s="386"/>
      <c r="BD249" s="386"/>
      <c r="BE249" s="386"/>
      <c r="BF249" s="386"/>
      <c r="BG249" s="386"/>
      <c r="BH249" s="386"/>
      <c r="BI249" s="386"/>
      <c r="BJ249" s="386"/>
      <c r="BK249" s="386"/>
      <c r="BL249" s="386"/>
      <c r="BM249" s="386"/>
      <c r="BN249" s="386"/>
      <c r="BO249" s="386"/>
      <c r="BP249" s="386"/>
      <c r="BQ249" s="386"/>
      <c r="BR249" s="386"/>
      <c r="BS249" s="386"/>
      <c r="BT249" s="386"/>
      <c r="BU249" s="386"/>
      <c r="BV249" s="386"/>
      <c r="BW249" s="386"/>
      <c r="BX249" s="386"/>
      <c r="BY249" s="386"/>
      <c r="BZ249" s="386"/>
      <c r="CA249" s="386"/>
      <c r="CB249" s="386"/>
      <c r="CC249" s="386"/>
      <c r="CD249" s="386"/>
      <c r="CE249" s="386"/>
      <c r="CF249" s="386"/>
      <c r="CG249" s="386"/>
      <c r="CH249" s="386"/>
      <c r="CI249" s="386"/>
      <c r="CJ249" s="386"/>
      <c r="CK249" s="386"/>
      <c r="CL249" s="386"/>
    </row>
    <row r="250" spans="2:90" ht="12.75" customHeight="1" x14ac:dyDescent="0.15">
      <c r="B250" s="57"/>
      <c r="C250" s="57"/>
      <c r="D250" s="58"/>
      <c r="E250" s="59"/>
      <c r="F250" s="63"/>
      <c r="G250" s="63"/>
      <c r="H250" s="63"/>
      <c r="I250" s="63"/>
      <c r="J250" s="65"/>
      <c r="K250" s="392"/>
      <c r="L250" s="65"/>
      <c r="M250" s="65"/>
      <c r="N250" s="65"/>
      <c r="O250" s="386"/>
      <c r="P250" s="386"/>
      <c r="Q250" s="386"/>
      <c r="R250" s="386"/>
      <c r="S250" s="386"/>
      <c r="T250" s="386"/>
      <c r="U250" s="386"/>
      <c r="V250" s="386"/>
      <c r="W250" s="386"/>
      <c r="X250" s="386"/>
      <c r="Y250" s="386"/>
      <c r="Z250" s="386"/>
      <c r="AA250" s="386"/>
      <c r="AB250" s="386"/>
      <c r="AC250" s="386"/>
      <c r="AD250" s="386"/>
      <c r="AE250" s="386"/>
      <c r="AF250" s="386"/>
      <c r="AG250" s="386"/>
      <c r="AH250" s="386"/>
      <c r="AI250" s="386"/>
      <c r="AJ250" s="386"/>
      <c r="AK250" s="386"/>
      <c r="AL250" s="386"/>
      <c r="AM250" s="386"/>
      <c r="AN250" s="386"/>
      <c r="AO250" s="386"/>
      <c r="AP250" s="386"/>
      <c r="AQ250" s="386"/>
      <c r="AR250" s="386"/>
      <c r="AS250" s="386"/>
      <c r="AT250" s="386"/>
      <c r="AU250" s="386"/>
      <c r="AV250" s="386"/>
      <c r="AW250" s="386"/>
      <c r="AX250" s="386"/>
      <c r="AY250" s="386"/>
      <c r="AZ250" s="386"/>
      <c r="BA250" s="386"/>
      <c r="BB250" s="386"/>
      <c r="BC250" s="386"/>
      <c r="BD250" s="386"/>
      <c r="BE250" s="386"/>
      <c r="BF250" s="386"/>
      <c r="BG250" s="386"/>
      <c r="BH250" s="386"/>
      <c r="BI250" s="386"/>
      <c r="BJ250" s="386"/>
      <c r="BK250" s="386"/>
      <c r="BL250" s="386"/>
      <c r="BM250" s="386"/>
      <c r="BN250" s="386"/>
      <c r="BO250" s="386"/>
      <c r="BP250" s="386"/>
      <c r="BQ250" s="386"/>
      <c r="BR250" s="386"/>
      <c r="BS250" s="386"/>
      <c r="BT250" s="386"/>
      <c r="BU250" s="386"/>
      <c r="BV250" s="386"/>
      <c r="BW250" s="386"/>
      <c r="BX250" s="386"/>
      <c r="BY250" s="386"/>
      <c r="BZ250" s="386"/>
      <c r="CA250" s="386"/>
      <c r="CB250" s="386"/>
      <c r="CC250" s="386"/>
      <c r="CD250" s="386"/>
      <c r="CE250" s="386"/>
      <c r="CF250" s="386"/>
      <c r="CG250" s="386"/>
      <c r="CH250" s="386"/>
      <c r="CI250" s="386"/>
      <c r="CJ250" s="386"/>
      <c r="CK250" s="386"/>
      <c r="CL250" s="386"/>
    </row>
    <row r="251" spans="2:90" ht="12.75" customHeight="1" x14ac:dyDescent="0.15">
      <c r="B251" s="57"/>
      <c r="C251" s="57"/>
      <c r="D251" s="58"/>
      <c r="E251" s="59"/>
      <c r="F251" s="63"/>
      <c r="G251" s="63"/>
      <c r="H251" s="63"/>
      <c r="I251" s="63"/>
      <c r="J251" s="65"/>
      <c r="K251" s="392"/>
      <c r="L251" s="65"/>
      <c r="M251" s="65"/>
      <c r="N251" s="65"/>
      <c r="O251" s="386"/>
      <c r="P251" s="386"/>
      <c r="Q251" s="386"/>
      <c r="R251" s="386"/>
      <c r="S251" s="386"/>
      <c r="T251" s="386"/>
      <c r="U251" s="386"/>
      <c r="V251" s="386"/>
      <c r="W251" s="386"/>
      <c r="X251" s="386"/>
      <c r="Y251" s="386"/>
      <c r="Z251" s="386"/>
      <c r="AA251" s="386"/>
      <c r="AB251" s="386"/>
      <c r="AC251" s="386"/>
      <c r="AD251" s="386"/>
      <c r="AE251" s="386"/>
      <c r="AF251" s="386"/>
      <c r="AG251" s="386"/>
      <c r="AH251" s="386"/>
      <c r="AI251" s="386"/>
      <c r="AJ251" s="386"/>
      <c r="AK251" s="386"/>
      <c r="AL251" s="386"/>
      <c r="AM251" s="386"/>
      <c r="AN251" s="386"/>
      <c r="AO251" s="386"/>
      <c r="AP251" s="386"/>
      <c r="AQ251" s="386"/>
      <c r="AR251" s="386"/>
      <c r="AS251" s="386"/>
      <c r="AT251" s="386"/>
      <c r="AU251" s="386"/>
      <c r="AV251" s="386"/>
      <c r="AW251" s="386"/>
      <c r="AX251" s="386"/>
      <c r="AY251" s="386"/>
      <c r="AZ251" s="386"/>
      <c r="BA251" s="386"/>
      <c r="BB251" s="386"/>
      <c r="BC251" s="386"/>
      <c r="BD251" s="386"/>
      <c r="BE251" s="386"/>
      <c r="BF251" s="386"/>
      <c r="BG251" s="386"/>
      <c r="BH251" s="386"/>
      <c r="BI251" s="386"/>
      <c r="BJ251" s="386"/>
      <c r="BK251" s="386"/>
      <c r="BL251" s="386"/>
      <c r="BM251" s="386"/>
      <c r="BN251" s="386"/>
      <c r="BO251" s="386"/>
      <c r="BP251" s="386"/>
      <c r="BQ251" s="386"/>
      <c r="BR251" s="386"/>
      <c r="BS251" s="386"/>
      <c r="BT251" s="386"/>
      <c r="BU251" s="386"/>
      <c r="BV251" s="386"/>
      <c r="BW251" s="386"/>
      <c r="BX251" s="386"/>
      <c r="BY251" s="386"/>
      <c r="BZ251" s="386"/>
      <c r="CA251" s="386"/>
      <c r="CB251" s="386"/>
      <c r="CC251" s="386"/>
      <c r="CD251" s="386"/>
      <c r="CE251" s="386"/>
      <c r="CF251" s="386"/>
      <c r="CG251" s="386"/>
      <c r="CH251" s="386"/>
      <c r="CI251" s="386"/>
      <c r="CJ251" s="386"/>
      <c r="CK251" s="386"/>
      <c r="CL251" s="386"/>
    </row>
    <row r="252" spans="2:90" ht="12.75" customHeight="1" x14ac:dyDescent="0.15">
      <c r="B252" s="57"/>
      <c r="C252" s="57"/>
      <c r="D252" s="58"/>
      <c r="E252" s="59"/>
      <c r="F252" s="63"/>
      <c r="G252" s="63"/>
      <c r="H252" s="63"/>
      <c r="I252" s="63"/>
      <c r="J252" s="65"/>
      <c r="K252" s="392"/>
      <c r="L252" s="65"/>
      <c r="M252" s="65"/>
      <c r="N252" s="65"/>
      <c r="O252" s="386"/>
      <c r="P252" s="386"/>
      <c r="Q252" s="386"/>
      <c r="R252" s="386"/>
      <c r="S252" s="386"/>
      <c r="T252" s="386"/>
      <c r="U252" s="386"/>
      <c r="V252" s="386"/>
      <c r="W252" s="386"/>
      <c r="X252" s="386"/>
      <c r="Y252" s="386"/>
      <c r="Z252" s="386"/>
      <c r="AA252" s="386"/>
      <c r="AB252" s="386"/>
      <c r="AC252" s="386"/>
      <c r="AD252" s="386"/>
      <c r="AE252" s="386"/>
      <c r="AF252" s="386"/>
      <c r="AG252" s="386"/>
      <c r="AH252" s="386"/>
      <c r="AI252" s="386"/>
      <c r="AJ252" s="386"/>
      <c r="AK252" s="386"/>
      <c r="AL252" s="386"/>
      <c r="AM252" s="386"/>
      <c r="AN252" s="386"/>
      <c r="AO252" s="386"/>
      <c r="AP252" s="386"/>
      <c r="AQ252" s="386"/>
      <c r="AR252" s="386"/>
      <c r="AS252" s="386"/>
      <c r="AT252" s="386"/>
      <c r="AU252" s="386"/>
      <c r="AV252" s="386"/>
      <c r="AW252" s="386"/>
      <c r="AX252" s="386"/>
      <c r="AY252" s="386"/>
      <c r="AZ252" s="386"/>
      <c r="BA252" s="386"/>
      <c r="BB252" s="386"/>
      <c r="BC252" s="386"/>
      <c r="BD252" s="386"/>
      <c r="BE252" s="386"/>
      <c r="BF252" s="386"/>
      <c r="BG252" s="386"/>
      <c r="BH252" s="386"/>
      <c r="BI252" s="386"/>
      <c r="BJ252" s="386"/>
      <c r="BK252" s="386"/>
      <c r="BL252" s="386"/>
      <c r="BM252" s="386"/>
      <c r="BN252" s="386"/>
      <c r="BO252" s="386"/>
      <c r="BP252" s="386"/>
      <c r="BQ252" s="386"/>
      <c r="BR252" s="386"/>
      <c r="BS252" s="386"/>
      <c r="BT252" s="386"/>
      <c r="BU252" s="386"/>
      <c r="BV252" s="386"/>
      <c r="BW252" s="386"/>
      <c r="BX252" s="386"/>
      <c r="BY252" s="386"/>
      <c r="BZ252" s="386"/>
      <c r="CA252" s="386"/>
      <c r="CB252" s="386"/>
      <c r="CC252" s="386"/>
      <c r="CD252" s="386"/>
      <c r="CE252" s="386"/>
      <c r="CF252" s="386"/>
      <c r="CG252" s="386"/>
      <c r="CH252" s="386"/>
      <c r="CI252" s="386"/>
      <c r="CJ252" s="386"/>
      <c r="CK252" s="386"/>
      <c r="CL252" s="386"/>
    </row>
    <row r="253" spans="2:90" ht="12.75" customHeight="1" x14ac:dyDescent="0.15">
      <c r="B253" s="57"/>
      <c r="C253" s="57"/>
      <c r="D253" s="58"/>
      <c r="E253" s="59"/>
      <c r="F253" s="63"/>
      <c r="G253" s="63"/>
      <c r="H253" s="63"/>
      <c r="I253" s="63"/>
      <c r="J253" s="65"/>
      <c r="K253" s="392"/>
      <c r="L253" s="65"/>
      <c r="M253" s="65"/>
      <c r="N253" s="65"/>
      <c r="O253" s="386"/>
      <c r="P253" s="386"/>
      <c r="Q253" s="386"/>
      <c r="R253" s="386"/>
      <c r="S253" s="386"/>
      <c r="T253" s="386"/>
      <c r="U253" s="386"/>
      <c r="V253" s="386"/>
      <c r="W253" s="386"/>
      <c r="X253" s="386"/>
      <c r="Y253" s="386"/>
      <c r="Z253" s="386"/>
      <c r="AA253" s="386"/>
      <c r="AB253" s="386"/>
      <c r="AC253" s="386"/>
      <c r="AD253" s="386"/>
      <c r="AE253" s="386"/>
      <c r="AF253" s="386"/>
      <c r="AG253" s="386"/>
      <c r="AH253" s="386"/>
      <c r="AI253" s="386"/>
      <c r="AJ253" s="386"/>
      <c r="AK253" s="386"/>
      <c r="AL253" s="386"/>
      <c r="AM253" s="386"/>
      <c r="AN253" s="386"/>
      <c r="AO253" s="386"/>
      <c r="AP253" s="386"/>
      <c r="AQ253" s="386"/>
      <c r="AR253" s="386"/>
      <c r="AS253" s="386"/>
      <c r="AT253" s="386"/>
      <c r="AU253" s="386"/>
      <c r="AV253" s="386"/>
      <c r="AW253" s="386"/>
      <c r="AX253" s="386"/>
      <c r="AY253" s="386"/>
      <c r="AZ253" s="386"/>
      <c r="BA253" s="386"/>
      <c r="BB253" s="386"/>
      <c r="BC253" s="386"/>
      <c r="BD253" s="386"/>
      <c r="BE253" s="386"/>
      <c r="BF253" s="386"/>
      <c r="BG253" s="386"/>
      <c r="BH253" s="386"/>
      <c r="BI253" s="386"/>
      <c r="BJ253" s="386"/>
      <c r="BK253" s="386"/>
      <c r="BL253" s="386"/>
      <c r="BM253" s="386"/>
      <c r="BN253" s="386"/>
      <c r="BO253" s="386"/>
      <c r="BP253" s="386"/>
      <c r="BQ253" s="386"/>
      <c r="BR253" s="386"/>
      <c r="BS253" s="386"/>
      <c r="BT253" s="386"/>
      <c r="BU253" s="386"/>
      <c r="BV253" s="386"/>
      <c r="BW253" s="386"/>
      <c r="BX253" s="386"/>
      <c r="BY253" s="386"/>
      <c r="BZ253" s="386"/>
      <c r="CA253" s="386"/>
      <c r="CB253" s="386"/>
      <c r="CC253" s="386"/>
      <c r="CD253" s="386"/>
      <c r="CE253" s="386"/>
      <c r="CF253" s="386"/>
      <c r="CG253" s="386"/>
      <c r="CH253" s="386"/>
      <c r="CI253" s="386"/>
      <c r="CJ253" s="386"/>
      <c r="CK253" s="386"/>
      <c r="CL253" s="386"/>
    </row>
    <row r="254" spans="2:90" ht="12.75" customHeight="1" x14ac:dyDescent="0.15">
      <c r="B254" s="57"/>
      <c r="C254" s="57"/>
      <c r="D254" s="58"/>
      <c r="E254" s="59"/>
      <c r="F254" s="63"/>
      <c r="G254" s="63"/>
      <c r="H254" s="63"/>
      <c r="I254" s="63"/>
      <c r="J254" s="65"/>
      <c r="K254" s="392"/>
      <c r="L254" s="65"/>
      <c r="M254" s="65"/>
      <c r="N254" s="65"/>
      <c r="O254" s="386"/>
      <c r="P254" s="386"/>
      <c r="Q254" s="386"/>
      <c r="R254" s="386"/>
      <c r="S254" s="386"/>
      <c r="T254" s="386"/>
      <c r="U254" s="386"/>
      <c r="V254" s="386"/>
      <c r="W254" s="386"/>
      <c r="X254" s="386"/>
      <c r="Y254" s="386"/>
      <c r="Z254" s="386"/>
      <c r="AA254" s="386"/>
      <c r="AB254" s="386"/>
      <c r="AC254" s="386"/>
      <c r="AD254" s="386"/>
      <c r="AE254" s="386"/>
      <c r="AF254" s="386"/>
      <c r="AG254" s="386"/>
      <c r="AH254" s="386"/>
      <c r="AI254" s="386"/>
      <c r="AJ254" s="386"/>
      <c r="AK254" s="386"/>
      <c r="AL254" s="386"/>
      <c r="AM254" s="386"/>
      <c r="AN254" s="386"/>
      <c r="AO254" s="386"/>
      <c r="AP254" s="386"/>
      <c r="AQ254" s="386"/>
      <c r="AR254" s="386"/>
      <c r="AS254" s="386"/>
      <c r="AT254" s="386"/>
      <c r="AU254" s="386"/>
      <c r="AV254" s="386"/>
      <c r="AW254" s="386"/>
      <c r="AX254" s="386"/>
      <c r="AY254" s="386"/>
      <c r="AZ254" s="386"/>
      <c r="BA254" s="386"/>
      <c r="BB254" s="386"/>
      <c r="BC254" s="386"/>
      <c r="BD254" s="386"/>
      <c r="BE254" s="386"/>
      <c r="BF254" s="386"/>
      <c r="BG254" s="386"/>
      <c r="BH254" s="386"/>
      <c r="BI254" s="386"/>
      <c r="BJ254" s="386"/>
      <c r="BK254" s="386"/>
      <c r="BL254" s="386"/>
      <c r="BM254" s="386"/>
      <c r="BN254" s="386"/>
      <c r="BO254" s="386"/>
      <c r="BP254" s="386"/>
      <c r="BQ254" s="386"/>
      <c r="BR254" s="386"/>
      <c r="BS254" s="386"/>
      <c r="BT254" s="386"/>
      <c r="BU254" s="386"/>
      <c r="BV254" s="386"/>
      <c r="BW254" s="386"/>
      <c r="BX254" s="386"/>
      <c r="BY254" s="386"/>
      <c r="BZ254" s="386"/>
      <c r="CA254" s="386"/>
      <c r="CB254" s="386"/>
      <c r="CC254" s="386"/>
      <c r="CD254" s="386"/>
      <c r="CE254" s="386"/>
      <c r="CF254" s="386"/>
      <c r="CG254" s="386"/>
      <c r="CH254" s="386"/>
      <c r="CI254" s="386"/>
      <c r="CJ254" s="386"/>
      <c r="CK254" s="386"/>
      <c r="CL254" s="386"/>
    </row>
    <row r="255" spans="2:90" ht="12.75" customHeight="1" x14ac:dyDescent="0.15">
      <c r="B255" s="57"/>
      <c r="C255" s="57"/>
      <c r="D255" s="58"/>
      <c r="E255" s="59"/>
      <c r="F255" s="63"/>
      <c r="G255" s="63"/>
      <c r="H255" s="63"/>
      <c r="I255" s="63"/>
      <c r="J255" s="65"/>
      <c r="K255" s="392"/>
      <c r="L255" s="65"/>
      <c r="M255" s="65"/>
      <c r="N255" s="65"/>
      <c r="O255" s="386"/>
      <c r="P255" s="386"/>
      <c r="Q255" s="386"/>
      <c r="R255" s="386"/>
      <c r="S255" s="386"/>
      <c r="T255" s="386"/>
      <c r="U255" s="386"/>
      <c r="V255" s="386"/>
      <c r="W255" s="386"/>
      <c r="X255" s="386"/>
      <c r="Y255" s="386"/>
      <c r="Z255" s="386"/>
      <c r="AA255" s="386"/>
      <c r="AB255" s="386"/>
      <c r="AC255" s="386"/>
      <c r="AD255" s="386"/>
      <c r="AE255" s="386"/>
      <c r="AF255" s="386"/>
      <c r="AG255" s="386"/>
      <c r="AH255" s="386"/>
      <c r="AI255" s="386"/>
      <c r="AJ255" s="386"/>
      <c r="AK255" s="386"/>
      <c r="AL255" s="386"/>
      <c r="AM255" s="386"/>
      <c r="AN255" s="386"/>
      <c r="AO255" s="386"/>
      <c r="AP255" s="386"/>
      <c r="AQ255" s="386"/>
      <c r="AR255" s="386"/>
      <c r="AS255" s="386"/>
      <c r="AT255" s="386"/>
      <c r="AU255" s="386"/>
      <c r="AV255" s="386"/>
      <c r="AW255" s="386"/>
      <c r="AX255" s="386"/>
      <c r="AY255" s="386"/>
      <c r="AZ255" s="386"/>
      <c r="BA255" s="386"/>
      <c r="BB255" s="386"/>
      <c r="BC255" s="386"/>
      <c r="BD255" s="386"/>
      <c r="BE255" s="386"/>
      <c r="BF255" s="386"/>
      <c r="BG255" s="386"/>
      <c r="BH255" s="386"/>
      <c r="BI255" s="386"/>
      <c r="BJ255" s="386"/>
      <c r="BK255" s="386"/>
      <c r="BL255" s="386"/>
      <c r="BM255" s="386"/>
      <c r="BN255" s="386"/>
      <c r="BO255" s="386"/>
      <c r="BP255" s="386"/>
      <c r="BQ255" s="386"/>
      <c r="BR255" s="386"/>
      <c r="BS255" s="386"/>
      <c r="BT255" s="386"/>
      <c r="BU255" s="386"/>
      <c r="BV255" s="386"/>
      <c r="BW255" s="386"/>
      <c r="BX255" s="386"/>
      <c r="BY255" s="386"/>
      <c r="BZ255" s="386"/>
      <c r="CA255" s="386"/>
      <c r="CB255" s="386"/>
      <c r="CC255" s="386"/>
      <c r="CD255" s="386"/>
      <c r="CE255" s="386"/>
      <c r="CF255" s="386"/>
      <c r="CG255" s="386"/>
      <c r="CH255" s="386"/>
      <c r="CI255" s="386"/>
      <c r="CJ255" s="386"/>
      <c r="CK255" s="386"/>
      <c r="CL255" s="386"/>
    </row>
    <row r="256" spans="2:90" ht="12.75" customHeight="1" x14ac:dyDescent="0.15">
      <c r="B256" s="57"/>
      <c r="C256" s="57"/>
      <c r="D256" s="58"/>
      <c r="E256" s="59"/>
      <c r="F256" s="63"/>
      <c r="G256" s="63"/>
      <c r="H256" s="63"/>
      <c r="I256" s="63"/>
      <c r="J256" s="65"/>
      <c r="K256" s="392"/>
      <c r="L256" s="65"/>
      <c r="M256" s="65"/>
      <c r="N256" s="65"/>
      <c r="O256" s="386"/>
      <c r="P256" s="386"/>
      <c r="Q256" s="386"/>
      <c r="R256" s="386"/>
      <c r="S256" s="386"/>
      <c r="T256" s="386"/>
      <c r="U256" s="386"/>
      <c r="V256" s="386"/>
      <c r="W256" s="386"/>
      <c r="X256" s="386"/>
      <c r="Y256" s="386"/>
      <c r="Z256" s="386"/>
      <c r="AA256" s="386"/>
      <c r="AB256" s="386"/>
      <c r="AC256" s="386"/>
      <c r="AD256" s="386"/>
      <c r="AE256" s="386"/>
      <c r="AF256" s="386"/>
      <c r="AG256" s="386"/>
      <c r="AH256" s="386"/>
      <c r="AI256" s="386"/>
      <c r="AJ256" s="386"/>
      <c r="AK256" s="386"/>
      <c r="AL256" s="386"/>
      <c r="AM256" s="386"/>
      <c r="AN256" s="386"/>
      <c r="AO256" s="386"/>
      <c r="AP256" s="386"/>
      <c r="AQ256" s="386"/>
      <c r="AR256" s="386"/>
      <c r="AS256" s="386"/>
      <c r="AT256" s="386"/>
      <c r="AU256" s="386"/>
      <c r="AV256" s="386"/>
      <c r="AW256" s="386"/>
      <c r="AX256" s="386"/>
      <c r="AY256" s="386"/>
      <c r="AZ256" s="386"/>
      <c r="BA256" s="386"/>
      <c r="BB256" s="386"/>
      <c r="BC256" s="386"/>
      <c r="BD256" s="386"/>
      <c r="BE256" s="386"/>
      <c r="BF256" s="386"/>
      <c r="BG256" s="386"/>
      <c r="BH256" s="386"/>
      <c r="BI256" s="386"/>
      <c r="BJ256" s="386"/>
      <c r="BK256" s="386"/>
      <c r="BL256" s="386"/>
      <c r="BM256" s="386"/>
      <c r="BN256" s="386"/>
      <c r="BO256" s="386"/>
      <c r="BP256" s="386"/>
      <c r="BQ256" s="386"/>
      <c r="BR256" s="386"/>
      <c r="BS256" s="386"/>
      <c r="BT256" s="386"/>
      <c r="BU256" s="386"/>
      <c r="BV256" s="386"/>
      <c r="BW256" s="386"/>
      <c r="BX256" s="386"/>
      <c r="BY256" s="386"/>
      <c r="BZ256" s="386"/>
      <c r="CA256" s="386"/>
      <c r="CB256" s="386"/>
      <c r="CC256" s="386"/>
      <c r="CD256" s="386"/>
      <c r="CE256" s="386"/>
      <c r="CF256" s="386"/>
      <c r="CG256" s="386"/>
      <c r="CH256" s="386"/>
      <c r="CI256" s="386"/>
      <c r="CJ256" s="386"/>
      <c r="CK256" s="386"/>
      <c r="CL256" s="386"/>
    </row>
    <row r="257" spans="2:90" ht="12.75" customHeight="1" x14ac:dyDescent="0.15">
      <c r="B257" s="57"/>
      <c r="C257" s="57"/>
      <c r="D257" s="58"/>
      <c r="E257" s="59"/>
      <c r="F257" s="63"/>
      <c r="G257" s="63"/>
      <c r="H257" s="63"/>
      <c r="I257" s="63"/>
      <c r="J257" s="65"/>
      <c r="K257" s="392"/>
      <c r="L257" s="65"/>
      <c r="M257" s="65"/>
      <c r="N257" s="65"/>
      <c r="O257" s="386"/>
      <c r="P257" s="386"/>
      <c r="Q257" s="386"/>
      <c r="R257" s="386"/>
      <c r="S257" s="386"/>
      <c r="T257" s="386"/>
      <c r="U257" s="386"/>
      <c r="V257" s="386"/>
      <c r="W257" s="386"/>
      <c r="X257" s="386"/>
      <c r="Y257" s="386"/>
      <c r="Z257" s="386"/>
      <c r="AA257" s="386"/>
      <c r="AB257" s="386"/>
      <c r="AC257" s="386"/>
      <c r="AD257" s="386"/>
      <c r="AE257" s="386"/>
      <c r="AF257" s="386"/>
      <c r="AG257" s="386"/>
      <c r="AH257" s="386"/>
      <c r="AI257" s="386"/>
      <c r="AJ257" s="386"/>
      <c r="AK257" s="386"/>
      <c r="AL257" s="386"/>
      <c r="AM257" s="386"/>
      <c r="AN257" s="386"/>
      <c r="AO257" s="386"/>
      <c r="AP257" s="386"/>
      <c r="AQ257" s="386"/>
      <c r="AR257" s="386"/>
      <c r="AS257" s="386"/>
      <c r="AT257" s="386"/>
      <c r="AU257" s="386"/>
      <c r="AV257" s="386"/>
      <c r="AW257" s="386"/>
      <c r="AX257" s="386"/>
      <c r="AY257" s="386"/>
      <c r="AZ257" s="386"/>
      <c r="BA257" s="386"/>
      <c r="BB257" s="386"/>
      <c r="BC257" s="386"/>
      <c r="BD257" s="386"/>
      <c r="BE257" s="386"/>
      <c r="BF257" s="386"/>
      <c r="BG257" s="386"/>
      <c r="BH257" s="386"/>
      <c r="BI257" s="386"/>
      <c r="BJ257" s="386"/>
      <c r="BK257" s="386"/>
      <c r="BL257" s="386"/>
      <c r="BM257" s="386"/>
      <c r="BN257" s="386"/>
      <c r="BO257" s="386"/>
      <c r="BP257" s="386"/>
      <c r="BQ257" s="386"/>
      <c r="BR257" s="386"/>
      <c r="BS257" s="386"/>
      <c r="BT257" s="386"/>
      <c r="BU257" s="386"/>
      <c r="BV257" s="386"/>
      <c r="BW257" s="386"/>
      <c r="BX257" s="386"/>
      <c r="BY257" s="386"/>
      <c r="BZ257" s="386"/>
      <c r="CA257" s="386"/>
      <c r="CB257" s="386"/>
      <c r="CC257" s="386"/>
      <c r="CD257" s="386"/>
      <c r="CE257" s="386"/>
      <c r="CF257" s="386"/>
      <c r="CG257" s="386"/>
      <c r="CH257" s="386"/>
      <c r="CI257" s="386"/>
      <c r="CJ257" s="386"/>
      <c r="CK257" s="386"/>
      <c r="CL257" s="386"/>
    </row>
    <row r="258" spans="2:90" ht="12.75" customHeight="1" x14ac:dyDescent="0.15">
      <c r="B258" s="57"/>
      <c r="C258" s="57"/>
      <c r="D258" s="58"/>
      <c r="E258" s="59"/>
      <c r="F258" s="63"/>
      <c r="G258" s="63"/>
      <c r="H258" s="63"/>
      <c r="I258" s="63"/>
      <c r="J258" s="65"/>
      <c r="K258" s="392"/>
      <c r="L258" s="65"/>
      <c r="M258" s="65"/>
      <c r="N258" s="65"/>
      <c r="O258" s="386"/>
      <c r="P258" s="386"/>
      <c r="Q258" s="386"/>
      <c r="R258" s="386"/>
      <c r="S258" s="386"/>
      <c r="T258" s="386"/>
      <c r="U258" s="386"/>
      <c r="V258" s="386"/>
      <c r="W258" s="386"/>
      <c r="X258" s="386"/>
      <c r="Y258" s="386"/>
      <c r="Z258" s="386"/>
      <c r="AA258" s="386"/>
      <c r="AB258" s="386"/>
      <c r="AC258" s="386"/>
      <c r="AD258" s="386"/>
      <c r="AE258" s="386"/>
      <c r="AF258" s="386"/>
      <c r="AG258" s="386"/>
      <c r="AH258" s="386"/>
      <c r="AI258" s="386"/>
      <c r="AJ258" s="386"/>
      <c r="AK258" s="386"/>
      <c r="AL258" s="386"/>
      <c r="AM258" s="386"/>
      <c r="AN258" s="386"/>
      <c r="AO258" s="386"/>
      <c r="AP258" s="386"/>
      <c r="AQ258" s="386"/>
      <c r="AR258" s="386"/>
      <c r="AS258" s="386"/>
      <c r="AT258" s="386"/>
      <c r="AU258" s="386"/>
      <c r="AV258" s="386"/>
      <c r="AW258" s="386"/>
      <c r="AX258" s="386"/>
      <c r="AY258" s="386"/>
      <c r="AZ258" s="386"/>
      <c r="BA258" s="386"/>
      <c r="BB258" s="386"/>
      <c r="BC258" s="386"/>
      <c r="BD258" s="386"/>
      <c r="BE258" s="386"/>
      <c r="BF258" s="386"/>
      <c r="BG258" s="386"/>
      <c r="BH258" s="386"/>
      <c r="BI258" s="386"/>
      <c r="BJ258" s="386"/>
      <c r="BK258" s="386"/>
      <c r="BL258" s="386"/>
      <c r="BM258" s="386"/>
      <c r="BN258" s="386"/>
      <c r="BO258" s="386"/>
      <c r="BP258" s="386"/>
      <c r="BQ258" s="386"/>
      <c r="BR258" s="386"/>
      <c r="BS258" s="386"/>
      <c r="BT258" s="386"/>
      <c r="BU258" s="386"/>
      <c r="BV258" s="386"/>
      <c r="BW258" s="386"/>
      <c r="BX258" s="386"/>
      <c r="BY258" s="386"/>
      <c r="BZ258" s="386"/>
      <c r="CA258" s="386"/>
      <c r="CB258" s="386"/>
      <c r="CC258" s="386"/>
      <c r="CD258" s="386"/>
      <c r="CE258" s="386"/>
      <c r="CF258" s="386"/>
      <c r="CG258" s="386"/>
      <c r="CH258" s="386"/>
      <c r="CI258" s="386"/>
      <c r="CJ258" s="386"/>
      <c r="CK258" s="386"/>
      <c r="CL258" s="386"/>
    </row>
    <row r="259" spans="2:90" ht="12.75" customHeight="1" x14ac:dyDescent="0.15">
      <c r="B259" s="57"/>
      <c r="C259" s="57"/>
      <c r="D259" s="58"/>
      <c r="E259" s="59"/>
      <c r="F259" s="63"/>
      <c r="G259" s="63"/>
      <c r="H259" s="63"/>
      <c r="I259" s="63"/>
      <c r="J259" s="65"/>
      <c r="K259" s="392"/>
      <c r="L259" s="65"/>
      <c r="M259" s="65"/>
      <c r="N259" s="65"/>
      <c r="O259" s="386"/>
      <c r="P259" s="386"/>
      <c r="Q259" s="386"/>
      <c r="R259" s="386"/>
      <c r="S259" s="386"/>
      <c r="T259" s="386"/>
      <c r="U259" s="386"/>
      <c r="V259" s="386"/>
      <c r="W259" s="386"/>
      <c r="X259" s="386"/>
      <c r="Y259" s="386"/>
      <c r="Z259" s="386"/>
      <c r="AA259" s="386"/>
      <c r="AB259" s="386"/>
      <c r="AC259" s="386"/>
      <c r="AD259" s="386"/>
      <c r="AE259" s="386"/>
      <c r="AF259" s="386"/>
      <c r="AG259" s="386"/>
      <c r="AH259" s="386"/>
      <c r="AI259" s="386"/>
      <c r="AJ259" s="386"/>
      <c r="AK259" s="386"/>
      <c r="AL259" s="386"/>
      <c r="AM259" s="386"/>
      <c r="AN259" s="386"/>
      <c r="AO259" s="386"/>
      <c r="AP259" s="386"/>
      <c r="AQ259" s="386"/>
      <c r="AR259" s="386"/>
      <c r="AS259" s="386"/>
      <c r="AT259" s="386"/>
      <c r="AU259" s="386"/>
      <c r="AV259" s="386"/>
      <c r="AW259" s="386"/>
      <c r="AX259" s="386"/>
      <c r="AY259" s="386"/>
      <c r="AZ259" s="386"/>
      <c r="BA259" s="386"/>
      <c r="BB259" s="386"/>
      <c r="BC259" s="386"/>
      <c r="BD259" s="386"/>
      <c r="BE259" s="386"/>
      <c r="BF259" s="386"/>
      <c r="BG259" s="386"/>
      <c r="BH259" s="386"/>
      <c r="BI259" s="386"/>
      <c r="BJ259" s="386"/>
      <c r="BK259" s="386"/>
      <c r="BL259" s="386"/>
      <c r="BM259" s="386"/>
      <c r="BN259" s="386"/>
      <c r="BO259" s="386"/>
      <c r="BP259" s="386"/>
      <c r="BQ259" s="386"/>
      <c r="BR259" s="386"/>
      <c r="BS259" s="386"/>
      <c r="BT259" s="386"/>
      <c r="BU259" s="386"/>
      <c r="BV259" s="386"/>
      <c r="BW259" s="386"/>
      <c r="BX259" s="386"/>
      <c r="BY259" s="386"/>
      <c r="BZ259" s="386"/>
      <c r="CA259" s="386"/>
      <c r="CB259" s="386"/>
      <c r="CC259" s="386"/>
      <c r="CD259" s="386"/>
      <c r="CE259" s="386"/>
      <c r="CF259" s="386"/>
      <c r="CG259" s="386"/>
      <c r="CH259" s="386"/>
      <c r="CI259" s="386"/>
      <c r="CJ259" s="386"/>
      <c r="CK259" s="386"/>
      <c r="CL259" s="386"/>
    </row>
    <row r="260" spans="2:90" ht="12.75" customHeight="1" x14ac:dyDescent="0.15">
      <c r="B260" s="57"/>
      <c r="C260" s="57"/>
      <c r="D260" s="58"/>
      <c r="E260" s="59"/>
      <c r="F260" s="63"/>
      <c r="G260" s="63"/>
      <c r="H260" s="63"/>
      <c r="I260" s="63"/>
      <c r="J260" s="65"/>
      <c r="K260" s="392"/>
      <c r="L260" s="65"/>
      <c r="M260" s="65"/>
      <c r="N260" s="65"/>
      <c r="O260" s="386"/>
      <c r="P260" s="386"/>
      <c r="Q260" s="386"/>
      <c r="R260" s="386"/>
      <c r="S260" s="386"/>
      <c r="T260" s="386"/>
      <c r="U260" s="386"/>
      <c r="V260" s="386"/>
      <c r="W260" s="386"/>
      <c r="X260" s="386"/>
      <c r="Y260" s="386"/>
      <c r="Z260" s="386"/>
      <c r="AA260" s="386"/>
      <c r="AB260" s="386"/>
      <c r="AC260" s="386"/>
      <c r="AD260" s="386"/>
      <c r="AE260" s="386"/>
      <c r="AF260" s="386"/>
      <c r="AG260" s="386"/>
      <c r="AH260" s="386"/>
      <c r="AI260" s="386"/>
      <c r="AJ260" s="386"/>
      <c r="AK260" s="386"/>
      <c r="AL260" s="386"/>
      <c r="AM260" s="386"/>
      <c r="AN260" s="386"/>
      <c r="AO260" s="386"/>
      <c r="AP260" s="386"/>
      <c r="AQ260" s="386"/>
      <c r="AR260" s="386"/>
      <c r="AS260" s="386"/>
      <c r="AT260" s="386"/>
      <c r="AU260" s="386"/>
      <c r="AV260" s="386"/>
      <c r="AW260" s="386"/>
      <c r="AX260" s="386"/>
      <c r="AY260" s="386"/>
      <c r="AZ260" s="386"/>
      <c r="BA260" s="386"/>
      <c r="BB260" s="386"/>
      <c r="BC260" s="386"/>
      <c r="BD260" s="386"/>
      <c r="BE260" s="386"/>
      <c r="BF260" s="386"/>
      <c r="BG260" s="386"/>
      <c r="BH260" s="386"/>
      <c r="BI260" s="386"/>
      <c r="BJ260" s="386"/>
      <c r="BK260" s="386"/>
      <c r="BL260" s="386"/>
      <c r="BM260" s="386"/>
      <c r="BN260" s="386"/>
      <c r="BO260" s="386"/>
      <c r="BP260" s="386"/>
      <c r="BQ260" s="386"/>
      <c r="BR260" s="386"/>
      <c r="BS260" s="386"/>
      <c r="BT260" s="386"/>
      <c r="BU260" s="386"/>
      <c r="BV260" s="386"/>
      <c r="BW260" s="386"/>
      <c r="BX260" s="386"/>
      <c r="BY260" s="386"/>
      <c r="BZ260" s="386"/>
      <c r="CA260" s="386"/>
      <c r="CB260" s="386"/>
      <c r="CC260" s="386"/>
      <c r="CD260" s="386"/>
      <c r="CE260" s="386"/>
      <c r="CF260" s="386"/>
      <c r="CG260" s="386"/>
      <c r="CH260" s="386"/>
      <c r="CI260" s="386"/>
      <c r="CJ260" s="386"/>
      <c r="CK260" s="386"/>
      <c r="CL260" s="386"/>
    </row>
    <row r="261" spans="2:90" ht="12.75" customHeight="1" x14ac:dyDescent="0.15">
      <c r="B261" s="57"/>
      <c r="C261" s="57"/>
      <c r="D261" s="58"/>
      <c r="E261" s="59"/>
      <c r="F261" s="63"/>
      <c r="G261" s="63"/>
      <c r="H261" s="63"/>
      <c r="I261" s="63"/>
      <c r="J261" s="65"/>
      <c r="K261" s="392"/>
      <c r="L261" s="65"/>
      <c r="M261" s="65"/>
      <c r="N261" s="65"/>
      <c r="O261" s="386"/>
      <c r="P261" s="386"/>
      <c r="Q261" s="386"/>
      <c r="R261" s="386"/>
      <c r="S261" s="386"/>
      <c r="T261" s="386"/>
      <c r="U261" s="386"/>
      <c r="V261" s="386"/>
      <c r="W261" s="386"/>
      <c r="X261" s="386"/>
      <c r="Y261" s="386"/>
      <c r="Z261" s="386"/>
      <c r="AA261" s="386"/>
      <c r="AB261" s="386"/>
      <c r="AC261" s="386"/>
      <c r="AD261" s="386"/>
      <c r="AE261" s="386"/>
      <c r="AF261" s="386"/>
      <c r="AG261" s="386"/>
      <c r="AH261" s="386"/>
      <c r="AI261" s="386"/>
      <c r="AJ261" s="386"/>
      <c r="AK261" s="386"/>
      <c r="AL261" s="386"/>
      <c r="AM261" s="386"/>
      <c r="AN261" s="386"/>
      <c r="AO261" s="386"/>
      <c r="AP261" s="386"/>
      <c r="AQ261" s="386"/>
      <c r="AR261" s="386"/>
      <c r="AS261" s="386"/>
      <c r="AT261" s="386"/>
      <c r="AU261" s="386"/>
      <c r="AV261" s="386"/>
      <c r="AW261" s="386"/>
      <c r="AX261" s="386"/>
      <c r="AY261" s="386"/>
      <c r="AZ261" s="386"/>
      <c r="BA261" s="386"/>
      <c r="BB261" s="386"/>
      <c r="BC261" s="386"/>
      <c r="BD261" s="386"/>
      <c r="BE261" s="386"/>
      <c r="BF261" s="386"/>
      <c r="BG261" s="386"/>
      <c r="BH261" s="386"/>
      <c r="BI261" s="386"/>
      <c r="BJ261" s="386"/>
      <c r="BK261" s="386"/>
      <c r="BL261" s="386"/>
      <c r="BM261" s="386"/>
      <c r="BN261" s="386"/>
      <c r="BO261" s="386"/>
      <c r="BP261" s="386"/>
      <c r="BQ261" s="386"/>
      <c r="BR261" s="386"/>
      <c r="BS261" s="386"/>
      <c r="BT261" s="386"/>
      <c r="BU261" s="386"/>
      <c r="BV261" s="386"/>
      <c r="BW261" s="386"/>
      <c r="BX261" s="386"/>
      <c r="BY261" s="386"/>
      <c r="BZ261" s="386"/>
      <c r="CA261" s="386"/>
      <c r="CB261" s="386"/>
      <c r="CC261" s="386"/>
      <c r="CD261" s="386"/>
      <c r="CE261" s="386"/>
      <c r="CF261" s="386"/>
      <c r="CG261" s="386"/>
      <c r="CH261" s="386"/>
      <c r="CI261" s="386"/>
      <c r="CJ261" s="386"/>
      <c r="CK261" s="386"/>
      <c r="CL261" s="386"/>
    </row>
    <row r="262" spans="2:90" ht="12.75" customHeight="1" x14ac:dyDescent="0.15">
      <c r="B262" s="57"/>
      <c r="C262" s="57"/>
      <c r="D262" s="58"/>
      <c r="E262" s="59"/>
      <c r="F262" s="63"/>
      <c r="G262" s="63"/>
      <c r="H262" s="63"/>
      <c r="I262" s="63"/>
      <c r="J262" s="65"/>
      <c r="K262" s="392"/>
      <c r="L262" s="65"/>
      <c r="M262" s="65"/>
      <c r="N262" s="65"/>
      <c r="O262" s="386"/>
      <c r="P262" s="386"/>
      <c r="Q262" s="386"/>
      <c r="R262" s="386"/>
      <c r="S262" s="386"/>
      <c r="T262" s="386"/>
      <c r="U262" s="386"/>
      <c r="V262" s="386"/>
      <c r="W262" s="386"/>
      <c r="X262" s="386"/>
      <c r="Y262" s="386"/>
      <c r="Z262" s="386"/>
      <c r="AA262" s="386"/>
      <c r="AB262" s="386"/>
      <c r="AC262" s="386"/>
      <c r="AD262" s="386"/>
      <c r="AE262" s="386"/>
      <c r="AF262" s="386"/>
      <c r="AG262" s="386"/>
      <c r="AH262" s="386"/>
      <c r="AI262" s="386"/>
      <c r="AJ262" s="386"/>
      <c r="AK262" s="386"/>
      <c r="AL262" s="386"/>
      <c r="AM262" s="386"/>
      <c r="AN262" s="386"/>
      <c r="AO262" s="386"/>
      <c r="AP262" s="386"/>
      <c r="AQ262" s="386"/>
      <c r="AR262" s="386"/>
      <c r="AS262" s="386"/>
      <c r="AT262" s="386"/>
      <c r="AU262" s="386"/>
      <c r="AV262" s="386"/>
      <c r="AW262" s="386"/>
      <c r="AX262" s="386"/>
      <c r="AY262" s="386"/>
      <c r="AZ262" s="386"/>
      <c r="BA262" s="386"/>
      <c r="BB262" s="386"/>
      <c r="BC262" s="386"/>
      <c r="BD262" s="386"/>
      <c r="BE262" s="386"/>
      <c r="BF262" s="386"/>
      <c r="BG262" s="386"/>
      <c r="BH262" s="386"/>
      <c r="BI262" s="386"/>
      <c r="BJ262" s="386"/>
      <c r="BK262" s="386"/>
      <c r="BL262" s="386"/>
      <c r="BM262" s="386"/>
      <c r="BN262" s="386"/>
      <c r="BO262" s="386"/>
      <c r="BP262" s="386"/>
      <c r="BQ262" s="386"/>
      <c r="BR262" s="386"/>
      <c r="BS262" s="386"/>
      <c r="BT262" s="386"/>
      <c r="BU262" s="386"/>
      <c r="BV262" s="386"/>
      <c r="BW262" s="386"/>
      <c r="BX262" s="386"/>
      <c r="BY262" s="386"/>
      <c r="BZ262" s="386"/>
      <c r="CA262" s="386"/>
      <c r="CB262" s="386"/>
      <c r="CC262" s="386"/>
      <c r="CD262" s="386"/>
      <c r="CE262" s="386"/>
      <c r="CF262" s="386"/>
      <c r="CG262" s="386"/>
      <c r="CH262" s="386"/>
      <c r="CI262" s="386"/>
      <c r="CJ262" s="386"/>
      <c r="CK262" s="386"/>
      <c r="CL262" s="386"/>
    </row>
    <row r="263" spans="2:90" ht="12.75" customHeight="1" x14ac:dyDescent="0.15">
      <c r="B263" s="57"/>
      <c r="C263" s="57"/>
      <c r="D263" s="58"/>
      <c r="E263" s="59"/>
      <c r="F263" s="63"/>
      <c r="G263" s="63"/>
      <c r="H263" s="63"/>
      <c r="I263" s="63"/>
      <c r="J263" s="65"/>
      <c r="K263" s="392"/>
      <c r="L263" s="65"/>
      <c r="M263" s="65"/>
      <c r="N263" s="65"/>
      <c r="O263" s="386"/>
      <c r="P263" s="386"/>
      <c r="Q263" s="386"/>
      <c r="R263" s="386"/>
      <c r="S263" s="386"/>
      <c r="T263" s="386"/>
      <c r="U263" s="386"/>
      <c r="V263" s="386"/>
      <c r="W263" s="386"/>
      <c r="X263" s="386"/>
      <c r="Y263" s="386"/>
      <c r="Z263" s="386"/>
      <c r="AA263" s="386"/>
      <c r="AB263" s="386"/>
      <c r="AC263" s="386"/>
      <c r="AD263" s="386"/>
      <c r="AE263" s="386"/>
      <c r="AF263" s="386"/>
      <c r="AG263" s="386"/>
      <c r="AH263" s="386"/>
      <c r="AI263" s="386"/>
      <c r="AJ263" s="386"/>
      <c r="AK263" s="386"/>
      <c r="AL263" s="386"/>
      <c r="AM263" s="386"/>
      <c r="AN263" s="386"/>
      <c r="AO263" s="386"/>
      <c r="AP263" s="386"/>
      <c r="AQ263" s="386"/>
      <c r="AR263" s="386"/>
      <c r="AS263" s="386"/>
      <c r="AT263" s="386"/>
      <c r="AU263" s="386"/>
      <c r="AV263" s="386"/>
      <c r="AW263" s="386"/>
      <c r="AX263" s="386"/>
      <c r="AY263" s="386"/>
      <c r="AZ263" s="386"/>
      <c r="BA263" s="386"/>
      <c r="BB263" s="386"/>
      <c r="BC263" s="386"/>
      <c r="BD263" s="386"/>
      <c r="BE263" s="386"/>
      <c r="BF263" s="386"/>
      <c r="BG263" s="386"/>
      <c r="BH263" s="386"/>
      <c r="BI263" s="386"/>
      <c r="BJ263" s="386"/>
      <c r="BK263" s="386"/>
      <c r="BL263" s="386"/>
      <c r="BM263" s="386"/>
      <c r="BN263" s="386"/>
      <c r="BO263" s="386"/>
      <c r="BP263" s="386"/>
      <c r="BQ263" s="386"/>
      <c r="BR263" s="386"/>
      <c r="BS263" s="386"/>
      <c r="BT263" s="386"/>
      <c r="BU263" s="386"/>
      <c r="BV263" s="386"/>
      <c r="BW263" s="386"/>
      <c r="BX263" s="386"/>
      <c r="BY263" s="386"/>
      <c r="BZ263" s="386"/>
      <c r="CA263" s="386"/>
      <c r="CB263" s="386"/>
      <c r="CC263" s="386"/>
      <c r="CD263" s="386"/>
      <c r="CE263" s="386"/>
      <c r="CF263" s="386"/>
      <c r="CG263" s="386"/>
      <c r="CH263" s="386"/>
      <c r="CI263" s="386"/>
      <c r="CJ263" s="386"/>
      <c r="CK263" s="386"/>
      <c r="CL263" s="386"/>
    </row>
    <row r="264" spans="2:90" ht="12.75" customHeight="1" x14ac:dyDescent="0.15">
      <c r="B264" s="57"/>
      <c r="C264" s="57"/>
      <c r="D264" s="58"/>
      <c r="E264" s="59"/>
      <c r="F264" s="63"/>
      <c r="G264" s="63"/>
      <c r="H264" s="63"/>
      <c r="I264" s="63"/>
      <c r="J264" s="65"/>
      <c r="K264" s="392"/>
      <c r="L264" s="65"/>
      <c r="M264" s="65"/>
      <c r="N264" s="65"/>
      <c r="O264" s="386"/>
      <c r="P264" s="386"/>
      <c r="Q264" s="386"/>
      <c r="R264" s="386"/>
      <c r="S264" s="386"/>
      <c r="T264" s="386"/>
      <c r="U264" s="386"/>
      <c r="V264" s="386"/>
      <c r="W264" s="386"/>
      <c r="X264" s="386"/>
      <c r="Y264" s="386"/>
      <c r="Z264" s="386"/>
      <c r="AA264" s="386"/>
      <c r="AB264" s="386"/>
      <c r="AC264" s="386"/>
      <c r="AD264" s="386"/>
      <c r="AE264" s="386"/>
      <c r="AF264" s="386"/>
      <c r="AG264" s="386"/>
      <c r="AH264" s="386"/>
      <c r="AI264" s="386"/>
      <c r="AJ264" s="386"/>
      <c r="AK264" s="386"/>
      <c r="AL264" s="386"/>
      <c r="AM264" s="386"/>
      <c r="AN264" s="386"/>
      <c r="AO264" s="386"/>
      <c r="AP264" s="386"/>
      <c r="AQ264" s="386"/>
      <c r="AR264" s="386"/>
      <c r="AS264" s="386"/>
      <c r="AT264" s="386"/>
      <c r="AU264" s="386"/>
      <c r="AV264" s="386"/>
      <c r="AW264" s="386"/>
      <c r="AX264" s="386"/>
      <c r="AY264" s="386"/>
      <c r="AZ264" s="386"/>
      <c r="BA264" s="386"/>
      <c r="BB264" s="386"/>
      <c r="BC264" s="386"/>
      <c r="BD264" s="386"/>
      <c r="BE264" s="386"/>
      <c r="BF264" s="386"/>
      <c r="BG264" s="386"/>
      <c r="BH264" s="386"/>
      <c r="BI264" s="386"/>
      <c r="BJ264" s="386"/>
      <c r="BK264" s="386"/>
      <c r="BL264" s="386"/>
      <c r="BM264" s="386"/>
      <c r="BN264" s="386"/>
      <c r="BO264" s="386"/>
      <c r="BP264" s="386"/>
      <c r="BQ264" s="386"/>
      <c r="BR264" s="386"/>
      <c r="BS264" s="386"/>
      <c r="BT264" s="386"/>
      <c r="BU264" s="386"/>
      <c r="BV264" s="386"/>
      <c r="BW264" s="386"/>
      <c r="BX264" s="386"/>
      <c r="BY264" s="386"/>
      <c r="BZ264" s="386"/>
      <c r="CA264" s="386"/>
      <c r="CB264" s="386"/>
      <c r="CC264" s="386"/>
      <c r="CD264" s="386"/>
      <c r="CE264" s="386"/>
      <c r="CF264" s="386"/>
      <c r="CG264" s="386"/>
      <c r="CH264" s="386"/>
      <c r="CI264" s="386"/>
      <c r="CJ264" s="386"/>
      <c r="CK264" s="386"/>
      <c r="CL264" s="386"/>
    </row>
    <row r="265" spans="2:90" ht="12.75" customHeight="1" x14ac:dyDescent="0.15">
      <c r="B265" s="57"/>
      <c r="C265" s="57"/>
      <c r="D265" s="58"/>
      <c r="E265" s="59"/>
      <c r="F265" s="63"/>
      <c r="G265" s="63"/>
      <c r="H265" s="63"/>
      <c r="I265" s="63"/>
      <c r="J265" s="65"/>
      <c r="K265" s="392"/>
      <c r="L265" s="65"/>
      <c r="M265" s="65"/>
      <c r="N265" s="65"/>
      <c r="O265" s="386"/>
      <c r="P265" s="386"/>
      <c r="Q265" s="386"/>
      <c r="R265" s="386"/>
      <c r="S265" s="386"/>
      <c r="T265" s="386"/>
      <c r="U265" s="386"/>
      <c r="V265" s="386"/>
      <c r="W265" s="386"/>
      <c r="X265" s="386"/>
      <c r="Y265" s="386"/>
      <c r="Z265" s="386"/>
      <c r="AA265" s="386"/>
      <c r="AB265" s="386"/>
      <c r="AC265" s="386"/>
      <c r="AD265" s="386"/>
      <c r="AE265" s="386"/>
      <c r="AF265" s="386"/>
      <c r="AG265" s="386"/>
      <c r="AH265" s="386"/>
      <c r="AI265" s="386"/>
      <c r="AJ265" s="386"/>
      <c r="AK265" s="386"/>
      <c r="AL265" s="386"/>
      <c r="AM265" s="386"/>
      <c r="AN265" s="386"/>
      <c r="AO265" s="386"/>
      <c r="AP265" s="386"/>
      <c r="AQ265" s="386"/>
      <c r="AR265" s="386"/>
      <c r="AS265" s="386"/>
      <c r="AT265" s="386"/>
      <c r="AU265" s="386"/>
      <c r="AV265" s="386"/>
      <c r="AW265" s="386"/>
      <c r="AX265" s="386"/>
      <c r="AY265" s="386"/>
      <c r="AZ265" s="386"/>
      <c r="BA265" s="386"/>
      <c r="BB265" s="386"/>
      <c r="BC265" s="386"/>
      <c r="BD265" s="386"/>
      <c r="BE265" s="386"/>
      <c r="BF265" s="386"/>
      <c r="BG265" s="386"/>
      <c r="BH265" s="386"/>
      <c r="BI265" s="386"/>
      <c r="BJ265" s="386"/>
      <c r="BK265" s="386"/>
      <c r="BL265" s="386"/>
      <c r="BM265" s="386"/>
      <c r="BN265" s="386"/>
      <c r="BO265" s="386"/>
      <c r="BP265" s="386"/>
      <c r="BQ265" s="386"/>
      <c r="BR265" s="386"/>
      <c r="BS265" s="386"/>
      <c r="BT265" s="386"/>
      <c r="BU265" s="386"/>
      <c r="BV265" s="386"/>
      <c r="BW265" s="386"/>
      <c r="BX265" s="386"/>
      <c r="BY265" s="386"/>
      <c r="BZ265" s="386"/>
      <c r="CA265" s="386"/>
      <c r="CB265" s="386"/>
      <c r="CC265" s="386"/>
      <c r="CD265" s="386"/>
      <c r="CE265" s="386"/>
      <c r="CF265" s="386"/>
      <c r="CG265" s="386"/>
      <c r="CH265" s="386"/>
      <c r="CI265" s="386"/>
      <c r="CJ265" s="386"/>
      <c r="CK265" s="386"/>
      <c r="CL265" s="386"/>
    </row>
    <row r="266" spans="2:90" ht="12.75" customHeight="1" x14ac:dyDescent="0.15">
      <c r="B266" s="57"/>
      <c r="C266" s="57"/>
      <c r="D266" s="58"/>
      <c r="E266" s="59"/>
      <c r="F266" s="63"/>
      <c r="G266" s="63"/>
      <c r="H266" s="63"/>
      <c r="I266" s="63"/>
      <c r="J266" s="65"/>
      <c r="K266" s="392"/>
      <c r="L266" s="65"/>
      <c r="M266" s="65"/>
      <c r="N266" s="65"/>
      <c r="O266" s="386"/>
      <c r="P266" s="386"/>
      <c r="Q266" s="386"/>
      <c r="R266" s="386"/>
      <c r="S266" s="386"/>
      <c r="T266" s="386"/>
      <c r="U266" s="386"/>
      <c r="V266" s="386"/>
      <c r="W266" s="386"/>
      <c r="X266" s="386"/>
      <c r="Y266" s="386"/>
      <c r="Z266" s="386"/>
      <c r="AA266" s="386"/>
      <c r="AB266" s="386"/>
      <c r="AC266" s="386"/>
      <c r="AD266" s="386"/>
      <c r="AE266" s="386"/>
      <c r="AF266" s="386"/>
      <c r="AG266" s="386"/>
      <c r="AH266" s="386"/>
      <c r="AI266" s="386"/>
      <c r="AJ266" s="386"/>
      <c r="AK266" s="386"/>
      <c r="AL266" s="386"/>
      <c r="AM266" s="386"/>
      <c r="AN266" s="386"/>
      <c r="AO266" s="386"/>
      <c r="AP266" s="386"/>
      <c r="AQ266" s="386"/>
      <c r="AR266" s="386"/>
      <c r="AS266" s="386"/>
      <c r="AT266" s="386"/>
      <c r="AU266" s="386"/>
      <c r="AV266" s="386"/>
      <c r="AW266" s="386"/>
      <c r="AX266" s="386"/>
      <c r="AY266" s="386"/>
      <c r="AZ266" s="386"/>
      <c r="BA266" s="386"/>
      <c r="BB266" s="386"/>
      <c r="BC266" s="386"/>
      <c r="BD266" s="386"/>
      <c r="BE266" s="386"/>
      <c r="BF266" s="386"/>
      <c r="BG266" s="386"/>
      <c r="BH266" s="386"/>
      <c r="BI266" s="386"/>
      <c r="BJ266" s="386"/>
      <c r="BK266" s="386"/>
      <c r="BL266" s="386"/>
      <c r="BM266" s="386"/>
      <c r="BN266" s="386"/>
      <c r="BO266" s="386"/>
      <c r="BP266" s="386"/>
      <c r="BQ266" s="386"/>
      <c r="BR266" s="386"/>
      <c r="BS266" s="386"/>
      <c r="BT266" s="386"/>
      <c r="BU266" s="386"/>
      <c r="BV266" s="386"/>
      <c r="BW266" s="386"/>
      <c r="BX266" s="386"/>
      <c r="BY266" s="386"/>
      <c r="BZ266" s="386"/>
      <c r="CA266" s="386"/>
      <c r="CB266" s="386"/>
      <c r="CC266" s="386"/>
      <c r="CD266" s="386"/>
      <c r="CE266" s="386"/>
      <c r="CF266" s="386"/>
      <c r="CG266" s="386"/>
      <c r="CH266" s="386"/>
      <c r="CI266" s="386"/>
      <c r="CJ266" s="386"/>
      <c r="CK266" s="386"/>
      <c r="CL266" s="386"/>
    </row>
    <row r="267" spans="2:90" ht="12.75" customHeight="1" x14ac:dyDescent="0.15">
      <c r="B267" s="57"/>
      <c r="C267" s="57"/>
      <c r="D267" s="58"/>
      <c r="E267" s="59"/>
      <c r="F267" s="63"/>
      <c r="G267" s="63"/>
      <c r="H267" s="63"/>
      <c r="I267" s="63"/>
      <c r="J267" s="65"/>
      <c r="K267" s="392"/>
      <c r="L267" s="65"/>
      <c r="M267" s="65"/>
      <c r="N267" s="65"/>
      <c r="O267" s="386"/>
      <c r="P267" s="386"/>
      <c r="Q267" s="386"/>
      <c r="R267" s="386"/>
      <c r="S267" s="386"/>
      <c r="T267" s="386"/>
      <c r="U267" s="386"/>
      <c r="V267" s="386"/>
      <c r="W267" s="386"/>
      <c r="X267" s="386"/>
      <c r="Y267" s="386"/>
      <c r="Z267" s="386"/>
      <c r="AA267" s="386"/>
      <c r="AB267" s="386"/>
      <c r="AC267" s="386"/>
      <c r="AD267" s="386"/>
      <c r="AE267" s="386"/>
      <c r="AF267" s="386"/>
      <c r="AG267" s="386"/>
      <c r="AH267" s="386"/>
      <c r="AI267" s="386"/>
      <c r="AJ267" s="386"/>
      <c r="AK267" s="386"/>
      <c r="AL267" s="386"/>
      <c r="AM267" s="386"/>
      <c r="AN267" s="386"/>
      <c r="AO267" s="386"/>
      <c r="AP267" s="386"/>
      <c r="AQ267" s="386"/>
      <c r="AR267" s="386"/>
      <c r="AS267" s="386"/>
      <c r="AT267" s="386"/>
      <c r="AU267" s="386"/>
      <c r="AV267" s="386"/>
      <c r="AW267" s="386"/>
      <c r="AX267" s="386"/>
      <c r="AY267" s="386"/>
      <c r="AZ267" s="386"/>
      <c r="BA267" s="386"/>
      <c r="BB267" s="386"/>
      <c r="BC267" s="386"/>
      <c r="BD267" s="386"/>
      <c r="BE267" s="386"/>
      <c r="BF267" s="386"/>
      <c r="BG267" s="386"/>
      <c r="BH267" s="386"/>
      <c r="BI267" s="386"/>
      <c r="BJ267" s="386"/>
      <c r="BK267" s="386"/>
      <c r="BL267" s="386"/>
      <c r="BM267" s="386"/>
      <c r="BN267" s="386"/>
      <c r="BO267" s="386"/>
      <c r="BP267" s="386"/>
      <c r="BQ267" s="386"/>
      <c r="BR267" s="386"/>
      <c r="BS267" s="386"/>
      <c r="BT267" s="386"/>
      <c r="BU267" s="386"/>
      <c r="BV267" s="386"/>
      <c r="BW267" s="386"/>
      <c r="BX267" s="386"/>
      <c r="BY267" s="386"/>
      <c r="BZ267" s="386"/>
      <c r="CA267" s="386"/>
      <c r="CB267" s="386"/>
      <c r="CC267" s="386"/>
      <c r="CD267" s="386"/>
      <c r="CE267" s="386"/>
      <c r="CF267" s="386"/>
      <c r="CG267" s="386"/>
      <c r="CH267" s="386"/>
      <c r="CI267" s="386"/>
      <c r="CJ267" s="386"/>
      <c r="CK267" s="386"/>
      <c r="CL267" s="386"/>
    </row>
    <row r="268" spans="2:90" ht="12.75" customHeight="1" x14ac:dyDescent="0.15">
      <c r="B268" s="57"/>
      <c r="C268" s="57"/>
      <c r="D268" s="58"/>
      <c r="E268" s="59"/>
      <c r="F268" s="63"/>
      <c r="G268" s="63"/>
      <c r="H268" s="63"/>
      <c r="I268" s="63"/>
      <c r="J268" s="65"/>
      <c r="K268" s="392"/>
      <c r="L268" s="65"/>
      <c r="M268" s="65"/>
      <c r="N268" s="65"/>
      <c r="O268" s="386"/>
      <c r="P268" s="386"/>
      <c r="Q268" s="386"/>
      <c r="R268" s="386"/>
      <c r="S268" s="386"/>
      <c r="T268" s="386"/>
      <c r="U268" s="386"/>
      <c r="V268" s="386"/>
      <c r="W268" s="386"/>
      <c r="X268" s="386"/>
      <c r="Y268" s="386"/>
      <c r="Z268" s="386"/>
      <c r="AA268" s="386"/>
      <c r="AB268" s="386"/>
      <c r="AC268" s="386"/>
      <c r="AD268" s="386"/>
      <c r="AE268" s="386"/>
      <c r="AF268" s="386"/>
      <c r="AG268" s="386"/>
      <c r="AH268" s="386"/>
      <c r="AI268" s="386"/>
      <c r="AJ268" s="386"/>
      <c r="AK268" s="386"/>
      <c r="AL268" s="386"/>
      <c r="AM268" s="386"/>
      <c r="AN268" s="386"/>
      <c r="AO268" s="386"/>
      <c r="AP268" s="386"/>
      <c r="AQ268" s="386"/>
      <c r="AR268" s="386"/>
      <c r="AS268" s="386"/>
      <c r="AT268" s="386"/>
      <c r="AU268" s="386"/>
      <c r="AV268" s="386"/>
      <c r="AW268" s="386"/>
      <c r="AX268" s="386"/>
      <c r="AY268" s="386"/>
      <c r="AZ268" s="386"/>
      <c r="BA268" s="386"/>
      <c r="BB268" s="386"/>
      <c r="BC268" s="386"/>
      <c r="BD268" s="386"/>
      <c r="BE268" s="386"/>
      <c r="BF268" s="386"/>
      <c r="BG268" s="386"/>
      <c r="BH268" s="386"/>
      <c r="BI268" s="386"/>
      <c r="BJ268" s="386"/>
      <c r="BK268" s="386"/>
      <c r="BL268" s="386"/>
      <c r="BM268" s="386"/>
      <c r="BN268" s="386"/>
      <c r="BO268" s="386"/>
      <c r="BP268" s="386"/>
      <c r="BQ268" s="386"/>
      <c r="BR268" s="386"/>
      <c r="BS268" s="386"/>
      <c r="BT268" s="386"/>
      <c r="BU268" s="386"/>
      <c r="BV268" s="386"/>
      <c r="BW268" s="386"/>
      <c r="BX268" s="386"/>
      <c r="BY268" s="386"/>
      <c r="BZ268" s="386"/>
      <c r="CA268" s="386"/>
      <c r="CB268" s="386"/>
      <c r="CC268" s="386"/>
      <c r="CD268" s="386"/>
      <c r="CE268" s="386"/>
      <c r="CF268" s="386"/>
      <c r="CG268" s="386"/>
      <c r="CH268" s="386"/>
      <c r="CI268" s="386"/>
      <c r="CJ268" s="386"/>
      <c r="CK268" s="386"/>
      <c r="CL268" s="386"/>
    </row>
    <row r="269" spans="2:90" ht="12.75" customHeight="1" x14ac:dyDescent="0.15">
      <c r="B269" s="57"/>
      <c r="C269" s="57"/>
      <c r="D269" s="58"/>
      <c r="E269" s="59"/>
      <c r="F269" s="63"/>
      <c r="G269" s="63"/>
      <c r="H269" s="63"/>
      <c r="I269" s="63"/>
      <c r="J269" s="65"/>
      <c r="K269" s="392"/>
      <c r="L269" s="65"/>
      <c r="M269" s="65"/>
      <c r="N269" s="65"/>
      <c r="O269" s="386"/>
      <c r="P269" s="386"/>
      <c r="Q269" s="386"/>
      <c r="R269" s="386"/>
      <c r="S269" s="386"/>
      <c r="T269" s="386"/>
      <c r="U269" s="386"/>
      <c r="V269" s="386"/>
      <c r="W269" s="386"/>
      <c r="X269" s="386"/>
      <c r="Y269" s="386"/>
      <c r="Z269" s="386"/>
      <c r="AA269" s="386"/>
      <c r="AB269" s="386"/>
      <c r="AC269" s="386"/>
      <c r="AD269" s="386"/>
      <c r="AE269" s="386"/>
      <c r="AF269" s="386"/>
      <c r="AG269" s="386"/>
      <c r="AH269" s="386"/>
      <c r="AI269" s="386"/>
      <c r="AJ269" s="386"/>
      <c r="AK269" s="386"/>
      <c r="AL269" s="386"/>
      <c r="AM269" s="386"/>
      <c r="AN269" s="386"/>
      <c r="AO269" s="386"/>
      <c r="AP269" s="386"/>
      <c r="AQ269" s="386"/>
      <c r="AR269" s="386"/>
      <c r="AS269" s="386"/>
      <c r="AT269" s="386"/>
      <c r="AU269" s="386"/>
      <c r="AV269" s="386"/>
      <c r="AW269" s="386"/>
      <c r="AX269" s="386"/>
      <c r="AY269" s="386"/>
      <c r="AZ269" s="386"/>
      <c r="BA269" s="386"/>
      <c r="BB269" s="386"/>
      <c r="BC269" s="386"/>
      <c r="BD269" s="386"/>
      <c r="BE269" s="386"/>
      <c r="BF269" s="386"/>
      <c r="BG269" s="386"/>
      <c r="BH269" s="386"/>
      <c r="BI269" s="386"/>
      <c r="BJ269" s="386"/>
      <c r="BK269" s="386"/>
      <c r="BL269" s="386"/>
      <c r="BM269" s="386"/>
      <c r="BN269" s="386"/>
      <c r="BO269" s="386"/>
      <c r="BP269" s="386"/>
      <c r="BQ269" s="386"/>
      <c r="BR269" s="386"/>
      <c r="BS269" s="386"/>
      <c r="BT269" s="386"/>
      <c r="BU269" s="386"/>
      <c r="BV269" s="386"/>
      <c r="BW269" s="386"/>
      <c r="BX269" s="386"/>
      <c r="BY269" s="386"/>
      <c r="BZ269" s="386"/>
      <c r="CA269" s="386"/>
      <c r="CB269" s="386"/>
      <c r="CC269" s="386"/>
      <c r="CD269" s="386"/>
      <c r="CE269" s="386"/>
      <c r="CF269" s="386"/>
      <c r="CG269" s="386"/>
      <c r="CH269" s="386"/>
      <c r="CI269" s="386"/>
      <c r="CJ269" s="386"/>
      <c r="CK269" s="386"/>
      <c r="CL269" s="386"/>
    </row>
    <row r="270" spans="2:90" ht="12.75" customHeight="1" x14ac:dyDescent="0.15">
      <c r="B270" s="57"/>
      <c r="C270" s="57"/>
      <c r="D270" s="58"/>
      <c r="E270" s="59"/>
      <c r="F270" s="63"/>
      <c r="G270" s="63"/>
      <c r="H270" s="63"/>
      <c r="I270" s="63"/>
      <c r="J270" s="65"/>
      <c r="K270" s="392"/>
      <c r="L270" s="65"/>
      <c r="M270" s="65"/>
      <c r="N270" s="65"/>
      <c r="O270" s="386"/>
      <c r="P270" s="386"/>
      <c r="Q270" s="386"/>
      <c r="R270" s="386"/>
      <c r="S270" s="386"/>
      <c r="T270" s="386"/>
      <c r="U270" s="386"/>
      <c r="V270" s="386"/>
      <c r="W270" s="386"/>
      <c r="X270" s="386"/>
      <c r="Y270" s="386"/>
      <c r="Z270" s="386"/>
      <c r="AA270" s="386"/>
      <c r="AB270" s="386"/>
      <c r="AC270" s="386"/>
      <c r="AD270" s="386"/>
      <c r="AE270" s="386"/>
      <c r="AF270" s="386"/>
      <c r="AG270" s="386"/>
      <c r="AH270" s="386"/>
      <c r="AI270" s="386"/>
      <c r="AJ270" s="386"/>
      <c r="AK270" s="386"/>
      <c r="AL270" s="386"/>
      <c r="AM270" s="386"/>
      <c r="AN270" s="386"/>
      <c r="AO270" s="386"/>
      <c r="AP270" s="386"/>
      <c r="AQ270" s="386"/>
      <c r="AR270" s="386"/>
      <c r="AS270" s="386"/>
      <c r="AT270" s="386"/>
      <c r="AU270" s="386"/>
      <c r="AV270" s="386"/>
      <c r="AW270" s="386"/>
      <c r="AX270" s="386"/>
      <c r="AY270" s="386"/>
      <c r="AZ270" s="386"/>
      <c r="BA270" s="386"/>
      <c r="BB270" s="386"/>
      <c r="BC270" s="386"/>
      <c r="BD270" s="386"/>
      <c r="BE270" s="386"/>
      <c r="BF270" s="386"/>
      <c r="BG270" s="386"/>
      <c r="BH270" s="386"/>
      <c r="BI270" s="386"/>
      <c r="BJ270" s="386"/>
      <c r="BK270" s="386"/>
      <c r="BL270" s="386"/>
      <c r="BM270" s="386"/>
      <c r="BN270" s="386"/>
      <c r="BO270" s="386"/>
      <c r="BP270" s="386"/>
      <c r="BQ270" s="386"/>
      <c r="BR270" s="386"/>
      <c r="BS270" s="386"/>
      <c r="BT270" s="386"/>
      <c r="BU270" s="386"/>
      <c r="BV270" s="386"/>
      <c r="BW270" s="386"/>
      <c r="BX270" s="386"/>
      <c r="BY270" s="386"/>
      <c r="BZ270" s="386"/>
      <c r="CA270" s="386"/>
      <c r="CB270" s="386"/>
      <c r="CC270" s="386"/>
      <c r="CD270" s="386"/>
      <c r="CE270" s="386"/>
      <c r="CF270" s="386"/>
      <c r="CG270" s="386"/>
      <c r="CH270" s="386"/>
      <c r="CI270" s="386"/>
      <c r="CJ270" s="386"/>
      <c r="CK270" s="386"/>
      <c r="CL270" s="386"/>
    </row>
    <row r="271" spans="2:90" ht="12.75" customHeight="1" x14ac:dyDescent="0.15">
      <c r="B271" s="57"/>
      <c r="C271" s="57"/>
      <c r="D271" s="58"/>
      <c r="E271" s="59"/>
      <c r="F271" s="63"/>
      <c r="G271" s="63"/>
      <c r="H271" s="63"/>
      <c r="I271" s="63"/>
      <c r="J271" s="65"/>
      <c r="K271" s="392"/>
      <c r="L271" s="65"/>
      <c r="M271" s="65"/>
      <c r="N271" s="65"/>
      <c r="O271" s="386"/>
      <c r="P271" s="386"/>
      <c r="Q271" s="386"/>
      <c r="R271" s="386"/>
      <c r="S271" s="386"/>
      <c r="T271" s="386"/>
      <c r="U271" s="386"/>
      <c r="V271" s="386"/>
      <c r="W271" s="386"/>
      <c r="X271" s="386"/>
      <c r="Y271" s="386"/>
      <c r="Z271" s="386"/>
      <c r="AA271" s="386"/>
      <c r="AB271" s="386"/>
      <c r="AC271" s="386"/>
      <c r="AD271" s="386"/>
      <c r="AE271" s="386"/>
      <c r="AF271" s="386"/>
      <c r="AG271" s="386"/>
      <c r="AH271" s="386"/>
      <c r="AI271" s="386"/>
      <c r="AJ271" s="386"/>
      <c r="AK271" s="386"/>
      <c r="AL271" s="386"/>
      <c r="AM271" s="386"/>
      <c r="AN271" s="386"/>
      <c r="AO271" s="386"/>
      <c r="AP271" s="386"/>
      <c r="AQ271" s="386"/>
      <c r="AR271" s="386"/>
      <c r="AS271" s="386"/>
      <c r="AT271" s="386"/>
      <c r="AU271" s="386"/>
      <c r="AV271" s="386"/>
      <c r="AW271" s="386"/>
      <c r="AX271" s="386"/>
      <c r="AY271" s="386"/>
      <c r="AZ271" s="386"/>
      <c r="BA271" s="386"/>
      <c r="BB271" s="386"/>
      <c r="BC271" s="386"/>
      <c r="BD271" s="386"/>
      <c r="BE271" s="386"/>
      <c r="BF271" s="386"/>
      <c r="BG271" s="386"/>
      <c r="BH271" s="386"/>
      <c r="BI271" s="386"/>
      <c r="BJ271" s="386"/>
      <c r="BK271" s="386"/>
      <c r="BL271" s="386"/>
      <c r="BM271" s="386"/>
      <c r="BN271" s="386"/>
      <c r="BO271" s="386"/>
      <c r="BP271" s="386"/>
      <c r="BQ271" s="386"/>
      <c r="BR271" s="386"/>
      <c r="BS271" s="386"/>
      <c r="BT271" s="386"/>
      <c r="BU271" s="386"/>
      <c r="BV271" s="386"/>
      <c r="BW271" s="386"/>
      <c r="BX271" s="386"/>
      <c r="BY271" s="386"/>
      <c r="BZ271" s="386"/>
      <c r="CA271" s="386"/>
      <c r="CB271" s="386"/>
      <c r="CC271" s="386"/>
      <c r="CD271" s="386"/>
      <c r="CE271" s="386"/>
      <c r="CF271" s="386"/>
      <c r="CG271" s="386"/>
      <c r="CH271" s="386"/>
      <c r="CI271" s="386"/>
      <c r="CJ271" s="386"/>
      <c r="CK271" s="386"/>
      <c r="CL271" s="386"/>
    </row>
    <row r="272" spans="2:90" ht="12.75" customHeight="1" x14ac:dyDescent="0.15">
      <c r="B272" s="57"/>
      <c r="C272" s="57"/>
      <c r="D272" s="58"/>
      <c r="E272" s="59"/>
      <c r="F272" s="63"/>
      <c r="G272" s="63"/>
      <c r="H272" s="63"/>
      <c r="I272" s="63"/>
      <c r="J272" s="65"/>
      <c r="K272" s="392"/>
      <c r="L272" s="65"/>
      <c r="M272" s="65"/>
      <c r="N272" s="65"/>
      <c r="O272" s="386"/>
      <c r="P272" s="386"/>
      <c r="Q272" s="386"/>
      <c r="R272" s="386"/>
      <c r="S272" s="386"/>
      <c r="T272" s="386"/>
      <c r="U272" s="386"/>
      <c r="V272" s="386"/>
      <c r="W272" s="386"/>
      <c r="X272" s="386"/>
      <c r="Y272" s="386"/>
      <c r="Z272" s="386"/>
      <c r="AA272" s="386"/>
      <c r="AB272" s="386"/>
      <c r="AC272" s="386"/>
      <c r="AD272" s="386"/>
      <c r="AE272" s="386"/>
      <c r="AF272" s="386"/>
      <c r="AG272" s="386"/>
      <c r="AH272" s="386"/>
      <c r="AI272" s="386"/>
      <c r="AJ272" s="386"/>
      <c r="AK272" s="386"/>
      <c r="AL272" s="386"/>
      <c r="AM272" s="386"/>
      <c r="AN272" s="386"/>
      <c r="AO272" s="386"/>
      <c r="AP272" s="386"/>
      <c r="AQ272" s="386"/>
      <c r="AR272" s="386"/>
      <c r="AS272" s="386"/>
      <c r="AT272" s="386"/>
      <c r="AU272" s="386"/>
      <c r="AV272" s="386"/>
      <c r="AW272" s="386"/>
      <c r="AX272" s="386"/>
      <c r="AY272" s="386"/>
      <c r="AZ272" s="386"/>
      <c r="BA272" s="386"/>
      <c r="BB272" s="386"/>
      <c r="BC272" s="386"/>
      <c r="BD272" s="386"/>
      <c r="BE272" s="386"/>
      <c r="BF272" s="386"/>
      <c r="BG272" s="386"/>
      <c r="BH272" s="386"/>
      <c r="BI272" s="386"/>
      <c r="BJ272" s="386"/>
      <c r="BK272" s="386"/>
      <c r="BL272" s="386"/>
      <c r="BM272" s="386"/>
      <c r="BN272" s="386"/>
      <c r="BO272" s="386"/>
      <c r="BP272" s="386"/>
      <c r="BQ272" s="386"/>
      <c r="BR272" s="386"/>
      <c r="BS272" s="386"/>
      <c r="BT272" s="386"/>
      <c r="BU272" s="386"/>
      <c r="BV272" s="386"/>
      <c r="BW272" s="386"/>
      <c r="BX272" s="386"/>
      <c r="BY272" s="386"/>
      <c r="BZ272" s="386"/>
      <c r="CA272" s="386"/>
      <c r="CB272" s="386"/>
      <c r="CC272" s="386"/>
      <c r="CD272" s="386"/>
      <c r="CE272" s="386"/>
      <c r="CF272" s="386"/>
      <c r="CG272" s="386"/>
      <c r="CH272" s="386"/>
      <c r="CI272" s="386"/>
      <c r="CJ272" s="386"/>
      <c r="CK272" s="386"/>
      <c r="CL272" s="386"/>
    </row>
    <row r="273" spans="2:90" ht="12.75" customHeight="1" x14ac:dyDescent="0.15">
      <c r="B273" s="57"/>
      <c r="C273" s="57"/>
      <c r="D273" s="58"/>
      <c r="E273" s="59"/>
      <c r="F273" s="63"/>
      <c r="G273" s="63"/>
      <c r="H273" s="63"/>
      <c r="I273" s="63"/>
      <c r="J273" s="65"/>
      <c r="K273" s="392"/>
      <c r="L273" s="65"/>
      <c r="M273" s="65"/>
      <c r="N273" s="65"/>
      <c r="O273" s="386"/>
      <c r="P273" s="386"/>
      <c r="Q273" s="386"/>
      <c r="R273" s="386"/>
      <c r="S273" s="386"/>
      <c r="T273" s="386"/>
      <c r="U273" s="386"/>
      <c r="V273" s="386"/>
      <c r="W273" s="386"/>
      <c r="X273" s="386"/>
      <c r="Y273" s="386"/>
      <c r="Z273" s="386"/>
      <c r="AA273" s="386"/>
      <c r="AB273" s="386"/>
      <c r="AC273" s="386"/>
      <c r="AD273" s="386"/>
      <c r="AE273" s="386"/>
      <c r="AF273" s="386"/>
      <c r="AG273" s="386"/>
      <c r="AH273" s="386"/>
      <c r="AI273" s="386"/>
      <c r="AJ273" s="386"/>
      <c r="AK273" s="386"/>
      <c r="AL273" s="386"/>
      <c r="AM273" s="386"/>
      <c r="AN273" s="386"/>
      <c r="AO273" s="386"/>
      <c r="AP273" s="386"/>
      <c r="AQ273" s="386"/>
      <c r="AR273" s="386"/>
      <c r="AS273" s="386"/>
      <c r="AT273" s="386"/>
      <c r="AU273" s="386"/>
      <c r="AV273" s="386"/>
      <c r="AW273" s="386"/>
      <c r="AX273" s="386"/>
      <c r="AY273" s="386"/>
      <c r="AZ273" s="386"/>
      <c r="BA273" s="386"/>
      <c r="BB273" s="386"/>
      <c r="BC273" s="386"/>
      <c r="BD273" s="386"/>
      <c r="BE273" s="386"/>
      <c r="BF273" s="386"/>
      <c r="BG273" s="386"/>
      <c r="BH273" s="386"/>
      <c r="BI273" s="386"/>
      <c r="BJ273" s="386"/>
      <c r="BK273" s="386"/>
      <c r="BL273" s="386"/>
      <c r="BM273" s="386"/>
      <c r="BN273" s="386"/>
      <c r="BO273" s="386"/>
      <c r="BP273" s="386"/>
      <c r="BQ273" s="386"/>
      <c r="BR273" s="386"/>
      <c r="BS273" s="386"/>
      <c r="BT273" s="386"/>
      <c r="BU273" s="386"/>
      <c r="BV273" s="386"/>
      <c r="BW273" s="386"/>
      <c r="BX273" s="386"/>
      <c r="BY273" s="386"/>
      <c r="BZ273" s="386"/>
      <c r="CA273" s="386"/>
      <c r="CB273" s="386"/>
      <c r="CC273" s="386"/>
      <c r="CD273" s="386"/>
      <c r="CE273" s="386"/>
      <c r="CF273" s="386"/>
      <c r="CG273" s="386"/>
      <c r="CH273" s="386"/>
      <c r="CI273" s="386"/>
      <c r="CJ273" s="386"/>
      <c r="CK273" s="386"/>
      <c r="CL273" s="386"/>
    </row>
    <row r="274" spans="2:90" ht="12.75" customHeight="1" x14ac:dyDescent="0.15">
      <c r="B274" s="57"/>
      <c r="C274" s="57"/>
      <c r="D274" s="58"/>
      <c r="E274" s="59"/>
      <c r="F274" s="63"/>
      <c r="G274" s="63"/>
      <c r="H274" s="63"/>
      <c r="I274" s="63"/>
      <c r="J274" s="65"/>
      <c r="K274" s="392"/>
      <c r="L274" s="65"/>
      <c r="M274" s="65"/>
      <c r="N274" s="65"/>
      <c r="O274" s="386"/>
      <c r="P274" s="386"/>
      <c r="Q274" s="386"/>
      <c r="R274" s="386"/>
      <c r="S274" s="386"/>
      <c r="T274" s="386"/>
      <c r="U274" s="386"/>
      <c r="V274" s="386"/>
      <c r="W274" s="386"/>
      <c r="X274" s="386"/>
      <c r="Y274" s="386"/>
      <c r="Z274" s="386"/>
      <c r="AA274" s="386"/>
      <c r="AB274" s="386"/>
      <c r="AC274" s="386"/>
      <c r="AD274" s="386"/>
      <c r="AE274" s="386"/>
      <c r="AF274" s="386"/>
      <c r="AG274" s="386"/>
      <c r="AH274" s="386"/>
      <c r="AI274" s="386"/>
      <c r="AJ274" s="386"/>
      <c r="AK274" s="386"/>
      <c r="AL274" s="386"/>
      <c r="AM274" s="386"/>
      <c r="AN274" s="386"/>
      <c r="AO274" s="386"/>
      <c r="AP274" s="386"/>
      <c r="AQ274" s="386"/>
      <c r="AR274" s="386"/>
      <c r="AS274" s="386"/>
      <c r="AT274" s="386"/>
      <c r="AU274" s="386"/>
      <c r="AV274" s="386"/>
      <c r="AW274" s="386"/>
      <c r="AX274" s="386"/>
      <c r="AY274" s="386"/>
      <c r="AZ274" s="386"/>
      <c r="BA274" s="386"/>
      <c r="BB274" s="386"/>
      <c r="BC274" s="386"/>
      <c r="BD274" s="386"/>
      <c r="BE274" s="386"/>
      <c r="BF274" s="386"/>
      <c r="BG274" s="386"/>
      <c r="BH274" s="386"/>
      <c r="BI274" s="386"/>
      <c r="BJ274" s="386"/>
      <c r="BK274" s="386"/>
      <c r="BL274" s="386"/>
      <c r="BM274" s="386"/>
      <c r="BN274" s="386"/>
      <c r="BO274" s="386"/>
      <c r="BP274" s="386"/>
      <c r="BQ274" s="386"/>
      <c r="BR274" s="386"/>
      <c r="BS274" s="386"/>
      <c r="BT274" s="386"/>
      <c r="BU274" s="386"/>
      <c r="BV274" s="386"/>
      <c r="BW274" s="386"/>
      <c r="BX274" s="386"/>
      <c r="BY274" s="386"/>
      <c r="BZ274" s="386"/>
      <c r="CA274" s="386"/>
      <c r="CB274" s="386"/>
      <c r="CC274" s="386"/>
      <c r="CD274" s="386"/>
      <c r="CE274" s="386"/>
      <c r="CF274" s="386"/>
      <c r="CG274" s="386"/>
      <c r="CH274" s="386"/>
      <c r="CI274" s="386"/>
      <c r="CJ274" s="386"/>
      <c r="CK274" s="386"/>
      <c r="CL274" s="386"/>
    </row>
    <row r="275" spans="2:90" ht="12.75" customHeight="1" x14ac:dyDescent="0.15">
      <c r="B275" s="57"/>
      <c r="C275" s="57"/>
      <c r="D275" s="58"/>
      <c r="E275" s="59"/>
      <c r="F275" s="63"/>
      <c r="G275" s="63"/>
      <c r="H275" s="63"/>
      <c r="I275" s="63"/>
      <c r="J275" s="65"/>
      <c r="K275" s="392"/>
      <c r="L275" s="65"/>
      <c r="M275" s="65"/>
      <c r="N275" s="65"/>
      <c r="O275" s="386"/>
      <c r="P275" s="386"/>
      <c r="Q275" s="386"/>
      <c r="R275" s="386"/>
      <c r="S275" s="386"/>
      <c r="T275" s="386"/>
      <c r="U275" s="386"/>
      <c r="V275" s="386"/>
      <c r="W275" s="386"/>
      <c r="X275" s="386"/>
      <c r="Y275" s="386"/>
      <c r="Z275" s="386"/>
      <c r="AA275" s="386"/>
      <c r="AB275" s="386"/>
      <c r="AC275" s="386"/>
      <c r="AD275" s="386"/>
      <c r="AE275" s="386"/>
      <c r="AF275" s="386"/>
      <c r="AG275" s="386"/>
      <c r="AH275" s="386"/>
      <c r="AI275" s="386"/>
      <c r="AJ275" s="386"/>
      <c r="AK275" s="386"/>
      <c r="AL275" s="386"/>
      <c r="AM275" s="386"/>
      <c r="AN275" s="386"/>
      <c r="AO275" s="386"/>
      <c r="AP275" s="386"/>
      <c r="AQ275" s="386"/>
      <c r="AR275" s="386"/>
      <c r="AS275" s="386"/>
      <c r="AT275" s="386"/>
      <c r="AU275" s="386"/>
      <c r="AV275" s="386"/>
      <c r="AW275" s="386"/>
      <c r="AX275" s="386"/>
      <c r="AY275" s="386"/>
      <c r="AZ275" s="386"/>
      <c r="BA275" s="386"/>
      <c r="BB275" s="386"/>
      <c r="BC275" s="386"/>
      <c r="BD275" s="386"/>
      <c r="BE275" s="386"/>
      <c r="BF275" s="386"/>
      <c r="BG275" s="386"/>
      <c r="BH275" s="386"/>
      <c r="BI275" s="386"/>
      <c r="BJ275" s="386"/>
      <c r="BK275" s="386"/>
      <c r="BL275" s="386"/>
      <c r="BM275" s="386"/>
      <c r="BN275" s="386"/>
      <c r="BO275" s="386"/>
      <c r="BP275" s="386"/>
      <c r="BQ275" s="386"/>
      <c r="BR275" s="386"/>
      <c r="BS275" s="386"/>
      <c r="BT275" s="386"/>
      <c r="BU275" s="386"/>
      <c r="BV275" s="386"/>
      <c r="BW275" s="386"/>
      <c r="BX275" s="386"/>
      <c r="BY275" s="386"/>
      <c r="BZ275" s="386"/>
      <c r="CA275" s="386"/>
      <c r="CB275" s="386"/>
      <c r="CC275" s="386"/>
      <c r="CD275" s="386"/>
      <c r="CE275" s="386"/>
      <c r="CF275" s="386"/>
      <c r="CG275" s="386"/>
      <c r="CH275" s="386"/>
      <c r="CI275" s="386"/>
      <c r="CJ275" s="386"/>
      <c r="CK275" s="386"/>
      <c r="CL275" s="386"/>
    </row>
    <row r="276" spans="2:90" ht="12.75" customHeight="1" x14ac:dyDescent="0.15">
      <c r="B276" s="57"/>
      <c r="C276" s="57"/>
      <c r="D276" s="58"/>
      <c r="E276" s="59"/>
      <c r="F276" s="63"/>
      <c r="G276" s="63"/>
      <c r="H276" s="63"/>
      <c r="I276" s="63"/>
      <c r="J276" s="65"/>
      <c r="K276" s="392"/>
      <c r="L276" s="65"/>
      <c r="M276" s="65"/>
      <c r="N276" s="65"/>
      <c r="O276" s="386"/>
      <c r="P276" s="386"/>
      <c r="Q276" s="386"/>
      <c r="R276" s="386"/>
      <c r="S276" s="386"/>
      <c r="T276" s="386"/>
      <c r="U276" s="386"/>
      <c r="V276" s="386"/>
      <c r="W276" s="386"/>
      <c r="X276" s="386"/>
      <c r="Y276" s="386"/>
      <c r="Z276" s="386"/>
      <c r="AA276" s="386"/>
      <c r="AB276" s="386"/>
      <c r="AC276" s="386"/>
      <c r="AD276" s="386"/>
      <c r="AE276" s="386"/>
      <c r="AF276" s="386"/>
      <c r="AG276" s="386"/>
      <c r="AH276" s="386"/>
      <c r="AI276" s="386"/>
      <c r="AJ276" s="386"/>
      <c r="AK276" s="386"/>
      <c r="AL276" s="386"/>
      <c r="AM276" s="386"/>
      <c r="AN276" s="386"/>
      <c r="AO276" s="386"/>
      <c r="AP276" s="386"/>
      <c r="AQ276" s="386"/>
      <c r="AR276" s="386"/>
      <c r="AS276" s="386"/>
      <c r="AT276" s="386"/>
      <c r="AU276" s="386"/>
      <c r="AV276" s="386"/>
      <c r="AW276" s="386"/>
      <c r="AX276" s="386"/>
      <c r="AY276" s="386"/>
      <c r="AZ276" s="386"/>
      <c r="BA276" s="386"/>
      <c r="BB276" s="386"/>
      <c r="BC276" s="386"/>
      <c r="BD276" s="386"/>
      <c r="BE276" s="386"/>
      <c r="BF276" s="386"/>
      <c r="BG276" s="386"/>
      <c r="BH276" s="386"/>
      <c r="BI276" s="386"/>
      <c r="BJ276" s="386"/>
      <c r="BK276" s="386"/>
      <c r="BL276" s="386"/>
      <c r="BM276" s="386"/>
      <c r="BN276" s="386"/>
      <c r="BO276" s="386"/>
      <c r="BP276" s="386"/>
      <c r="BQ276" s="386"/>
      <c r="BR276" s="386"/>
      <c r="BS276" s="386"/>
      <c r="BT276" s="386"/>
      <c r="BU276" s="386"/>
      <c r="BV276" s="386"/>
      <c r="BW276" s="386"/>
      <c r="BX276" s="386"/>
      <c r="BY276" s="386"/>
      <c r="BZ276" s="386"/>
      <c r="CA276" s="386"/>
      <c r="CB276" s="386"/>
      <c r="CC276" s="386"/>
      <c r="CD276" s="386"/>
      <c r="CE276" s="386"/>
      <c r="CF276" s="386"/>
      <c r="CG276" s="386"/>
      <c r="CH276" s="386"/>
      <c r="CI276" s="386"/>
      <c r="CJ276" s="386"/>
      <c r="CK276" s="386"/>
      <c r="CL276" s="386"/>
    </row>
    <row r="277" spans="2:90" ht="12.75" customHeight="1" x14ac:dyDescent="0.15">
      <c r="B277" s="57"/>
      <c r="C277" s="57"/>
      <c r="D277" s="58"/>
      <c r="E277" s="59"/>
      <c r="F277" s="63"/>
      <c r="G277" s="63"/>
      <c r="H277" s="63"/>
      <c r="I277" s="63"/>
      <c r="J277" s="65"/>
      <c r="K277" s="392"/>
      <c r="L277" s="65"/>
      <c r="M277" s="65"/>
      <c r="N277" s="65"/>
      <c r="O277" s="386"/>
      <c r="P277" s="386"/>
      <c r="Q277" s="386"/>
      <c r="R277" s="386"/>
      <c r="S277" s="386"/>
      <c r="T277" s="386"/>
      <c r="U277" s="386"/>
      <c r="V277" s="386"/>
      <c r="W277" s="386"/>
      <c r="X277" s="386"/>
      <c r="Y277" s="386"/>
      <c r="Z277" s="386"/>
      <c r="AA277" s="386"/>
      <c r="AB277" s="386"/>
      <c r="AC277" s="386"/>
      <c r="AD277" s="386"/>
      <c r="AE277" s="386"/>
      <c r="AF277" s="386"/>
      <c r="AG277" s="386"/>
      <c r="AH277" s="386"/>
      <c r="AI277" s="386"/>
      <c r="AJ277" s="386"/>
      <c r="AK277" s="386"/>
      <c r="AL277" s="386"/>
      <c r="AM277" s="386"/>
      <c r="AN277" s="386"/>
      <c r="AO277" s="386"/>
      <c r="AP277" s="386"/>
      <c r="AQ277" s="386"/>
      <c r="AR277" s="386"/>
      <c r="AS277" s="386"/>
      <c r="AT277" s="386"/>
      <c r="AU277" s="386"/>
      <c r="AV277" s="386"/>
      <c r="AW277" s="386"/>
      <c r="AX277" s="386"/>
      <c r="AY277" s="386"/>
      <c r="AZ277" s="386"/>
      <c r="BA277" s="386"/>
      <c r="BB277" s="386"/>
      <c r="BC277" s="386"/>
      <c r="BD277" s="386"/>
      <c r="BE277" s="386"/>
      <c r="BF277" s="386"/>
      <c r="BG277" s="386"/>
      <c r="BH277" s="386"/>
      <c r="BI277" s="386"/>
      <c r="BJ277" s="386"/>
      <c r="BK277" s="386"/>
      <c r="BL277" s="386"/>
      <c r="BM277" s="386"/>
      <c r="BN277" s="386"/>
      <c r="BO277" s="386"/>
      <c r="BP277" s="386"/>
      <c r="BQ277" s="386"/>
      <c r="BR277" s="386"/>
      <c r="BS277" s="386"/>
      <c r="BT277" s="386"/>
      <c r="BU277" s="386"/>
      <c r="BV277" s="386"/>
      <c r="BW277" s="386"/>
      <c r="BX277" s="386"/>
      <c r="BY277" s="386"/>
      <c r="BZ277" s="386"/>
      <c r="CA277" s="386"/>
      <c r="CB277" s="386"/>
      <c r="CC277" s="386"/>
      <c r="CD277" s="386"/>
      <c r="CE277" s="386"/>
      <c r="CF277" s="386"/>
      <c r="CG277" s="386"/>
      <c r="CH277" s="386"/>
      <c r="CI277" s="386"/>
      <c r="CJ277" s="386"/>
      <c r="CK277" s="386"/>
      <c r="CL277" s="386"/>
    </row>
    <row r="278" spans="2:90" ht="12.75" customHeight="1" x14ac:dyDescent="0.15">
      <c r="B278" s="57"/>
      <c r="C278" s="57"/>
      <c r="D278" s="58"/>
      <c r="E278" s="59"/>
      <c r="F278" s="63"/>
      <c r="G278" s="63"/>
      <c r="H278" s="63"/>
      <c r="I278" s="63"/>
      <c r="J278" s="65"/>
      <c r="K278" s="392"/>
      <c r="L278" s="65"/>
      <c r="M278" s="65"/>
      <c r="N278" s="65"/>
      <c r="O278" s="386"/>
      <c r="P278" s="386"/>
      <c r="Q278" s="386"/>
      <c r="R278" s="386"/>
      <c r="S278" s="386"/>
      <c r="T278" s="386"/>
      <c r="U278" s="386"/>
      <c r="V278" s="386"/>
      <c r="W278" s="386"/>
      <c r="X278" s="386"/>
      <c r="Y278" s="386"/>
      <c r="Z278" s="386"/>
      <c r="AA278" s="386"/>
      <c r="AB278" s="386"/>
      <c r="AC278" s="386"/>
      <c r="AD278" s="386"/>
      <c r="AE278" s="386"/>
      <c r="AF278" s="386"/>
      <c r="AG278" s="386"/>
      <c r="AH278" s="386"/>
      <c r="AI278" s="386"/>
      <c r="AJ278" s="386"/>
      <c r="AK278" s="386"/>
      <c r="AL278" s="386"/>
      <c r="AM278" s="386"/>
      <c r="AN278" s="386"/>
      <c r="AO278" s="386"/>
      <c r="AP278" s="386"/>
      <c r="AQ278" s="386"/>
      <c r="AR278" s="386"/>
      <c r="AS278" s="386"/>
      <c r="AT278" s="386"/>
      <c r="AU278" s="386"/>
      <c r="AV278" s="386"/>
      <c r="AW278" s="386"/>
      <c r="AX278" s="386"/>
      <c r="AY278" s="386"/>
      <c r="AZ278" s="386"/>
      <c r="BA278" s="386"/>
      <c r="BB278" s="386"/>
      <c r="BC278" s="386"/>
      <c r="BD278" s="386"/>
      <c r="BE278" s="386"/>
      <c r="BF278" s="386"/>
      <c r="BG278" s="386"/>
      <c r="BH278" s="386"/>
      <c r="BI278" s="386"/>
      <c r="BJ278" s="386"/>
      <c r="BK278" s="386"/>
      <c r="BL278" s="386"/>
      <c r="BM278" s="386"/>
      <c r="BN278" s="386"/>
      <c r="BO278" s="386"/>
      <c r="BP278" s="386"/>
      <c r="BQ278" s="386"/>
      <c r="BR278" s="386"/>
      <c r="BS278" s="386"/>
      <c r="BT278" s="386"/>
      <c r="BU278" s="386"/>
      <c r="BV278" s="386"/>
      <c r="BW278" s="386"/>
      <c r="BX278" s="386"/>
      <c r="BY278" s="386"/>
      <c r="BZ278" s="386"/>
      <c r="CA278" s="386"/>
      <c r="CB278" s="386"/>
      <c r="CC278" s="386"/>
      <c r="CD278" s="386"/>
      <c r="CE278" s="386"/>
      <c r="CF278" s="386"/>
      <c r="CG278" s="386"/>
      <c r="CH278" s="386"/>
      <c r="CI278" s="386"/>
      <c r="CJ278" s="386"/>
      <c r="CK278" s="386"/>
      <c r="CL278" s="386"/>
    </row>
    <row r="279" spans="2:90" ht="12.75" customHeight="1" x14ac:dyDescent="0.15">
      <c r="B279" s="57"/>
      <c r="C279" s="57"/>
      <c r="D279" s="58"/>
      <c r="E279" s="59"/>
      <c r="F279" s="63"/>
      <c r="G279" s="63"/>
      <c r="H279" s="63"/>
      <c r="I279" s="63"/>
      <c r="J279" s="65"/>
      <c r="K279" s="392"/>
      <c r="L279" s="65"/>
      <c r="M279" s="65"/>
      <c r="N279" s="65"/>
      <c r="O279" s="386"/>
      <c r="P279" s="386"/>
      <c r="Q279" s="386"/>
      <c r="R279" s="386"/>
      <c r="S279" s="386"/>
      <c r="T279" s="386"/>
      <c r="U279" s="386"/>
      <c r="V279" s="386"/>
      <c r="W279" s="386"/>
      <c r="X279" s="386"/>
      <c r="Y279" s="386"/>
      <c r="Z279" s="386"/>
      <c r="AA279" s="386"/>
      <c r="AB279" s="386"/>
      <c r="AC279" s="386"/>
      <c r="AD279" s="386"/>
      <c r="AE279" s="386"/>
      <c r="AF279" s="386"/>
      <c r="AG279" s="386"/>
      <c r="AH279" s="386"/>
      <c r="AI279" s="386"/>
      <c r="AJ279" s="386"/>
      <c r="AK279" s="386"/>
      <c r="AL279" s="386"/>
      <c r="AM279" s="386"/>
      <c r="AN279" s="386"/>
      <c r="AO279" s="386"/>
      <c r="AP279" s="386"/>
      <c r="AQ279" s="386"/>
      <c r="AR279" s="386"/>
      <c r="AS279" s="386"/>
      <c r="AT279" s="386"/>
      <c r="AU279" s="386"/>
      <c r="AV279" s="386"/>
      <c r="AW279" s="386"/>
      <c r="AX279" s="386"/>
      <c r="AY279" s="386"/>
      <c r="AZ279" s="386"/>
      <c r="BA279" s="386"/>
      <c r="BB279" s="386"/>
      <c r="BC279" s="386"/>
      <c r="BD279" s="386"/>
      <c r="BE279" s="386"/>
      <c r="BF279" s="386"/>
      <c r="BG279" s="386"/>
      <c r="BH279" s="386"/>
      <c r="BI279" s="386"/>
      <c r="BJ279" s="386"/>
      <c r="BK279" s="386"/>
      <c r="BL279" s="386"/>
      <c r="BM279" s="386"/>
      <c r="BN279" s="386"/>
      <c r="BO279" s="386"/>
      <c r="BP279" s="386"/>
      <c r="BQ279" s="386"/>
      <c r="BR279" s="386"/>
      <c r="BS279" s="386"/>
      <c r="BT279" s="386"/>
      <c r="BU279" s="386"/>
      <c r="BV279" s="386"/>
      <c r="BW279" s="386"/>
      <c r="BX279" s="386"/>
      <c r="BY279" s="386"/>
      <c r="BZ279" s="386"/>
      <c r="CA279" s="386"/>
      <c r="CB279" s="386"/>
      <c r="CC279" s="386"/>
      <c r="CD279" s="386"/>
      <c r="CE279" s="386"/>
      <c r="CF279" s="386"/>
      <c r="CG279" s="386"/>
      <c r="CH279" s="386"/>
      <c r="CI279" s="386"/>
      <c r="CJ279" s="386"/>
      <c r="CK279" s="386"/>
      <c r="CL279" s="386"/>
    </row>
    <row r="280" spans="2:90" ht="12.75" customHeight="1" x14ac:dyDescent="0.15">
      <c r="B280" s="57"/>
      <c r="C280" s="57"/>
      <c r="D280" s="58"/>
      <c r="E280" s="59"/>
      <c r="F280" s="63"/>
      <c r="G280" s="63"/>
      <c r="H280" s="63"/>
      <c r="I280" s="63"/>
      <c r="J280" s="65"/>
      <c r="K280" s="392"/>
      <c r="L280" s="65"/>
      <c r="M280" s="65"/>
      <c r="N280" s="65"/>
      <c r="O280" s="386"/>
      <c r="P280" s="386"/>
      <c r="Q280" s="386"/>
      <c r="R280" s="386"/>
      <c r="S280" s="386"/>
      <c r="T280" s="386"/>
      <c r="U280" s="386"/>
      <c r="V280" s="386"/>
      <c r="W280" s="386"/>
      <c r="X280" s="386"/>
      <c r="Y280" s="386"/>
      <c r="Z280" s="386"/>
      <c r="AA280" s="386"/>
      <c r="AB280" s="386"/>
      <c r="AC280" s="386"/>
      <c r="AD280" s="386"/>
      <c r="AE280" s="386"/>
      <c r="AF280" s="386"/>
      <c r="AG280" s="386"/>
      <c r="AH280" s="386"/>
      <c r="AI280" s="386"/>
      <c r="AJ280" s="386"/>
      <c r="AK280" s="386"/>
      <c r="AL280" s="386"/>
      <c r="AM280" s="386"/>
      <c r="AN280" s="386"/>
      <c r="AO280" s="386"/>
      <c r="AP280" s="386"/>
      <c r="AQ280" s="386"/>
      <c r="AR280" s="386"/>
      <c r="AS280" s="386"/>
      <c r="AT280" s="386"/>
      <c r="AU280" s="386"/>
      <c r="AV280" s="386"/>
      <c r="AW280" s="386"/>
      <c r="AX280" s="386"/>
      <c r="AY280" s="386"/>
      <c r="AZ280" s="386"/>
      <c r="BA280" s="386"/>
      <c r="BB280" s="386"/>
      <c r="BC280" s="386"/>
      <c r="BD280" s="386"/>
      <c r="BE280" s="386"/>
      <c r="BF280" s="386"/>
      <c r="BG280" s="386"/>
      <c r="BH280" s="386"/>
      <c r="BI280" s="386"/>
      <c r="BJ280" s="386"/>
      <c r="BK280" s="386"/>
      <c r="BL280" s="386"/>
      <c r="BM280" s="386"/>
      <c r="BN280" s="386"/>
      <c r="BO280" s="386"/>
      <c r="BP280" s="386"/>
      <c r="BQ280" s="386"/>
      <c r="BR280" s="386"/>
      <c r="BS280" s="386"/>
      <c r="BT280" s="386"/>
      <c r="BU280" s="386"/>
      <c r="BV280" s="386"/>
      <c r="BW280" s="386"/>
      <c r="BX280" s="386"/>
      <c r="BY280" s="386"/>
      <c r="BZ280" s="386"/>
      <c r="CA280" s="386"/>
      <c r="CB280" s="386"/>
      <c r="CC280" s="386"/>
      <c r="CD280" s="386"/>
      <c r="CE280" s="386"/>
      <c r="CF280" s="386"/>
      <c r="CG280" s="386"/>
      <c r="CH280" s="386"/>
      <c r="CI280" s="386"/>
      <c r="CJ280" s="386"/>
      <c r="CK280" s="386"/>
      <c r="CL280" s="386"/>
    </row>
    <row r="281" spans="2:90" ht="12.75" customHeight="1" x14ac:dyDescent="0.15">
      <c r="B281" s="57"/>
      <c r="C281" s="57"/>
      <c r="D281" s="58"/>
      <c r="E281" s="59"/>
      <c r="F281" s="63"/>
      <c r="G281" s="63"/>
      <c r="H281" s="63"/>
      <c r="I281" s="63"/>
      <c r="J281" s="65"/>
      <c r="K281" s="392"/>
      <c r="L281" s="65"/>
      <c r="M281" s="65"/>
      <c r="N281" s="65"/>
      <c r="O281" s="386"/>
      <c r="P281" s="386"/>
      <c r="Q281" s="386"/>
      <c r="R281" s="386"/>
      <c r="S281" s="386"/>
      <c r="T281" s="386"/>
      <c r="U281" s="386"/>
      <c r="V281" s="386"/>
      <c r="W281" s="386"/>
      <c r="X281" s="386"/>
      <c r="Y281" s="386"/>
      <c r="Z281" s="386"/>
      <c r="AA281" s="386"/>
      <c r="AB281" s="386"/>
      <c r="AC281" s="386"/>
      <c r="AD281" s="386"/>
      <c r="AE281" s="386"/>
      <c r="AF281" s="386"/>
      <c r="AG281" s="386"/>
      <c r="AH281" s="386"/>
      <c r="AI281" s="386"/>
      <c r="AJ281" s="386"/>
      <c r="AK281" s="386"/>
      <c r="AL281" s="386"/>
      <c r="AM281" s="386"/>
      <c r="AN281" s="386"/>
      <c r="AO281" s="386"/>
      <c r="AP281" s="386"/>
      <c r="AQ281" s="386"/>
      <c r="AR281" s="386"/>
      <c r="AS281" s="386"/>
      <c r="AT281" s="386"/>
      <c r="AU281" s="386"/>
      <c r="AV281" s="386"/>
      <c r="AW281" s="386"/>
      <c r="AX281" s="386"/>
      <c r="AY281" s="386"/>
      <c r="AZ281" s="386"/>
      <c r="BA281" s="386"/>
      <c r="BB281" s="386"/>
      <c r="BC281" s="386"/>
      <c r="BD281" s="386"/>
      <c r="BE281" s="386"/>
      <c r="BF281" s="386"/>
      <c r="BG281" s="386"/>
      <c r="BH281" s="386"/>
      <c r="BI281" s="386"/>
      <c r="BJ281" s="386"/>
      <c r="BK281" s="386"/>
      <c r="BL281" s="386"/>
      <c r="BM281" s="386"/>
      <c r="BN281" s="386"/>
      <c r="BO281" s="386"/>
      <c r="BP281" s="386"/>
      <c r="BQ281" s="386"/>
      <c r="BR281" s="386"/>
      <c r="BS281" s="386"/>
      <c r="BT281" s="386"/>
      <c r="BU281" s="386"/>
      <c r="BV281" s="386"/>
      <c r="BW281" s="386"/>
      <c r="BX281" s="386"/>
      <c r="BY281" s="386"/>
      <c r="BZ281" s="386"/>
      <c r="CA281" s="386"/>
      <c r="CB281" s="386"/>
      <c r="CC281" s="386"/>
      <c r="CD281" s="386"/>
      <c r="CE281" s="386"/>
      <c r="CF281" s="386"/>
      <c r="CG281" s="386"/>
      <c r="CH281" s="386"/>
      <c r="CI281" s="386"/>
      <c r="CJ281" s="386"/>
      <c r="CK281" s="386"/>
      <c r="CL281" s="386"/>
    </row>
    <row r="282" spans="2:90" ht="12.75" customHeight="1" x14ac:dyDescent="0.15">
      <c r="B282" s="57"/>
      <c r="C282" s="57"/>
      <c r="D282" s="58"/>
      <c r="E282" s="59"/>
      <c r="F282" s="63"/>
      <c r="G282" s="63"/>
      <c r="H282" s="63"/>
      <c r="I282" s="63"/>
      <c r="J282" s="65"/>
      <c r="K282" s="392"/>
      <c r="L282" s="65"/>
      <c r="M282" s="65"/>
      <c r="N282" s="65"/>
      <c r="O282" s="386"/>
      <c r="P282" s="386"/>
      <c r="Q282" s="386"/>
      <c r="R282" s="386"/>
      <c r="S282" s="386"/>
      <c r="T282" s="386"/>
      <c r="U282" s="386"/>
      <c r="V282" s="386"/>
      <c r="W282" s="386"/>
      <c r="X282" s="386"/>
      <c r="Y282" s="386"/>
      <c r="Z282" s="386"/>
      <c r="AA282" s="386"/>
      <c r="AB282" s="386"/>
      <c r="AC282" s="386"/>
      <c r="AD282" s="386"/>
      <c r="AE282" s="386"/>
      <c r="AF282" s="386"/>
      <c r="AG282" s="386"/>
      <c r="AH282" s="386"/>
      <c r="AI282" s="386"/>
      <c r="AJ282" s="386"/>
      <c r="AK282" s="386"/>
      <c r="AL282" s="386"/>
      <c r="AM282" s="386"/>
      <c r="AN282" s="386"/>
      <c r="AO282" s="386"/>
      <c r="AP282" s="386"/>
      <c r="AQ282" s="386"/>
      <c r="AR282" s="386"/>
      <c r="AS282" s="386"/>
      <c r="AT282" s="386"/>
      <c r="AU282" s="386"/>
      <c r="AV282" s="386"/>
      <c r="AW282" s="386"/>
      <c r="AX282" s="386"/>
      <c r="AY282" s="386"/>
      <c r="AZ282" s="386"/>
      <c r="BA282" s="386"/>
      <c r="BB282" s="386"/>
      <c r="BC282" s="386"/>
      <c r="BD282" s="386"/>
      <c r="BE282" s="386"/>
      <c r="BF282" s="386"/>
      <c r="BG282" s="386"/>
      <c r="BH282" s="386"/>
      <c r="BI282" s="386"/>
      <c r="BJ282" s="386"/>
      <c r="BK282" s="386"/>
      <c r="BL282" s="386"/>
      <c r="BM282" s="386"/>
      <c r="BN282" s="386"/>
      <c r="BO282" s="386"/>
      <c r="BP282" s="386"/>
      <c r="BQ282" s="386"/>
      <c r="BR282" s="386"/>
      <c r="BS282" s="386"/>
      <c r="BT282" s="386"/>
      <c r="BU282" s="386"/>
      <c r="BV282" s="386"/>
      <c r="BW282" s="386"/>
      <c r="BX282" s="386"/>
      <c r="BY282" s="386"/>
      <c r="BZ282" s="386"/>
      <c r="CA282" s="386"/>
      <c r="CB282" s="386"/>
      <c r="CC282" s="386"/>
      <c r="CD282" s="386"/>
      <c r="CE282" s="386"/>
      <c r="CF282" s="386"/>
      <c r="CG282" s="386"/>
      <c r="CH282" s="386"/>
      <c r="CI282" s="386"/>
      <c r="CJ282" s="386"/>
      <c r="CK282" s="386"/>
      <c r="CL282" s="386"/>
    </row>
    <row r="283" spans="2:90" ht="12.75" customHeight="1" x14ac:dyDescent="0.15">
      <c r="B283" s="57"/>
      <c r="C283" s="57"/>
      <c r="D283" s="58"/>
      <c r="E283" s="59"/>
      <c r="F283" s="63"/>
      <c r="G283" s="63"/>
      <c r="H283" s="63"/>
      <c r="I283" s="63"/>
      <c r="J283" s="65"/>
      <c r="K283" s="392"/>
      <c r="L283" s="65"/>
      <c r="M283" s="65"/>
      <c r="N283" s="65"/>
      <c r="O283" s="386"/>
      <c r="P283" s="386"/>
      <c r="Q283" s="386"/>
      <c r="R283" s="386"/>
      <c r="S283" s="386"/>
      <c r="T283" s="386"/>
      <c r="U283" s="386"/>
      <c r="V283" s="386"/>
      <c r="W283" s="386"/>
      <c r="X283" s="386"/>
      <c r="Y283" s="386"/>
      <c r="Z283" s="386"/>
      <c r="AA283" s="386"/>
      <c r="AB283" s="386"/>
      <c r="AC283" s="386"/>
      <c r="AD283" s="386"/>
      <c r="AE283" s="386"/>
      <c r="AF283" s="386"/>
      <c r="AG283" s="386"/>
      <c r="AH283" s="386"/>
      <c r="AI283" s="386"/>
      <c r="AJ283" s="386"/>
      <c r="AK283" s="386"/>
      <c r="AL283" s="386"/>
      <c r="AM283" s="386"/>
      <c r="AN283" s="386"/>
      <c r="AO283" s="386"/>
      <c r="AP283" s="386"/>
      <c r="AQ283" s="386"/>
      <c r="AR283" s="386"/>
      <c r="AS283" s="386"/>
      <c r="AT283" s="386"/>
      <c r="AU283" s="386"/>
      <c r="AV283" s="386"/>
      <c r="AW283" s="386"/>
      <c r="AX283" s="386"/>
      <c r="AY283" s="386"/>
      <c r="AZ283" s="386"/>
      <c r="BA283" s="386"/>
      <c r="BB283" s="386"/>
      <c r="BC283" s="386"/>
      <c r="BD283" s="386"/>
      <c r="BE283" s="386"/>
      <c r="BF283" s="386"/>
      <c r="BG283" s="386"/>
      <c r="BH283" s="386"/>
      <c r="BI283" s="386"/>
      <c r="BJ283" s="386"/>
      <c r="BK283" s="386"/>
      <c r="BL283" s="386"/>
      <c r="BM283" s="386"/>
      <c r="BN283" s="386"/>
      <c r="BO283" s="386"/>
      <c r="BP283" s="386"/>
      <c r="BQ283" s="386"/>
      <c r="BR283" s="386"/>
      <c r="BS283" s="386"/>
      <c r="BT283" s="386"/>
      <c r="BU283" s="386"/>
      <c r="BV283" s="386"/>
      <c r="BW283" s="386"/>
      <c r="BX283" s="386"/>
      <c r="BY283" s="386"/>
      <c r="BZ283" s="386"/>
      <c r="CA283" s="386"/>
      <c r="CB283" s="386"/>
      <c r="CC283" s="386"/>
      <c r="CD283" s="386"/>
      <c r="CE283" s="386"/>
      <c r="CF283" s="386"/>
      <c r="CG283" s="386"/>
      <c r="CH283" s="386"/>
      <c r="CI283" s="386"/>
      <c r="CJ283" s="386"/>
      <c r="CK283" s="386"/>
      <c r="CL283" s="386"/>
    </row>
    <row r="284" spans="2:90" ht="12.75" customHeight="1" x14ac:dyDescent="0.15">
      <c r="B284" s="57"/>
      <c r="C284" s="57"/>
      <c r="D284" s="58"/>
      <c r="E284" s="59"/>
      <c r="F284" s="63"/>
      <c r="G284" s="63"/>
      <c r="H284" s="63"/>
      <c r="I284" s="63"/>
      <c r="J284" s="65"/>
      <c r="K284" s="392"/>
      <c r="L284" s="65"/>
      <c r="M284" s="65"/>
      <c r="N284" s="65"/>
      <c r="O284" s="386"/>
      <c r="P284" s="386"/>
      <c r="Q284" s="386"/>
      <c r="R284" s="386"/>
      <c r="S284" s="386"/>
      <c r="T284" s="386"/>
      <c r="U284" s="386"/>
      <c r="V284" s="386"/>
      <c r="W284" s="386"/>
      <c r="X284" s="386"/>
      <c r="Y284" s="386"/>
      <c r="Z284" s="386"/>
      <c r="AA284" s="386"/>
      <c r="AB284" s="386"/>
      <c r="AC284" s="386"/>
      <c r="AD284" s="386"/>
      <c r="AE284" s="386"/>
      <c r="AF284" s="386"/>
      <c r="AG284" s="386"/>
      <c r="AH284" s="386"/>
      <c r="AI284" s="386"/>
      <c r="AJ284" s="386"/>
      <c r="AK284" s="386"/>
      <c r="AL284" s="386"/>
      <c r="AM284" s="386"/>
      <c r="AN284" s="386"/>
      <c r="AO284" s="386"/>
      <c r="AP284" s="386"/>
      <c r="AQ284" s="386"/>
      <c r="AR284" s="386"/>
      <c r="AS284" s="386"/>
      <c r="AT284" s="386"/>
      <c r="AU284" s="386"/>
      <c r="AV284" s="386"/>
      <c r="AW284" s="386"/>
      <c r="AX284" s="386"/>
      <c r="AY284" s="386"/>
      <c r="AZ284" s="386"/>
      <c r="BA284" s="386"/>
      <c r="BB284" s="386"/>
      <c r="BC284" s="386"/>
      <c r="BD284" s="386"/>
      <c r="BE284" s="386"/>
      <c r="BF284" s="386"/>
      <c r="BG284" s="386"/>
      <c r="BH284" s="386"/>
      <c r="BI284" s="386"/>
      <c r="BJ284" s="386"/>
      <c r="BK284" s="386"/>
      <c r="BL284" s="386"/>
      <c r="BM284" s="386"/>
      <c r="BN284" s="386"/>
      <c r="BO284" s="386"/>
      <c r="BP284" s="386"/>
      <c r="BQ284" s="386"/>
      <c r="BR284" s="386"/>
      <c r="BS284" s="386"/>
      <c r="BT284" s="386"/>
      <c r="BU284" s="386"/>
      <c r="BV284" s="386"/>
      <c r="BW284" s="386"/>
      <c r="BX284" s="386"/>
      <c r="BY284" s="386"/>
      <c r="BZ284" s="386"/>
      <c r="CA284" s="386"/>
      <c r="CB284" s="386"/>
      <c r="CC284" s="386"/>
      <c r="CD284" s="386"/>
      <c r="CE284" s="386"/>
      <c r="CF284" s="386"/>
      <c r="CG284" s="386"/>
      <c r="CH284" s="386"/>
      <c r="CI284" s="386"/>
      <c r="CJ284" s="386"/>
      <c r="CK284" s="386"/>
      <c r="CL284" s="386"/>
    </row>
    <row r="285" spans="2:90" ht="12.75" customHeight="1" x14ac:dyDescent="0.15">
      <c r="B285" s="57"/>
      <c r="C285" s="57"/>
      <c r="D285" s="58"/>
      <c r="E285" s="59"/>
      <c r="F285" s="63"/>
      <c r="G285" s="63"/>
      <c r="H285" s="63"/>
      <c r="I285" s="63"/>
      <c r="J285" s="65"/>
      <c r="K285" s="392"/>
      <c r="L285" s="65"/>
      <c r="M285" s="65"/>
      <c r="N285" s="65"/>
      <c r="O285" s="386"/>
      <c r="P285" s="386"/>
      <c r="Q285" s="386"/>
      <c r="R285" s="386"/>
      <c r="S285" s="386"/>
      <c r="T285" s="386"/>
      <c r="U285" s="386"/>
      <c r="V285" s="386"/>
      <c r="W285" s="386"/>
      <c r="X285" s="386"/>
      <c r="Y285" s="386"/>
      <c r="Z285" s="386"/>
      <c r="AA285" s="386"/>
      <c r="AB285" s="386"/>
      <c r="AC285" s="386"/>
      <c r="AD285" s="386"/>
      <c r="AE285" s="386"/>
      <c r="AF285" s="386"/>
      <c r="AG285" s="386"/>
      <c r="AH285" s="386"/>
      <c r="AI285" s="386"/>
      <c r="AJ285" s="386"/>
      <c r="AK285" s="386"/>
      <c r="AL285" s="386"/>
      <c r="AM285" s="386"/>
      <c r="AN285" s="386"/>
      <c r="AO285" s="386"/>
      <c r="AP285" s="386"/>
      <c r="AQ285" s="386"/>
      <c r="AR285" s="386"/>
      <c r="AS285" s="386"/>
      <c r="AT285" s="386"/>
      <c r="AU285" s="386"/>
      <c r="AV285" s="386"/>
      <c r="AW285" s="386"/>
      <c r="AX285" s="386"/>
      <c r="AY285" s="386"/>
      <c r="AZ285" s="386"/>
      <c r="BA285" s="386"/>
      <c r="BB285" s="386"/>
      <c r="BC285" s="386"/>
      <c r="BD285" s="386"/>
      <c r="BE285" s="386"/>
      <c r="BF285" s="386"/>
      <c r="BG285" s="386"/>
      <c r="BH285" s="386"/>
      <c r="BI285" s="386"/>
      <c r="BJ285" s="386"/>
      <c r="BK285" s="386"/>
      <c r="BL285" s="386"/>
      <c r="BM285" s="386"/>
      <c r="BN285" s="386"/>
      <c r="BO285" s="386"/>
      <c r="BP285" s="386"/>
      <c r="BQ285" s="386"/>
      <c r="BR285" s="386"/>
      <c r="BS285" s="386"/>
      <c r="BT285" s="386"/>
      <c r="BU285" s="386"/>
      <c r="BV285" s="386"/>
      <c r="BW285" s="386"/>
      <c r="BX285" s="386"/>
      <c r="BY285" s="386"/>
      <c r="BZ285" s="386"/>
      <c r="CA285" s="386"/>
      <c r="CB285" s="386"/>
      <c r="CC285" s="386"/>
      <c r="CD285" s="386"/>
      <c r="CE285" s="386"/>
      <c r="CF285" s="386"/>
      <c r="CG285" s="386"/>
      <c r="CH285" s="386"/>
      <c r="CI285" s="386"/>
      <c r="CJ285" s="386"/>
      <c r="CK285" s="386"/>
      <c r="CL285" s="386"/>
    </row>
    <row r="286" spans="2:90" ht="12.75" customHeight="1" x14ac:dyDescent="0.15">
      <c r="B286" s="57"/>
      <c r="C286" s="57"/>
      <c r="D286" s="58"/>
      <c r="E286" s="59"/>
      <c r="F286" s="63"/>
      <c r="G286" s="63"/>
      <c r="H286" s="63"/>
      <c r="I286" s="63"/>
      <c r="J286" s="65"/>
      <c r="K286" s="392"/>
      <c r="L286" s="65"/>
      <c r="M286" s="65"/>
      <c r="N286" s="65"/>
      <c r="O286" s="386"/>
      <c r="P286" s="386"/>
      <c r="Q286" s="386"/>
      <c r="R286" s="386"/>
      <c r="S286" s="386"/>
      <c r="T286" s="386"/>
      <c r="U286" s="386"/>
      <c r="V286" s="386"/>
      <c r="W286" s="386"/>
      <c r="X286" s="386"/>
      <c r="Y286" s="386"/>
      <c r="Z286" s="386"/>
      <c r="AA286" s="386"/>
      <c r="AB286" s="386"/>
      <c r="AC286" s="386"/>
      <c r="AD286" s="386"/>
      <c r="AE286" s="386"/>
      <c r="AF286" s="386"/>
      <c r="AG286" s="386"/>
      <c r="AH286" s="386"/>
      <c r="AI286" s="386"/>
      <c r="AJ286" s="386"/>
      <c r="AK286" s="386"/>
      <c r="AL286" s="386"/>
      <c r="AM286" s="386"/>
      <c r="AN286" s="386"/>
      <c r="AO286" s="386"/>
      <c r="AP286" s="386"/>
      <c r="AQ286" s="386"/>
      <c r="AR286" s="386"/>
      <c r="AS286" s="386"/>
      <c r="AT286" s="386"/>
      <c r="AU286" s="386"/>
      <c r="AV286" s="386"/>
      <c r="AW286" s="386"/>
      <c r="AX286" s="386"/>
      <c r="AY286" s="386"/>
      <c r="AZ286" s="386"/>
      <c r="BA286" s="386"/>
      <c r="BB286" s="386"/>
      <c r="BC286" s="386"/>
      <c r="BD286" s="386"/>
      <c r="BE286" s="386"/>
      <c r="BF286" s="386"/>
      <c r="BG286" s="386"/>
      <c r="BH286" s="386"/>
      <c r="BI286" s="386"/>
      <c r="BJ286" s="386"/>
      <c r="BK286" s="386"/>
      <c r="BL286" s="386"/>
      <c r="BM286" s="386"/>
      <c r="BN286" s="386"/>
      <c r="BO286" s="386"/>
      <c r="BP286" s="386"/>
      <c r="BQ286" s="386"/>
      <c r="BR286" s="386"/>
      <c r="BS286" s="386"/>
      <c r="BT286" s="386"/>
      <c r="BU286" s="386"/>
      <c r="BV286" s="386"/>
      <c r="BW286" s="386"/>
      <c r="BX286" s="386"/>
      <c r="BY286" s="386"/>
      <c r="BZ286" s="386"/>
      <c r="CA286" s="386"/>
      <c r="CB286" s="386"/>
      <c r="CC286" s="386"/>
      <c r="CD286" s="386"/>
      <c r="CE286" s="386"/>
      <c r="CF286" s="386"/>
      <c r="CG286" s="386"/>
      <c r="CH286" s="386"/>
      <c r="CI286" s="386"/>
      <c r="CJ286" s="386"/>
      <c r="CK286" s="386"/>
      <c r="CL286" s="386"/>
    </row>
    <row r="287" spans="2:90" ht="12.75" customHeight="1" x14ac:dyDescent="0.15">
      <c r="B287" s="57"/>
      <c r="C287" s="57"/>
      <c r="D287" s="58"/>
      <c r="E287" s="59"/>
      <c r="F287" s="63"/>
      <c r="G287" s="63"/>
      <c r="H287" s="63"/>
      <c r="I287" s="63"/>
      <c r="J287" s="65"/>
      <c r="K287" s="392"/>
      <c r="L287" s="65"/>
      <c r="M287" s="65"/>
      <c r="N287" s="65"/>
      <c r="O287" s="386"/>
      <c r="P287" s="386"/>
      <c r="Q287" s="386"/>
      <c r="R287" s="386"/>
      <c r="S287" s="386"/>
      <c r="T287" s="386"/>
      <c r="U287" s="386"/>
      <c r="V287" s="386"/>
      <c r="W287" s="386"/>
      <c r="X287" s="386"/>
      <c r="Y287" s="386"/>
      <c r="Z287" s="386"/>
      <c r="AA287" s="386"/>
      <c r="AB287" s="386"/>
      <c r="AC287" s="386"/>
      <c r="AD287" s="386"/>
      <c r="AE287" s="386"/>
      <c r="AF287" s="386"/>
      <c r="AG287" s="386"/>
      <c r="AH287" s="386"/>
      <c r="AI287" s="386"/>
      <c r="AJ287" s="386"/>
      <c r="AK287" s="386"/>
      <c r="AL287" s="386"/>
      <c r="AM287" s="386"/>
      <c r="AN287" s="386"/>
      <c r="AO287" s="386"/>
      <c r="AP287" s="386"/>
      <c r="AQ287" s="386"/>
      <c r="AR287" s="386"/>
      <c r="AS287" s="386"/>
      <c r="AT287" s="386"/>
      <c r="AU287" s="386"/>
      <c r="AV287" s="386"/>
      <c r="AW287" s="386"/>
      <c r="AX287" s="386"/>
      <c r="AY287" s="386"/>
      <c r="AZ287" s="386"/>
      <c r="BA287" s="386"/>
      <c r="BB287" s="386"/>
      <c r="BC287" s="386"/>
      <c r="BD287" s="386"/>
      <c r="BE287" s="386"/>
      <c r="BF287" s="386"/>
      <c r="BG287" s="386"/>
      <c r="BH287" s="386"/>
      <c r="BI287" s="386"/>
      <c r="BJ287" s="386"/>
      <c r="BK287" s="386"/>
      <c r="BL287" s="386"/>
      <c r="BM287" s="386"/>
      <c r="BN287" s="386"/>
      <c r="BO287" s="386"/>
      <c r="BP287" s="386"/>
      <c r="BQ287" s="386"/>
      <c r="BR287" s="386"/>
      <c r="BS287" s="386"/>
      <c r="BT287" s="386"/>
      <c r="BU287" s="386"/>
      <c r="BV287" s="386"/>
      <c r="BW287" s="386"/>
      <c r="BX287" s="386"/>
      <c r="BY287" s="386"/>
      <c r="BZ287" s="386"/>
      <c r="CA287" s="386"/>
      <c r="CB287" s="386"/>
      <c r="CC287" s="386"/>
      <c r="CD287" s="386"/>
      <c r="CE287" s="386"/>
      <c r="CF287" s="386"/>
      <c r="CG287" s="386"/>
      <c r="CH287" s="386"/>
      <c r="CI287" s="386"/>
      <c r="CJ287" s="386"/>
      <c r="CK287" s="386"/>
      <c r="CL287" s="386"/>
    </row>
    <row r="288" spans="2:90" ht="12.75" customHeight="1" x14ac:dyDescent="0.15">
      <c r="B288" s="57"/>
      <c r="C288" s="57"/>
      <c r="D288" s="58"/>
      <c r="E288" s="59"/>
      <c r="F288" s="63"/>
      <c r="G288" s="63"/>
      <c r="H288" s="63"/>
      <c r="I288" s="63"/>
      <c r="J288" s="65"/>
      <c r="K288" s="392"/>
      <c r="L288" s="65"/>
      <c r="M288" s="65"/>
      <c r="N288" s="65"/>
      <c r="O288" s="386"/>
      <c r="P288" s="386"/>
      <c r="Q288" s="386"/>
      <c r="R288" s="386"/>
      <c r="S288" s="386"/>
      <c r="T288" s="386"/>
      <c r="U288" s="386"/>
      <c r="V288" s="386"/>
      <c r="W288" s="386"/>
      <c r="X288" s="386"/>
      <c r="Y288" s="386"/>
      <c r="Z288" s="386"/>
      <c r="AA288" s="386"/>
      <c r="AB288" s="386"/>
      <c r="AC288" s="386"/>
      <c r="AD288" s="386"/>
      <c r="AE288" s="386"/>
      <c r="AF288" s="386"/>
      <c r="AG288" s="386"/>
      <c r="AH288" s="386"/>
      <c r="AI288" s="386"/>
      <c r="AJ288" s="386"/>
      <c r="AK288" s="386"/>
      <c r="AL288" s="386"/>
      <c r="AM288" s="386"/>
      <c r="AN288" s="386"/>
      <c r="AO288" s="386"/>
      <c r="AP288" s="386"/>
      <c r="AQ288" s="386"/>
      <c r="AR288" s="386"/>
      <c r="AS288" s="386"/>
      <c r="AT288" s="386"/>
      <c r="AU288" s="386"/>
      <c r="AV288" s="386"/>
      <c r="AW288" s="386"/>
      <c r="AX288" s="386"/>
      <c r="AY288" s="386"/>
      <c r="AZ288" s="386"/>
      <c r="BA288" s="386"/>
      <c r="BB288" s="386"/>
      <c r="BC288" s="386"/>
      <c r="BD288" s="386"/>
      <c r="BE288" s="386"/>
      <c r="BF288" s="386"/>
      <c r="BG288" s="386"/>
      <c r="BH288" s="386"/>
      <c r="BI288" s="386"/>
      <c r="BJ288" s="386"/>
      <c r="BK288" s="386"/>
      <c r="BL288" s="386"/>
      <c r="BM288" s="386"/>
      <c r="BN288" s="386"/>
      <c r="BO288" s="386"/>
      <c r="BP288" s="386"/>
      <c r="BQ288" s="386"/>
      <c r="BR288" s="386"/>
      <c r="BS288" s="386"/>
      <c r="BT288" s="386"/>
      <c r="BU288" s="386"/>
      <c r="BV288" s="386"/>
      <c r="BW288" s="386"/>
      <c r="BX288" s="386"/>
      <c r="BY288" s="386"/>
      <c r="BZ288" s="386"/>
      <c r="CA288" s="386"/>
      <c r="CB288" s="386"/>
      <c r="CC288" s="386"/>
      <c r="CD288" s="386"/>
      <c r="CE288" s="386"/>
      <c r="CF288" s="386"/>
      <c r="CG288" s="386"/>
      <c r="CH288" s="386"/>
      <c r="CI288" s="386"/>
      <c r="CJ288" s="386"/>
      <c r="CK288" s="386"/>
      <c r="CL288" s="386"/>
    </row>
    <row r="289" spans="2:90" ht="12.75" customHeight="1" x14ac:dyDescent="0.15">
      <c r="B289" s="57"/>
      <c r="C289" s="57"/>
      <c r="D289" s="58"/>
      <c r="E289" s="59"/>
      <c r="F289" s="63"/>
      <c r="G289" s="63"/>
      <c r="H289" s="63"/>
      <c r="I289" s="63"/>
      <c r="J289" s="65"/>
      <c r="K289" s="392"/>
      <c r="L289" s="65"/>
      <c r="M289" s="65"/>
      <c r="N289" s="65"/>
      <c r="O289" s="386"/>
      <c r="P289" s="386"/>
      <c r="Q289" s="386"/>
      <c r="R289" s="386"/>
      <c r="S289" s="386"/>
      <c r="T289" s="386"/>
      <c r="U289" s="386"/>
      <c r="V289" s="386"/>
      <c r="W289" s="386"/>
      <c r="X289" s="386"/>
      <c r="Y289" s="386"/>
      <c r="Z289" s="386"/>
      <c r="AA289" s="386"/>
      <c r="AB289" s="386"/>
      <c r="AC289" s="386"/>
      <c r="AD289" s="386"/>
      <c r="AE289" s="386"/>
      <c r="AF289" s="386"/>
      <c r="AG289" s="386"/>
      <c r="AH289" s="386"/>
      <c r="AI289" s="386"/>
      <c r="AJ289" s="386"/>
      <c r="AK289" s="386"/>
      <c r="AL289" s="386"/>
      <c r="AM289" s="386"/>
      <c r="AN289" s="386"/>
      <c r="AO289" s="386"/>
      <c r="AP289" s="386"/>
      <c r="AQ289" s="386"/>
      <c r="AR289" s="386"/>
      <c r="AS289" s="386"/>
      <c r="AT289" s="386"/>
      <c r="AU289" s="386"/>
      <c r="AV289" s="386"/>
      <c r="AW289" s="386"/>
      <c r="AX289" s="386"/>
      <c r="AY289" s="386"/>
      <c r="AZ289" s="386"/>
      <c r="BA289" s="386"/>
      <c r="BB289" s="386"/>
      <c r="BC289" s="386"/>
      <c r="BD289" s="386"/>
      <c r="BE289" s="386"/>
      <c r="BF289" s="386"/>
      <c r="BG289" s="386"/>
      <c r="BH289" s="386"/>
      <c r="BI289" s="386"/>
      <c r="BJ289" s="386"/>
      <c r="BK289" s="386"/>
      <c r="BL289" s="386"/>
      <c r="BM289" s="386"/>
      <c r="BN289" s="386"/>
      <c r="BO289" s="386"/>
      <c r="BP289" s="386"/>
      <c r="BQ289" s="386"/>
      <c r="BR289" s="386"/>
      <c r="BS289" s="386"/>
      <c r="BT289" s="386"/>
      <c r="BU289" s="386"/>
      <c r="BV289" s="386"/>
      <c r="BW289" s="386"/>
      <c r="BX289" s="386"/>
      <c r="BY289" s="386"/>
      <c r="BZ289" s="386"/>
      <c r="CA289" s="386"/>
      <c r="CB289" s="386"/>
      <c r="CC289" s="386"/>
      <c r="CD289" s="386"/>
      <c r="CE289" s="386"/>
      <c r="CF289" s="386"/>
      <c r="CG289" s="386"/>
      <c r="CH289" s="386"/>
      <c r="CI289" s="386"/>
      <c r="CJ289" s="386"/>
      <c r="CK289" s="386"/>
      <c r="CL289" s="386"/>
    </row>
    <row r="290" spans="2:90" ht="12.75" customHeight="1" x14ac:dyDescent="0.15">
      <c r="B290" s="57"/>
      <c r="C290" s="57"/>
      <c r="D290" s="58"/>
      <c r="E290" s="59"/>
      <c r="F290" s="63"/>
      <c r="G290" s="63"/>
      <c r="H290" s="63"/>
      <c r="I290" s="63"/>
      <c r="J290" s="65"/>
      <c r="K290" s="392"/>
      <c r="L290" s="65"/>
      <c r="M290" s="65"/>
      <c r="N290" s="65"/>
      <c r="O290" s="386"/>
      <c r="P290" s="386"/>
      <c r="Q290" s="386"/>
      <c r="R290" s="386"/>
      <c r="S290" s="386"/>
      <c r="T290" s="386"/>
      <c r="U290" s="386"/>
      <c r="V290" s="386"/>
      <c r="W290" s="386"/>
      <c r="X290" s="386"/>
      <c r="Y290" s="386"/>
      <c r="Z290" s="386"/>
      <c r="AA290" s="386"/>
      <c r="AB290" s="386"/>
      <c r="AC290" s="386"/>
      <c r="AD290" s="386"/>
      <c r="AE290" s="386"/>
      <c r="AF290" s="386"/>
      <c r="AG290" s="386"/>
      <c r="AH290" s="386"/>
      <c r="AI290" s="386"/>
      <c r="AJ290" s="386"/>
      <c r="AK290" s="386"/>
      <c r="AL290" s="386"/>
      <c r="AM290" s="386"/>
      <c r="AN290" s="386"/>
      <c r="AO290" s="386"/>
      <c r="AP290" s="386"/>
      <c r="AQ290" s="386"/>
      <c r="AR290" s="386"/>
      <c r="AS290" s="386"/>
      <c r="AT290" s="386"/>
      <c r="AU290" s="386"/>
      <c r="AV290" s="386"/>
      <c r="AW290" s="386"/>
      <c r="AX290" s="386"/>
      <c r="AY290" s="386"/>
      <c r="AZ290" s="386"/>
      <c r="BA290" s="386"/>
      <c r="BB290" s="386"/>
      <c r="BC290" s="386"/>
      <c r="BD290" s="386"/>
      <c r="BE290" s="386"/>
      <c r="BF290" s="386"/>
      <c r="BG290" s="386"/>
      <c r="BH290" s="386"/>
      <c r="BI290" s="386"/>
      <c r="BJ290" s="386"/>
      <c r="BK290" s="386"/>
      <c r="BL290" s="386"/>
      <c r="BM290" s="386"/>
      <c r="BN290" s="386"/>
      <c r="BO290" s="386"/>
      <c r="BP290" s="386"/>
      <c r="BQ290" s="386"/>
      <c r="BR290" s="386"/>
      <c r="BS290" s="386"/>
      <c r="BT290" s="386"/>
      <c r="BU290" s="386"/>
      <c r="BV290" s="386"/>
      <c r="BW290" s="386"/>
      <c r="BX290" s="386"/>
      <c r="BY290" s="386"/>
      <c r="BZ290" s="386"/>
      <c r="CA290" s="386"/>
      <c r="CB290" s="386"/>
      <c r="CC290" s="386"/>
      <c r="CD290" s="386"/>
      <c r="CE290" s="386"/>
      <c r="CF290" s="386"/>
      <c r="CG290" s="386"/>
      <c r="CH290" s="386"/>
      <c r="CI290" s="386"/>
      <c r="CJ290" s="386"/>
      <c r="CK290" s="386"/>
      <c r="CL290" s="386"/>
    </row>
    <row r="291" spans="2:90" ht="12.75" customHeight="1" x14ac:dyDescent="0.15">
      <c r="B291" s="57"/>
      <c r="C291" s="57"/>
      <c r="D291" s="58"/>
      <c r="E291" s="59"/>
      <c r="F291" s="63"/>
      <c r="G291" s="63"/>
      <c r="H291" s="63"/>
      <c r="I291" s="63"/>
      <c r="J291" s="65"/>
      <c r="K291" s="392"/>
      <c r="L291" s="65"/>
      <c r="M291" s="65"/>
      <c r="N291" s="65"/>
      <c r="O291" s="386"/>
      <c r="P291" s="386"/>
      <c r="Q291" s="386"/>
      <c r="R291" s="386"/>
      <c r="S291" s="386"/>
      <c r="T291" s="386"/>
      <c r="U291" s="386"/>
      <c r="V291" s="386"/>
      <c r="W291" s="386"/>
      <c r="X291" s="386"/>
      <c r="Y291" s="386"/>
      <c r="Z291" s="386"/>
      <c r="AA291" s="386"/>
      <c r="AB291" s="386"/>
      <c r="AC291" s="386"/>
      <c r="AD291" s="386"/>
      <c r="AE291" s="386"/>
      <c r="AF291" s="386"/>
      <c r="AG291" s="386"/>
      <c r="AH291" s="386"/>
      <c r="AI291" s="386"/>
      <c r="AJ291" s="386"/>
      <c r="AK291" s="386"/>
      <c r="AL291" s="386"/>
      <c r="AM291" s="386"/>
      <c r="AN291" s="386"/>
      <c r="AO291" s="386"/>
      <c r="AP291" s="386"/>
      <c r="AQ291" s="386"/>
      <c r="AR291" s="386"/>
      <c r="AS291" s="386"/>
      <c r="AT291" s="386"/>
      <c r="AU291" s="386"/>
      <c r="AV291" s="386"/>
      <c r="AW291" s="386"/>
      <c r="AX291" s="386"/>
      <c r="AY291" s="386"/>
      <c r="AZ291" s="386"/>
      <c r="BA291" s="386"/>
      <c r="BB291" s="386"/>
      <c r="BC291" s="386"/>
      <c r="BD291" s="386"/>
      <c r="BE291" s="386"/>
      <c r="BF291" s="386"/>
      <c r="BG291" s="386"/>
      <c r="BH291" s="386"/>
      <c r="BI291" s="386"/>
      <c r="BJ291" s="386"/>
      <c r="BK291" s="386"/>
      <c r="BL291" s="386"/>
      <c r="BM291" s="386"/>
      <c r="BN291" s="386"/>
      <c r="BO291" s="386"/>
      <c r="BP291" s="386"/>
      <c r="BQ291" s="386"/>
      <c r="BR291" s="386"/>
      <c r="BS291" s="386"/>
      <c r="BT291" s="386"/>
      <c r="BU291" s="386"/>
      <c r="BV291" s="386"/>
      <c r="BW291" s="386"/>
      <c r="BX291" s="386"/>
      <c r="BY291" s="386"/>
      <c r="BZ291" s="386"/>
      <c r="CA291" s="386"/>
      <c r="CB291" s="386"/>
      <c r="CC291" s="386"/>
      <c r="CD291" s="386"/>
      <c r="CE291" s="386"/>
      <c r="CF291" s="386"/>
      <c r="CG291" s="386"/>
      <c r="CH291" s="386"/>
      <c r="CI291" s="386"/>
      <c r="CJ291" s="386"/>
      <c r="CK291" s="386"/>
      <c r="CL291" s="386"/>
    </row>
    <row r="292" spans="2:90" ht="12.75" customHeight="1" x14ac:dyDescent="0.15">
      <c r="B292" s="57"/>
      <c r="C292" s="57"/>
      <c r="D292" s="58"/>
      <c r="E292" s="59"/>
      <c r="F292" s="63"/>
      <c r="G292" s="63"/>
      <c r="H292" s="63"/>
      <c r="I292" s="63"/>
      <c r="J292" s="65"/>
      <c r="K292" s="392"/>
      <c r="L292" s="65"/>
      <c r="M292" s="65"/>
      <c r="N292" s="65"/>
      <c r="O292" s="386"/>
      <c r="P292" s="386"/>
      <c r="Q292" s="386"/>
      <c r="R292" s="386"/>
      <c r="S292" s="386"/>
      <c r="T292" s="386"/>
      <c r="U292" s="386"/>
      <c r="V292" s="386"/>
      <c r="W292" s="386"/>
      <c r="X292" s="386"/>
      <c r="Y292" s="386"/>
      <c r="Z292" s="386"/>
      <c r="AA292" s="386"/>
      <c r="AB292" s="386"/>
      <c r="AC292" s="386"/>
      <c r="AD292" s="386"/>
      <c r="AE292" s="386"/>
      <c r="AF292" s="386"/>
      <c r="AG292" s="386"/>
      <c r="AH292" s="386"/>
      <c r="AI292" s="386"/>
      <c r="AJ292" s="386"/>
      <c r="AK292" s="386"/>
      <c r="AL292" s="386"/>
      <c r="AM292" s="386"/>
      <c r="AN292" s="386"/>
      <c r="AO292" s="386"/>
      <c r="AP292" s="386"/>
      <c r="AQ292" s="386"/>
      <c r="AR292" s="386"/>
      <c r="AS292" s="386"/>
      <c r="AT292" s="386"/>
      <c r="AU292" s="386"/>
      <c r="AV292" s="386"/>
      <c r="AW292" s="386"/>
      <c r="AX292" s="386"/>
      <c r="AY292" s="386"/>
      <c r="AZ292" s="386"/>
      <c r="BA292" s="386"/>
      <c r="BB292" s="386"/>
      <c r="BC292" s="386"/>
      <c r="BD292" s="386"/>
      <c r="BE292" s="386"/>
      <c r="BF292" s="386"/>
      <c r="BG292" s="386"/>
      <c r="BH292" s="386"/>
      <c r="BI292" s="386"/>
      <c r="BJ292" s="386"/>
      <c r="BK292" s="386"/>
      <c r="BL292" s="386"/>
      <c r="BM292" s="386"/>
      <c r="BN292" s="386"/>
      <c r="BO292" s="386"/>
      <c r="BP292" s="386"/>
      <c r="BQ292" s="386"/>
      <c r="BR292" s="386"/>
      <c r="BS292" s="386"/>
      <c r="BT292" s="386"/>
      <c r="BU292" s="386"/>
      <c r="BV292" s="386"/>
      <c r="BW292" s="386"/>
      <c r="BX292" s="386"/>
      <c r="BY292" s="386"/>
      <c r="BZ292" s="386"/>
      <c r="CA292" s="386"/>
      <c r="CB292" s="386"/>
      <c r="CC292" s="386"/>
      <c r="CD292" s="386"/>
      <c r="CE292" s="386"/>
      <c r="CF292" s="386"/>
      <c r="CG292" s="386"/>
      <c r="CH292" s="386"/>
      <c r="CI292" s="386"/>
      <c r="CJ292" s="386"/>
      <c r="CK292" s="386"/>
      <c r="CL292" s="386"/>
    </row>
    <row r="293" spans="2:90" ht="12.75" customHeight="1" x14ac:dyDescent="0.15">
      <c r="B293" s="57"/>
      <c r="C293" s="57"/>
      <c r="D293" s="58"/>
      <c r="E293" s="59"/>
      <c r="F293" s="63"/>
      <c r="G293" s="63"/>
      <c r="H293" s="63"/>
      <c r="I293" s="63"/>
      <c r="J293" s="65"/>
      <c r="K293" s="392"/>
      <c r="L293" s="65"/>
      <c r="M293" s="65"/>
      <c r="N293" s="65"/>
      <c r="O293" s="386"/>
      <c r="P293" s="386"/>
      <c r="Q293" s="386"/>
      <c r="R293" s="386"/>
      <c r="S293" s="386"/>
      <c r="T293" s="386"/>
      <c r="U293" s="386"/>
      <c r="V293" s="386"/>
      <c r="W293" s="386"/>
      <c r="X293" s="386"/>
      <c r="Y293" s="386"/>
      <c r="Z293" s="386"/>
      <c r="AA293" s="386"/>
      <c r="AB293" s="386"/>
      <c r="AC293" s="386"/>
      <c r="AD293" s="386"/>
      <c r="AE293" s="386"/>
      <c r="AF293" s="386"/>
      <c r="AG293" s="386"/>
      <c r="AH293" s="386"/>
      <c r="AI293" s="386"/>
      <c r="AJ293" s="386"/>
      <c r="AK293" s="386"/>
      <c r="AL293" s="386"/>
      <c r="AM293" s="386"/>
      <c r="AN293" s="386"/>
      <c r="AO293" s="386"/>
      <c r="AP293" s="386"/>
      <c r="AQ293" s="386"/>
      <c r="AR293" s="386"/>
      <c r="AS293" s="386"/>
      <c r="AT293" s="386"/>
      <c r="AU293" s="386"/>
      <c r="AV293" s="386"/>
      <c r="AW293" s="386"/>
      <c r="AX293" s="386"/>
      <c r="AY293" s="386"/>
      <c r="AZ293" s="386"/>
      <c r="BA293" s="386"/>
      <c r="BB293" s="386"/>
      <c r="BC293" s="386"/>
      <c r="BD293" s="386"/>
      <c r="BE293" s="386"/>
      <c r="BF293" s="386"/>
      <c r="BG293" s="386"/>
      <c r="BH293" s="386"/>
      <c r="BI293" s="386"/>
      <c r="BJ293" s="386"/>
      <c r="BK293" s="386"/>
      <c r="BL293" s="386"/>
      <c r="BM293" s="386"/>
      <c r="BN293" s="386"/>
      <c r="BO293" s="386"/>
      <c r="BP293" s="386"/>
      <c r="BQ293" s="386"/>
      <c r="BR293" s="386"/>
      <c r="BS293" s="386"/>
      <c r="BT293" s="386"/>
      <c r="BU293" s="386"/>
      <c r="BV293" s="386"/>
      <c r="BW293" s="386"/>
      <c r="BX293" s="386"/>
      <c r="BY293" s="386"/>
      <c r="BZ293" s="386"/>
      <c r="CA293" s="386"/>
      <c r="CB293" s="386"/>
      <c r="CC293" s="386"/>
      <c r="CD293" s="386"/>
      <c r="CE293" s="386"/>
      <c r="CF293" s="386"/>
      <c r="CG293" s="386"/>
      <c r="CH293" s="386"/>
      <c r="CI293" s="386"/>
      <c r="CJ293" s="386"/>
      <c r="CK293" s="386"/>
      <c r="CL293" s="386"/>
    </row>
    <row r="294" spans="2:90" ht="12.75" customHeight="1" x14ac:dyDescent="0.15">
      <c r="B294" s="57"/>
      <c r="C294" s="57"/>
      <c r="D294" s="58"/>
      <c r="E294" s="59"/>
      <c r="F294" s="63"/>
      <c r="G294" s="63"/>
      <c r="H294" s="63"/>
      <c r="I294" s="63"/>
      <c r="J294" s="65"/>
      <c r="K294" s="392"/>
      <c r="L294" s="65"/>
      <c r="M294" s="65"/>
      <c r="N294" s="65"/>
      <c r="O294" s="386"/>
      <c r="P294" s="386"/>
      <c r="Q294" s="386"/>
      <c r="R294" s="386"/>
      <c r="S294" s="386"/>
      <c r="T294" s="386"/>
      <c r="U294" s="386"/>
      <c r="V294" s="386"/>
      <c r="W294" s="386"/>
      <c r="X294" s="386"/>
      <c r="Y294" s="386"/>
      <c r="Z294" s="386"/>
      <c r="AA294" s="386"/>
      <c r="AB294" s="386"/>
      <c r="AC294" s="386"/>
      <c r="AD294" s="386"/>
      <c r="AE294" s="386"/>
      <c r="AF294" s="386"/>
      <c r="AG294" s="386"/>
      <c r="AH294" s="386"/>
      <c r="AI294" s="386"/>
      <c r="AJ294" s="386"/>
      <c r="AK294" s="386"/>
      <c r="AL294" s="386"/>
      <c r="AM294" s="386"/>
      <c r="AN294" s="386"/>
      <c r="AO294" s="386"/>
      <c r="AP294" s="386"/>
      <c r="AQ294" s="386"/>
      <c r="AR294" s="386"/>
      <c r="AS294" s="386"/>
      <c r="AT294" s="386"/>
      <c r="AU294" s="386"/>
      <c r="AV294" s="386"/>
      <c r="AW294" s="386"/>
      <c r="AX294" s="386"/>
      <c r="AY294" s="386"/>
      <c r="AZ294" s="386"/>
      <c r="BA294" s="386"/>
      <c r="BB294" s="386"/>
      <c r="BC294" s="386"/>
      <c r="BD294" s="386"/>
      <c r="BE294" s="386"/>
      <c r="BF294" s="386"/>
      <c r="BG294" s="386"/>
      <c r="BH294" s="386"/>
      <c r="BI294" s="386"/>
      <c r="BJ294" s="386"/>
      <c r="BK294" s="386"/>
      <c r="BL294" s="386"/>
      <c r="BM294" s="386"/>
      <c r="BN294" s="386"/>
      <c r="BO294" s="386"/>
      <c r="BP294" s="386"/>
      <c r="BQ294" s="386"/>
      <c r="BR294" s="386"/>
      <c r="BS294" s="386"/>
      <c r="BT294" s="386"/>
      <c r="BU294" s="386"/>
      <c r="BV294" s="386"/>
      <c r="BW294" s="386"/>
      <c r="BX294" s="386"/>
      <c r="BY294" s="386"/>
      <c r="BZ294" s="386"/>
      <c r="CA294" s="386"/>
      <c r="CB294" s="386"/>
      <c r="CC294" s="386"/>
      <c r="CD294" s="386"/>
      <c r="CE294" s="386"/>
      <c r="CF294" s="386"/>
      <c r="CG294" s="386"/>
      <c r="CH294" s="386"/>
      <c r="CI294" s="386"/>
      <c r="CJ294" s="386"/>
      <c r="CK294" s="386"/>
      <c r="CL294" s="386"/>
    </row>
    <row r="295" spans="2:90" ht="12.75" customHeight="1" x14ac:dyDescent="0.15">
      <c r="B295" s="57"/>
      <c r="C295" s="57"/>
      <c r="D295" s="58"/>
      <c r="E295" s="59"/>
      <c r="F295" s="63"/>
      <c r="G295" s="63"/>
      <c r="H295" s="63"/>
      <c r="I295" s="63"/>
      <c r="J295" s="65"/>
      <c r="K295" s="392"/>
      <c r="L295" s="65"/>
      <c r="M295" s="65"/>
      <c r="N295" s="65"/>
      <c r="O295" s="386"/>
      <c r="P295" s="386"/>
      <c r="Q295" s="386"/>
      <c r="R295" s="386"/>
      <c r="S295" s="386"/>
      <c r="T295" s="386"/>
      <c r="U295" s="386"/>
      <c r="V295" s="386"/>
      <c r="W295" s="386"/>
      <c r="X295" s="386"/>
      <c r="Y295" s="386"/>
      <c r="Z295" s="386"/>
      <c r="AA295" s="386"/>
      <c r="AB295" s="386"/>
      <c r="AC295" s="386"/>
      <c r="AD295" s="386"/>
      <c r="AE295" s="386"/>
      <c r="AF295" s="386"/>
      <c r="AG295" s="386"/>
      <c r="AH295" s="386"/>
      <c r="AI295" s="386"/>
      <c r="AJ295" s="386"/>
      <c r="AK295" s="386"/>
      <c r="AL295" s="386"/>
      <c r="AM295" s="386"/>
      <c r="AN295" s="386"/>
      <c r="AO295" s="386"/>
      <c r="AP295" s="386"/>
      <c r="AQ295" s="386"/>
      <c r="AR295" s="386"/>
      <c r="AS295" s="386"/>
      <c r="AT295" s="386"/>
      <c r="AU295" s="386"/>
      <c r="AV295" s="386"/>
      <c r="AW295" s="386"/>
      <c r="AX295" s="386"/>
      <c r="AY295" s="386"/>
      <c r="AZ295" s="386"/>
      <c r="BA295" s="386"/>
      <c r="BB295" s="386"/>
      <c r="BC295" s="386"/>
      <c r="BD295" s="386"/>
      <c r="BE295" s="386"/>
      <c r="BF295" s="386"/>
      <c r="BG295" s="386"/>
      <c r="BH295" s="386"/>
      <c r="BI295" s="386"/>
      <c r="BJ295" s="386"/>
      <c r="BK295" s="386"/>
      <c r="BL295" s="386"/>
      <c r="BM295" s="386"/>
      <c r="BN295" s="386"/>
      <c r="BO295" s="386"/>
      <c r="BP295" s="386"/>
      <c r="BQ295" s="386"/>
      <c r="BR295" s="386"/>
      <c r="BS295" s="386"/>
      <c r="BT295" s="386"/>
      <c r="BU295" s="386"/>
      <c r="BV295" s="386"/>
      <c r="BW295" s="386"/>
      <c r="BX295" s="386"/>
      <c r="BY295" s="386"/>
      <c r="BZ295" s="386"/>
      <c r="CA295" s="386"/>
      <c r="CB295" s="386"/>
      <c r="CC295" s="386"/>
      <c r="CD295" s="386"/>
      <c r="CE295" s="386"/>
      <c r="CF295" s="386"/>
      <c r="CG295" s="386"/>
      <c r="CH295" s="386"/>
      <c r="CI295" s="386"/>
      <c r="CJ295" s="386"/>
      <c r="CK295" s="386"/>
      <c r="CL295" s="386"/>
    </row>
    <row r="296" spans="2:90" ht="12.75" customHeight="1" x14ac:dyDescent="0.15">
      <c r="B296" s="57"/>
      <c r="C296" s="57"/>
      <c r="D296" s="58"/>
      <c r="E296" s="59"/>
      <c r="F296" s="63"/>
      <c r="G296" s="63"/>
      <c r="H296" s="63"/>
      <c r="I296" s="63"/>
      <c r="J296" s="65"/>
      <c r="K296" s="392"/>
      <c r="L296" s="65"/>
      <c r="M296" s="65"/>
      <c r="N296" s="65"/>
      <c r="O296" s="386"/>
      <c r="P296" s="386"/>
      <c r="Q296" s="386"/>
      <c r="R296" s="386"/>
      <c r="S296" s="386"/>
      <c r="T296" s="386"/>
      <c r="U296" s="386"/>
      <c r="V296" s="386"/>
      <c r="W296" s="386"/>
      <c r="X296" s="386"/>
      <c r="Y296" s="386"/>
      <c r="Z296" s="386"/>
      <c r="AA296" s="386"/>
      <c r="AB296" s="386"/>
      <c r="AC296" s="386"/>
      <c r="AD296" s="386"/>
      <c r="AE296" s="386"/>
      <c r="AF296" s="386"/>
      <c r="AG296" s="386"/>
      <c r="AH296" s="386"/>
      <c r="AI296" s="386"/>
      <c r="AJ296" s="386"/>
      <c r="AK296" s="386"/>
      <c r="AL296" s="386"/>
      <c r="AM296" s="386"/>
      <c r="AN296" s="386"/>
      <c r="AO296" s="386"/>
      <c r="AP296" s="386"/>
      <c r="AQ296" s="386"/>
      <c r="AR296" s="386"/>
      <c r="AS296" s="386"/>
      <c r="AT296" s="386"/>
      <c r="AU296" s="386"/>
      <c r="AV296" s="386"/>
      <c r="AW296" s="386"/>
      <c r="AX296" s="386"/>
      <c r="AY296" s="386"/>
      <c r="AZ296" s="386"/>
      <c r="BA296" s="386"/>
      <c r="BB296" s="386"/>
      <c r="BC296" s="386"/>
      <c r="BD296" s="386"/>
      <c r="BE296" s="386"/>
      <c r="BF296" s="386"/>
      <c r="BG296" s="386"/>
      <c r="BH296" s="386"/>
      <c r="BI296" s="386"/>
      <c r="BJ296" s="386"/>
      <c r="BK296" s="386"/>
      <c r="BL296" s="386"/>
      <c r="BM296" s="386"/>
      <c r="BN296" s="386"/>
      <c r="BO296" s="386"/>
      <c r="BP296" s="386"/>
      <c r="BQ296" s="386"/>
      <c r="BR296" s="386"/>
      <c r="BS296" s="386"/>
      <c r="BT296" s="386"/>
      <c r="BU296" s="386"/>
      <c r="BV296" s="386"/>
      <c r="BW296" s="386"/>
      <c r="BX296" s="386"/>
      <c r="BY296" s="386"/>
      <c r="BZ296" s="386"/>
      <c r="CA296" s="386"/>
      <c r="CB296" s="386"/>
      <c r="CC296" s="386"/>
      <c r="CD296" s="386"/>
      <c r="CE296" s="386"/>
      <c r="CF296" s="386"/>
      <c r="CG296" s="386"/>
      <c r="CH296" s="386"/>
      <c r="CI296" s="386"/>
      <c r="CJ296" s="386"/>
      <c r="CK296" s="386"/>
      <c r="CL296" s="386"/>
    </row>
    <row r="297" spans="2:90" ht="12.75" customHeight="1" x14ac:dyDescent="0.15">
      <c r="B297" s="57"/>
      <c r="C297" s="57"/>
      <c r="D297" s="58"/>
      <c r="E297" s="59"/>
      <c r="F297" s="63"/>
      <c r="G297" s="63"/>
      <c r="H297" s="63"/>
      <c r="I297" s="63"/>
      <c r="J297" s="65"/>
      <c r="K297" s="392"/>
      <c r="L297" s="65"/>
      <c r="M297" s="65"/>
      <c r="N297" s="65"/>
      <c r="O297" s="386"/>
      <c r="P297" s="386"/>
      <c r="Q297" s="386"/>
      <c r="R297" s="386"/>
      <c r="S297" s="386"/>
      <c r="T297" s="386"/>
      <c r="U297" s="386"/>
      <c r="V297" s="386"/>
      <c r="W297" s="386"/>
      <c r="X297" s="386"/>
      <c r="Y297" s="386"/>
      <c r="Z297" s="386"/>
      <c r="AA297" s="386"/>
      <c r="AB297" s="386"/>
      <c r="AC297" s="386"/>
      <c r="AD297" s="386"/>
      <c r="AE297" s="386"/>
      <c r="AF297" s="386"/>
      <c r="AG297" s="386"/>
      <c r="AH297" s="386"/>
      <c r="AI297" s="386"/>
      <c r="AJ297" s="386"/>
      <c r="AK297" s="386"/>
      <c r="AL297" s="386"/>
      <c r="AM297" s="386"/>
      <c r="AN297" s="386"/>
      <c r="AO297" s="386"/>
      <c r="AP297" s="386"/>
      <c r="AQ297" s="386"/>
      <c r="AR297" s="386"/>
      <c r="AS297" s="386"/>
      <c r="AT297" s="386"/>
      <c r="AU297" s="386"/>
      <c r="AV297" s="386"/>
      <c r="AW297" s="386"/>
      <c r="AX297" s="386"/>
      <c r="AY297" s="386"/>
      <c r="AZ297" s="386"/>
      <c r="BA297" s="386"/>
      <c r="BB297" s="386"/>
      <c r="BC297" s="386"/>
      <c r="BD297" s="386"/>
      <c r="BE297" s="386"/>
      <c r="BF297" s="386"/>
      <c r="BG297" s="386"/>
      <c r="BH297" s="386"/>
      <c r="BI297" s="386"/>
      <c r="BJ297" s="386"/>
      <c r="BK297" s="386"/>
      <c r="BL297" s="386"/>
      <c r="BM297" s="386"/>
      <c r="BN297" s="386"/>
      <c r="BO297" s="386"/>
      <c r="BP297" s="386"/>
      <c r="BQ297" s="386"/>
      <c r="BR297" s="386"/>
      <c r="BS297" s="386"/>
      <c r="BT297" s="386"/>
      <c r="BU297" s="386"/>
      <c r="BV297" s="386"/>
      <c r="BW297" s="386"/>
      <c r="BX297" s="386"/>
      <c r="BY297" s="386"/>
      <c r="BZ297" s="386"/>
      <c r="CA297" s="386"/>
      <c r="CB297" s="386"/>
      <c r="CC297" s="386"/>
      <c r="CD297" s="386"/>
      <c r="CE297" s="386"/>
      <c r="CF297" s="386"/>
      <c r="CG297" s="386"/>
      <c r="CH297" s="386"/>
      <c r="CI297" s="386"/>
      <c r="CJ297" s="386"/>
      <c r="CK297" s="386"/>
      <c r="CL297" s="386"/>
    </row>
    <row r="298" spans="2:90" ht="12.75" customHeight="1" x14ac:dyDescent="0.15">
      <c r="B298" s="57"/>
      <c r="C298" s="57"/>
      <c r="D298" s="58"/>
      <c r="E298" s="59"/>
      <c r="F298" s="63"/>
      <c r="G298" s="63"/>
      <c r="H298" s="63"/>
      <c r="I298" s="63"/>
      <c r="J298" s="65"/>
      <c r="K298" s="392"/>
      <c r="L298" s="65"/>
      <c r="M298" s="65"/>
      <c r="N298" s="65"/>
      <c r="O298" s="386"/>
      <c r="P298" s="386"/>
      <c r="Q298" s="386"/>
      <c r="R298" s="386"/>
      <c r="S298" s="386"/>
      <c r="T298" s="386"/>
      <c r="U298" s="386"/>
      <c r="V298" s="386"/>
      <c r="W298" s="386"/>
      <c r="X298" s="386"/>
      <c r="Y298" s="386"/>
      <c r="Z298" s="386"/>
      <c r="AA298" s="386"/>
      <c r="AB298" s="386"/>
      <c r="AC298" s="386"/>
      <c r="AD298" s="386"/>
      <c r="AE298" s="386"/>
      <c r="AF298" s="386"/>
      <c r="AG298" s="386"/>
      <c r="AH298" s="386"/>
      <c r="AI298" s="386"/>
      <c r="AJ298" s="386"/>
      <c r="AK298" s="386"/>
      <c r="AL298" s="386"/>
      <c r="AM298" s="386"/>
      <c r="AN298" s="386"/>
      <c r="AO298" s="386"/>
      <c r="AP298" s="386"/>
      <c r="AQ298" s="386"/>
      <c r="AR298" s="386"/>
      <c r="AS298" s="386"/>
      <c r="AT298" s="386"/>
      <c r="AU298" s="386"/>
      <c r="AV298" s="386"/>
      <c r="AW298" s="386"/>
      <c r="AX298" s="386"/>
      <c r="AY298" s="386"/>
      <c r="AZ298" s="386"/>
      <c r="BA298" s="386"/>
      <c r="BB298" s="386"/>
      <c r="BC298" s="386"/>
      <c r="BD298" s="386"/>
      <c r="BE298" s="386"/>
      <c r="BF298" s="386"/>
      <c r="BG298" s="386"/>
      <c r="BH298" s="386"/>
      <c r="BI298" s="386"/>
      <c r="BJ298" s="386"/>
      <c r="BK298" s="386"/>
      <c r="BL298" s="386"/>
      <c r="BM298" s="386"/>
      <c r="BN298" s="386"/>
      <c r="BO298" s="386"/>
      <c r="BP298" s="386"/>
      <c r="BQ298" s="386"/>
      <c r="BR298" s="386"/>
      <c r="BS298" s="386"/>
      <c r="BT298" s="386"/>
      <c r="BU298" s="386"/>
      <c r="BV298" s="386"/>
      <c r="BW298" s="386"/>
      <c r="BX298" s="386"/>
      <c r="BY298" s="386"/>
      <c r="BZ298" s="386"/>
      <c r="CA298" s="386"/>
      <c r="CB298" s="386"/>
      <c r="CC298" s="386"/>
      <c r="CD298" s="386"/>
      <c r="CE298" s="386"/>
      <c r="CF298" s="386"/>
      <c r="CG298" s="386"/>
      <c r="CH298" s="386"/>
      <c r="CI298" s="386"/>
      <c r="CJ298" s="386"/>
      <c r="CK298" s="386"/>
      <c r="CL298" s="386"/>
    </row>
    <row r="299" spans="2:90" ht="12.75" customHeight="1" x14ac:dyDescent="0.15">
      <c r="B299" s="57"/>
      <c r="C299" s="57"/>
      <c r="D299" s="58"/>
      <c r="E299" s="59"/>
      <c r="F299" s="63"/>
      <c r="G299" s="63"/>
      <c r="H299" s="63"/>
      <c r="I299" s="63"/>
      <c r="J299" s="65"/>
      <c r="K299" s="392"/>
      <c r="L299" s="65"/>
      <c r="M299" s="65"/>
      <c r="N299" s="65"/>
      <c r="O299" s="386"/>
      <c r="P299" s="386"/>
      <c r="Q299" s="386"/>
      <c r="R299" s="386"/>
      <c r="S299" s="386"/>
      <c r="T299" s="386"/>
      <c r="U299" s="386"/>
      <c r="V299" s="386"/>
      <c r="W299" s="386"/>
      <c r="X299" s="386"/>
      <c r="Y299" s="386"/>
      <c r="Z299" s="386"/>
      <c r="AA299" s="386"/>
      <c r="AB299" s="386"/>
      <c r="AC299" s="386"/>
      <c r="AD299" s="386"/>
      <c r="AE299" s="386"/>
      <c r="AF299" s="386"/>
      <c r="AG299" s="386"/>
      <c r="AH299" s="386"/>
      <c r="AI299" s="386"/>
      <c r="AJ299" s="386"/>
      <c r="AK299" s="386"/>
      <c r="AL299" s="386"/>
      <c r="AM299" s="386"/>
      <c r="AN299" s="386"/>
      <c r="AO299" s="386"/>
      <c r="AP299" s="386"/>
      <c r="AQ299" s="386"/>
      <c r="AR299" s="386"/>
      <c r="AS299" s="386"/>
      <c r="AT299" s="386"/>
      <c r="AU299" s="386"/>
      <c r="AV299" s="386"/>
      <c r="AW299" s="386"/>
      <c r="AX299" s="386"/>
      <c r="AY299" s="386"/>
      <c r="AZ299" s="386"/>
      <c r="BA299" s="386"/>
      <c r="BB299" s="386"/>
      <c r="BC299" s="386"/>
      <c r="BD299" s="386"/>
      <c r="BE299" s="386"/>
      <c r="BF299" s="386"/>
      <c r="BG299" s="386"/>
      <c r="BH299" s="386"/>
      <c r="BI299" s="386"/>
      <c r="BJ299" s="386"/>
      <c r="BK299" s="386"/>
      <c r="BL299" s="386"/>
      <c r="BM299" s="386"/>
      <c r="BN299" s="386"/>
      <c r="BO299" s="386"/>
      <c r="BP299" s="386"/>
      <c r="BQ299" s="386"/>
      <c r="BR299" s="386"/>
      <c r="BS299" s="386"/>
      <c r="BT299" s="386"/>
      <c r="BU299" s="386"/>
      <c r="BV299" s="386"/>
      <c r="BW299" s="386"/>
      <c r="BX299" s="386"/>
      <c r="BY299" s="386"/>
      <c r="BZ299" s="386"/>
      <c r="CA299" s="386"/>
      <c r="CB299" s="386"/>
      <c r="CC299" s="386"/>
      <c r="CD299" s="386"/>
      <c r="CE299" s="386"/>
      <c r="CF299" s="386"/>
      <c r="CG299" s="386"/>
      <c r="CH299" s="386"/>
      <c r="CI299" s="386"/>
      <c r="CJ299" s="386"/>
      <c r="CK299" s="386"/>
      <c r="CL299" s="386"/>
    </row>
    <row r="300" spans="2:90" ht="12.75" customHeight="1" x14ac:dyDescent="0.15">
      <c r="B300" s="57"/>
      <c r="C300" s="57"/>
      <c r="D300" s="58"/>
      <c r="E300" s="59"/>
      <c r="F300" s="63"/>
      <c r="G300" s="63"/>
      <c r="H300" s="63"/>
      <c r="I300" s="63"/>
      <c r="J300" s="65"/>
      <c r="K300" s="392"/>
      <c r="L300" s="65"/>
      <c r="M300" s="65"/>
      <c r="N300" s="65"/>
      <c r="O300" s="386"/>
      <c r="P300" s="386"/>
      <c r="Q300" s="386"/>
      <c r="R300" s="386"/>
      <c r="S300" s="386"/>
      <c r="T300" s="386"/>
      <c r="U300" s="386"/>
      <c r="V300" s="386"/>
      <c r="W300" s="386"/>
      <c r="X300" s="386"/>
      <c r="Y300" s="386"/>
      <c r="Z300" s="386"/>
      <c r="AA300" s="386"/>
      <c r="AB300" s="386"/>
      <c r="AC300" s="386"/>
      <c r="AD300" s="386"/>
      <c r="AE300" s="386"/>
      <c r="AF300" s="386"/>
      <c r="AG300" s="386"/>
      <c r="AH300" s="386"/>
      <c r="AI300" s="386"/>
      <c r="AJ300" s="386"/>
      <c r="AK300" s="386"/>
      <c r="AL300" s="386"/>
      <c r="AM300" s="386"/>
      <c r="AN300" s="386"/>
      <c r="AO300" s="386"/>
      <c r="AP300" s="386"/>
      <c r="AQ300" s="386"/>
      <c r="AR300" s="386"/>
      <c r="AS300" s="386"/>
      <c r="AT300" s="386"/>
      <c r="AU300" s="386"/>
      <c r="AV300" s="386"/>
      <c r="AW300" s="386"/>
      <c r="AX300" s="386"/>
      <c r="AY300" s="386"/>
      <c r="AZ300" s="386"/>
      <c r="BA300" s="386"/>
      <c r="BB300" s="386"/>
      <c r="BC300" s="386"/>
      <c r="BD300" s="386"/>
      <c r="BE300" s="386"/>
      <c r="BF300" s="386"/>
      <c r="BG300" s="386"/>
      <c r="BH300" s="386"/>
      <c r="BI300" s="386"/>
      <c r="BJ300" s="386"/>
      <c r="BK300" s="386"/>
      <c r="BL300" s="386"/>
      <c r="BM300" s="386"/>
      <c r="BN300" s="386"/>
      <c r="BO300" s="386"/>
      <c r="BP300" s="386"/>
      <c r="BQ300" s="386"/>
      <c r="BR300" s="386"/>
      <c r="BS300" s="386"/>
      <c r="BT300" s="386"/>
      <c r="BU300" s="386"/>
      <c r="BV300" s="386"/>
      <c r="BW300" s="386"/>
      <c r="BX300" s="386"/>
      <c r="BY300" s="386"/>
      <c r="BZ300" s="386"/>
      <c r="CA300" s="386"/>
      <c r="CB300" s="386"/>
      <c r="CC300" s="386"/>
      <c r="CD300" s="386"/>
      <c r="CE300" s="386"/>
      <c r="CF300" s="386"/>
      <c r="CG300" s="386"/>
      <c r="CH300" s="386"/>
      <c r="CI300" s="386"/>
      <c r="CJ300" s="386"/>
      <c r="CK300" s="386"/>
      <c r="CL300" s="386"/>
    </row>
    <row r="301" spans="2:90" ht="12.75" customHeight="1" x14ac:dyDescent="0.15">
      <c r="B301" s="57"/>
      <c r="C301" s="57"/>
      <c r="D301" s="58"/>
      <c r="E301" s="59"/>
      <c r="F301" s="63"/>
      <c r="G301" s="63"/>
      <c r="H301" s="63"/>
      <c r="I301" s="63"/>
      <c r="J301" s="65"/>
      <c r="K301" s="392"/>
      <c r="L301" s="65"/>
      <c r="M301" s="65"/>
      <c r="N301" s="65"/>
      <c r="O301" s="386"/>
      <c r="P301" s="386"/>
      <c r="Q301" s="386"/>
      <c r="R301" s="386"/>
      <c r="S301" s="386"/>
      <c r="T301" s="386"/>
      <c r="U301" s="386"/>
      <c r="V301" s="386"/>
      <c r="W301" s="386"/>
      <c r="X301" s="386"/>
      <c r="Y301" s="386"/>
      <c r="Z301" s="386"/>
      <c r="AA301" s="386"/>
      <c r="AB301" s="386"/>
      <c r="AC301" s="386"/>
      <c r="AD301" s="386"/>
      <c r="AE301" s="386"/>
      <c r="AF301" s="386"/>
      <c r="AG301" s="386"/>
      <c r="AH301" s="386"/>
      <c r="AI301" s="386"/>
      <c r="AJ301" s="386"/>
      <c r="AK301" s="386"/>
      <c r="AL301" s="386"/>
      <c r="AM301" s="386"/>
      <c r="AN301" s="386"/>
      <c r="AO301" s="386"/>
      <c r="AP301" s="386"/>
      <c r="AQ301" s="386"/>
      <c r="AR301" s="386"/>
      <c r="AS301" s="386"/>
      <c r="AT301" s="386"/>
      <c r="AU301" s="386"/>
      <c r="AV301" s="386"/>
      <c r="AW301" s="386"/>
      <c r="AX301" s="386"/>
      <c r="AY301" s="386"/>
      <c r="AZ301" s="386"/>
      <c r="BA301" s="386"/>
      <c r="BB301" s="386"/>
      <c r="BC301" s="386"/>
      <c r="BD301" s="386"/>
      <c r="BE301" s="386"/>
      <c r="BF301" s="386"/>
      <c r="BG301" s="386"/>
      <c r="BH301" s="386"/>
      <c r="BI301" s="386"/>
      <c r="BJ301" s="386"/>
      <c r="BK301" s="386"/>
      <c r="BL301" s="386"/>
      <c r="BM301" s="386"/>
      <c r="BN301" s="386"/>
      <c r="BO301" s="386"/>
      <c r="BP301" s="386"/>
      <c r="BQ301" s="386"/>
      <c r="BR301" s="386"/>
      <c r="BS301" s="386"/>
      <c r="BT301" s="386"/>
      <c r="BU301" s="386"/>
      <c r="BV301" s="386"/>
      <c r="BW301" s="386"/>
      <c r="BX301" s="386"/>
      <c r="BY301" s="386"/>
      <c r="BZ301" s="386"/>
      <c r="CA301" s="386"/>
      <c r="CB301" s="386"/>
      <c r="CC301" s="386"/>
      <c r="CD301" s="386"/>
      <c r="CE301" s="386"/>
      <c r="CF301" s="386"/>
      <c r="CG301" s="386"/>
      <c r="CH301" s="386"/>
      <c r="CI301" s="386"/>
      <c r="CJ301" s="386"/>
      <c r="CK301" s="386"/>
      <c r="CL301" s="386"/>
    </row>
    <row r="302" spans="2:90" ht="12.75" customHeight="1" x14ac:dyDescent="0.15">
      <c r="B302" s="57"/>
      <c r="C302" s="57"/>
      <c r="D302" s="58"/>
      <c r="E302" s="59"/>
      <c r="F302" s="63"/>
      <c r="G302" s="63"/>
      <c r="H302" s="63"/>
      <c r="I302" s="63"/>
      <c r="J302" s="65"/>
      <c r="K302" s="392"/>
      <c r="L302" s="65"/>
      <c r="M302" s="65"/>
      <c r="N302" s="65"/>
      <c r="O302" s="386"/>
      <c r="P302" s="386"/>
      <c r="Q302" s="386"/>
      <c r="R302" s="386"/>
      <c r="S302" s="386"/>
      <c r="T302" s="386"/>
      <c r="U302" s="386"/>
      <c r="V302" s="386"/>
      <c r="W302" s="386"/>
      <c r="X302" s="386"/>
      <c r="Y302" s="386"/>
      <c r="Z302" s="386"/>
      <c r="AA302" s="386"/>
      <c r="AB302" s="386"/>
      <c r="AC302" s="386"/>
      <c r="AD302" s="386"/>
      <c r="AE302" s="386"/>
      <c r="AF302" s="386"/>
      <c r="AG302" s="386"/>
      <c r="AH302" s="386"/>
      <c r="AI302" s="386"/>
      <c r="AJ302" s="386"/>
      <c r="AK302" s="386"/>
      <c r="AL302" s="386"/>
      <c r="AM302" s="386"/>
      <c r="AN302" s="386"/>
      <c r="AO302" s="386"/>
      <c r="AP302" s="386"/>
      <c r="AQ302" s="386"/>
      <c r="AR302" s="386"/>
      <c r="AS302" s="386"/>
      <c r="AT302" s="386"/>
      <c r="AU302" s="386"/>
      <c r="AV302" s="386"/>
      <c r="AW302" s="386"/>
      <c r="AX302" s="386"/>
      <c r="AY302" s="386"/>
      <c r="AZ302" s="386"/>
      <c r="BA302" s="386"/>
      <c r="BB302" s="386"/>
      <c r="BC302" s="386"/>
      <c r="BD302" s="386"/>
      <c r="BE302" s="386"/>
      <c r="BF302" s="386"/>
      <c r="BG302" s="386"/>
      <c r="BH302" s="386"/>
      <c r="BI302" s="386"/>
      <c r="BJ302" s="386"/>
      <c r="BK302" s="386"/>
      <c r="BL302" s="386"/>
      <c r="BM302" s="386"/>
      <c r="BN302" s="386"/>
      <c r="BO302" s="386"/>
      <c r="BP302" s="386"/>
      <c r="BQ302" s="386"/>
      <c r="BR302" s="386"/>
      <c r="BS302" s="386"/>
      <c r="BT302" s="386"/>
      <c r="BU302" s="386"/>
      <c r="BV302" s="386"/>
      <c r="BW302" s="386"/>
      <c r="BX302" s="386"/>
      <c r="BY302" s="386"/>
      <c r="BZ302" s="386"/>
      <c r="CA302" s="386"/>
      <c r="CB302" s="386"/>
      <c r="CC302" s="386"/>
      <c r="CD302" s="386"/>
      <c r="CE302" s="386"/>
      <c r="CF302" s="386"/>
      <c r="CG302" s="386"/>
      <c r="CH302" s="386"/>
      <c r="CI302" s="386"/>
      <c r="CJ302" s="386"/>
      <c r="CK302" s="386"/>
      <c r="CL302" s="386"/>
    </row>
    <row r="303" spans="2:90" ht="12.75" customHeight="1" x14ac:dyDescent="0.15">
      <c r="B303" s="57"/>
      <c r="C303" s="57"/>
      <c r="D303" s="58"/>
      <c r="E303" s="59"/>
      <c r="F303" s="63"/>
      <c r="G303" s="63"/>
      <c r="H303" s="63"/>
      <c r="I303" s="63"/>
      <c r="J303" s="65"/>
      <c r="K303" s="392"/>
      <c r="L303" s="65"/>
      <c r="M303" s="65"/>
      <c r="N303" s="65"/>
      <c r="O303" s="386"/>
      <c r="P303" s="386"/>
      <c r="Q303" s="386"/>
      <c r="R303" s="386"/>
      <c r="S303" s="386"/>
      <c r="T303" s="386"/>
      <c r="U303" s="386"/>
      <c r="V303" s="386"/>
      <c r="W303" s="386"/>
      <c r="X303" s="386"/>
      <c r="Y303" s="386"/>
      <c r="Z303" s="386"/>
      <c r="AA303" s="386"/>
      <c r="AB303" s="386"/>
      <c r="AC303" s="386"/>
      <c r="AD303" s="386"/>
      <c r="AE303" s="386"/>
      <c r="AF303" s="386"/>
      <c r="AG303" s="386"/>
      <c r="AH303" s="386"/>
      <c r="AI303" s="386"/>
      <c r="AJ303" s="386"/>
      <c r="AK303" s="386"/>
      <c r="AL303" s="386"/>
      <c r="AM303" s="386"/>
      <c r="AN303" s="386"/>
      <c r="AO303" s="386"/>
      <c r="AP303" s="386"/>
      <c r="AQ303" s="386"/>
      <c r="AR303" s="386"/>
      <c r="AS303" s="386"/>
      <c r="AT303" s="386"/>
      <c r="AU303" s="386"/>
      <c r="AV303" s="386"/>
      <c r="AW303" s="386"/>
      <c r="AX303" s="386"/>
      <c r="AY303" s="386"/>
      <c r="AZ303" s="386"/>
      <c r="BA303" s="386"/>
      <c r="BB303" s="386"/>
      <c r="BC303" s="386"/>
      <c r="BD303" s="386"/>
      <c r="BE303" s="386"/>
      <c r="BF303" s="386"/>
      <c r="BG303" s="386"/>
      <c r="BH303" s="386"/>
      <c r="BI303" s="386"/>
      <c r="BJ303" s="386"/>
      <c r="BK303" s="386"/>
      <c r="BL303" s="386"/>
      <c r="BM303" s="386"/>
      <c r="BN303" s="386"/>
      <c r="BO303" s="386"/>
      <c r="BP303" s="386"/>
      <c r="BQ303" s="386"/>
      <c r="BR303" s="386"/>
      <c r="BS303" s="386"/>
      <c r="BT303" s="386"/>
      <c r="BU303" s="386"/>
      <c r="BV303" s="386"/>
      <c r="BW303" s="386"/>
      <c r="BX303" s="386"/>
      <c r="BY303" s="386"/>
      <c r="BZ303" s="386"/>
      <c r="CA303" s="386"/>
      <c r="CB303" s="386"/>
      <c r="CC303" s="386"/>
      <c r="CD303" s="386"/>
      <c r="CE303" s="386"/>
      <c r="CF303" s="386"/>
      <c r="CG303" s="386"/>
      <c r="CH303" s="386"/>
      <c r="CI303" s="386"/>
      <c r="CJ303" s="386"/>
      <c r="CK303" s="386"/>
      <c r="CL303" s="386"/>
    </row>
    <row r="304" spans="2:90" ht="12.75" customHeight="1" x14ac:dyDescent="0.15">
      <c r="B304" s="57"/>
      <c r="C304" s="57"/>
      <c r="D304" s="58"/>
      <c r="E304" s="59"/>
      <c r="F304" s="63"/>
      <c r="G304" s="63"/>
      <c r="H304" s="63"/>
      <c r="I304" s="63"/>
      <c r="J304" s="65"/>
      <c r="K304" s="392"/>
      <c r="L304" s="65"/>
      <c r="M304" s="65"/>
      <c r="N304" s="65"/>
      <c r="O304" s="386"/>
      <c r="P304" s="386"/>
      <c r="Q304" s="386"/>
      <c r="R304" s="386"/>
      <c r="S304" s="386"/>
      <c r="T304" s="386"/>
      <c r="U304" s="386"/>
      <c r="V304" s="386"/>
      <c r="W304" s="386"/>
      <c r="X304" s="386"/>
      <c r="Y304" s="386"/>
      <c r="Z304" s="386"/>
      <c r="AA304" s="386"/>
      <c r="AB304" s="386"/>
      <c r="AC304" s="386"/>
      <c r="AD304" s="386"/>
      <c r="AE304" s="386"/>
      <c r="AF304" s="386"/>
      <c r="AG304" s="386"/>
      <c r="AH304" s="386"/>
      <c r="AI304" s="386"/>
      <c r="AJ304" s="386"/>
      <c r="AK304" s="386"/>
      <c r="AL304" s="386"/>
      <c r="AM304" s="386"/>
      <c r="AN304" s="386"/>
      <c r="AO304" s="386"/>
      <c r="AP304" s="386"/>
      <c r="AQ304" s="386"/>
      <c r="AR304" s="386"/>
      <c r="AS304" s="386"/>
      <c r="AT304" s="386"/>
      <c r="AU304" s="386"/>
      <c r="AV304" s="386"/>
      <c r="AW304" s="386"/>
      <c r="AX304" s="386"/>
      <c r="AY304" s="386"/>
      <c r="AZ304" s="386"/>
      <c r="BA304" s="386"/>
      <c r="BB304" s="386"/>
      <c r="BC304" s="386"/>
      <c r="BD304" s="386"/>
      <c r="BE304" s="386"/>
      <c r="BF304" s="386"/>
      <c r="BG304" s="386"/>
      <c r="BH304" s="386"/>
      <c r="BI304" s="386"/>
      <c r="BJ304" s="386"/>
      <c r="BK304" s="386"/>
      <c r="BL304" s="386"/>
      <c r="BM304" s="386"/>
      <c r="BN304" s="386"/>
      <c r="BO304" s="386"/>
      <c r="BP304" s="386"/>
      <c r="BQ304" s="386"/>
      <c r="BR304" s="386"/>
      <c r="BS304" s="386"/>
      <c r="BT304" s="386"/>
      <c r="BU304" s="386"/>
      <c r="BV304" s="386"/>
      <c r="BW304" s="386"/>
      <c r="BX304" s="386"/>
      <c r="BY304" s="386"/>
      <c r="BZ304" s="386"/>
      <c r="CA304" s="386"/>
      <c r="CB304" s="386"/>
      <c r="CC304" s="386"/>
      <c r="CD304" s="386"/>
      <c r="CE304" s="386"/>
      <c r="CF304" s="386"/>
      <c r="CG304" s="386"/>
      <c r="CH304" s="386"/>
      <c r="CI304" s="386"/>
      <c r="CJ304" s="386"/>
      <c r="CK304" s="386"/>
      <c r="CL304" s="386"/>
    </row>
    <row r="305" spans="2:90" ht="12.75" customHeight="1" x14ac:dyDescent="0.15">
      <c r="B305" s="57"/>
      <c r="C305" s="57"/>
      <c r="D305" s="58"/>
      <c r="E305" s="59"/>
      <c r="F305" s="63"/>
      <c r="G305" s="63"/>
      <c r="H305" s="63"/>
      <c r="I305" s="63"/>
      <c r="J305" s="65"/>
      <c r="K305" s="392"/>
      <c r="L305" s="65"/>
      <c r="M305" s="65"/>
      <c r="N305" s="65"/>
      <c r="O305" s="386"/>
      <c r="P305" s="386"/>
      <c r="Q305" s="386"/>
      <c r="R305" s="386"/>
      <c r="S305" s="386"/>
      <c r="T305" s="386"/>
      <c r="U305" s="386"/>
      <c r="V305" s="386"/>
      <c r="W305" s="386"/>
      <c r="X305" s="386"/>
      <c r="Y305" s="386"/>
      <c r="Z305" s="386"/>
      <c r="AA305" s="386"/>
      <c r="AB305" s="386"/>
      <c r="AC305" s="386"/>
      <c r="AD305" s="386"/>
      <c r="AE305" s="386"/>
      <c r="AF305" s="386"/>
      <c r="AG305" s="386"/>
      <c r="AH305" s="386"/>
      <c r="AI305" s="386"/>
      <c r="AJ305" s="386"/>
      <c r="AK305" s="386"/>
      <c r="AL305" s="386"/>
      <c r="AM305" s="386"/>
      <c r="AN305" s="386"/>
      <c r="AO305" s="386"/>
      <c r="AP305" s="386"/>
      <c r="AQ305" s="386"/>
      <c r="AR305" s="386"/>
      <c r="AS305" s="386"/>
      <c r="AT305" s="386"/>
      <c r="AU305" s="386"/>
      <c r="AV305" s="386"/>
      <c r="AW305" s="386"/>
      <c r="AX305" s="386"/>
      <c r="AY305" s="386"/>
      <c r="AZ305" s="386"/>
      <c r="BA305" s="386"/>
      <c r="BB305" s="386"/>
      <c r="BC305" s="386"/>
      <c r="BD305" s="386"/>
      <c r="BE305" s="386"/>
      <c r="BF305" s="386"/>
      <c r="BG305" s="386"/>
      <c r="BH305" s="386"/>
      <c r="BI305" s="386"/>
      <c r="BJ305" s="386"/>
      <c r="BK305" s="386"/>
      <c r="BL305" s="386"/>
      <c r="BM305" s="386"/>
      <c r="BN305" s="386"/>
      <c r="BO305" s="386"/>
      <c r="BP305" s="386"/>
      <c r="BQ305" s="386"/>
      <c r="BR305" s="386"/>
      <c r="BS305" s="386"/>
      <c r="BT305" s="386"/>
      <c r="BU305" s="386"/>
      <c r="BV305" s="386"/>
      <c r="BW305" s="386"/>
      <c r="BX305" s="386"/>
      <c r="BY305" s="386"/>
      <c r="BZ305" s="386"/>
      <c r="CA305" s="386"/>
      <c r="CB305" s="386"/>
      <c r="CC305" s="386"/>
      <c r="CD305" s="386"/>
      <c r="CE305" s="386"/>
      <c r="CF305" s="386"/>
      <c r="CG305" s="386"/>
      <c r="CH305" s="386"/>
      <c r="CI305" s="386"/>
      <c r="CJ305" s="386"/>
      <c r="CK305" s="386"/>
      <c r="CL305" s="386"/>
    </row>
    <row r="306" spans="2:90" ht="12.75" customHeight="1" x14ac:dyDescent="0.15">
      <c r="B306" s="57"/>
      <c r="C306" s="57"/>
      <c r="D306" s="58"/>
      <c r="E306" s="59"/>
      <c r="F306" s="63"/>
      <c r="G306" s="63"/>
      <c r="H306" s="63"/>
      <c r="I306" s="63"/>
      <c r="J306" s="65"/>
      <c r="K306" s="392"/>
      <c r="L306" s="65"/>
      <c r="M306" s="65"/>
      <c r="N306" s="65"/>
      <c r="O306" s="386"/>
      <c r="P306" s="386"/>
      <c r="Q306" s="386"/>
      <c r="R306" s="386"/>
      <c r="S306" s="386"/>
      <c r="T306" s="386"/>
      <c r="U306" s="386"/>
      <c r="V306" s="386"/>
      <c r="W306" s="386"/>
      <c r="X306" s="386"/>
      <c r="Y306" s="386"/>
      <c r="Z306" s="386"/>
      <c r="AA306" s="386"/>
      <c r="AB306" s="386"/>
      <c r="AC306" s="386"/>
      <c r="AD306" s="386"/>
      <c r="AE306" s="386"/>
      <c r="AF306" s="386"/>
      <c r="AG306" s="386"/>
      <c r="AH306" s="386"/>
      <c r="AI306" s="386"/>
      <c r="AJ306" s="386"/>
      <c r="AK306" s="386"/>
      <c r="AL306" s="386"/>
      <c r="AM306" s="386"/>
      <c r="AN306" s="386"/>
      <c r="AO306" s="386"/>
      <c r="AP306" s="386"/>
      <c r="AQ306" s="386"/>
      <c r="AR306" s="386"/>
      <c r="AS306" s="386"/>
      <c r="AT306" s="386"/>
      <c r="AU306" s="386"/>
      <c r="AV306" s="386"/>
      <c r="AW306" s="386"/>
      <c r="AX306" s="386"/>
      <c r="AY306" s="386"/>
      <c r="AZ306" s="386"/>
      <c r="BA306" s="386"/>
      <c r="BB306" s="386"/>
      <c r="BC306" s="386"/>
      <c r="BD306" s="386"/>
      <c r="BE306" s="386"/>
      <c r="BF306" s="386"/>
      <c r="BG306" s="386"/>
      <c r="BH306" s="386"/>
      <c r="BI306" s="386"/>
      <c r="BJ306" s="386"/>
      <c r="BK306" s="386"/>
      <c r="BL306" s="386"/>
      <c r="BM306" s="386"/>
      <c r="BN306" s="386"/>
      <c r="BO306" s="386"/>
      <c r="BP306" s="386"/>
      <c r="BQ306" s="386"/>
      <c r="BR306" s="386"/>
      <c r="BS306" s="386"/>
      <c r="BT306" s="386"/>
      <c r="BU306" s="386"/>
      <c r="BV306" s="386"/>
      <c r="BW306" s="386"/>
      <c r="BX306" s="386"/>
      <c r="BY306" s="386"/>
      <c r="BZ306" s="386"/>
      <c r="CA306" s="386"/>
      <c r="CB306" s="386"/>
      <c r="CC306" s="386"/>
      <c r="CD306" s="386"/>
      <c r="CE306" s="386"/>
      <c r="CF306" s="386"/>
      <c r="CG306" s="386"/>
      <c r="CH306" s="386"/>
      <c r="CI306" s="386"/>
      <c r="CJ306" s="386"/>
      <c r="CK306" s="386"/>
      <c r="CL306" s="386"/>
    </row>
    <row r="307" spans="2:90" ht="12.75" customHeight="1" x14ac:dyDescent="0.15">
      <c r="B307" s="57"/>
      <c r="C307" s="57"/>
      <c r="D307" s="58"/>
      <c r="E307" s="59"/>
      <c r="F307" s="63"/>
      <c r="G307" s="63"/>
      <c r="H307" s="63"/>
      <c r="I307" s="63"/>
      <c r="J307" s="65"/>
      <c r="K307" s="392"/>
      <c r="L307" s="65"/>
      <c r="M307" s="65"/>
      <c r="N307" s="65"/>
      <c r="O307" s="386"/>
      <c r="P307" s="386"/>
      <c r="Q307" s="386"/>
      <c r="R307" s="386"/>
      <c r="S307" s="386"/>
      <c r="T307" s="386"/>
      <c r="U307" s="386"/>
      <c r="V307" s="386"/>
      <c r="W307" s="386"/>
      <c r="X307" s="386"/>
      <c r="Y307" s="386"/>
      <c r="Z307" s="386"/>
      <c r="AA307" s="386"/>
      <c r="AB307" s="386"/>
      <c r="AC307" s="386"/>
      <c r="AD307" s="386"/>
      <c r="AE307" s="386"/>
      <c r="AF307" s="386"/>
      <c r="AG307" s="386"/>
      <c r="AH307" s="386"/>
      <c r="AI307" s="386"/>
      <c r="AJ307" s="386"/>
      <c r="AK307" s="386"/>
      <c r="AL307" s="386"/>
      <c r="AM307" s="386"/>
      <c r="AN307" s="386"/>
      <c r="AO307" s="386"/>
      <c r="AP307" s="386"/>
      <c r="AQ307" s="386"/>
      <c r="AR307" s="386"/>
      <c r="AS307" s="386"/>
      <c r="AT307" s="386"/>
      <c r="AU307" s="386"/>
      <c r="AV307" s="386"/>
      <c r="AW307" s="386"/>
      <c r="AX307" s="386"/>
      <c r="AY307" s="386"/>
      <c r="AZ307" s="386"/>
      <c r="BA307" s="386"/>
      <c r="BB307" s="386"/>
      <c r="BC307" s="386"/>
      <c r="BD307" s="386"/>
      <c r="BE307" s="386"/>
      <c r="BF307" s="386"/>
      <c r="BG307" s="386"/>
      <c r="BH307" s="386"/>
      <c r="BI307" s="386"/>
      <c r="BJ307" s="386"/>
      <c r="BK307" s="386"/>
      <c r="BL307" s="386"/>
      <c r="BM307" s="386"/>
      <c r="BN307" s="386"/>
      <c r="BO307" s="386"/>
      <c r="BP307" s="386"/>
      <c r="BQ307" s="386"/>
      <c r="BR307" s="386"/>
      <c r="BS307" s="386"/>
      <c r="BT307" s="386"/>
      <c r="BU307" s="386"/>
      <c r="BV307" s="386"/>
      <c r="BW307" s="386"/>
      <c r="BX307" s="386"/>
      <c r="BY307" s="386"/>
      <c r="BZ307" s="386"/>
      <c r="CA307" s="386"/>
      <c r="CB307" s="386"/>
      <c r="CC307" s="386"/>
      <c r="CD307" s="386"/>
      <c r="CE307" s="386"/>
      <c r="CF307" s="386"/>
      <c r="CG307" s="386"/>
      <c r="CH307" s="386"/>
      <c r="CI307" s="386"/>
      <c r="CJ307" s="386"/>
      <c r="CK307" s="386"/>
      <c r="CL307" s="386"/>
    </row>
    <row r="308" spans="2:90" ht="12.75" customHeight="1" x14ac:dyDescent="0.15">
      <c r="B308" s="57"/>
      <c r="C308" s="57"/>
      <c r="D308" s="58"/>
      <c r="E308" s="59"/>
      <c r="F308" s="63"/>
      <c r="G308" s="63"/>
      <c r="H308" s="63"/>
      <c r="I308" s="63"/>
      <c r="J308" s="65"/>
      <c r="K308" s="392"/>
      <c r="L308" s="65"/>
      <c r="M308" s="65"/>
      <c r="N308" s="65"/>
      <c r="O308" s="386"/>
      <c r="P308" s="386"/>
      <c r="Q308" s="386"/>
      <c r="R308" s="386"/>
      <c r="S308" s="386"/>
      <c r="T308" s="386"/>
      <c r="U308" s="386"/>
      <c r="V308" s="386"/>
      <c r="W308" s="386"/>
      <c r="X308" s="386"/>
      <c r="Y308" s="386"/>
      <c r="Z308" s="386"/>
      <c r="AA308" s="386"/>
      <c r="AB308" s="386"/>
      <c r="AC308" s="386"/>
      <c r="AD308" s="386"/>
      <c r="AE308" s="386"/>
      <c r="AF308" s="386"/>
      <c r="AG308" s="386"/>
      <c r="AH308" s="386"/>
      <c r="AI308" s="386"/>
      <c r="AJ308" s="386"/>
      <c r="AK308" s="386"/>
      <c r="AL308" s="386"/>
      <c r="AM308" s="386"/>
      <c r="AN308" s="386"/>
      <c r="AO308" s="386"/>
      <c r="AP308" s="386"/>
      <c r="AQ308" s="386"/>
      <c r="AR308" s="386"/>
      <c r="AS308" s="386"/>
      <c r="AT308" s="386"/>
      <c r="AU308" s="386"/>
      <c r="AV308" s="386"/>
      <c r="AW308" s="386"/>
      <c r="AX308" s="386"/>
      <c r="AY308" s="386"/>
      <c r="AZ308" s="386"/>
      <c r="BA308" s="386"/>
      <c r="BB308" s="386"/>
      <c r="BC308" s="386"/>
      <c r="BD308" s="386"/>
      <c r="BE308" s="386"/>
      <c r="BF308" s="386"/>
      <c r="BG308" s="386"/>
      <c r="BH308" s="386"/>
      <c r="BI308" s="386"/>
      <c r="BJ308" s="386"/>
      <c r="BK308" s="386"/>
      <c r="BL308" s="386"/>
      <c r="BM308" s="386"/>
      <c r="BN308" s="386"/>
      <c r="BO308" s="386"/>
      <c r="BP308" s="386"/>
      <c r="BQ308" s="386"/>
      <c r="BR308" s="386"/>
      <c r="BS308" s="386"/>
      <c r="BT308" s="386"/>
      <c r="BU308" s="386"/>
      <c r="BV308" s="386"/>
      <c r="BW308" s="386"/>
      <c r="BX308" s="386"/>
      <c r="BY308" s="386"/>
      <c r="BZ308" s="386"/>
      <c r="CA308" s="386"/>
      <c r="CB308" s="386"/>
      <c r="CC308" s="386"/>
      <c r="CD308" s="386"/>
      <c r="CE308" s="386"/>
      <c r="CF308" s="386"/>
      <c r="CG308" s="386"/>
      <c r="CH308" s="386"/>
      <c r="CI308" s="386"/>
      <c r="CJ308" s="386"/>
      <c r="CK308" s="386"/>
      <c r="CL308" s="386"/>
    </row>
    <row r="309" spans="2:90" ht="12.75" customHeight="1" x14ac:dyDescent="0.15">
      <c r="B309" s="57"/>
      <c r="C309" s="57"/>
      <c r="D309" s="58"/>
      <c r="E309" s="59"/>
      <c r="F309" s="63"/>
      <c r="G309" s="63"/>
      <c r="H309" s="63"/>
      <c r="I309" s="63"/>
      <c r="J309" s="65"/>
      <c r="K309" s="392"/>
      <c r="L309" s="65"/>
      <c r="M309" s="65"/>
      <c r="N309" s="65"/>
      <c r="O309" s="386"/>
      <c r="P309" s="386"/>
      <c r="Q309" s="386"/>
      <c r="R309" s="386"/>
      <c r="S309" s="386"/>
      <c r="T309" s="386"/>
      <c r="U309" s="386"/>
      <c r="V309" s="386"/>
      <c r="W309" s="386"/>
      <c r="X309" s="386"/>
      <c r="Y309" s="386"/>
      <c r="Z309" s="386"/>
      <c r="AA309" s="386"/>
      <c r="AB309" s="386"/>
      <c r="AC309" s="386"/>
      <c r="AD309" s="386"/>
      <c r="AE309" s="386"/>
      <c r="AF309" s="386"/>
      <c r="AG309" s="386"/>
      <c r="AH309" s="386"/>
      <c r="AI309" s="386"/>
      <c r="AJ309" s="386"/>
      <c r="AK309" s="386"/>
      <c r="AL309" s="386"/>
      <c r="AM309" s="386"/>
      <c r="AN309" s="386"/>
      <c r="AO309" s="386"/>
      <c r="AP309" s="386"/>
      <c r="AQ309" s="386"/>
      <c r="AR309" s="386"/>
      <c r="AS309" s="386"/>
      <c r="AT309" s="386"/>
      <c r="AU309" s="386"/>
      <c r="AV309" s="386"/>
      <c r="AW309" s="386"/>
      <c r="AX309" s="386"/>
      <c r="AY309" s="386"/>
      <c r="AZ309" s="386"/>
      <c r="BA309" s="386"/>
      <c r="BB309" s="386"/>
      <c r="BC309" s="386"/>
      <c r="BD309" s="386"/>
      <c r="BE309" s="386"/>
      <c r="BF309" s="386"/>
      <c r="BG309" s="386"/>
      <c r="BH309" s="386"/>
      <c r="BI309" s="386"/>
      <c r="BJ309" s="386"/>
      <c r="BK309" s="386"/>
      <c r="BL309" s="386"/>
      <c r="BM309" s="386"/>
      <c r="BN309" s="386"/>
      <c r="BO309" s="386"/>
      <c r="BP309" s="386"/>
      <c r="BQ309" s="386"/>
      <c r="BR309" s="386"/>
      <c r="BS309" s="386"/>
      <c r="BT309" s="386"/>
      <c r="BU309" s="386"/>
      <c r="BV309" s="386"/>
      <c r="BW309" s="386"/>
      <c r="BX309" s="386"/>
      <c r="BY309" s="386"/>
      <c r="BZ309" s="386"/>
      <c r="CA309" s="386"/>
      <c r="CB309" s="386"/>
      <c r="CC309" s="386"/>
      <c r="CD309" s="386"/>
      <c r="CE309" s="386"/>
      <c r="CF309" s="386"/>
      <c r="CG309" s="386"/>
      <c r="CH309" s="386"/>
      <c r="CI309" s="386"/>
      <c r="CJ309" s="386"/>
      <c r="CK309" s="386"/>
      <c r="CL309" s="386"/>
    </row>
    <row r="310" spans="2:90" ht="12.75" customHeight="1" x14ac:dyDescent="0.15">
      <c r="B310" s="57"/>
      <c r="C310" s="57"/>
      <c r="D310" s="58"/>
      <c r="E310" s="59"/>
      <c r="F310" s="63"/>
      <c r="G310" s="63"/>
      <c r="H310" s="63"/>
      <c r="I310" s="63"/>
      <c r="J310" s="65"/>
      <c r="K310" s="392"/>
      <c r="L310" s="65"/>
      <c r="M310" s="65"/>
      <c r="N310" s="65"/>
      <c r="O310" s="386"/>
      <c r="P310" s="386"/>
      <c r="Q310" s="386"/>
      <c r="R310" s="386"/>
      <c r="S310" s="386"/>
      <c r="T310" s="386"/>
      <c r="U310" s="386"/>
      <c r="V310" s="386"/>
      <c r="W310" s="386"/>
      <c r="X310" s="386"/>
      <c r="Y310" s="386"/>
      <c r="Z310" s="386"/>
      <c r="AA310" s="386"/>
      <c r="AB310" s="386"/>
      <c r="AC310" s="386"/>
      <c r="AD310" s="386"/>
      <c r="AE310" s="386"/>
      <c r="AF310" s="386"/>
      <c r="AG310" s="386"/>
      <c r="AH310" s="386"/>
      <c r="AI310" s="386"/>
      <c r="AJ310" s="386"/>
      <c r="AK310" s="386"/>
      <c r="AL310" s="386"/>
      <c r="AM310" s="386"/>
      <c r="AN310" s="386"/>
      <c r="AO310" s="386"/>
      <c r="AP310" s="386"/>
      <c r="AQ310" s="386"/>
      <c r="AR310" s="386"/>
      <c r="AS310" s="386"/>
      <c r="AT310" s="386"/>
      <c r="AU310" s="386"/>
      <c r="AV310" s="386"/>
      <c r="AW310" s="386"/>
      <c r="AX310" s="386"/>
      <c r="AY310" s="386"/>
      <c r="AZ310" s="386"/>
      <c r="BA310" s="386"/>
      <c r="BB310" s="386"/>
      <c r="BC310" s="386"/>
      <c r="BD310" s="386"/>
      <c r="BE310" s="386"/>
      <c r="BF310" s="386"/>
      <c r="BG310" s="386"/>
      <c r="BH310" s="386"/>
      <c r="BI310" s="386"/>
      <c r="BJ310" s="386"/>
      <c r="BK310" s="386"/>
      <c r="BL310" s="386"/>
      <c r="BM310" s="386"/>
      <c r="BN310" s="386"/>
      <c r="BO310" s="386"/>
      <c r="BP310" s="386"/>
      <c r="BQ310" s="386"/>
      <c r="BR310" s="386"/>
      <c r="BS310" s="386"/>
      <c r="BT310" s="386"/>
      <c r="BU310" s="386"/>
      <c r="BV310" s="386"/>
      <c r="BW310" s="386"/>
      <c r="BX310" s="386"/>
      <c r="BY310" s="386"/>
      <c r="BZ310" s="386"/>
      <c r="CA310" s="386"/>
      <c r="CB310" s="386"/>
      <c r="CC310" s="386"/>
      <c r="CD310" s="386"/>
      <c r="CE310" s="386"/>
      <c r="CF310" s="386"/>
      <c r="CG310" s="386"/>
      <c r="CH310" s="386"/>
      <c r="CI310" s="386"/>
      <c r="CJ310" s="386"/>
      <c r="CK310" s="386"/>
      <c r="CL310" s="386"/>
    </row>
    <row r="311" spans="2:90" ht="12.75" customHeight="1" x14ac:dyDescent="0.15">
      <c r="B311" s="57"/>
      <c r="C311" s="57"/>
      <c r="D311" s="58"/>
      <c r="E311" s="59"/>
      <c r="F311" s="63"/>
      <c r="G311" s="63"/>
      <c r="H311" s="63"/>
      <c r="I311" s="63"/>
      <c r="J311" s="65"/>
      <c r="K311" s="392"/>
      <c r="L311" s="65"/>
      <c r="M311" s="65"/>
      <c r="N311" s="65"/>
      <c r="O311" s="386"/>
      <c r="P311" s="386"/>
      <c r="Q311" s="386"/>
      <c r="R311" s="386"/>
      <c r="S311" s="386"/>
      <c r="T311" s="386"/>
      <c r="U311" s="386"/>
      <c r="V311" s="386"/>
      <c r="W311" s="386"/>
      <c r="X311" s="386"/>
      <c r="Y311" s="386"/>
      <c r="Z311" s="386"/>
      <c r="AA311" s="386"/>
      <c r="AB311" s="386"/>
      <c r="AC311" s="386"/>
      <c r="AD311" s="386"/>
      <c r="AE311" s="386"/>
      <c r="AF311" s="386"/>
      <c r="AG311" s="386"/>
      <c r="AH311" s="386"/>
      <c r="AI311" s="386"/>
      <c r="AJ311" s="386"/>
      <c r="AK311" s="386"/>
      <c r="AL311" s="386"/>
      <c r="AM311" s="386"/>
      <c r="AN311" s="386"/>
      <c r="AO311" s="386"/>
      <c r="AP311" s="386"/>
      <c r="AQ311" s="386"/>
      <c r="AR311" s="386"/>
      <c r="AS311" s="386"/>
      <c r="AT311" s="386"/>
      <c r="AU311" s="386"/>
      <c r="AV311" s="386"/>
      <c r="AW311" s="386"/>
      <c r="AX311" s="386"/>
      <c r="AY311" s="386"/>
      <c r="AZ311" s="386"/>
      <c r="BA311" s="386"/>
      <c r="BB311" s="386"/>
      <c r="BC311" s="386"/>
      <c r="BD311" s="386"/>
      <c r="BE311" s="386"/>
      <c r="BF311" s="386"/>
      <c r="BG311" s="386"/>
      <c r="BH311" s="386"/>
      <c r="BI311" s="386"/>
      <c r="BJ311" s="386"/>
      <c r="BK311" s="386"/>
      <c r="BL311" s="386"/>
      <c r="BM311" s="386"/>
      <c r="BN311" s="386"/>
      <c r="BO311" s="386"/>
      <c r="BP311" s="386"/>
      <c r="BQ311" s="386"/>
      <c r="BR311" s="386"/>
      <c r="BS311" s="386"/>
      <c r="BT311" s="386"/>
      <c r="BU311" s="386"/>
      <c r="BV311" s="386"/>
      <c r="BW311" s="386"/>
      <c r="BX311" s="386"/>
      <c r="BY311" s="386"/>
      <c r="BZ311" s="386"/>
      <c r="CA311" s="386"/>
      <c r="CB311" s="386"/>
      <c r="CC311" s="386"/>
      <c r="CD311" s="386"/>
      <c r="CE311" s="386"/>
      <c r="CF311" s="386"/>
      <c r="CG311" s="386"/>
      <c r="CH311" s="386"/>
      <c r="CI311" s="386"/>
      <c r="CJ311" s="386"/>
      <c r="CK311" s="386"/>
      <c r="CL311" s="386"/>
    </row>
    <row r="312" spans="2:90" ht="12.75" customHeight="1" x14ac:dyDescent="0.15">
      <c r="B312" s="57"/>
      <c r="C312" s="57"/>
      <c r="D312" s="58"/>
      <c r="E312" s="59"/>
      <c r="F312" s="63"/>
      <c r="G312" s="63"/>
      <c r="H312" s="63"/>
      <c r="I312" s="63"/>
      <c r="J312" s="65"/>
      <c r="K312" s="392"/>
      <c r="L312" s="65"/>
      <c r="M312" s="65"/>
      <c r="N312" s="65"/>
      <c r="O312" s="386"/>
      <c r="P312" s="386"/>
      <c r="Q312" s="386"/>
      <c r="R312" s="386"/>
      <c r="S312" s="386"/>
      <c r="T312" s="386"/>
      <c r="U312" s="386"/>
      <c r="V312" s="386"/>
      <c r="W312" s="386"/>
      <c r="X312" s="386"/>
      <c r="Y312" s="386"/>
      <c r="Z312" s="386"/>
      <c r="AA312" s="386"/>
      <c r="AB312" s="386"/>
      <c r="AC312" s="386"/>
      <c r="AD312" s="386"/>
      <c r="AE312" s="386"/>
      <c r="AF312" s="386"/>
      <c r="AG312" s="386"/>
      <c r="AH312" s="386"/>
      <c r="AI312" s="386"/>
      <c r="AJ312" s="386"/>
      <c r="AK312" s="386"/>
      <c r="AL312" s="386"/>
      <c r="AM312" s="386"/>
      <c r="AN312" s="386"/>
      <c r="AO312" s="386"/>
      <c r="AP312" s="386"/>
      <c r="AQ312" s="386"/>
      <c r="AR312" s="386"/>
      <c r="AS312" s="386"/>
      <c r="AT312" s="386"/>
      <c r="AU312" s="386"/>
      <c r="AV312" s="386"/>
      <c r="AW312" s="386"/>
      <c r="AX312" s="386"/>
      <c r="AY312" s="386"/>
      <c r="AZ312" s="386"/>
      <c r="BA312" s="386"/>
      <c r="BB312" s="386"/>
      <c r="BC312" s="386"/>
      <c r="BD312" s="386"/>
      <c r="BE312" s="386"/>
      <c r="BF312" s="386"/>
      <c r="BG312" s="386"/>
      <c r="BH312" s="386"/>
      <c r="BI312" s="386"/>
      <c r="BJ312" s="386"/>
      <c r="BK312" s="386"/>
      <c r="BL312" s="386"/>
      <c r="BM312" s="386"/>
      <c r="BN312" s="386"/>
      <c r="BO312" s="386"/>
      <c r="BP312" s="386"/>
      <c r="BQ312" s="386"/>
      <c r="BR312" s="386"/>
      <c r="BS312" s="386"/>
      <c r="BT312" s="386"/>
      <c r="BU312" s="386"/>
      <c r="BV312" s="386"/>
      <c r="BW312" s="386"/>
      <c r="BX312" s="386"/>
      <c r="BY312" s="386"/>
      <c r="BZ312" s="386"/>
      <c r="CA312" s="386"/>
      <c r="CB312" s="386"/>
      <c r="CC312" s="386"/>
      <c r="CD312" s="386"/>
      <c r="CE312" s="386"/>
      <c r="CF312" s="386"/>
      <c r="CG312" s="386"/>
      <c r="CH312" s="386"/>
      <c r="CI312" s="386"/>
      <c r="CJ312" s="386"/>
      <c r="CK312" s="386"/>
      <c r="CL312" s="386"/>
    </row>
    <row r="313" spans="2:90" ht="12.75" customHeight="1" x14ac:dyDescent="0.15">
      <c r="B313" s="57"/>
      <c r="C313" s="57"/>
      <c r="D313" s="58"/>
      <c r="E313" s="59"/>
      <c r="F313" s="63"/>
      <c r="G313" s="63"/>
      <c r="H313" s="63"/>
      <c r="I313" s="63"/>
      <c r="J313" s="65"/>
      <c r="K313" s="392"/>
      <c r="L313" s="65"/>
      <c r="M313" s="65"/>
      <c r="N313" s="65"/>
      <c r="O313" s="386"/>
      <c r="P313" s="386"/>
      <c r="Q313" s="386"/>
      <c r="R313" s="386"/>
      <c r="S313" s="386"/>
      <c r="T313" s="386"/>
      <c r="U313" s="386"/>
      <c r="V313" s="386"/>
      <c r="W313" s="386"/>
      <c r="X313" s="386"/>
      <c r="Y313" s="386"/>
      <c r="Z313" s="386"/>
      <c r="AA313" s="386"/>
      <c r="AB313" s="386"/>
      <c r="AC313" s="386"/>
      <c r="AD313" s="386"/>
      <c r="AE313" s="386"/>
      <c r="AF313" s="386"/>
      <c r="AG313" s="386"/>
      <c r="AH313" s="386"/>
      <c r="AI313" s="386"/>
      <c r="AJ313" s="386"/>
      <c r="AK313" s="386"/>
      <c r="AL313" s="386"/>
      <c r="AM313" s="386"/>
      <c r="AN313" s="386"/>
      <c r="AO313" s="386"/>
      <c r="AP313" s="386"/>
      <c r="AQ313" s="386"/>
      <c r="AR313" s="386"/>
      <c r="AS313" s="386"/>
      <c r="AT313" s="386"/>
      <c r="AU313" s="386"/>
      <c r="AV313" s="386"/>
      <c r="AW313" s="386"/>
      <c r="AX313" s="386"/>
      <c r="AY313" s="386"/>
      <c r="AZ313" s="386"/>
      <c r="BA313" s="386"/>
      <c r="BB313" s="386"/>
      <c r="BC313" s="386"/>
      <c r="BD313" s="386"/>
      <c r="BE313" s="386"/>
      <c r="BF313" s="386"/>
      <c r="BG313" s="386"/>
      <c r="BH313" s="386"/>
      <c r="BI313" s="386"/>
      <c r="BJ313" s="386"/>
      <c r="BK313" s="386"/>
      <c r="BL313" s="386"/>
      <c r="BM313" s="386"/>
      <c r="BN313" s="386"/>
      <c r="BO313" s="386"/>
      <c r="BP313" s="386"/>
      <c r="BQ313" s="386"/>
      <c r="BR313" s="386"/>
      <c r="BS313" s="386"/>
      <c r="BT313" s="386"/>
      <c r="BU313" s="386"/>
      <c r="BV313" s="386"/>
      <c r="BW313" s="386"/>
      <c r="BX313" s="386"/>
      <c r="BY313" s="386"/>
      <c r="BZ313" s="386"/>
      <c r="CA313" s="386"/>
      <c r="CB313" s="386"/>
      <c r="CC313" s="386"/>
      <c r="CD313" s="386"/>
      <c r="CE313" s="386"/>
      <c r="CF313" s="386"/>
      <c r="CG313" s="386"/>
      <c r="CH313" s="386"/>
      <c r="CI313" s="386"/>
      <c r="CJ313" s="386"/>
      <c r="CK313" s="386"/>
      <c r="CL313" s="386"/>
    </row>
    <row r="314" spans="2:90" ht="12.75" customHeight="1" x14ac:dyDescent="0.15">
      <c r="B314" s="57"/>
      <c r="C314" s="57"/>
      <c r="D314" s="58"/>
      <c r="E314" s="59"/>
      <c r="F314" s="63"/>
      <c r="G314" s="63"/>
      <c r="H314" s="63"/>
      <c r="I314" s="63"/>
      <c r="J314" s="65"/>
      <c r="K314" s="392"/>
      <c r="L314" s="65"/>
      <c r="M314" s="65"/>
      <c r="N314" s="65"/>
      <c r="O314" s="386"/>
      <c r="P314" s="386"/>
      <c r="Q314" s="386"/>
      <c r="R314" s="386"/>
      <c r="S314" s="386"/>
      <c r="T314" s="386"/>
      <c r="U314" s="386"/>
      <c r="V314" s="386"/>
      <c r="W314" s="386"/>
      <c r="X314" s="386"/>
      <c r="Y314" s="386"/>
      <c r="Z314" s="386"/>
      <c r="AA314" s="386"/>
      <c r="AB314" s="386"/>
      <c r="AC314" s="386"/>
      <c r="AD314" s="386"/>
      <c r="AE314" s="386"/>
      <c r="AF314" s="386"/>
      <c r="AG314" s="386"/>
      <c r="AH314" s="386"/>
      <c r="AI314" s="386"/>
      <c r="AJ314" s="386"/>
      <c r="AK314" s="386"/>
      <c r="AL314" s="386"/>
      <c r="AM314" s="386"/>
      <c r="AN314" s="386"/>
      <c r="AO314" s="386"/>
      <c r="AP314" s="386"/>
      <c r="AQ314" s="386"/>
      <c r="AR314" s="386"/>
      <c r="AS314" s="386"/>
      <c r="AT314" s="386"/>
      <c r="AU314" s="386"/>
      <c r="AV314" s="386"/>
      <c r="AW314" s="386"/>
      <c r="AX314" s="386"/>
      <c r="AY314" s="386"/>
      <c r="AZ314" s="386"/>
      <c r="BA314" s="386"/>
      <c r="BB314" s="386"/>
      <c r="BC314" s="386"/>
      <c r="BD314" s="386"/>
      <c r="BE314" s="386"/>
      <c r="BF314" s="386"/>
      <c r="BG314" s="386"/>
      <c r="BH314" s="386"/>
      <c r="BI314" s="386"/>
      <c r="BJ314" s="386"/>
      <c r="BK314" s="386"/>
      <c r="BL314" s="386"/>
      <c r="BM314" s="386"/>
      <c r="BN314" s="386"/>
      <c r="BO314" s="386"/>
      <c r="BP314" s="386"/>
      <c r="BQ314" s="386"/>
      <c r="BR314" s="386"/>
      <c r="BS314" s="386"/>
      <c r="BT314" s="386"/>
      <c r="BU314" s="386"/>
      <c r="BV314" s="386"/>
      <c r="BW314" s="386"/>
      <c r="BX314" s="386"/>
      <c r="BY314" s="386"/>
      <c r="BZ314" s="386"/>
      <c r="CA314" s="386"/>
      <c r="CB314" s="386"/>
      <c r="CC314" s="386"/>
      <c r="CD314" s="386"/>
      <c r="CE314" s="386"/>
      <c r="CF314" s="386"/>
      <c r="CG314" s="386"/>
      <c r="CH314" s="386"/>
      <c r="CI314" s="386"/>
      <c r="CJ314" s="386"/>
      <c r="CK314" s="386"/>
      <c r="CL314" s="386"/>
    </row>
    <row r="315" spans="2:90" ht="12.75" customHeight="1" x14ac:dyDescent="0.15">
      <c r="B315" s="57"/>
      <c r="C315" s="57"/>
      <c r="D315" s="58"/>
      <c r="E315" s="59"/>
      <c r="F315" s="63"/>
      <c r="G315" s="63"/>
      <c r="H315" s="63"/>
      <c r="I315" s="63"/>
      <c r="J315" s="65"/>
      <c r="K315" s="392"/>
      <c r="L315" s="65"/>
      <c r="M315" s="65"/>
      <c r="N315" s="65"/>
      <c r="O315" s="386"/>
      <c r="P315" s="386"/>
      <c r="Q315" s="386"/>
      <c r="R315" s="386"/>
      <c r="S315" s="386"/>
      <c r="T315" s="386"/>
      <c r="U315" s="386"/>
      <c r="V315" s="386"/>
      <c r="W315" s="386"/>
      <c r="X315" s="386"/>
      <c r="Y315" s="386"/>
      <c r="Z315" s="386"/>
      <c r="AA315" s="386"/>
      <c r="AB315" s="386"/>
      <c r="AC315" s="386"/>
      <c r="AD315" s="386"/>
      <c r="AE315" s="386"/>
      <c r="AF315" s="386"/>
      <c r="AG315" s="386"/>
      <c r="AH315" s="386"/>
      <c r="AI315" s="386"/>
      <c r="AJ315" s="386"/>
      <c r="AK315" s="386"/>
      <c r="AL315" s="386"/>
      <c r="AM315" s="386"/>
      <c r="AN315" s="386"/>
      <c r="AO315" s="386"/>
      <c r="AP315" s="386"/>
      <c r="AQ315" s="386"/>
      <c r="AR315" s="386"/>
      <c r="AS315" s="386"/>
      <c r="AT315" s="386"/>
      <c r="AU315" s="386"/>
      <c r="AV315" s="386"/>
      <c r="AW315" s="386"/>
      <c r="AX315" s="386"/>
      <c r="AY315" s="386"/>
      <c r="AZ315" s="386"/>
      <c r="BA315" s="386"/>
      <c r="BB315" s="386"/>
      <c r="BC315" s="386"/>
      <c r="BD315" s="386"/>
      <c r="BE315" s="386"/>
      <c r="BF315" s="386"/>
      <c r="BG315" s="386"/>
      <c r="BH315" s="386"/>
      <c r="BI315" s="386"/>
      <c r="BJ315" s="386"/>
      <c r="BK315" s="386"/>
      <c r="BL315" s="386"/>
      <c r="BM315" s="386"/>
      <c r="BN315" s="386"/>
      <c r="BO315" s="386"/>
      <c r="BP315" s="386"/>
      <c r="BQ315" s="386"/>
      <c r="BR315" s="386"/>
      <c r="BS315" s="386"/>
      <c r="BT315" s="386"/>
      <c r="BU315" s="386"/>
      <c r="BV315" s="386"/>
      <c r="BW315" s="386"/>
      <c r="BX315" s="386"/>
      <c r="BY315" s="386"/>
      <c r="BZ315" s="386"/>
      <c r="CA315" s="386"/>
      <c r="CB315" s="386"/>
      <c r="CC315" s="386"/>
      <c r="CD315" s="386"/>
      <c r="CE315" s="386"/>
      <c r="CF315" s="386"/>
      <c r="CG315" s="386"/>
      <c r="CH315" s="386"/>
      <c r="CI315" s="386"/>
      <c r="CJ315" s="386"/>
      <c r="CK315" s="386"/>
      <c r="CL315" s="386"/>
    </row>
    <row r="316" spans="2:90" ht="12.75" customHeight="1" x14ac:dyDescent="0.15">
      <c r="B316" s="57"/>
      <c r="C316" s="57"/>
      <c r="D316" s="58"/>
      <c r="E316" s="59"/>
      <c r="F316" s="63"/>
      <c r="G316" s="63"/>
      <c r="H316" s="63"/>
      <c r="I316" s="63"/>
      <c r="J316" s="65"/>
      <c r="K316" s="392"/>
      <c r="L316" s="65"/>
      <c r="M316" s="65"/>
      <c r="N316" s="65"/>
      <c r="O316" s="386"/>
      <c r="P316" s="386"/>
      <c r="Q316" s="386"/>
      <c r="R316" s="386"/>
      <c r="S316" s="386"/>
      <c r="T316" s="386"/>
      <c r="U316" s="386"/>
      <c r="V316" s="386"/>
      <c r="W316" s="386"/>
      <c r="X316" s="386"/>
      <c r="Y316" s="386"/>
      <c r="Z316" s="386"/>
      <c r="AA316" s="386"/>
      <c r="AB316" s="386"/>
      <c r="AC316" s="386"/>
      <c r="AD316" s="386"/>
      <c r="AE316" s="386"/>
      <c r="AF316" s="386"/>
      <c r="AG316" s="386"/>
      <c r="AH316" s="386"/>
      <c r="AI316" s="386"/>
      <c r="AJ316" s="386"/>
      <c r="AK316" s="386"/>
      <c r="AL316" s="386"/>
      <c r="AM316" s="386"/>
      <c r="AN316" s="386"/>
      <c r="AO316" s="386"/>
      <c r="AP316" s="386"/>
      <c r="AQ316" s="386"/>
      <c r="AR316" s="386"/>
      <c r="AS316" s="386"/>
      <c r="AT316" s="386"/>
      <c r="AU316" s="386"/>
      <c r="AV316" s="386"/>
      <c r="AW316" s="386"/>
      <c r="AX316" s="386"/>
      <c r="AY316" s="386"/>
      <c r="AZ316" s="386"/>
      <c r="BA316" s="386"/>
      <c r="BB316" s="386"/>
      <c r="BC316" s="386"/>
      <c r="BD316" s="386"/>
      <c r="BE316" s="386"/>
      <c r="BF316" s="386"/>
      <c r="BG316" s="386"/>
      <c r="BH316" s="386"/>
      <c r="BI316" s="386"/>
      <c r="BJ316" s="386"/>
      <c r="BK316" s="386"/>
      <c r="BL316" s="386"/>
      <c r="BM316" s="386"/>
      <c r="BN316" s="386"/>
      <c r="BO316" s="386"/>
      <c r="BP316" s="386"/>
      <c r="BQ316" s="386"/>
      <c r="BR316" s="386"/>
      <c r="BS316" s="386"/>
      <c r="BT316" s="386"/>
      <c r="BU316" s="386"/>
      <c r="BV316" s="386"/>
      <c r="BW316" s="386"/>
      <c r="BX316" s="386"/>
      <c r="BY316" s="386"/>
      <c r="BZ316" s="386"/>
      <c r="CA316" s="386"/>
      <c r="CB316" s="386"/>
      <c r="CC316" s="386"/>
      <c r="CD316" s="386"/>
      <c r="CE316" s="386"/>
      <c r="CF316" s="386"/>
      <c r="CG316" s="386"/>
      <c r="CH316" s="386"/>
      <c r="CI316" s="386"/>
      <c r="CJ316" s="386"/>
      <c r="CK316" s="386"/>
      <c r="CL316" s="386"/>
    </row>
    <row r="317" spans="2:90" ht="12.75" customHeight="1" x14ac:dyDescent="0.15">
      <c r="B317" s="57"/>
      <c r="C317" s="57"/>
      <c r="D317" s="58"/>
      <c r="E317" s="59"/>
      <c r="F317" s="63"/>
      <c r="G317" s="63"/>
      <c r="H317" s="63"/>
      <c r="I317" s="63"/>
      <c r="J317" s="65"/>
      <c r="K317" s="392"/>
      <c r="L317" s="65"/>
      <c r="M317" s="65"/>
      <c r="N317" s="65"/>
      <c r="O317" s="386"/>
      <c r="P317" s="386"/>
      <c r="Q317" s="386"/>
      <c r="R317" s="386"/>
      <c r="S317" s="386"/>
      <c r="T317" s="386"/>
      <c r="U317" s="386"/>
      <c r="V317" s="386"/>
      <c r="W317" s="386"/>
      <c r="X317" s="386"/>
      <c r="Y317" s="386"/>
      <c r="Z317" s="386"/>
      <c r="AA317" s="386"/>
      <c r="AB317" s="386"/>
      <c r="AC317" s="386"/>
      <c r="AD317" s="386"/>
      <c r="AE317" s="386"/>
      <c r="AF317" s="386"/>
      <c r="AG317" s="386"/>
      <c r="AH317" s="386"/>
      <c r="AI317" s="386"/>
      <c r="AJ317" s="386"/>
      <c r="AK317" s="386"/>
      <c r="AL317" s="386"/>
      <c r="AM317" s="386"/>
      <c r="AN317" s="386"/>
      <c r="AO317" s="386"/>
      <c r="AP317" s="386"/>
      <c r="AQ317" s="386"/>
      <c r="AR317" s="386"/>
      <c r="AS317" s="386"/>
      <c r="AT317" s="386"/>
      <c r="AU317" s="386"/>
      <c r="AV317" s="386"/>
      <c r="AW317" s="386"/>
      <c r="AX317" s="386"/>
      <c r="AY317" s="386"/>
      <c r="AZ317" s="386"/>
      <c r="BA317" s="386"/>
      <c r="BB317" s="386"/>
      <c r="BC317" s="386"/>
      <c r="BD317" s="386"/>
      <c r="BE317" s="386"/>
      <c r="BF317" s="386"/>
      <c r="BG317" s="386"/>
      <c r="BH317" s="386"/>
      <c r="BI317" s="386"/>
      <c r="BJ317" s="386"/>
      <c r="BK317" s="386"/>
      <c r="BL317" s="386"/>
      <c r="BM317" s="386"/>
      <c r="BN317" s="386"/>
      <c r="BO317" s="386"/>
      <c r="BP317" s="386"/>
      <c r="BQ317" s="386"/>
      <c r="BR317" s="386"/>
      <c r="BS317" s="386"/>
      <c r="BT317" s="386"/>
      <c r="BU317" s="386"/>
      <c r="BV317" s="386"/>
      <c r="BW317" s="386"/>
      <c r="BX317" s="386"/>
      <c r="BY317" s="386"/>
      <c r="BZ317" s="386"/>
      <c r="CA317" s="386"/>
      <c r="CB317" s="386"/>
      <c r="CC317" s="386"/>
      <c r="CD317" s="386"/>
      <c r="CE317" s="386"/>
      <c r="CF317" s="386"/>
      <c r="CG317" s="386"/>
      <c r="CH317" s="386"/>
      <c r="CI317" s="386"/>
      <c r="CJ317" s="386"/>
      <c r="CK317" s="386"/>
      <c r="CL317" s="386"/>
    </row>
    <row r="318" spans="2:90" ht="12.75" customHeight="1" x14ac:dyDescent="0.15">
      <c r="B318" s="57"/>
      <c r="C318" s="57"/>
      <c r="D318" s="58"/>
      <c r="E318" s="59"/>
      <c r="F318" s="63"/>
      <c r="G318" s="63"/>
      <c r="H318" s="63"/>
      <c r="I318" s="63"/>
      <c r="J318" s="65"/>
      <c r="K318" s="392"/>
      <c r="L318" s="65"/>
      <c r="M318" s="65"/>
      <c r="N318" s="65"/>
      <c r="O318" s="386"/>
      <c r="P318" s="386"/>
      <c r="Q318" s="386"/>
      <c r="R318" s="386"/>
      <c r="S318" s="386"/>
      <c r="T318" s="386"/>
      <c r="U318" s="386"/>
      <c r="V318" s="386"/>
      <c r="W318" s="386"/>
      <c r="X318" s="386"/>
      <c r="Y318" s="386"/>
      <c r="Z318" s="386"/>
      <c r="AA318" s="386"/>
      <c r="AB318" s="386"/>
      <c r="AC318" s="386"/>
      <c r="AD318" s="386"/>
      <c r="AE318" s="386"/>
      <c r="AF318" s="386"/>
      <c r="AG318" s="386"/>
      <c r="AH318" s="386"/>
      <c r="AI318" s="386"/>
      <c r="AJ318" s="386"/>
      <c r="AK318" s="386"/>
      <c r="AL318" s="386"/>
      <c r="AM318" s="386"/>
      <c r="AN318" s="386"/>
      <c r="AO318" s="386"/>
      <c r="AP318" s="386"/>
      <c r="AQ318" s="386"/>
      <c r="AR318" s="386"/>
      <c r="AS318" s="386"/>
      <c r="AT318" s="386"/>
      <c r="AU318" s="386"/>
      <c r="AV318" s="386"/>
      <c r="AW318" s="386"/>
      <c r="AX318" s="386"/>
      <c r="AY318" s="386"/>
      <c r="AZ318" s="386"/>
      <c r="BA318" s="386"/>
      <c r="BB318" s="386"/>
      <c r="BC318" s="386"/>
      <c r="BD318" s="386"/>
      <c r="BE318" s="386"/>
      <c r="BF318" s="386"/>
      <c r="BG318" s="386"/>
      <c r="BH318" s="386"/>
      <c r="BI318" s="386"/>
      <c r="BJ318" s="386"/>
      <c r="BK318" s="386"/>
      <c r="BL318" s="386"/>
      <c r="BM318" s="386"/>
      <c r="BN318" s="386"/>
      <c r="BO318" s="386"/>
      <c r="BP318" s="386"/>
      <c r="BQ318" s="386"/>
      <c r="BR318" s="386"/>
      <c r="BS318" s="386"/>
      <c r="BT318" s="386"/>
      <c r="BU318" s="386"/>
      <c r="BV318" s="386"/>
      <c r="BW318" s="386"/>
      <c r="BX318" s="386"/>
      <c r="BY318" s="386"/>
      <c r="BZ318" s="386"/>
      <c r="CA318" s="386"/>
      <c r="CB318" s="386"/>
      <c r="CC318" s="386"/>
      <c r="CD318" s="386"/>
      <c r="CE318" s="386"/>
      <c r="CF318" s="386"/>
      <c r="CG318" s="386"/>
      <c r="CH318" s="386"/>
      <c r="CI318" s="386"/>
      <c r="CJ318" s="386"/>
      <c r="CK318" s="386"/>
      <c r="CL318" s="386"/>
    </row>
    <row r="319" spans="2:90" ht="12.75" customHeight="1" x14ac:dyDescent="0.15">
      <c r="B319" s="57"/>
      <c r="C319" s="57"/>
      <c r="D319" s="58"/>
      <c r="E319" s="59"/>
      <c r="F319" s="63"/>
      <c r="G319" s="63"/>
      <c r="H319" s="63"/>
      <c r="I319" s="63"/>
      <c r="J319" s="65"/>
      <c r="K319" s="392"/>
      <c r="L319" s="65"/>
      <c r="M319" s="65"/>
      <c r="N319" s="65"/>
      <c r="O319" s="386"/>
      <c r="P319" s="386"/>
      <c r="Q319" s="386"/>
      <c r="R319" s="386"/>
      <c r="S319" s="386"/>
      <c r="T319" s="386"/>
      <c r="U319" s="386"/>
      <c r="V319" s="386"/>
      <c r="W319" s="386"/>
      <c r="X319" s="386"/>
      <c r="Y319" s="386"/>
      <c r="Z319" s="386"/>
      <c r="AA319" s="386"/>
      <c r="AB319" s="386"/>
      <c r="AC319" s="386"/>
      <c r="AD319" s="386"/>
      <c r="AE319" s="386"/>
      <c r="AF319" s="386"/>
      <c r="AG319" s="386"/>
      <c r="AH319" s="386"/>
      <c r="AI319" s="386"/>
      <c r="AJ319" s="386"/>
      <c r="AK319" s="386"/>
      <c r="AL319" s="386"/>
      <c r="AM319" s="386"/>
      <c r="AN319" s="386"/>
      <c r="AO319" s="386"/>
      <c r="AP319" s="386"/>
      <c r="AQ319" s="386"/>
      <c r="AR319" s="386"/>
      <c r="AS319" s="386"/>
      <c r="AT319" s="386"/>
      <c r="AU319" s="386"/>
      <c r="AV319" s="386"/>
      <c r="AW319" s="386"/>
      <c r="AX319" s="386"/>
      <c r="AY319" s="386"/>
      <c r="AZ319" s="386"/>
      <c r="BA319" s="386"/>
      <c r="BB319" s="386"/>
      <c r="BC319" s="386"/>
      <c r="BD319" s="386"/>
      <c r="BE319" s="386"/>
      <c r="BF319" s="386"/>
      <c r="BG319" s="386"/>
      <c r="BH319" s="386"/>
      <c r="BI319" s="386"/>
      <c r="BJ319" s="386"/>
      <c r="BK319" s="386"/>
      <c r="BL319" s="386"/>
      <c r="BM319" s="386"/>
      <c r="BN319" s="386"/>
      <c r="BO319" s="386"/>
      <c r="BP319" s="386"/>
      <c r="BQ319" s="386"/>
      <c r="BR319" s="386"/>
      <c r="BS319" s="386"/>
      <c r="BT319" s="386"/>
      <c r="BU319" s="386"/>
      <c r="BV319" s="386"/>
      <c r="BW319" s="386"/>
      <c r="BX319" s="386"/>
      <c r="BY319" s="386"/>
      <c r="BZ319" s="386"/>
      <c r="CA319" s="386"/>
      <c r="CB319" s="386"/>
      <c r="CC319" s="386"/>
      <c r="CD319" s="386"/>
      <c r="CE319" s="386"/>
      <c r="CF319" s="386"/>
      <c r="CG319" s="386"/>
      <c r="CH319" s="386"/>
      <c r="CI319" s="386"/>
      <c r="CJ319" s="386"/>
      <c r="CK319" s="386"/>
      <c r="CL319" s="386"/>
    </row>
    <row r="320" spans="2:90" ht="12.75" customHeight="1" x14ac:dyDescent="0.15">
      <c r="B320" s="57"/>
      <c r="C320" s="57"/>
      <c r="D320" s="58"/>
      <c r="E320" s="59"/>
      <c r="F320" s="63"/>
      <c r="G320" s="63"/>
      <c r="H320" s="63"/>
      <c r="I320" s="63"/>
      <c r="J320" s="65"/>
      <c r="K320" s="392"/>
      <c r="L320" s="65"/>
      <c r="M320" s="65"/>
      <c r="N320" s="65"/>
      <c r="O320" s="386"/>
      <c r="P320" s="386"/>
      <c r="Q320" s="386"/>
      <c r="R320" s="386"/>
      <c r="S320" s="386"/>
      <c r="T320" s="386"/>
      <c r="U320" s="386"/>
      <c r="V320" s="386"/>
      <c r="W320" s="386"/>
      <c r="X320" s="386"/>
      <c r="Y320" s="386"/>
      <c r="Z320" s="386"/>
      <c r="AA320" s="386"/>
      <c r="AB320" s="386"/>
      <c r="AC320" s="386"/>
      <c r="AD320" s="386"/>
      <c r="AE320" s="386"/>
      <c r="AF320" s="386"/>
      <c r="AG320" s="386"/>
      <c r="AH320" s="386"/>
      <c r="AI320" s="386"/>
      <c r="AJ320" s="386"/>
      <c r="AK320" s="386"/>
      <c r="AL320" s="386"/>
      <c r="AM320" s="386"/>
      <c r="AN320" s="386"/>
      <c r="AO320" s="386"/>
      <c r="AP320" s="386"/>
      <c r="AQ320" s="386"/>
      <c r="AR320" s="386"/>
      <c r="AS320" s="386"/>
      <c r="AT320" s="386"/>
      <c r="AU320" s="386"/>
      <c r="AV320" s="386"/>
      <c r="AW320" s="386"/>
      <c r="AX320" s="386"/>
      <c r="AY320" s="386"/>
      <c r="AZ320" s="386"/>
      <c r="BA320" s="386"/>
      <c r="BB320" s="386"/>
      <c r="BC320" s="386"/>
      <c r="BD320" s="386"/>
      <c r="BE320" s="386"/>
      <c r="BF320" s="386"/>
      <c r="BG320" s="386"/>
      <c r="BH320" s="386"/>
      <c r="BI320" s="386"/>
      <c r="BJ320" s="386"/>
      <c r="BK320" s="386"/>
      <c r="BL320" s="386"/>
      <c r="BM320" s="386"/>
      <c r="BN320" s="386"/>
      <c r="BO320" s="386"/>
      <c r="BP320" s="386"/>
      <c r="BQ320" s="386"/>
      <c r="BR320" s="386"/>
      <c r="BS320" s="386"/>
      <c r="BT320" s="386"/>
      <c r="BU320" s="386"/>
      <c r="BV320" s="386"/>
      <c r="BW320" s="386"/>
      <c r="BX320" s="386"/>
      <c r="BY320" s="386"/>
      <c r="BZ320" s="386"/>
      <c r="CA320" s="386"/>
      <c r="CB320" s="386"/>
      <c r="CC320" s="386"/>
      <c r="CD320" s="386"/>
      <c r="CE320" s="386"/>
      <c r="CF320" s="386"/>
      <c r="CG320" s="386"/>
      <c r="CH320" s="386"/>
      <c r="CI320" s="386"/>
      <c r="CJ320" s="386"/>
      <c r="CK320" s="386"/>
      <c r="CL320" s="386"/>
    </row>
    <row r="321" spans="2:90" ht="12.75" customHeight="1" x14ac:dyDescent="0.15">
      <c r="B321" s="57"/>
      <c r="C321" s="57"/>
      <c r="D321" s="58"/>
      <c r="E321" s="59"/>
      <c r="F321" s="63"/>
      <c r="G321" s="63"/>
      <c r="H321" s="63"/>
      <c r="I321" s="63"/>
      <c r="J321" s="65"/>
      <c r="K321" s="392"/>
      <c r="L321" s="65"/>
      <c r="M321" s="65"/>
      <c r="N321" s="65"/>
      <c r="O321" s="386"/>
      <c r="P321" s="386"/>
      <c r="Q321" s="386"/>
      <c r="R321" s="386"/>
      <c r="S321" s="386"/>
      <c r="T321" s="386"/>
      <c r="U321" s="386"/>
      <c r="V321" s="386"/>
      <c r="W321" s="386"/>
      <c r="X321" s="386"/>
      <c r="Y321" s="386"/>
      <c r="Z321" s="386"/>
      <c r="AA321" s="386"/>
      <c r="AB321" s="386"/>
      <c r="AC321" s="386"/>
      <c r="AD321" s="386"/>
      <c r="AE321" s="386"/>
      <c r="AF321" s="386"/>
      <c r="AG321" s="386"/>
      <c r="AH321" s="386"/>
      <c r="AI321" s="386"/>
      <c r="AJ321" s="386"/>
      <c r="AK321" s="386"/>
      <c r="AL321" s="386"/>
      <c r="AM321" s="386"/>
      <c r="AN321" s="386"/>
      <c r="AO321" s="386"/>
      <c r="AP321" s="386"/>
      <c r="AQ321" s="386"/>
      <c r="AR321" s="386"/>
      <c r="AS321" s="386"/>
      <c r="AT321" s="386"/>
      <c r="AU321" s="386"/>
      <c r="AV321" s="386"/>
      <c r="AW321" s="386"/>
      <c r="AX321" s="386"/>
      <c r="AY321" s="386"/>
      <c r="AZ321" s="386"/>
      <c r="BA321" s="386"/>
      <c r="BB321" s="386"/>
      <c r="BC321" s="386"/>
      <c r="BD321" s="386"/>
      <c r="BE321" s="386"/>
      <c r="BF321" s="386"/>
      <c r="BG321" s="386"/>
      <c r="BH321" s="386"/>
      <c r="BI321" s="386"/>
      <c r="BJ321" s="386"/>
      <c r="BK321" s="386"/>
      <c r="BL321" s="386"/>
      <c r="BM321" s="386"/>
      <c r="BN321" s="386"/>
      <c r="BO321" s="386"/>
      <c r="BP321" s="386"/>
      <c r="BQ321" s="386"/>
      <c r="BR321" s="386"/>
      <c r="BS321" s="386"/>
      <c r="BT321" s="386"/>
      <c r="BU321" s="386"/>
      <c r="BV321" s="386"/>
      <c r="BW321" s="386"/>
      <c r="BX321" s="386"/>
      <c r="BY321" s="386"/>
      <c r="BZ321" s="386"/>
      <c r="CA321" s="386"/>
      <c r="CB321" s="386"/>
      <c r="CC321" s="386"/>
      <c r="CD321" s="386"/>
      <c r="CE321" s="386"/>
      <c r="CF321" s="386"/>
      <c r="CG321" s="386"/>
      <c r="CH321" s="386"/>
      <c r="CI321" s="386"/>
      <c r="CJ321" s="386"/>
      <c r="CK321" s="386"/>
      <c r="CL321" s="386"/>
    </row>
    <row r="322" spans="2:90" ht="12.75" customHeight="1" x14ac:dyDescent="0.15">
      <c r="B322" s="57"/>
      <c r="C322" s="57"/>
      <c r="D322" s="58"/>
      <c r="E322" s="59"/>
      <c r="F322" s="63"/>
      <c r="G322" s="63"/>
      <c r="H322" s="63"/>
      <c r="I322" s="63"/>
      <c r="J322" s="65"/>
      <c r="K322" s="392"/>
      <c r="L322" s="65"/>
      <c r="M322" s="65"/>
      <c r="N322" s="65"/>
      <c r="O322" s="386"/>
      <c r="P322" s="386"/>
      <c r="Q322" s="386"/>
      <c r="R322" s="386"/>
      <c r="S322" s="386"/>
      <c r="T322" s="386"/>
      <c r="U322" s="386"/>
      <c r="V322" s="386"/>
      <c r="W322" s="386"/>
      <c r="X322" s="386"/>
      <c r="Y322" s="386"/>
      <c r="Z322" s="386"/>
      <c r="AA322" s="386"/>
      <c r="AB322" s="386"/>
      <c r="AC322" s="386"/>
      <c r="AD322" s="386"/>
      <c r="AE322" s="386"/>
      <c r="AF322" s="386"/>
      <c r="AG322" s="386"/>
      <c r="AH322" s="386"/>
      <c r="AI322" s="386"/>
      <c r="AJ322" s="386"/>
      <c r="AK322" s="386"/>
      <c r="AL322" s="386"/>
      <c r="AM322" s="386"/>
      <c r="AN322" s="386"/>
      <c r="AO322" s="386"/>
      <c r="AP322" s="386"/>
      <c r="AQ322" s="386"/>
      <c r="AR322" s="386"/>
      <c r="AS322" s="386"/>
      <c r="AT322" s="386"/>
      <c r="AU322" s="386"/>
      <c r="AV322" s="386"/>
      <c r="AW322" s="386"/>
      <c r="AX322" s="386"/>
      <c r="AY322" s="386"/>
      <c r="AZ322" s="386"/>
      <c r="BA322" s="386"/>
      <c r="BB322" s="386"/>
      <c r="BC322" s="386"/>
      <c r="BD322" s="386"/>
      <c r="BE322" s="386"/>
      <c r="BF322" s="386"/>
      <c r="BG322" s="386"/>
      <c r="BH322" s="386"/>
      <c r="BI322" s="386"/>
      <c r="BJ322" s="386"/>
      <c r="BK322" s="386"/>
      <c r="BL322" s="386"/>
      <c r="BM322" s="386"/>
      <c r="BN322" s="386"/>
      <c r="BO322" s="386"/>
      <c r="BP322" s="386"/>
      <c r="BQ322" s="386"/>
      <c r="BR322" s="386"/>
      <c r="BS322" s="386"/>
      <c r="BT322" s="386"/>
      <c r="BU322" s="386"/>
      <c r="BV322" s="386"/>
      <c r="BW322" s="386"/>
      <c r="BX322" s="386"/>
      <c r="BY322" s="386"/>
      <c r="BZ322" s="386"/>
      <c r="CA322" s="386"/>
      <c r="CB322" s="386"/>
      <c r="CC322" s="386"/>
      <c r="CD322" s="386"/>
      <c r="CE322" s="386"/>
      <c r="CF322" s="386"/>
      <c r="CG322" s="386"/>
      <c r="CH322" s="386"/>
      <c r="CI322" s="386"/>
      <c r="CJ322" s="386"/>
      <c r="CK322" s="386"/>
      <c r="CL322" s="386"/>
    </row>
    <row r="323" spans="2:90" ht="12.75" customHeight="1" x14ac:dyDescent="0.15">
      <c r="B323" s="57"/>
      <c r="C323" s="57"/>
      <c r="D323" s="58"/>
      <c r="E323" s="59"/>
      <c r="F323" s="63"/>
      <c r="G323" s="63"/>
      <c r="H323" s="63"/>
      <c r="I323" s="63"/>
      <c r="J323" s="65"/>
      <c r="K323" s="392"/>
      <c r="L323" s="65"/>
      <c r="M323" s="65"/>
      <c r="N323" s="65"/>
      <c r="O323" s="386"/>
      <c r="P323" s="386"/>
      <c r="Q323" s="386"/>
      <c r="R323" s="386"/>
      <c r="S323" s="386"/>
      <c r="T323" s="386"/>
      <c r="U323" s="386"/>
      <c r="V323" s="386"/>
      <c r="W323" s="386"/>
      <c r="X323" s="386"/>
      <c r="Y323" s="386"/>
      <c r="Z323" s="386"/>
      <c r="AA323" s="386"/>
      <c r="AB323" s="386"/>
      <c r="AC323" s="386"/>
      <c r="AD323" s="386"/>
      <c r="AE323" s="386"/>
      <c r="AF323" s="386"/>
      <c r="AG323" s="386"/>
      <c r="AH323" s="386"/>
      <c r="AI323" s="386"/>
      <c r="AJ323" s="386"/>
      <c r="AK323" s="386"/>
      <c r="AL323" s="386"/>
      <c r="AM323" s="386"/>
      <c r="AN323" s="386"/>
      <c r="AO323" s="386"/>
      <c r="AP323" s="386"/>
      <c r="AQ323" s="386"/>
      <c r="AR323" s="386"/>
      <c r="AS323" s="386"/>
      <c r="AT323" s="386"/>
      <c r="AU323" s="386"/>
      <c r="AV323" s="386"/>
      <c r="AW323" s="386"/>
      <c r="AX323" s="386"/>
      <c r="AY323" s="386"/>
      <c r="AZ323" s="386"/>
      <c r="BA323" s="386"/>
      <c r="BB323" s="386"/>
      <c r="BC323" s="386"/>
      <c r="BD323" s="386"/>
      <c r="BE323" s="386"/>
      <c r="BF323" s="386"/>
      <c r="BG323" s="386"/>
      <c r="BH323" s="386"/>
      <c r="BI323" s="386"/>
      <c r="BJ323" s="386"/>
      <c r="BK323" s="386"/>
      <c r="BL323" s="386"/>
      <c r="BM323" s="386"/>
      <c r="BN323" s="386"/>
      <c r="BO323" s="386"/>
      <c r="BP323" s="386"/>
      <c r="BQ323" s="386"/>
      <c r="BR323" s="386"/>
      <c r="BS323" s="386"/>
      <c r="BT323" s="386"/>
      <c r="BU323" s="386"/>
      <c r="BV323" s="386"/>
      <c r="BW323" s="386"/>
      <c r="BX323" s="386"/>
      <c r="BY323" s="386"/>
      <c r="BZ323" s="386"/>
      <c r="CA323" s="386"/>
      <c r="CB323" s="386"/>
      <c r="CC323" s="386"/>
      <c r="CD323" s="386"/>
      <c r="CE323" s="386"/>
      <c r="CF323" s="386"/>
      <c r="CG323" s="386"/>
      <c r="CH323" s="386"/>
      <c r="CI323" s="386"/>
      <c r="CJ323" s="386"/>
      <c r="CK323" s="386"/>
      <c r="CL323" s="386"/>
    </row>
    <row r="324" spans="2:90" ht="12.75" customHeight="1" x14ac:dyDescent="0.15">
      <c r="B324" s="57"/>
      <c r="C324" s="57"/>
      <c r="D324" s="58"/>
      <c r="E324" s="59"/>
      <c r="F324" s="63"/>
      <c r="G324" s="63"/>
      <c r="H324" s="63"/>
      <c r="I324" s="63"/>
      <c r="J324" s="65"/>
      <c r="K324" s="392"/>
      <c r="L324" s="65"/>
      <c r="M324" s="65"/>
      <c r="N324" s="65"/>
      <c r="O324" s="386"/>
      <c r="P324" s="386"/>
      <c r="Q324" s="386"/>
      <c r="R324" s="386"/>
      <c r="S324" s="386"/>
      <c r="T324" s="386"/>
      <c r="U324" s="386"/>
      <c r="V324" s="386"/>
      <c r="W324" s="386"/>
      <c r="X324" s="386"/>
      <c r="Y324" s="386"/>
      <c r="Z324" s="386"/>
      <c r="AA324" s="386"/>
      <c r="AB324" s="386"/>
      <c r="AC324" s="386"/>
      <c r="AD324" s="386"/>
      <c r="AE324" s="386"/>
      <c r="AF324" s="386"/>
      <c r="AG324" s="386"/>
      <c r="AH324" s="386"/>
      <c r="AI324" s="386"/>
      <c r="AJ324" s="386"/>
      <c r="AK324" s="386"/>
      <c r="AL324" s="386"/>
      <c r="AM324" s="386"/>
      <c r="AN324" s="386"/>
      <c r="AO324" s="386"/>
      <c r="AP324" s="386"/>
      <c r="AQ324" s="386"/>
      <c r="AR324" s="386"/>
      <c r="AS324" s="386"/>
      <c r="AT324" s="386"/>
      <c r="AU324" s="386"/>
      <c r="AV324" s="386"/>
      <c r="AW324" s="386"/>
      <c r="AX324" s="386"/>
      <c r="AY324" s="386"/>
      <c r="AZ324" s="386"/>
      <c r="BA324" s="386"/>
      <c r="BB324" s="386"/>
      <c r="BC324" s="386"/>
      <c r="BD324" s="386"/>
      <c r="BE324" s="386"/>
      <c r="BF324" s="386"/>
      <c r="BG324" s="386"/>
      <c r="BH324" s="386"/>
      <c r="BI324" s="386"/>
      <c r="BJ324" s="386"/>
      <c r="BK324" s="386"/>
      <c r="BL324" s="386"/>
      <c r="BM324" s="386"/>
      <c r="BN324" s="386"/>
      <c r="BO324" s="386"/>
      <c r="BP324" s="386"/>
      <c r="BQ324" s="386"/>
      <c r="BR324" s="386"/>
      <c r="BS324" s="386"/>
      <c r="BT324" s="386"/>
      <c r="BU324" s="386"/>
      <c r="BV324" s="386"/>
      <c r="BW324" s="386"/>
      <c r="BX324" s="386"/>
      <c r="BY324" s="386"/>
      <c r="BZ324" s="386"/>
      <c r="CA324" s="386"/>
      <c r="CB324" s="386"/>
      <c r="CC324" s="386"/>
      <c r="CD324" s="386"/>
      <c r="CE324" s="386"/>
      <c r="CF324" s="386"/>
      <c r="CG324" s="386"/>
      <c r="CH324" s="386"/>
      <c r="CI324" s="386"/>
      <c r="CJ324" s="386"/>
      <c r="CK324" s="386"/>
      <c r="CL324" s="386"/>
    </row>
    <row r="325" spans="2:90" ht="12.75" customHeight="1" x14ac:dyDescent="0.15">
      <c r="B325" s="57"/>
      <c r="C325" s="57"/>
      <c r="D325" s="58"/>
      <c r="E325" s="59"/>
      <c r="F325" s="63"/>
      <c r="G325" s="63"/>
      <c r="H325" s="63"/>
      <c r="I325" s="63"/>
      <c r="J325" s="65"/>
      <c r="K325" s="392"/>
      <c r="L325" s="65"/>
      <c r="M325" s="65"/>
      <c r="N325" s="65"/>
      <c r="O325" s="386"/>
      <c r="P325" s="386"/>
      <c r="Q325" s="386"/>
      <c r="R325" s="386"/>
      <c r="S325" s="386"/>
      <c r="T325" s="386"/>
      <c r="U325" s="386"/>
      <c r="V325" s="386"/>
      <c r="W325" s="386"/>
      <c r="X325" s="386"/>
      <c r="Y325" s="386"/>
      <c r="Z325" s="386"/>
      <c r="AA325" s="386"/>
      <c r="AB325" s="386"/>
      <c r="AC325" s="386"/>
      <c r="AD325" s="386"/>
      <c r="AE325" s="386"/>
      <c r="AF325" s="386"/>
      <c r="AG325" s="386"/>
      <c r="AH325" s="386"/>
      <c r="AI325" s="386"/>
      <c r="AJ325" s="386"/>
      <c r="AK325" s="386"/>
      <c r="AL325" s="386"/>
      <c r="AM325" s="386"/>
      <c r="AN325" s="386"/>
      <c r="AO325" s="386"/>
      <c r="AP325" s="386"/>
      <c r="AQ325" s="386"/>
      <c r="AR325" s="386"/>
      <c r="AS325" s="386"/>
      <c r="AT325" s="386"/>
      <c r="AU325" s="386"/>
      <c r="AV325" s="386"/>
      <c r="AW325" s="386"/>
      <c r="AX325" s="386"/>
      <c r="AY325" s="386"/>
      <c r="AZ325" s="386"/>
      <c r="BA325" s="386"/>
      <c r="BB325" s="386"/>
      <c r="BC325" s="386"/>
      <c r="BD325" s="386"/>
      <c r="BE325" s="386"/>
      <c r="BF325" s="386"/>
      <c r="BG325" s="386"/>
      <c r="BH325" s="386"/>
      <c r="BI325" s="386"/>
      <c r="BJ325" s="386"/>
      <c r="BK325" s="386"/>
      <c r="BL325" s="386"/>
      <c r="BM325" s="386"/>
      <c r="BN325" s="386"/>
      <c r="BO325" s="386"/>
      <c r="BP325" s="386"/>
      <c r="BQ325" s="386"/>
      <c r="BR325" s="386"/>
      <c r="BS325" s="386"/>
      <c r="BT325" s="386"/>
      <c r="BU325" s="386"/>
      <c r="BV325" s="386"/>
      <c r="BW325" s="386"/>
      <c r="BX325" s="386"/>
      <c r="BY325" s="386"/>
      <c r="BZ325" s="386"/>
      <c r="CA325" s="386"/>
      <c r="CB325" s="386"/>
      <c r="CC325" s="386"/>
      <c r="CD325" s="386"/>
      <c r="CE325" s="386"/>
      <c r="CF325" s="386"/>
      <c r="CG325" s="386"/>
      <c r="CH325" s="386"/>
      <c r="CI325" s="386"/>
      <c r="CJ325" s="386"/>
      <c r="CK325" s="386"/>
      <c r="CL325" s="386"/>
    </row>
    <row r="326" spans="2:90" ht="12.75" customHeight="1" x14ac:dyDescent="0.15">
      <c r="B326" s="57"/>
      <c r="C326" s="57"/>
      <c r="D326" s="58"/>
      <c r="E326" s="59"/>
      <c r="F326" s="63"/>
      <c r="G326" s="63"/>
      <c r="H326" s="63"/>
      <c r="I326" s="63"/>
      <c r="J326" s="65"/>
      <c r="K326" s="392"/>
      <c r="L326" s="65"/>
      <c r="M326" s="65"/>
      <c r="N326" s="65"/>
      <c r="O326" s="386"/>
      <c r="P326" s="386"/>
      <c r="Q326" s="386"/>
      <c r="R326" s="386"/>
      <c r="S326" s="386"/>
      <c r="T326" s="386"/>
      <c r="U326" s="386"/>
      <c r="V326" s="386"/>
      <c r="W326" s="386"/>
      <c r="X326" s="386"/>
      <c r="Y326" s="386"/>
      <c r="Z326" s="386"/>
      <c r="AA326" s="386"/>
      <c r="AB326" s="386"/>
      <c r="AC326" s="386"/>
      <c r="AD326" s="386"/>
      <c r="AE326" s="386"/>
      <c r="AF326" s="386"/>
      <c r="AG326" s="386"/>
      <c r="AH326" s="386"/>
      <c r="AI326" s="386"/>
      <c r="AJ326" s="386"/>
      <c r="AK326" s="386"/>
      <c r="AL326" s="386"/>
      <c r="AM326" s="386"/>
      <c r="AN326" s="386"/>
      <c r="AO326" s="386"/>
      <c r="AP326" s="386"/>
      <c r="AQ326" s="386"/>
      <c r="AR326" s="386"/>
      <c r="AS326" s="386"/>
      <c r="AT326" s="386"/>
      <c r="AU326" s="386"/>
      <c r="AV326" s="386"/>
      <c r="AW326" s="386"/>
      <c r="AX326" s="386"/>
      <c r="AY326" s="386"/>
      <c r="AZ326" s="386"/>
      <c r="BA326" s="386"/>
      <c r="BB326" s="386"/>
      <c r="BC326" s="386"/>
      <c r="BD326" s="386"/>
      <c r="BE326" s="386"/>
      <c r="BF326" s="386"/>
      <c r="BG326" s="386"/>
      <c r="BH326" s="386"/>
      <c r="BI326" s="386"/>
      <c r="BJ326" s="386"/>
      <c r="BK326" s="386"/>
      <c r="BL326" s="386"/>
      <c r="BM326" s="386"/>
      <c r="BN326" s="386"/>
      <c r="BO326" s="386"/>
      <c r="BP326" s="386"/>
      <c r="BQ326" s="386"/>
      <c r="BR326" s="386"/>
      <c r="BS326" s="386"/>
      <c r="BT326" s="386"/>
      <c r="BU326" s="386"/>
      <c r="BV326" s="386"/>
      <c r="BW326" s="386"/>
      <c r="BX326" s="386"/>
      <c r="BY326" s="386"/>
      <c r="BZ326" s="386"/>
      <c r="CA326" s="386"/>
      <c r="CB326" s="386"/>
      <c r="CC326" s="386"/>
      <c r="CD326" s="386"/>
      <c r="CE326" s="386"/>
      <c r="CF326" s="386"/>
      <c r="CG326" s="386"/>
      <c r="CH326" s="386"/>
      <c r="CI326" s="386"/>
      <c r="CJ326" s="386"/>
      <c r="CK326" s="386"/>
      <c r="CL326" s="386"/>
    </row>
    <row r="327" spans="2:90" ht="12.75" customHeight="1" x14ac:dyDescent="0.15">
      <c r="B327" s="57"/>
      <c r="C327" s="57"/>
      <c r="D327" s="58"/>
      <c r="E327" s="59"/>
      <c r="F327" s="63"/>
      <c r="G327" s="63"/>
      <c r="H327" s="63"/>
      <c r="I327" s="63"/>
      <c r="J327" s="65"/>
      <c r="K327" s="392"/>
      <c r="L327" s="65"/>
      <c r="M327" s="65"/>
      <c r="N327" s="65"/>
      <c r="O327" s="386"/>
      <c r="P327" s="386"/>
      <c r="Q327" s="386"/>
      <c r="R327" s="386"/>
      <c r="S327" s="386"/>
      <c r="T327" s="386"/>
      <c r="U327" s="386"/>
      <c r="V327" s="386"/>
      <c r="W327" s="386"/>
      <c r="X327" s="386"/>
      <c r="Y327" s="386"/>
      <c r="Z327" s="386"/>
      <c r="AA327" s="386"/>
      <c r="AB327" s="386"/>
      <c r="AC327" s="386"/>
      <c r="AD327" s="386"/>
      <c r="AE327" s="386"/>
      <c r="AF327" s="386"/>
      <c r="AG327" s="386"/>
      <c r="AH327" s="386"/>
      <c r="AI327" s="386"/>
      <c r="AJ327" s="386"/>
      <c r="AK327" s="386"/>
      <c r="AL327" s="386"/>
      <c r="AM327" s="386"/>
      <c r="AN327" s="386"/>
      <c r="AO327" s="386"/>
      <c r="AP327" s="386"/>
      <c r="AQ327" s="386"/>
      <c r="AR327" s="386"/>
      <c r="AS327" s="386"/>
      <c r="AT327" s="386"/>
      <c r="AU327" s="386"/>
      <c r="AV327" s="386"/>
      <c r="AW327" s="386"/>
      <c r="AX327" s="386"/>
      <c r="AY327" s="386"/>
      <c r="AZ327" s="386"/>
      <c r="BA327" s="386"/>
      <c r="BB327" s="386"/>
      <c r="BC327" s="386"/>
      <c r="BD327" s="386"/>
      <c r="BE327" s="386"/>
      <c r="BF327" s="386"/>
      <c r="BG327" s="386"/>
      <c r="BH327" s="386"/>
      <c r="BI327" s="386"/>
      <c r="BJ327" s="386"/>
      <c r="BK327" s="386"/>
      <c r="BL327" s="386"/>
      <c r="BM327" s="386"/>
      <c r="BN327" s="386"/>
      <c r="BO327" s="386"/>
      <c r="BP327" s="386"/>
      <c r="BQ327" s="386"/>
      <c r="BR327" s="386"/>
      <c r="BS327" s="386"/>
      <c r="BT327" s="386"/>
      <c r="BU327" s="386"/>
      <c r="BV327" s="386"/>
      <c r="BW327" s="386"/>
      <c r="BX327" s="386"/>
      <c r="BY327" s="386"/>
      <c r="BZ327" s="386"/>
      <c r="CA327" s="386"/>
      <c r="CB327" s="386"/>
      <c r="CC327" s="386"/>
      <c r="CD327" s="386"/>
      <c r="CE327" s="386"/>
      <c r="CF327" s="386"/>
      <c r="CG327" s="386"/>
      <c r="CH327" s="386"/>
      <c r="CI327" s="386"/>
      <c r="CJ327" s="386"/>
      <c r="CK327" s="386"/>
      <c r="CL327" s="386"/>
    </row>
    <row r="328" spans="2:90" ht="12.75" customHeight="1" x14ac:dyDescent="0.15">
      <c r="B328" s="57"/>
      <c r="C328" s="57"/>
      <c r="D328" s="58"/>
      <c r="E328" s="59"/>
      <c r="F328" s="63"/>
      <c r="G328" s="63"/>
      <c r="H328" s="63"/>
      <c r="I328" s="63"/>
      <c r="J328" s="65"/>
      <c r="K328" s="392"/>
      <c r="L328" s="65"/>
      <c r="M328" s="65"/>
      <c r="N328" s="65"/>
      <c r="O328" s="386"/>
      <c r="P328" s="386"/>
      <c r="Q328" s="386"/>
      <c r="R328" s="386"/>
      <c r="S328" s="386"/>
      <c r="T328" s="386"/>
      <c r="U328" s="386"/>
      <c r="V328" s="386"/>
      <c r="W328" s="386"/>
      <c r="X328" s="386"/>
      <c r="Y328" s="386"/>
      <c r="Z328" s="386"/>
      <c r="AA328" s="386"/>
      <c r="AB328" s="386"/>
      <c r="AC328" s="386"/>
      <c r="AD328" s="386"/>
      <c r="AE328" s="386"/>
      <c r="AF328" s="386"/>
      <c r="AG328" s="386"/>
      <c r="AH328" s="386"/>
      <c r="AI328" s="386"/>
      <c r="AJ328" s="386"/>
      <c r="AK328" s="386"/>
      <c r="AL328" s="386"/>
      <c r="AM328" s="386"/>
      <c r="AN328" s="386"/>
      <c r="AO328" s="386"/>
      <c r="AP328" s="386"/>
      <c r="AQ328" s="386"/>
      <c r="AR328" s="386"/>
      <c r="AS328" s="386"/>
      <c r="AT328" s="386"/>
      <c r="AU328" s="386"/>
      <c r="AV328" s="386"/>
      <c r="AW328" s="386"/>
      <c r="AX328" s="386"/>
      <c r="AY328" s="386"/>
      <c r="AZ328" s="386"/>
      <c r="BA328" s="386"/>
      <c r="BB328" s="386"/>
      <c r="BC328" s="386"/>
      <c r="BD328" s="386"/>
      <c r="BE328" s="386"/>
      <c r="BF328" s="386"/>
      <c r="BG328" s="386"/>
      <c r="BH328" s="386"/>
      <c r="BI328" s="386"/>
      <c r="BJ328" s="386"/>
      <c r="BK328" s="386"/>
      <c r="BL328" s="386"/>
      <c r="BM328" s="386"/>
      <c r="BN328" s="386"/>
      <c r="BO328" s="386"/>
      <c r="BP328" s="386"/>
      <c r="BQ328" s="386"/>
      <c r="BR328" s="386"/>
      <c r="BS328" s="386"/>
      <c r="BT328" s="386"/>
      <c r="BU328" s="386"/>
      <c r="BV328" s="386"/>
      <c r="BW328" s="386"/>
      <c r="BX328" s="386"/>
      <c r="BY328" s="386"/>
      <c r="BZ328" s="386"/>
      <c r="CA328" s="386"/>
      <c r="CB328" s="386"/>
      <c r="CC328" s="386"/>
      <c r="CD328" s="386"/>
      <c r="CE328" s="386"/>
      <c r="CF328" s="386"/>
      <c r="CG328" s="386"/>
      <c r="CH328" s="386"/>
      <c r="CI328" s="386"/>
      <c r="CJ328" s="386"/>
      <c r="CK328" s="386"/>
      <c r="CL328" s="386"/>
    </row>
    <row r="329" spans="2:90" ht="12.75" customHeight="1" x14ac:dyDescent="0.15">
      <c r="B329" s="57"/>
      <c r="C329" s="57"/>
      <c r="D329" s="58"/>
      <c r="E329" s="59"/>
      <c r="F329" s="63"/>
      <c r="G329" s="63"/>
      <c r="H329" s="63"/>
      <c r="I329" s="63"/>
      <c r="J329" s="65"/>
      <c r="K329" s="392"/>
      <c r="L329" s="65"/>
      <c r="M329" s="65"/>
      <c r="N329" s="65"/>
      <c r="O329" s="386"/>
      <c r="P329" s="386"/>
      <c r="Q329" s="386"/>
      <c r="R329" s="386"/>
      <c r="S329" s="386"/>
      <c r="T329" s="386"/>
      <c r="U329" s="386"/>
      <c r="V329" s="386"/>
      <c r="W329" s="386"/>
      <c r="X329" s="386"/>
      <c r="Y329" s="386"/>
      <c r="Z329" s="386"/>
      <c r="AA329" s="386"/>
      <c r="AB329" s="386"/>
      <c r="AC329" s="386"/>
      <c r="AD329" s="386"/>
      <c r="AE329" s="386"/>
      <c r="AF329" s="386"/>
      <c r="AG329" s="386"/>
      <c r="AH329" s="386"/>
      <c r="AI329" s="386"/>
      <c r="AJ329" s="386"/>
      <c r="AK329" s="386"/>
      <c r="AL329" s="386"/>
      <c r="AM329" s="386"/>
      <c r="AN329" s="386"/>
      <c r="AO329" s="386"/>
      <c r="AP329" s="386"/>
      <c r="AQ329" s="386"/>
      <c r="AR329" s="386"/>
      <c r="AS329" s="386"/>
      <c r="AT329" s="386"/>
      <c r="AU329" s="386"/>
      <c r="AV329" s="386"/>
      <c r="AW329" s="386"/>
      <c r="AX329" s="386"/>
      <c r="AY329" s="386"/>
      <c r="AZ329" s="386"/>
      <c r="BA329" s="386"/>
      <c r="BB329" s="386"/>
      <c r="BC329" s="386"/>
      <c r="BD329" s="386"/>
      <c r="BE329" s="386"/>
      <c r="BF329" s="386"/>
      <c r="BG329" s="386"/>
      <c r="BH329" s="386"/>
      <c r="BI329" s="386"/>
      <c r="BJ329" s="386"/>
      <c r="BK329" s="386"/>
      <c r="BL329" s="386"/>
      <c r="BM329" s="386"/>
      <c r="BN329" s="386"/>
      <c r="BO329" s="386"/>
      <c r="BP329" s="386"/>
      <c r="BQ329" s="386"/>
      <c r="BR329" s="386"/>
      <c r="BS329" s="386"/>
      <c r="BT329" s="386"/>
      <c r="BU329" s="386"/>
      <c r="BV329" s="386"/>
      <c r="BW329" s="386"/>
      <c r="BX329" s="386"/>
      <c r="BY329" s="386"/>
      <c r="BZ329" s="386"/>
      <c r="CA329" s="386"/>
      <c r="CB329" s="386"/>
      <c r="CC329" s="386"/>
      <c r="CD329" s="386"/>
      <c r="CE329" s="386"/>
      <c r="CF329" s="386"/>
      <c r="CG329" s="386"/>
      <c r="CH329" s="386"/>
      <c r="CI329" s="386"/>
      <c r="CJ329" s="386"/>
      <c r="CK329" s="386"/>
      <c r="CL329" s="386"/>
    </row>
    <row r="330" spans="2:90" ht="12.75" customHeight="1" x14ac:dyDescent="0.15">
      <c r="B330" s="57"/>
      <c r="C330" s="57"/>
      <c r="D330" s="58"/>
      <c r="E330" s="59"/>
      <c r="F330" s="63"/>
      <c r="G330" s="63"/>
      <c r="H330" s="63"/>
      <c r="I330" s="63"/>
      <c r="J330" s="65"/>
      <c r="K330" s="392"/>
      <c r="L330" s="65"/>
      <c r="M330" s="65"/>
      <c r="N330" s="65"/>
      <c r="O330" s="386"/>
      <c r="P330" s="386"/>
      <c r="Q330" s="386"/>
      <c r="R330" s="386"/>
      <c r="S330" s="386"/>
      <c r="T330" s="386"/>
      <c r="U330" s="386"/>
      <c r="V330" s="386"/>
      <c r="W330" s="386"/>
      <c r="X330" s="386"/>
      <c r="Y330" s="386"/>
      <c r="Z330" s="386"/>
      <c r="AA330" s="386"/>
      <c r="AB330" s="386"/>
      <c r="AC330" s="386"/>
      <c r="AD330" s="386"/>
      <c r="AE330" s="386"/>
      <c r="AF330" s="386"/>
      <c r="AG330" s="386"/>
      <c r="AH330" s="386"/>
      <c r="AI330" s="386"/>
      <c r="AJ330" s="386"/>
      <c r="AK330" s="386"/>
      <c r="AL330" s="386"/>
      <c r="AM330" s="386"/>
      <c r="AN330" s="386"/>
      <c r="AO330" s="386"/>
      <c r="AP330" s="386"/>
      <c r="AQ330" s="386"/>
      <c r="AR330" s="386"/>
      <c r="AS330" s="386"/>
      <c r="AT330" s="386"/>
      <c r="AU330" s="386"/>
      <c r="AV330" s="386"/>
      <c r="AW330" s="386"/>
      <c r="AX330" s="386"/>
      <c r="AY330" s="386"/>
      <c r="AZ330" s="386"/>
      <c r="BA330" s="386"/>
      <c r="BB330" s="386"/>
      <c r="BC330" s="386"/>
      <c r="BD330" s="386"/>
      <c r="BE330" s="386"/>
      <c r="BF330" s="386"/>
      <c r="BG330" s="386"/>
      <c r="BH330" s="386"/>
      <c r="BI330" s="386"/>
      <c r="BJ330" s="386"/>
      <c r="BK330" s="386"/>
      <c r="BL330" s="386"/>
      <c r="BM330" s="386"/>
      <c r="BN330" s="386"/>
      <c r="BO330" s="386"/>
      <c r="BP330" s="386"/>
      <c r="BQ330" s="386"/>
      <c r="BR330" s="386"/>
      <c r="BS330" s="386"/>
      <c r="BT330" s="386"/>
      <c r="BU330" s="386"/>
      <c r="BV330" s="386"/>
      <c r="BW330" s="386"/>
      <c r="BX330" s="386"/>
      <c r="BY330" s="386"/>
      <c r="BZ330" s="386"/>
      <c r="CA330" s="386"/>
      <c r="CB330" s="386"/>
      <c r="CC330" s="386"/>
      <c r="CD330" s="386"/>
      <c r="CE330" s="386"/>
      <c r="CF330" s="386"/>
      <c r="CG330" s="386"/>
      <c r="CH330" s="386"/>
      <c r="CI330" s="386"/>
      <c r="CJ330" s="386"/>
      <c r="CK330" s="386"/>
      <c r="CL330" s="386"/>
    </row>
    <row r="331" spans="2:90" ht="12.75" customHeight="1" x14ac:dyDescent="0.15">
      <c r="B331" s="57"/>
      <c r="C331" s="57"/>
      <c r="D331" s="58"/>
      <c r="E331" s="59"/>
      <c r="F331" s="63"/>
      <c r="G331" s="63"/>
      <c r="H331" s="63"/>
      <c r="I331" s="63"/>
      <c r="J331" s="65"/>
      <c r="K331" s="392"/>
      <c r="L331" s="65"/>
      <c r="M331" s="65"/>
      <c r="N331" s="65"/>
      <c r="O331" s="386"/>
      <c r="P331" s="386"/>
      <c r="Q331" s="386"/>
      <c r="R331" s="386"/>
      <c r="S331" s="386"/>
      <c r="T331" s="386"/>
      <c r="U331" s="386"/>
      <c r="V331" s="386"/>
      <c r="W331" s="386"/>
      <c r="X331" s="386"/>
      <c r="Y331" s="386"/>
      <c r="Z331" s="386"/>
      <c r="AA331" s="386"/>
      <c r="AB331" s="386"/>
      <c r="AC331" s="386"/>
      <c r="AD331" s="386"/>
      <c r="AE331" s="386"/>
      <c r="AF331" s="386"/>
      <c r="AG331" s="386"/>
      <c r="AH331" s="386"/>
      <c r="AI331" s="386"/>
      <c r="AJ331" s="386"/>
      <c r="AK331" s="386"/>
      <c r="AL331" s="386"/>
      <c r="AM331" s="386"/>
      <c r="AN331" s="386"/>
      <c r="AO331" s="386"/>
      <c r="AP331" s="386"/>
      <c r="AQ331" s="386"/>
      <c r="AR331" s="386"/>
      <c r="AS331" s="386"/>
      <c r="AT331" s="386"/>
      <c r="AU331" s="386"/>
      <c r="AV331" s="386"/>
      <c r="AW331" s="386"/>
      <c r="AX331" s="386"/>
      <c r="AY331" s="386"/>
      <c r="AZ331" s="386"/>
      <c r="BA331" s="386"/>
      <c r="BB331" s="386"/>
      <c r="BC331" s="386"/>
      <c r="BD331" s="386"/>
      <c r="BE331" s="386"/>
      <c r="BF331" s="386"/>
      <c r="BG331" s="386"/>
      <c r="BH331" s="386"/>
      <c r="BI331" s="386"/>
      <c r="BJ331" s="386"/>
      <c r="BK331" s="386"/>
      <c r="BL331" s="386"/>
      <c r="BM331" s="386"/>
      <c r="BN331" s="386"/>
      <c r="BO331" s="386"/>
      <c r="BP331" s="386"/>
      <c r="BQ331" s="386"/>
      <c r="BR331" s="386"/>
      <c r="BS331" s="386"/>
      <c r="BT331" s="386"/>
      <c r="BU331" s="386"/>
      <c r="BV331" s="386"/>
      <c r="BW331" s="386"/>
      <c r="BX331" s="386"/>
      <c r="BY331" s="386"/>
      <c r="BZ331" s="386"/>
      <c r="CA331" s="386"/>
      <c r="CB331" s="386"/>
      <c r="CC331" s="386"/>
      <c r="CD331" s="386"/>
      <c r="CE331" s="386"/>
      <c r="CF331" s="386"/>
      <c r="CG331" s="386"/>
      <c r="CH331" s="386"/>
      <c r="CI331" s="386"/>
      <c r="CJ331" s="386"/>
      <c r="CK331" s="386"/>
      <c r="CL331" s="386"/>
    </row>
    <row r="332" spans="2:90" ht="12.75" customHeight="1" x14ac:dyDescent="0.15">
      <c r="B332" s="57"/>
      <c r="C332" s="57"/>
      <c r="D332" s="58"/>
      <c r="E332" s="59"/>
      <c r="F332" s="63"/>
      <c r="G332" s="63"/>
      <c r="H332" s="63"/>
      <c r="I332" s="63"/>
      <c r="J332" s="65"/>
      <c r="K332" s="392"/>
      <c r="L332" s="65"/>
      <c r="M332" s="65"/>
      <c r="N332" s="65"/>
      <c r="O332" s="386"/>
      <c r="P332" s="386"/>
      <c r="Q332" s="386"/>
      <c r="R332" s="386"/>
      <c r="S332" s="386"/>
      <c r="T332" s="386"/>
      <c r="U332" s="386"/>
      <c r="V332" s="386"/>
      <c r="W332" s="386"/>
      <c r="X332" s="386"/>
      <c r="Y332" s="386"/>
      <c r="Z332" s="386"/>
      <c r="AA332" s="386"/>
      <c r="AB332" s="386"/>
      <c r="AC332" s="386"/>
      <c r="AD332" s="386"/>
      <c r="AE332" s="386"/>
      <c r="AF332" s="386"/>
      <c r="AG332" s="386"/>
      <c r="AH332" s="386"/>
      <c r="AI332" s="386"/>
      <c r="AJ332" s="386"/>
      <c r="AK332" s="386"/>
      <c r="AL332" s="386"/>
      <c r="AM332" s="386"/>
      <c r="AN332" s="386"/>
      <c r="AO332" s="386"/>
      <c r="AP332" s="386"/>
      <c r="AQ332" s="386"/>
      <c r="AR332" s="386"/>
      <c r="AS332" s="386"/>
      <c r="AT332" s="386"/>
      <c r="AU332" s="386"/>
      <c r="AV332" s="386"/>
      <c r="AW332" s="386"/>
      <c r="AX332" s="386"/>
      <c r="AY332" s="386"/>
      <c r="AZ332" s="386"/>
      <c r="BA332" s="386"/>
      <c r="BB332" s="386"/>
      <c r="BC332" s="386"/>
      <c r="BD332" s="386"/>
      <c r="BE332" s="386"/>
      <c r="BF332" s="386"/>
      <c r="BG332" s="386"/>
      <c r="BH332" s="386"/>
      <c r="BI332" s="386"/>
      <c r="BJ332" s="386"/>
      <c r="BK332" s="386"/>
      <c r="BL332" s="386"/>
      <c r="BM332" s="386"/>
      <c r="BN332" s="386"/>
      <c r="BO332" s="386"/>
      <c r="BP332" s="386"/>
      <c r="BQ332" s="386"/>
      <c r="BR332" s="386"/>
      <c r="BS332" s="386"/>
      <c r="BT332" s="386"/>
      <c r="BU332" s="386"/>
      <c r="BV332" s="386"/>
      <c r="BW332" s="386"/>
      <c r="BX332" s="386"/>
      <c r="BY332" s="386"/>
      <c r="BZ332" s="386"/>
      <c r="CA332" s="386"/>
      <c r="CB332" s="386"/>
      <c r="CC332" s="386"/>
      <c r="CD332" s="386"/>
      <c r="CE332" s="386"/>
      <c r="CF332" s="386"/>
      <c r="CG332" s="386"/>
      <c r="CH332" s="386"/>
      <c r="CI332" s="386"/>
      <c r="CJ332" s="386"/>
      <c r="CK332" s="386"/>
      <c r="CL332" s="386"/>
    </row>
    <row r="333" spans="2:90" ht="12.75" customHeight="1" x14ac:dyDescent="0.15">
      <c r="B333" s="57"/>
      <c r="C333" s="57"/>
      <c r="D333" s="58"/>
      <c r="E333" s="59"/>
      <c r="F333" s="63"/>
      <c r="G333" s="63"/>
      <c r="H333" s="63"/>
      <c r="I333" s="63"/>
      <c r="J333" s="65"/>
      <c r="K333" s="392"/>
      <c r="L333" s="65"/>
      <c r="M333" s="65"/>
      <c r="N333" s="65"/>
      <c r="O333" s="386"/>
      <c r="P333" s="386"/>
      <c r="Q333" s="386"/>
      <c r="R333" s="386"/>
      <c r="S333" s="386"/>
      <c r="T333" s="386"/>
      <c r="U333" s="386"/>
      <c r="V333" s="386"/>
      <c r="W333" s="386"/>
      <c r="X333" s="386"/>
      <c r="Y333" s="386"/>
      <c r="Z333" s="386"/>
      <c r="AA333" s="386"/>
      <c r="AB333" s="386"/>
      <c r="AC333" s="386"/>
      <c r="AD333" s="386"/>
      <c r="AE333" s="386"/>
      <c r="AF333" s="386"/>
      <c r="AG333" s="386"/>
      <c r="AH333" s="386"/>
      <c r="AI333" s="386"/>
      <c r="AJ333" s="386"/>
      <c r="AK333" s="386"/>
      <c r="AL333" s="386"/>
      <c r="AM333" s="386"/>
      <c r="AN333" s="386"/>
      <c r="AO333" s="386"/>
      <c r="AP333" s="386"/>
      <c r="AQ333" s="386"/>
      <c r="AR333" s="386"/>
      <c r="AS333" s="386"/>
      <c r="AT333" s="386"/>
      <c r="AU333" s="386"/>
      <c r="AV333" s="386"/>
      <c r="AW333" s="386"/>
      <c r="AX333" s="386"/>
      <c r="AY333" s="386"/>
      <c r="AZ333" s="386"/>
      <c r="BA333" s="386"/>
      <c r="BB333" s="386"/>
      <c r="BC333" s="386"/>
      <c r="BD333" s="386"/>
      <c r="BE333" s="386"/>
      <c r="BF333" s="386"/>
      <c r="BG333" s="386"/>
      <c r="BH333" s="386"/>
      <c r="BI333" s="386"/>
      <c r="BJ333" s="386"/>
      <c r="BK333" s="386"/>
      <c r="BL333" s="386"/>
      <c r="BM333" s="386"/>
      <c r="BN333" s="386"/>
      <c r="BO333" s="386"/>
      <c r="BP333" s="386"/>
      <c r="BQ333" s="386"/>
      <c r="BR333" s="386"/>
      <c r="BS333" s="386"/>
      <c r="BT333" s="386"/>
      <c r="BU333" s="386"/>
      <c r="BV333" s="386"/>
      <c r="BW333" s="386"/>
      <c r="BX333" s="386"/>
      <c r="BY333" s="386"/>
      <c r="BZ333" s="386"/>
      <c r="CA333" s="386"/>
      <c r="CB333" s="386"/>
      <c r="CC333" s="386"/>
      <c r="CD333" s="386"/>
      <c r="CE333" s="386"/>
      <c r="CF333" s="386"/>
      <c r="CG333" s="386"/>
      <c r="CH333" s="386"/>
      <c r="CI333" s="386"/>
      <c r="CJ333" s="386"/>
      <c r="CK333" s="386"/>
      <c r="CL333" s="386"/>
    </row>
    <row r="334" spans="2:90" ht="12.75" customHeight="1" x14ac:dyDescent="0.15">
      <c r="B334" s="57"/>
      <c r="C334" s="57"/>
      <c r="D334" s="58"/>
      <c r="E334" s="59"/>
      <c r="F334" s="63"/>
      <c r="G334" s="63"/>
      <c r="H334" s="63"/>
      <c r="I334" s="63"/>
      <c r="J334" s="65"/>
      <c r="K334" s="392"/>
      <c r="L334" s="65"/>
      <c r="M334" s="65"/>
      <c r="N334" s="65"/>
      <c r="O334" s="386"/>
      <c r="P334" s="386"/>
      <c r="Q334" s="386"/>
      <c r="R334" s="386"/>
      <c r="S334" s="386"/>
      <c r="T334" s="386"/>
      <c r="U334" s="386"/>
      <c r="V334" s="386"/>
      <c r="W334" s="386"/>
      <c r="X334" s="386"/>
      <c r="Y334" s="386"/>
      <c r="Z334" s="386"/>
      <c r="AA334" s="386"/>
      <c r="AB334" s="386"/>
      <c r="AC334" s="386"/>
      <c r="AD334" s="386"/>
      <c r="AE334" s="386"/>
      <c r="AF334" s="386"/>
      <c r="AG334" s="386"/>
      <c r="AH334" s="386"/>
      <c r="AI334" s="386"/>
      <c r="AJ334" s="386"/>
      <c r="AK334" s="386"/>
      <c r="AL334" s="386"/>
      <c r="AM334" s="386"/>
      <c r="AN334" s="386"/>
      <c r="AO334" s="386"/>
      <c r="AP334" s="386"/>
      <c r="AQ334" s="386"/>
      <c r="AR334" s="386"/>
      <c r="AS334" s="386"/>
      <c r="AT334" s="386"/>
      <c r="AU334" s="386"/>
      <c r="AV334" s="386"/>
      <c r="AW334" s="386"/>
      <c r="AX334" s="386"/>
      <c r="AY334" s="386"/>
      <c r="AZ334" s="386"/>
      <c r="BA334" s="386"/>
      <c r="BB334" s="386"/>
      <c r="BC334" s="386"/>
      <c r="BD334" s="386"/>
      <c r="BE334" s="386"/>
      <c r="BF334" s="386"/>
      <c r="BG334" s="386"/>
      <c r="BH334" s="386"/>
      <c r="BI334" s="386"/>
      <c r="BJ334" s="386"/>
      <c r="BK334" s="386"/>
      <c r="BL334" s="386"/>
      <c r="BM334" s="386"/>
      <c r="BN334" s="386"/>
      <c r="BO334" s="386"/>
      <c r="BP334" s="386"/>
      <c r="BQ334" s="386"/>
      <c r="BR334" s="386"/>
      <c r="BS334" s="386"/>
      <c r="BT334" s="386"/>
      <c r="BU334" s="386"/>
      <c r="BV334" s="386"/>
      <c r="BW334" s="386"/>
      <c r="BX334" s="386"/>
      <c r="BY334" s="386"/>
      <c r="BZ334" s="386"/>
      <c r="CA334" s="386"/>
      <c r="CB334" s="386"/>
      <c r="CC334" s="386"/>
      <c r="CD334" s="386"/>
      <c r="CE334" s="386"/>
      <c r="CF334" s="386"/>
      <c r="CG334" s="386"/>
      <c r="CH334" s="386"/>
      <c r="CI334" s="386"/>
      <c r="CJ334" s="386"/>
      <c r="CK334" s="386"/>
      <c r="CL334" s="386"/>
    </row>
    <row r="335" spans="2:90" ht="12.75" customHeight="1" x14ac:dyDescent="0.15">
      <c r="B335" s="57"/>
      <c r="C335" s="57"/>
      <c r="D335" s="58"/>
      <c r="E335" s="59"/>
      <c r="F335" s="63"/>
      <c r="G335" s="63"/>
      <c r="H335" s="63"/>
      <c r="I335" s="63"/>
      <c r="J335" s="65"/>
      <c r="K335" s="392"/>
      <c r="L335" s="65"/>
      <c r="M335" s="65"/>
      <c r="N335" s="65"/>
      <c r="O335" s="386"/>
      <c r="P335" s="386"/>
      <c r="Q335" s="386"/>
      <c r="R335" s="386"/>
      <c r="S335" s="386"/>
      <c r="T335" s="386"/>
      <c r="U335" s="386"/>
      <c r="V335" s="386"/>
      <c r="W335" s="386"/>
      <c r="X335" s="386"/>
      <c r="Y335" s="386"/>
      <c r="Z335" s="386"/>
      <c r="AA335" s="386"/>
      <c r="AB335" s="386"/>
      <c r="AC335" s="386"/>
      <c r="AD335" s="386"/>
      <c r="AE335" s="386"/>
      <c r="AF335" s="386"/>
      <c r="AG335" s="386"/>
      <c r="AH335" s="386"/>
      <c r="AI335" s="386"/>
      <c r="AJ335" s="386"/>
      <c r="AK335" s="386"/>
      <c r="AL335" s="386"/>
      <c r="AM335" s="386"/>
      <c r="AN335" s="386"/>
      <c r="AO335" s="386"/>
      <c r="AP335" s="386"/>
      <c r="AQ335" s="386"/>
      <c r="AR335" s="386"/>
      <c r="AS335" s="386"/>
      <c r="AT335" s="386"/>
      <c r="AU335" s="386"/>
      <c r="AV335" s="386"/>
      <c r="AW335" s="386"/>
      <c r="AX335" s="386"/>
      <c r="AY335" s="386"/>
      <c r="AZ335" s="386"/>
      <c r="BA335" s="386"/>
      <c r="BB335" s="386"/>
      <c r="BC335" s="386"/>
      <c r="BD335" s="386"/>
      <c r="BE335" s="386"/>
      <c r="BF335" s="386"/>
      <c r="BG335" s="386"/>
      <c r="BH335" s="386"/>
      <c r="BI335" s="386"/>
      <c r="BJ335" s="386"/>
      <c r="BK335" s="386"/>
      <c r="BL335" s="386"/>
      <c r="BM335" s="386"/>
      <c r="BN335" s="386"/>
      <c r="BO335" s="386"/>
      <c r="BP335" s="386"/>
      <c r="BQ335" s="386"/>
      <c r="BR335" s="386"/>
      <c r="BS335" s="386"/>
      <c r="BT335" s="386"/>
      <c r="BU335" s="386"/>
      <c r="BV335" s="386"/>
      <c r="BW335" s="386"/>
      <c r="BX335" s="386"/>
      <c r="BY335" s="386"/>
      <c r="BZ335" s="386"/>
      <c r="CA335" s="386"/>
      <c r="CB335" s="386"/>
      <c r="CC335" s="386"/>
      <c r="CD335" s="386"/>
      <c r="CE335" s="386"/>
      <c r="CF335" s="386"/>
      <c r="CG335" s="386"/>
      <c r="CH335" s="386"/>
      <c r="CI335" s="386"/>
      <c r="CJ335" s="386"/>
      <c r="CK335" s="386"/>
      <c r="CL335" s="386"/>
    </row>
    <row r="336" spans="2:90" ht="12.75" customHeight="1" x14ac:dyDescent="0.15">
      <c r="B336" s="57"/>
      <c r="C336" s="57"/>
      <c r="D336" s="58"/>
      <c r="E336" s="59"/>
      <c r="F336" s="63"/>
      <c r="G336" s="63"/>
      <c r="H336" s="63"/>
      <c r="I336" s="63"/>
      <c r="J336" s="65"/>
      <c r="K336" s="392"/>
      <c r="L336" s="65"/>
      <c r="M336" s="65"/>
      <c r="N336" s="65"/>
      <c r="O336" s="386"/>
      <c r="P336" s="386"/>
      <c r="Q336" s="386"/>
      <c r="R336" s="386"/>
      <c r="S336" s="386"/>
      <c r="T336" s="386"/>
      <c r="U336" s="386"/>
      <c r="V336" s="386"/>
      <c r="W336" s="386"/>
      <c r="X336" s="386"/>
      <c r="Y336" s="386"/>
      <c r="Z336" s="386"/>
      <c r="AA336" s="386"/>
      <c r="AB336" s="386"/>
      <c r="AC336" s="386"/>
      <c r="AD336" s="386"/>
      <c r="AE336" s="386"/>
      <c r="AF336" s="386"/>
      <c r="AG336" s="386"/>
      <c r="AH336" s="386"/>
      <c r="AI336" s="386"/>
      <c r="AJ336" s="386"/>
      <c r="AK336" s="386"/>
      <c r="AL336" s="386"/>
      <c r="AM336" s="386"/>
      <c r="AN336" s="386"/>
      <c r="AO336" s="386"/>
      <c r="AP336" s="386"/>
      <c r="AQ336" s="386"/>
      <c r="AR336" s="386"/>
      <c r="AS336" s="386"/>
      <c r="AT336" s="386"/>
      <c r="AU336" s="386"/>
      <c r="AV336" s="386"/>
      <c r="AW336" s="386"/>
      <c r="AX336" s="386"/>
      <c r="AY336" s="386"/>
      <c r="AZ336" s="386"/>
      <c r="BA336" s="386"/>
      <c r="BB336" s="386"/>
      <c r="BC336" s="386"/>
      <c r="BD336" s="386"/>
      <c r="BE336" s="386"/>
      <c r="BF336" s="386"/>
      <c r="BG336" s="386"/>
      <c r="BH336" s="386"/>
      <c r="BI336" s="386"/>
      <c r="BJ336" s="386"/>
      <c r="BK336" s="386"/>
      <c r="BL336" s="386"/>
      <c r="BM336" s="386"/>
      <c r="BN336" s="386"/>
      <c r="BO336" s="386"/>
      <c r="BP336" s="386"/>
      <c r="BQ336" s="386"/>
      <c r="BR336" s="386"/>
      <c r="BS336" s="386"/>
      <c r="BT336" s="386"/>
      <c r="BU336" s="386"/>
      <c r="BV336" s="386"/>
      <c r="BW336" s="386"/>
      <c r="BX336" s="386"/>
      <c r="BY336" s="386"/>
      <c r="BZ336" s="386"/>
      <c r="CA336" s="386"/>
      <c r="CB336" s="386"/>
      <c r="CC336" s="386"/>
      <c r="CD336" s="386"/>
      <c r="CE336" s="386"/>
      <c r="CF336" s="386"/>
      <c r="CG336" s="386"/>
      <c r="CH336" s="386"/>
      <c r="CI336" s="386"/>
      <c r="CJ336" s="386"/>
      <c r="CK336" s="386"/>
      <c r="CL336" s="386"/>
    </row>
    <row r="337" spans="2:90" ht="12.75" customHeight="1" x14ac:dyDescent="0.15">
      <c r="B337" s="57"/>
      <c r="C337" s="57"/>
      <c r="D337" s="58"/>
      <c r="E337" s="59"/>
      <c r="F337" s="63"/>
      <c r="G337" s="63"/>
      <c r="H337" s="63"/>
      <c r="I337" s="63"/>
      <c r="J337" s="65"/>
      <c r="K337" s="392"/>
      <c r="L337" s="65"/>
      <c r="M337" s="65"/>
      <c r="N337" s="65"/>
      <c r="O337" s="386"/>
      <c r="P337" s="386"/>
      <c r="Q337" s="386"/>
      <c r="R337" s="386"/>
      <c r="S337" s="386"/>
      <c r="T337" s="386"/>
      <c r="U337" s="386"/>
      <c r="V337" s="386"/>
      <c r="W337" s="386"/>
      <c r="X337" s="386"/>
      <c r="Y337" s="386"/>
      <c r="Z337" s="386"/>
      <c r="AA337" s="386"/>
      <c r="AB337" s="386"/>
      <c r="AC337" s="386"/>
      <c r="AD337" s="386"/>
      <c r="AE337" s="386"/>
      <c r="AF337" s="386"/>
      <c r="AG337" s="386"/>
      <c r="AH337" s="386"/>
      <c r="AI337" s="386"/>
      <c r="AJ337" s="386"/>
      <c r="AK337" s="386"/>
      <c r="AL337" s="386"/>
      <c r="AM337" s="386"/>
      <c r="AN337" s="386"/>
      <c r="AO337" s="386"/>
      <c r="AP337" s="386"/>
      <c r="AQ337" s="386"/>
      <c r="AR337" s="386"/>
      <c r="AS337" s="386"/>
      <c r="AT337" s="386"/>
      <c r="AU337" s="386"/>
      <c r="AV337" s="386"/>
      <c r="AW337" s="386"/>
      <c r="AX337" s="386"/>
      <c r="AY337" s="386"/>
      <c r="AZ337" s="386"/>
      <c r="BA337" s="386"/>
      <c r="BB337" s="386"/>
      <c r="BC337" s="386"/>
      <c r="BD337" s="386"/>
      <c r="BE337" s="386"/>
      <c r="BF337" s="386"/>
      <c r="BG337" s="386"/>
      <c r="BH337" s="386"/>
      <c r="BI337" s="386"/>
      <c r="BJ337" s="386"/>
      <c r="BK337" s="386"/>
      <c r="BL337" s="386"/>
      <c r="BM337" s="386"/>
      <c r="BN337" s="386"/>
      <c r="BO337" s="386"/>
      <c r="BP337" s="386"/>
      <c r="BQ337" s="386"/>
      <c r="BR337" s="386"/>
      <c r="BS337" s="386"/>
      <c r="BT337" s="386"/>
      <c r="BU337" s="386"/>
      <c r="BV337" s="386"/>
      <c r="BW337" s="386"/>
      <c r="BX337" s="386"/>
      <c r="BY337" s="386"/>
      <c r="BZ337" s="386"/>
      <c r="CA337" s="386"/>
      <c r="CB337" s="386"/>
      <c r="CC337" s="386"/>
      <c r="CD337" s="386"/>
      <c r="CE337" s="386"/>
      <c r="CF337" s="386"/>
      <c r="CG337" s="386"/>
      <c r="CH337" s="386"/>
      <c r="CI337" s="386"/>
      <c r="CJ337" s="386"/>
      <c r="CK337" s="386"/>
      <c r="CL337" s="386"/>
    </row>
    <row r="338" spans="2:90" ht="12.75" customHeight="1" x14ac:dyDescent="0.15">
      <c r="B338" s="57"/>
      <c r="C338" s="57"/>
      <c r="D338" s="58"/>
      <c r="E338" s="59"/>
      <c r="F338" s="63"/>
      <c r="G338" s="63"/>
      <c r="H338" s="63"/>
      <c r="I338" s="63"/>
      <c r="J338" s="65"/>
      <c r="K338" s="392"/>
      <c r="L338" s="65"/>
      <c r="M338" s="65"/>
      <c r="N338" s="65"/>
      <c r="O338" s="386"/>
      <c r="P338" s="386"/>
      <c r="Q338" s="386"/>
      <c r="R338" s="386"/>
      <c r="S338" s="386"/>
      <c r="T338" s="386"/>
      <c r="U338" s="386"/>
      <c r="V338" s="386"/>
      <c r="W338" s="386"/>
      <c r="X338" s="386"/>
      <c r="Y338" s="386"/>
      <c r="Z338" s="386"/>
      <c r="AA338" s="386"/>
      <c r="AB338" s="386"/>
      <c r="AC338" s="386"/>
      <c r="AD338" s="386"/>
      <c r="AE338" s="386"/>
      <c r="AF338" s="386"/>
      <c r="AG338" s="386"/>
      <c r="AH338" s="386"/>
      <c r="AI338" s="386"/>
      <c r="AJ338" s="386"/>
      <c r="AK338" s="386"/>
      <c r="AL338" s="386"/>
      <c r="AM338" s="386"/>
      <c r="AN338" s="386"/>
      <c r="AO338" s="386"/>
      <c r="AP338" s="386"/>
      <c r="AQ338" s="386"/>
      <c r="AR338" s="386"/>
      <c r="AS338" s="386"/>
      <c r="AT338" s="386"/>
      <c r="AU338" s="386"/>
      <c r="AV338" s="386"/>
      <c r="AW338" s="386"/>
      <c r="AX338" s="386"/>
      <c r="AY338" s="386"/>
      <c r="AZ338" s="386"/>
      <c r="BA338" s="386"/>
      <c r="BB338" s="386"/>
      <c r="BC338" s="386"/>
      <c r="BD338" s="386"/>
      <c r="BE338" s="386"/>
      <c r="BF338" s="386"/>
      <c r="BG338" s="386"/>
      <c r="BH338" s="386"/>
      <c r="BI338" s="386"/>
      <c r="BJ338" s="386"/>
      <c r="BK338" s="386"/>
      <c r="BL338" s="386"/>
      <c r="BM338" s="386"/>
      <c r="BN338" s="386"/>
      <c r="BO338" s="386"/>
      <c r="BP338" s="386"/>
      <c r="BQ338" s="386"/>
      <c r="BR338" s="386"/>
      <c r="BS338" s="386"/>
      <c r="BT338" s="386"/>
      <c r="BU338" s="386"/>
      <c r="BV338" s="386"/>
      <c r="BW338" s="386"/>
      <c r="BX338" s="386"/>
      <c r="BY338" s="386"/>
      <c r="BZ338" s="386"/>
      <c r="CA338" s="386"/>
      <c r="CB338" s="386"/>
      <c r="CC338" s="386"/>
      <c r="CD338" s="386"/>
      <c r="CE338" s="386"/>
      <c r="CF338" s="386"/>
      <c r="CG338" s="386"/>
      <c r="CH338" s="386"/>
      <c r="CI338" s="386"/>
      <c r="CJ338" s="386"/>
      <c r="CK338" s="386"/>
      <c r="CL338" s="386"/>
    </row>
    <row r="339" spans="2:90" ht="12.75" customHeight="1" x14ac:dyDescent="0.15">
      <c r="B339" s="57"/>
      <c r="C339" s="57"/>
      <c r="D339" s="58"/>
      <c r="E339" s="59"/>
      <c r="F339" s="63"/>
      <c r="G339" s="63"/>
      <c r="H339" s="63"/>
      <c r="I339" s="63"/>
      <c r="J339" s="65"/>
      <c r="K339" s="392"/>
      <c r="L339" s="65"/>
      <c r="M339" s="65"/>
      <c r="N339" s="65"/>
      <c r="O339" s="386"/>
      <c r="P339" s="386"/>
      <c r="Q339" s="386"/>
      <c r="R339" s="386"/>
      <c r="S339" s="386"/>
      <c r="T339" s="386"/>
      <c r="U339" s="386"/>
      <c r="V339" s="386"/>
      <c r="W339" s="386"/>
      <c r="X339" s="386"/>
      <c r="Y339" s="386"/>
      <c r="Z339" s="386"/>
      <c r="AA339" s="386"/>
      <c r="AB339" s="386"/>
      <c r="AC339" s="386"/>
      <c r="AD339" s="386"/>
      <c r="AE339" s="386"/>
      <c r="AF339" s="386"/>
      <c r="AG339" s="386"/>
      <c r="AH339" s="386"/>
      <c r="AI339" s="386"/>
      <c r="AJ339" s="386"/>
      <c r="AK339" s="386"/>
      <c r="AL339" s="386"/>
      <c r="AM339" s="386"/>
      <c r="AN339" s="386"/>
      <c r="AO339" s="386"/>
      <c r="AP339" s="386"/>
      <c r="AQ339" s="386"/>
      <c r="AR339" s="386"/>
      <c r="AS339" s="386"/>
      <c r="AT339" s="386"/>
      <c r="AU339" s="386"/>
      <c r="AV339" s="386"/>
      <c r="AW339" s="386"/>
      <c r="AX339" s="386"/>
      <c r="AY339" s="386"/>
      <c r="AZ339" s="386"/>
      <c r="BA339" s="386"/>
      <c r="BB339" s="386"/>
      <c r="BC339" s="386"/>
      <c r="BD339" s="386"/>
      <c r="BE339" s="386"/>
      <c r="BF339" s="386"/>
      <c r="BG339" s="386"/>
      <c r="BH339" s="386"/>
      <c r="BI339" s="386"/>
      <c r="BJ339" s="386"/>
      <c r="BK339" s="386"/>
      <c r="BL339" s="386"/>
      <c r="BM339" s="386"/>
      <c r="BN339" s="386"/>
      <c r="BO339" s="386"/>
      <c r="BP339" s="386"/>
      <c r="BQ339" s="386"/>
      <c r="BR339" s="386"/>
      <c r="BS339" s="386"/>
      <c r="BT339" s="386"/>
      <c r="BU339" s="386"/>
      <c r="BV339" s="386"/>
      <c r="BW339" s="386"/>
      <c r="BX339" s="386"/>
      <c r="BY339" s="386"/>
      <c r="BZ339" s="386"/>
      <c r="CA339" s="386"/>
      <c r="CB339" s="386"/>
      <c r="CC339" s="386"/>
      <c r="CD339" s="386"/>
      <c r="CE339" s="386"/>
      <c r="CF339" s="386"/>
      <c r="CG339" s="386"/>
      <c r="CH339" s="386"/>
      <c r="CI339" s="386"/>
      <c r="CJ339" s="386"/>
      <c r="CK339" s="386"/>
      <c r="CL339" s="386"/>
    </row>
    <row r="340" spans="2:90" ht="12.75" customHeight="1" x14ac:dyDescent="0.15">
      <c r="B340" s="57"/>
      <c r="C340" s="57"/>
      <c r="D340" s="58"/>
      <c r="E340" s="59"/>
      <c r="F340" s="63"/>
      <c r="G340" s="63"/>
      <c r="H340" s="63"/>
      <c r="I340" s="63"/>
      <c r="J340" s="65"/>
      <c r="K340" s="392"/>
      <c r="L340" s="65"/>
      <c r="M340" s="65"/>
      <c r="N340" s="65"/>
      <c r="O340" s="386"/>
      <c r="P340" s="386"/>
      <c r="Q340" s="386"/>
      <c r="R340" s="386"/>
      <c r="S340" s="386"/>
      <c r="T340" s="386"/>
      <c r="U340" s="386"/>
      <c r="V340" s="386"/>
      <c r="W340" s="386"/>
      <c r="X340" s="386"/>
      <c r="Y340" s="386"/>
      <c r="Z340" s="386"/>
      <c r="AA340" s="386"/>
      <c r="AB340" s="386"/>
      <c r="AC340" s="386"/>
      <c r="AD340" s="386"/>
      <c r="AE340" s="386"/>
      <c r="AF340" s="386"/>
      <c r="AG340" s="386"/>
      <c r="AH340" s="386"/>
      <c r="AI340" s="386"/>
      <c r="AJ340" s="386"/>
      <c r="AK340" s="386"/>
      <c r="AL340" s="386"/>
      <c r="AM340" s="386"/>
      <c r="AN340" s="386"/>
      <c r="AO340" s="386"/>
      <c r="AP340" s="386"/>
      <c r="AQ340" s="386"/>
      <c r="AR340" s="386"/>
      <c r="AS340" s="386"/>
      <c r="AT340" s="386"/>
      <c r="AU340" s="386"/>
      <c r="AV340" s="386"/>
      <c r="AW340" s="386"/>
      <c r="AX340" s="386"/>
      <c r="AY340" s="386"/>
      <c r="AZ340" s="386"/>
      <c r="BA340" s="386"/>
      <c r="BB340" s="386"/>
      <c r="BC340" s="386"/>
      <c r="BD340" s="386"/>
      <c r="BE340" s="386"/>
      <c r="BF340" s="386"/>
      <c r="BG340" s="386"/>
      <c r="BH340" s="386"/>
      <c r="BI340" s="386"/>
      <c r="BJ340" s="386"/>
      <c r="BK340" s="386"/>
      <c r="BL340" s="386"/>
      <c r="BM340" s="386"/>
      <c r="BN340" s="386"/>
      <c r="BO340" s="386"/>
      <c r="BP340" s="386"/>
      <c r="BQ340" s="386"/>
      <c r="BR340" s="386"/>
      <c r="BS340" s="386"/>
      <c r="BT340" s="386"/>
      <c r="BU340" s="386"/>
      <c r="BV340" s="386"/>
      <c r="BW340" s="386"/>
      <c r="BX340" s="386"/>
      <c r="BY340" s="386"/>
      <c r="BZ340" s="386"/>
      <c r="CA340" s="386"/>
      <c r="CB340" s="386"/>
      <c r="CC340" s="386"/>
      <c r="CD340" s="386"/>
      <c r="CE340" s="386"/>
      <c r="CF340" s="386"/>
      <c r="CG340" s="386"/>
      <c r="CH340" s="386"/>
      <c r="CI340" s="386"/>
      <c r="CJ340" s="386"/>
      <c r="CK340" s="386"/>
      <c r="CL340" s="386"/>
    </row>
    <row r="341" spans="2:90" ht="12.75" customHeight="1" x14ac:dyDescent="0.15">
      <c r="B341" s="57"/>
      <c r="C341" s="57"/>
      <c r="D341" s="58"/>
      <c r="E341" s="59"/>
      <c r="F341" s="63"/>
      <c r="G341" s="63"/>
      <c r="H341" s="63"/>
      <c r="I341" s="63"/>
      <c r="J341" s="65"/>
      <c r="K341" s="392"/>
      <c r="L341" s="65"/>
      <c r="M341" s="65"/>
      <c r="N341" s="65"/>
      <c r="O341" s="386"/>
      <c r="P341" s="386"/>
      <c r="Q341" s="386"/>
      <c r="R341" s="386"/>
      <c r="S341" s="386"/>
      <c r="T341" s="386"/>
      <c r="U341" s="386"/>
      <c r="V341" s="386"/>
      <c r="W341" s="386"/>
      <c r="X341" s="386"/>
      <c r="Y341" s="386"/>
      <c r="Z341" s="386"/>
      <c r="AA341" s="386"/>
      <c r="AB341" s="386"/>
      <c r="AC341" s="386"/>
      <c r="AD341" s="386"/>
      <c r="AE341" s="386"/>
      <c r="AF341" s="386"/>
      <c r="AG341" s="386"/>
      <c r="AH341" s="386"/>
      <c r="AI341" s="386"/>
      <c r="AJ341" s="386"/>
      <c r="AK341" s="386"/>
      <c r="AL341" s="386"/>
      <c r="AM341" s="386"/>
      <c r="AN341" s="386"/>
      <c r="AO341" s="386"/>
      <c r="AP341" s="386"/>
      <c r="AQ341" s="386"/>
      <c r="AR341" s="386"/>
      <c r="AS341" s="386"/>
      <c r="AT341" s="386"/>
      <c r="AU341" s="386"/>
      <c r="AV341" s="386"/>
      <c r="AW341" s="386"/>
      <c r="AX341" s="386"/>
      <c r="AY341" s="386"/>
      <c r="AZ341" s="386"/>
      <c r="BA341" s="386"/>
      <c r="BB341" s="386"/>
      <c r="BC341" s="386"/>
      <c r="BD341" s="386"/>
      <c r="BE341" s="386"/>
      <c r="BF341" s="386"/>
      <c r="BG341" s="386"/>
      <c r="BH341" s="386"/>
      <c r="BI341" s="386"/>
      <c r="BJ341" s="386"/>
      <c r="BK341" s="386"/>
      <c r="BL341" s="386"/>
      <c r="BM341" s="386"/>
      <c r="BN341" s="386"/>
      <c r="BO341" s="386"/>
      <c r="BP341" s="386"/>
      <c r="BQ341" s="386"/>
      <c r="BR341" s="386"/>
      <c r="BS341" s="386"/>
      <c r="BT341" s="386"/>
      <c r="BU341" s="386"/>
      <c r="BV341" s="386"/>
      <c r="BW341" s="386"/>
      <c r="BX341" s="386"/>
      <c r="BY341" s="386"/>
      <c r="BZ341" s="386"/>
      <c r="CA341" s="386"/>
      <c r="CB341" s="386"/>
      <c r="CC341" s="386"/>
      <c r="CD341" s="386"/>
      <c r="CE341" s="386"/>
      <c r="CF341" s="386"/>
      <c r="CG341" s="386"/>
      <c r="CH341" s="386"/>
      <c r="CI341" s="386"/>
      <c r="CJ341" s="386"/>
      <c r="CK341" s="386"/>
      <c r="CL341" s="386"/>
    </row>
    <row r="342" spans="2:90" ht="12.75" customHeight="1" x14ac:dyDescent="0.15">
      <c r="B342" s="57"/>
      <c r="C342" s="57"/>
      <c r="D342" s="58"/>
      <c r="E342" s="59"/>
      <c r="F342" s="63"/>
      <c r="G342" s="63"/>
      <c r="H342" s="63"/>
      <c r="I342" s="63"/>
      <c r="J342" s="65"/>
      <c r="K342" s="392"/>
      <c r="L342" s="65"/>
      <c r="M342" s="65"/>
      <c r="N342" s="65"/>
      <c r="O342" s="386"/>
      <c r="P342" s="386"/>
      <c r="Q342" s="386"/>
      <c r="R342" s="386"/>
      <c r="S342" s="386"/>
      <c r="T342" s="386"/>
      <c r="U342" s="386"/>
      <c r="V342" s="386"/>
      <c r="W342" s="386"/>
      <c r="X342" s="386"/>
      <c r="Y342" s="386"/>
      <c r="Z342" s="386"/>
      <c r="AA342" s="386"/>
      <c r="AB342" s="386"/>
      <c r="AC342" s="386"/>
      <c r="AD342" s="386"/>
      <c r="AE342" s="386"/>
      <c r="AF342" s="386"/>
      <c r="AG342" s="386"/>
      <c r="AH342" s="386"/>
      <c r="AI342" s="386"/>
      <c r="AJ342" s="386"/>
      <c r="AK342" s="386"/>
      <c r="AL342" s="386"/>
      <c r="AM342" s="386"/>
      <c r="AN342" s="386"/>
      <c r="AO342" s="386"/>
      <c r="AP342" s="386"/>
      <c r="AQ342" s="386"/>
      <c r="AR342" s="386"/>
      <c r="AS342" s="386"/>
      <c r="AT342" s="386"/>
      <c r="AU342" s="386"/>
      <c r="AV342" s="386"/>
      <c r="AW342" s="386"/>
      <c r="AX342" s="386"/>
      <c r="AY342" s="386"/>
      <c r="AZ342" s="386"/>
      <c r="BA342" s="386"/>
      <c r="BB342" s="386"/>
      <c r="BC342" s="386"/>
      <c r="BD342" s="386"/>
      <c r="BE342" s="386"/>
      <c r="BF342" s="386"/>
      <c r="BG342" s="386"/>
      <c r="BH342" s="386"/>
      <c r="BI342" s="386"/>
      <c r="BJ342" s="386"/>
      <c r="BK342" s="386"/>
      <c r="BL342" s="386"/>
      <c r="BM342" s="386"/>
      <c r="BN342" s="386"/>
      <c r="BO342" s="386"/>
      <c r="BP342" s="386"/>
      <c r="BQ342" s="386"/>
      <c r="BR342" s="386"/>
      <c r="BS342" s="386"/>
      <c r="BT342" s="386"/>
      <c r="BU342" s="386"/>
      <c r="BV342" s="386"/>
      <c r="BW342" s="386"/>
      <c r="BX342" s="386"/>
      <c r="BY342" s="386"/>
      <c r="BZ342" s="386"/>
      <c r="CA342" s="386"/>
      <c r="CB342" s="386"/>
      <c r="CC342" s="386"/>
      <c r="CD342" s="386"/>
      <c r="CE342" s="386"/>
      <c r="CF342" s="386"/>
      <c r="CG342" s="386"/>
      <c r="CH342" s="386"/>
      <c r="CI342" s="386"/>
      <c r="CJ342" s="386"/>
      <c r="CK342" s="386"/>
      <c r="CL342" s="386"/>
    </row>
    <row r="343" spans="2:90" ht="12.75" customHeight="1" x14ac:dyDescent="0.15">
      <c r="B343" s="57"/>
      <c r="C343" s="57"/>
      <c r="D343" s="58"/>
      <c r="E343" s="59"/>
      <c r="F343" s="63"/>
      <c r="G343" s="63"/>
      <c r="H343" s="63"/>
      <c r="I343" s="63"/>
      <c r="J343" s="65"/>
      <c r="K343" s="392"/>
      <c r="L343" s="65"/>
      <c r="M343" s="65"/>
      <c r="N343" s="65"/>
      <c r="O343" s="386"/>
      <c r="P343" s="386"/>
      <c r="Q343" s="386"/>
      <c r="R343" s="386"/>
      <c r="S343" s="386"/>
      <c r="T343" s="386"/>
      <c r="U343" s="386"/>
      <c r="V343" s="386"/>
      <c r="W343" s="386"/>
      <c r="X343" s="386"/>
      <c r="Y343" s="386"/>
      <c r="Z343" s="386"/>
      <c r="AA343" s="386"/>
      <c r="AB343" s="386"/>
      <c r="AC343" s="386"/>
      <c r="AD343" s="386"/>
      <c r="AE343" s="386"/>
      <c r="AF343" s="386"/>
      <c r="AG343" s="386"/>
      <c r="AH343" s="386"/>
      <c r="AI343" s="386"/>
      <c r="AJ343" s="386"/>
      <c r="AK343" s="386"/>
      <c r="AL343" s="386"/>
      <c r="AM343" s="386"/>
      <c r="AN343" s="386"/>
      <c r="AO343" s="386"/>
      <c r="AP343" s="386"/>
      <c r="AQ343" s="386"/>
      <c r="AR343" s="386"/>
      <c r="AS343" s="386"/>
      <c r="AT343" s="386"/>
      <c r="AU343" s="386"/>
      <c r="AV343" s="386"/>
      <c r="AW343" s="386"/>
      <c r="AX343" s="386"/>
      <c r="AY343" s="386"/>
      <c r="AZ343" s="386"/>
      <c r="BA343" s="386"/>
      <c r="BB343" s="386"/>
      <c r="BC343" s="386"/>
      <c r="BD343" s="386"/>
      <c r="BE343" s="386"/>
      <c r="BF343" s="386"/>
      <c r="BG343" s="386"/>
      <c r="BH343" s="386"/>
      <c r="BI343" s="386"/>
      <c r="BJ343" s="386"/>
      <c r="BK343" s="386"/>
      <c r="BL343" s="386"/>
      <c r="BM343" s="386"/>
      <c r="BN343" s="386"/>
      <c r="BO343" s="386"/>
      <c r="BP343" s="386"/>
      <c r="BQ343" s="386"/>
      <c r="BR343" s="386"/>
      <c r="BS343" s="386"/>
      <c r="BT343" s="386"/>
      <c r="BU343" s="386"/>
      <c r="BV343" s="386"/>
      <c r="BW343" s="386"/>
      <c r="BX343" s="386"/>
      <c r="BY343" s="386"/>
      <c r="BZ343" s="386"/>
      <c r="CA343" s="386"/>
      <c r="CB343" s="386"/>
      <c r="CC343" s="386"/>
      <c r="CD343" s="386"/>
      <c r="CE343" s="386"/>
      <c r="CF343" s="386"/>
      <c r="CG343" s="386"/>
      <c r="CH343" s="386"/>
      <c r="CI343" s="386"/>
      <c r="CJ343" s="386"/>
      <c r="CK343" s="386"/>
      <c r="CL343" s="386"/>
    </row>
    <row r="344" spans="2:90" ht="12.75" customHeight="1" x14ac:dyDescent="0.15">
      <c r="B344" s="57"/>
      <c r="C344" s="57"/>
      <c r="D344" s="58"/>
      <c r="E344" s="59"/>
      <c r="F344" s="63"/>
      <c r="G344" s="63"/>
      <c r="H344" s="63"/>
      <c r="I344" s="63"/>
      <c r="J344" s="65"/>
      <c r="K344" s="392"/>
      <c r="L344" s="65"/>
      <c r="M344" s="65"/>
      <c r="N344" s="65"/>
      <c r="O344" s="386"/>
      <c r="P344" s="386"/>
      <c r="Q344" s="386"/>
      <c r="R344" s="386"/>
      <c r="S344" s="386"/>
      <c r="T344" s="386"/>
      <c r="U344" s="386"/>
      <c r="V344" s="386"/>
      <c r="W344" s="386"/>
      <c r="X344" s="386"/>
      <c r="Y344" s="386"/>
      <c r="Z344" s="386"/>
      <c r="AA344" s="386"/>
      <c r="AB344" s="386"/>
      <c r="AC344" s="386"/>
      <c r="AD344" s="386"/>
      <c r="AE344" s="386"/>
      <c r="AF344" s="386"/>
      <c r="AG344" s="386"/>
      <c r="AH344" s="386"/>
      <c r="AI344" s="386"/>
      <c r="AJ344" s="386"/>
      <c r="AK344" s="386"/>
      <c r="AL344" s="386"/>
      <c r="AM344" s="386"/>
      <c r="AN344" s="386"/>
      <c r="AO344" s="386"/>
      <c r="AP344" s="386"/>
      <c r="AQ344" s="386"/>
      <c r="AR344" s="386"/>
      <c r="AS344" s="386"/>
      <c r="AT344" s="386"/>
      <c r="AU344" s="386"/>
      <c r="AV344" s="386"/>
      <c r="AW344" s="386"/>
      <c r="AX344" s="386"/>
      <c r="AY344" s="386"/>
      <c r="AZ344" s="386"/>
      <c r="BA344" s="386"/>
      <c r="BB344" s="386"/>
      <c r="BC344" s="386"/>
      <c r="BD344" s="386"/>
      <c r="BE344" s="386"/>
      <c r="BF344" s="386"/>
      <c r="BG344" s="386"/>
      <c r="BH344" s="386"/>
      <c r="BI344" s="386"/>
      <c r="BJ344" s="386"/>
      <c r="BK344" s="386"/>
      <c r="BL344" s="386"/>
      <c r="BM344" s="386"/>
      <c r="BN344" s="386"/>
      <c r="BO344" s="386"/>
      <c r="BP344" s="386"/>
      <c r="BQ344" s="386"/>
      <c r="BR344" s="386"/>
      <c r="BS344" s="386"/>
      <c r="BT344" s="386"/>
      <c r="BU344" s="386"/>
      <c r="BV344" s="386"/>
      <c r="BW344" s="386"/>
      <c r="BX344" s="386"/>
      <c r="BY344" s="386"/>
      <c r="BZ344" s="386"/>
      <c r="CA344" s="386"/>
      <c r="CB344" s="386"/>
      <c r="CC344" s="386"/>
      <c r="CD344" s="386"/>
      <c r="CE344" s="386"/>
      <c r="CF344" s="386"/>
      <c r="CG344" s="386"/>
      <c r="CH344" s="386"/>
      <c r="CI344" s="386"/>
      <c r="CJ344" s="386"/>
      <c r="CK344" s="386"/>
      <c r="CL344" s="386"/>
    </row>
    <row r="345" spans="2:90" ht="12.75" customHeight="1" x14ac:dyDescent="0.15">
      <c r="B345" s="57"/>
      <c r="C345" s="57"/>
      <c r="D345" s="58"/>
      <c r="E345" s="59"/>
      <c r="F345" s="63"/>
      <c r="G345" s="63"/>
      <c r="H345" s="63"/>
      <c r="I345" s="63"/>
      <c r="J345" s="65"/>
      <c r="K345" s="392"/>
      <c r="L345" s="65"/>
      <c r="M345" s="65"/>
      <c r="N345" s="65"/>
      <c r="O345" s="386"/>
      <c r="P345" s="386"/>
      <c r="Q345" s="386"/>
      <c r="R345" s="386"/>
      <c r="S345" s="386"/>
      <c r="T345" s="386"/>
      <c r="U345" s="386"/>
      <c r="V345" s="386"/>
      <c r="W345" s="386"/>
      <c r="X345" s="386"/>
      <c r="Y345" s="386"/>
      <c r="Z345" s="386"/>
      <c r="AA345" s="386"/>
      <c r="AB345" s="386"/>
      <c r="AC345" s="386"/>
      <c r="AD345" s="386"/>
      <c r="AE345" s="386"/>
      <c r="AF345" s="386"/>
      <c r="AG345" s="386"/>
      <c r="AH345" s="386"/>
      <c r="AI345" s="386"/>
      <c r="AJ345" s="386"/>
      <c r="AK345" s="386"/>
      <c r="AL345" s="386"/>
      <c r="AM345" s="386"/>
      <c r="AN345" s="386"/>
      <c r="AO345" s="386"/>
      <c r="AP345" s="386"/>
      <c r="AQ345" s="386"/>
      <c r="AR345" s="386"/>
      <c r="AS345" s="386"/>
      <c r="AT345" s="386"/>
      <c r="AU345" s="386"/>
      <c r="AV345" s="386"/>
      <c r="AW345" s="386"/>
      <c r="AX345" s="386"/>
      <c r="AY345" s="386"/>
      <c r="AZ345" s="386"/>
      <c r="BA345" s="386"/>
      <c r="BB345" s="386"/>
      <c r="BC345" s="386"/>
      <c r="BD345" s="386"/>
      <c r="BE345" s="386"/>
      <c r="BF345" s="386"/>
      <c r="BG345" s="386"/>
      <c r="BH345" s="386"/>
      <c r="BI345" s="386"/>
      <c r="BJ345" s="386"/>
      <c r="BK345" s="386"/>
      <c r="BL345" s="386"/>
      <c r="BM345" s="386"/>
      <c r="BN345" s="386"/>
      <c r="BO345" s="386"/>
      <c r="BP345" s="386"/>
      <c r="BQ345" s="386"/>
      <c r="BR345" s="386"/>
      <c r="BS345" s="386"/>
      <c r="BT345" s="386"/>
      <c r="BU345" s="386"/>
      <c r="BV345" s="386"/>
      <c r="BW345" s="386"/>
      <c r="BX345" s="386"/>
      <c r="BY345" s="386"/>
      <c r="BZ345" s="386"/>
      <c r="CA345" s="386"/>
      <c r="CB345" s="386"/>
      <c r="CC345" s="386"/>
      <c r="CD345" s="386"/>
      <c r="CE345" s="386"/>
      <c r="CF345" s="386"/>
      <c r="CG345" s="386"/>
      <c r="CH345" s="386"/>
      <c r="CI345" s="386"/>
      <c r="CJ345" s="386"/>
      <c r="CK345" s="386"/>
      <c r="CL345" s="386"/>
    </row>
    <row r="346" spans="2:90" ht="12.75" customHeight="1" x14ac:dyDescent="0.15">
      <c r="B346" s="57"/>
      <c r="C346" s="57"/>
      <c r="D346" s="58"/>
      <c r="E346" s="59"/>
      <c r="F346" s="63"/>
      <c r="G346" s="63"/>
      <c r="H346" s="63"/>
      <c r="I346" s="63"/>
      <c r="J346" s="65"/>
      <c r="K346" s="392"/>
      <c r="L346" s="65"/>
      <c r="M346" s="65"/>
      <c r="N346" s="65"/>
      <c r="O346" s="386"/>
      <c r="P346" s="386"/>
      <c r="Q346" s="386"/>
      <c r="R346" s="386"/>
      <c r="S346" s="386"/>
      <c r="T346" s="386"/>
      <c r="U346" s="386"/>
      <c r="V346" s="386"/>
      <c r="W346" s="386"/>
      <c r="X346" s="386"/>
      <c r="Y346" s="386"/>
      <c r="Z346" s="386"/>
      <c r="AA346" s="386"/>
      <c r="AB346" s="386"/>
      <c r="AC346" s="386"/>
      <c r="AD346" s="386"/>
      <c r="AE346" s="386"/>
      <c r="AF346" s="386"/>
      <c r="AG346" s="386"/>
      <c r="AH346" s="386"/>
      <c r="AI346" s="386"/>
      <c r="AJ346" s="386"/>
      <c r="AK346" s="386"/>
      <c r="AL346" s="386"/>
      <c r="AM346" s="386"/>
      <c r="AN346" s="386"/>
      <c r="AO346" s="386"/>
      <c r="AP346" s="386"/>
      <c r="AQ346" s="386"/>
      <c r="AR346" s="386"/>
      <c r="AS346" s="386"/>
      <c r="AT346" s="386"/>
      <c r="AU346" s="386"/>
      <c r="AV346" s="386"/>
      <c r="AW346" s="386"/>
      <c r="AX346" s="386"/>
      <c r="AY346" s="386"/>
      <c r="AZ346" s="386"/>
      <c r="BA346" s="386"/>
      <c r="BB346" s="386"/>
      <c r="BC346" s="386"/>
      <c r="BD346" s="386"/>
      <c r="BE346" s="386"/>
      <c r="BF346" s="386"/>
      <c r="BG346" s="386"/>
      <c r="BH346" s="386"/>
      <c r="BI346" s="386"/>
      <c r="BJ346" s="386"/>
      <c r="BK346" s="386"/>
      <c r="BL346" s="386"/>
      <c r="BM346" s="386"/>
      <c r="BN346" s="386"/>
      <c r="BO346" s="386"/>
      <c r="BP346" s="386"/>
      <c r="BQ346" s="386"/>
      <c r="BR346" s="386"/>
      <c r="BS346" s="386"/>
      <c r="BT346" s="386"/>
      <c r="BU346" s="386"/>
      <c r="BV346" s="386"/>
      <c r="BW346" s="386"/>
      <c r="BX346" s="386"/>
      <c r="BY346" s="386"/>
      <c r="BZ346" s="386"/>
      <c r="CA346" s="386"/>
      <c r="CB346" s="386"/>
      <c r="CC346" s="386"/>
      <c r="CD346" s="386"/>
      <c r="CE346" s="386"/>
      <c r="CF346" s="386"/>
      <c r="CG346" s="386"/>
      <c r="CH346" s="386"/>
      <c r="CI346" s="386"/>
      <c r="CJ346" s="386"/>
      <c r="CK346" s="386"/>
      <c r="CL346" s="386"/>
    </row>
    <row r="347" spans="2:90" ht="12.75" customHeight="1" x14ac:dyDescent="0.15">
      <c r="B347" s="57"/>
      <c r="C347" s="57"/>
      <c r="D347" s="58"/>
      <c r="E347" s="59"/>
      <c r="F347" s="63"/>
      <c r="G347" s="63"/>
      <c r="H347" s="63"/>
      <c r="I347" s="63"/>
      <c r="J347" s="65"/>
      <c r="K347" s="392"/>
      <c r="L347" s="65"/>
      <c r="M347" s="65"/>
      <c r="N347" s="65"/>
      <c r="O347" s="386"/>
      <c r="P347" s="386"/>
      <c r="Q347" s="386"/>
      <c r="R347" s="386"/>
      <c r="S347" s="386"/>
      <c r="T347" s="386"/>
      <c r="U347" s="386"/>
      <c r="V347" s="386"/>
      <c r="W347" s="386"/>
      <c r="X347" s="386"/>
      <c r="Y347" s="386"/>
      <c r="Z347" s="386"/>
      <c r="AA347" s="386"/>
      <c r="AB347" s="386"/>
      <c r="AC347" s="386"/>
      <c r="AD347" s="386"/>
      <c r="AE347" s="386"/>
      <c r="AF347" s="386"/>
      <c r="AG347" s="386"/>
      <c r="AH347" s="386"/>
      <c r="AI347" s="386"/>
      <c r="AJ347" s="386"/>
      <c r="AK347" s="386"/>
      <c r="AL347" s="386"/>
      <c r="AM347" s="386"/>
      <c r="AN347" s="386"/>
      <c r="AO347" s="386"/>
      <c r="AP347" s="386"/>
      <c r="AQ347" s="386"/>
      <c r="AR347" s="386"/>
      <c r="AS347" s="386"/>
      <c r="AT347" s="386"/>
      <c r="AU347" s="386"/>
      <c r="AV347" s="386"/>
      <c r="AW347" s="386"/>
      <c r="AX347" s="386"/>
      <c r="AY347" s="386"/>
      <c r="AZ347" s="386"/>
      <c r="BA347" s="386"/>
      <c r="BB347" s="386"/>
      <c r="BC347" s="386"/>
      <c r="BD347" s="386"/>
      <c r="BE347" s="386"/>
      <c r="BF347" s="386"/>
      <c r="BG347" s="386"/>
      <c r="BH347" s="386"/>
      <c r="BI347" s="386"/>
      <c r="BJ347" s="386"/>
      <c r="BK347" s="386"/>
      <c r="BL347" s="386"/>
      <c r="BM347" s="386"/>
      <c r="BN347" s="386"/>
      <c r="BO347" s="386"/>
      <c r="BP347" s="386"/>
      <c r="BQ347" s="386"/>
      <c r="BR347" s="386"/>
      <c r="BS347" s="386"/>
      <c r="BT347" s="386"/>
      <c r="BU347" s="386"/>
      <c r="BV347" s="386"/>
      <c r="BW347" s="386"/>
      <c r="BX347" s="386"/>
      <c r="BY347" s="386"/>
      <c r="BZ347" s="386"/>
      <c r="CA347" s="386"/>
      <c r="CB347" s="386"/>
      <c r="CC347" s="386"/>
      <c r="CD347" s="386"/>
      <c r="CE347" s="386"/>
      <c r="CF347" s="386"/>
      <c r="CG347" s="386"/>
      <c r="CH347" s="386"/>
      <c r="CI347" s="386"/>
      <c r="CJ347" s="386"/>
      <c r="CK347" s="386"/>
      <c r="CL347" s="386"/>
    </row>
    <row r="348" spans="2:90" ht="12.75" customHeight="1" x14ac:dyDescent="0.15">
      <c r="B348" s="57"/>
      <c r="C348" s="57"/>
      <c r="D348" s="58"/>
      <c r="E348" s="59"/>
      <c r="F348" s="63"/>
      <c r="G348" s="63"/>
      <c r="H348" s="63"/>
      <c r="I348" s="63"/>
      <c r="J348" s="65"/>
      <c r="K348" s="392"/>
      <c r="L348" s="65"/>
      <c r="M348" s="65"/>
      <c r="N348" s="65"/>
      <c r="O348" s="386"/>
      <c r="P348" s="386"/>
      <c r="Q348" s="386"/>
      <c r="R348" s="386"/>
      <c r="S348" s="386"/>
      <c r="T348" s="386"/>
      <c r="U348" s="386"/>
      <c r="V348" s="386"/>
      <c r="W348" s="386"/>
      <c r="X348" s="386"/>
      <c r="Y348" s="386"/>
      <c r="Z348" s="386"/>
      <c r="AA348" s="386"/>
      <c r="AB348" s="386"/>
      <c r="AC348" s="386"/>
      <c r="AD348" s="386"/>
      <c r="AE348" s="386"/>
      <c r="AF348" s="386"/>
      <c r="AG348" s="386"/>
      <c r="AH348" s="386"/>
      <c r="AI348" s="386"/>
      <c r="AJ348" s="386"/>
      <c r="AK348" s="386"/>
      <c r="AL348" s="386"/>
      <c r="AM348" s="386"/>
      <c r="AN348" s="386"/>
      <c r="AO348" s="386"/>
      <c r="AP348" s="386"/>
      <c r="AQ348" s="386"/>
      <c r="AR348" s="386"/>
      <c r="AS348" s="386"/>
      <c r="AT348" s="386"/>
      <c r="AU348" s="386"/>
      <c r="AV348" s="386"/>
      <c r="AW348" s="386"/>
      <c r="AX348" s="386"/>
      <c r="AY348" s="386"/>
      <c r="AZ348" s="386"/>
      <c r="BA348" s="386"/>
      <c r="BB348" s="386"/>
      <c r="BC348" s="386"/>
      <c r="BD348" s="386"/>
      <c r="BE348" s="386"/>
      <c r="BF348" s="386"/>
      <c r="BG348" s="386"/>
      <c r="BH348" s="386"/>
      <c r="BI348" s="386"/>
      <c r="BJ348" s="386"/>
      <c r="BK348" s="386"/>
      <c r="BL348" s="386"/>
      <c r="BM348" s="386"/>
      <c r="BN348" s="386"/>
      <c r="BO348" s="386"/>
      <c r="BP348" s="386"/>
      <c r="BQ348" s="386"/>
      <c r="BR348" s="386"/>
      <c r="BS348" s="386"/>
      <c r="BT348" s="386"/>
      <c r="BU348" s="386"/>
      <c r="BV348" s="386"/>
      <c r="BW348" s="386"/>
      <c r="BX348" s="386"/>
      <c r="BY348" s="386"/>
      <c r="BZ348" s="386"/>
      <c r="CA348" s="386"/>
      <c r="CB348" s="386"/>
      <c r="CC348" s="386"/>
      <c r="CD348" s="386"/>
      <c r="CE348" s="386"/>
      <c r="CF348" s="386"/>
      <c r="CG348" s="386"/>
      <c r="CH348" s="386"/>
      <c r="CI348" s="386"/>
      <c r="CJ348" s="386"/>
      <c r="CK348" s="386"/>
      <c r="CL348" s="386"/>
    </row>
    <row r="349" spans="2:90" ht="12.75" customHeight="1" x14ac:dyDescent="0.15">
      <c r="B349" s="57"/>
      <c r="C349" s="57"/>
      <c r="D349" s="58"/>
      <c r="E349" s="59"/>
      <c r="F349" s="63"/>
      <c r="G349" s="63"/>
      <c r="H349" s="63"/>
      <c r="I349" s="63"/>
      <c r="J349" s="65"/>
      <c r="K349" s="392"/>
      <c r="L349" s="65"/>
      <c r="M349" s="65"/>
      <c r="N349" s="65"/>
      <c r="O349" s="386"/>
      <c r="P349" s="386"/>
      <c r="Q349" s="386"/>
      <c r="R349" s="386"/>
      <c r="S349" s="386"/>
      <c r="T349" s="386"/>
      <c r="U349" s="386"/>
      <c r="V349" s="386"/>
      <c r="W349" s="386"/>
      <c r="X349" s="386"/>
      <c r="Y349" s="386"/>
      <c r="Z349" s="386"/>
      <c r="AA349" s="386"/>
      <c r="AB349" s="386"/>
      <c r="AC349" s="386"/>
      <c r="AD349" s="386"/>
      <c r="AE349" s="386"/>
      <c r="AF349" s="386"/>
      <c r="AG349" s="386"/>
      <c r="AH349" s="386"/>
      <c r="AI349" s="386"/>
      <c r="AJ349" s="386"/>
      <c r="AK349" s="386"/>
      <c r="AL349" s="386"/>
      <c r="AM349" s="386"/>
      <c r="AN349" s="386"/>
      <c r="AO349" s="386"/>
      <c r="AP349" s="386"/>
      <c r="AQ349" s="386"/>
      <c r="AR349" s="386"/>
      <c r="AS349" s="386"/>
      <c r="AT349" s="386"/>
      <c r="AU349" s="386"/>
      <c r="AV349" s="386"/>
      <c r="AW349" s="386"/>
      <c r="AX349" s="386"/>
      <c r="AY349" s="386"/>
      <c r="AZ349" s="386"/>
      <c r="BA349" s="386"/>
      <c r="BB349" s="386"/>
      <c r="BC349" s="386"/>
      <c r="BD349" s="386"/>
      <c r="BE349" s="386"/>
      <c r="BF349" s="386"/>
      <c r="BG349" s="386"/>
      <c r="BH349" s="386"/>
      <c r="BI349" s="386"/>
      <c r="BJ349" s="386"/>
      <c r="BK349" s="386"/>
      <c r="BL349" s="386"/>
      <c r="BM349" s="386"/>
      <c r="BN349" s="386"/>
      <c r="BO349" s="386"/>
      <c r="BP349" s="386"/>
      <c r="BQ349" s="386"/>
      <c r="BR349" s="386"/>
      <c r="BS349" s="386"/>
      <c r="BT349" s="386"/>
      <c r="BU349" s="386"/>
      <c r="BV349" s="386"/>
      <c r="BW349" s="386"/>
      <c r="BX349" s="386"/>
      <c r="BY349" s="386"/>
      <c r="BZ349" s="386"/>
      <c r="CA349" s="386"/>
      <c r="CB349" s="386"/>
      <c r="CC349" s="386"/>
      <c r="CD349" s="386"/>
      <c r="CE349" s="386"/>
      <c r="CF349" s="386"/>
      <c r="CG349" s="386"/>
      <c r="CH349" s="386"/>
      <c r="CI349" s="386"/>
      <c r="CJ349" s="386"/>
      <c r="CK349" s="386"/>
      <c r="CL349" s="386"/>
    </row>
    <row r="350" spans="2:90" ht="12.75" customHeight="1" x14ac:dyDescent="0.15">
      <c r="B350" s="57"/>
      <c r="C350" s="57"/>
      <c r="D350" s="58"/>
      <c r="E350" s="59"/>
      <c r="F350" s="63"/>
      <c r="G350" s="63"/>
      <c r="H350" s="63"/>
      <c r="I350" s="63"/>
      <c r="J350" s="65"/>
      <c r="K350" s="392"/>
      <c r="L350" s="65"/>
      <c r="M350" s="65"/>
      <c r="N350" s="65"/>
      <c r="O350" s="386"/>
      <c r="P350" s="386"/>
      <c r="Q350" s="386"/>
      <c r="R350" s="386"/>
      <c r="S350" s="386"/>
      <c r="T350" s="386"/>
      <c r="U350" s="386"/>
      <c r="V350" s="386"/>
      <c r="W350" s="386"/>
      <c r="X350" s="386"/>
      <c r="Y350" s="386"/>
      <c r="Z350" s="386"/>
      <c r="AA350" s="386"/>
      <c r="AB350" s="386"/>
      <c r="AC350" s="386"/>
      <c r="AD350" s="386"/>
      <c r="AE350" s="386"/>
      <c r="AF350" s="386"/>
      <c r="AG350" s="386"/>
      <c r="AH350" s="386"/>
      <c r="AI350" s="386"/>
      <c r="AJ350" s="386"/>
      <c r="AK350" s="386"/>
      <c r="AL350" s="386"/>
      <c r="AM350" s="386"/>
      <c r="AN350" s="386"/>
      <c r="AO350" s="386"/>
      <c r="AP350" s="386"/>
      <c r="AQ350" s="386"/>
      <c r="AR350" s="386"/>
      <c r="AS350" s="386"/>
      <c r="AT350" s="386"/>
      <c r="AU350" s="386"/>
      <c r="AV350" s="386"/>
      <c r="AW350" s="386"/>
      <c r="AX350" s="386"/>
      <c r="AY350" s="386"/>
      <c r="AZ350" s="386"/>
      <c r="BA350" s="386"/>
      <c r="BB350" s="386"/>
      <c r="BC350" s="386"/>
      <c r="BD350" s="386"/>
      <c r="BE350" s="386"/>
      <c r="BF350" s="386"/>
      <c r="BG350" s="386"/>
      <c r="BH350" s="386"/>
      <c r="BI350" s="386"/>
      <c r="BJ350" s="386"/>
      <c r="BK350" s="386"/>
      <c r="BL350" s="386"/>
      <c r="BM350" s="386"/>
      <c r="BN350" s="386"/>
      <c r="BO350" s="386"/>
      <c r="BP350" s="386"/>
      <c r="BQ350" s="386"/>
      <c r="BR350" s="386"/>
      <c r="BS350" s="386"/>
      <c r="BT350" s="386"/>
      <c r="BU350" s="386"/>
      <c r="BV350" s="386"/>
      <c r="BW350" s="386"/>
      <c r="BX350" s="386"/>
      <c r="BY350" s="386"/>
      <c r="BZ350" s="386"/>
      <c r="CA350" s="386"/>
      <c r="CB350" s="386"/>
      <c r="CC350" s="386"/>
      <c r="CD350" s="386"/>
      <c r="CE350" s="386"/>
      <c r="CF350" s="386"/>
      <c r="CG350" s="386"/>
      <c r="CH350" s="386"/>
      <c r="CI350" s="386"/>
      <c r="CJ350" s="386"/>
      <c r="CK350" s="386"/>
      <c r="CL350" s="386"/>
    </row>
    <row r="351" spans="2:90" ht="12.75" customHeight="1" x14ac:dyDescent="0.15">
      <c r="B351" s="57"/>
      <c r="C351" s="57"/>
      <c r="D351" s="58"/>
      <c r="E351" s="59"/>
      <c r="F351" s="63"/>
      <c r="G351" s="63"/>
      <c r="H351" s="63"/>
      <c r="I351" s="63"/>
      <c r="J351" s="65"/>
      <c r="K351" s="392"/>
      <c r="L351" s="65"/>
      <c r="M351" s="65"/>
      <c r="N351" s="65"/>
      <c r="O351" s="386"/>
      <c r="P351" s="386"/>
      <c r="Q351" s="386"/>
      <c r="R351" s="386"/>
      <c r="S351" s="386"/>
      <c r="T351" s="386"/>
      <c r="U351" s="386"/>
      <c r="V351" s="386"/>
      <c r="W351" s="386"/>
      <c r="X351" s="386"/>
      <c r="Y351" s="386"/>
      <c r="Z351" s="386"/>
      <c r="AA351" s="386"/>
      <c r="AB351" s="386"/>
      <c r="AC351" s="386"/>
      <c r="AD351" s="386"/>
      <c r="AE351" s="386"/>
      <c r="AF351" s="386"/>
      <c r="AG351" s="386"/>
      <c r="AH351" s="386"/>
      <c r="AI351" s="386"/>
      <c r="AJ351" s="386"/>
      <c r="AK351" s="386"/>
      <c r="AL351" s="386"/>
      <c r="AM351" s="386"/>
      <c r="AN351" s="386"/>
      <c r="AO351" s="386"/>
      <c r="AP351" s="386"/>
      <c r="AQ351" s="386"/>
      <c r="AR351" s="386"/>
      <c r="AS351" s="386"/>
      <c r="AT351" s="386"/>
      <c r="AU351" s="386"/>
      <c r="AV351" s="386"/>
      <c r="AW351" s="386"/>
      <c r="AX351" s="386"/>
      <c r="AY351" s="386"/>
      <c r="AZ351" s="386"/>
      <c r="BA351" s="386"/>
      <c r="BB351" s="386"/>
      <c r="BC351" s="386"/>
      <c r="BD351" s="386"/>
      <c r="BE351" s="386"/>
      <c r="BF351" s="386"/>
      <c r="BG351" s="386"/>
      <c r="BH351" s="386"/>
      <c r="BI351" s="386"/>
      <c r="BJ351" s="386"/>
      <c r="BK351" s="386"/>
      <c r="BL351" s="386"/>
      <c r="BM351" s="386"/>
      <c r="BN351" s="386"/>
      <c r="BO351" s="386"/>
      <c r="BP351" s="386"/>
      <c r="BQ351" s="386"/>
      <c r="BR351" s="386"/>
      <c r="BS351" s="386"/>
      <c r="BT351" s="386"/>
      <c r="BU351" s="386"/>
      <c r="BV351" s="386"/>
      <c r="BW351" s="386"/>
      <c r="BX351" s="386"/>
      <c r="BY351" s="386"/>
      <c r="BZ351" s="386"/>
      <c r="CA351" s="386"/>
      <c r="CB351" s="386"/>
      <c r="CC351" s="386"/>
      <c r="CD351" s="386"/>
      <c r="CE351" s="386"/>
      <c r="CF351" s="386"/>
      <c r="CG351" s="386"/>
      <c r="CH351" s="386"/>
      <c r="CI351" s="386"/>
      <c r="CJ351" s="386"/>
      <c r="CK351" s="386"/>
      <c r="CL351" s="386"/>
    </row>
    <row r="352" spans="2:90" ht="12.75" customHeight="1" x14ac:dyDescent="0.15">
      <c r="B352" s="57"/>
      <c r="C352" s="57"/>
      <c r="D352" s="58"/>
      <c r="E352" s="59"/>
      <c r="F352" s="63"/>
      <c r="G352" s="63"/>
      <c r="H352" s="63"/>
      <c r="I352" s="63"/>
      <c r="J352" s="65"/>
      <c r="K352" s="392"/>
      <c r="L352" s="65"/>
      <c r="M352" s="65"/>
      <c r="N352" s="65"/>
      <c r="O352" s="386"/>
      <c r="P352" s="386"/>
      <c r="Q352" s="386"/>
      <c r="R352" s="386"/>
      <c r="S352" s="386"/>
      <c r="T352" s="386"/>
      <c r="U352" s="386"/>
      <c r="V352" s="386"/>
      <c r="W352" s="386"/>
      <c r="X352" s="386"/>
      <c r="Y352" s="386"/>
      <c r="Z352" s="386"/>
      <c r="AA352" s="386"/>
      <c r="AB352" s="386"/>
      <c r="AC352" s="386"/>
      <c r="AD352" s="386"/>
      <c r="AE352" s="386"/>
      <c r="AF352" s="386"/>
      <c r="AG352" s="386"/>
      <c r="AH352" s="386"/>
      <c r="AI352" s="386"/>
      <c r="AJ352" s="386"/>
      <c r="AK352" s="386"/>
      <c r="AL352" s="386"/>
      <c r="AM352" s="386"/>
      <c r="AN352" s="386"/>
      <c r="AO352" s="386"/>
      <c r="AP352" s="386"/>
      <c r="AQ352" s="386"/>
      <c r="AR352" s="386"/>
      <c r="AS352" s="386"/>
      <c r="AT352" s="386"/>
      <c r="AU352" s="386"/>
      <c r="AV352" s="386"/>
      <c r="AW352" s="386"/>
      <c r="AX352" s="386"/>
      <c r="AY352" s="386"/>
      <c r="AZ352" s="386"/>
      <c r="BA352" s="386"/>
      <c r="BB352" s="386"/>
      <c r="BC352" s="386"/>
      <c r="BD352" s="386"/>
      <c r="BE352" s="386"/>
      <c r="BF352" s="386"/>
      <c r="BG352" s="386"/>
      <c r="BH352" s="386"/>
      <c r="BI352" s="386"/>
      <c r="BJ352" s="386"/>
      <c r="BK352" s="386"/>
      <c r="BL352" s="386"/>
      <c r="BM352" s="386"/>
      <c r="BN352" s="386"/>
      <c r="BO352" s="386"/>
      <c r="BP352" s="386"/>
      <c r="BQ352" s="386"/>
      <c r="BR352" s="386"/>
      <c r="BS352" s="386"/>
      <c r="BT352" s="386"/>
      <c r="BU352" s="386"/>
      <c r="BV352" s="386"/>
      <c r="BW352" s="386"/>
      <c r="BX352" s="386"/>
      <c r="BY352" s="386"/>
      <c r="BZ352" s="386"/>
      <c r="CA352" s="386"/>
      <c r="CB352" s="386"/>
      <c r="CC352" s="386"/>
      <c r="CD352" s="386"/>
      <c r="CE352" s="386"/>
      <c r="CF352" s="386"/>
      <c r="CG352" s="386"/>
      <c r="CH352" s="386"/>
      <c r="CI352" s="386"/>
      <c r="CJ352" s="386"/>
      <c r="CK352" s="386"/>
      <c r="CL352" s="386"/>
    </row>
    <row r="353" spans="2:90" ht="12.75" customHeight="1" x14ac:dyDescent="0.15">
      <c r="B353" s="57"/>
      <c r="C353" s="57"/>
      <c r="D353" s="58"/>
      <c r="E353" s="59"/>
      <c r="F353" s="63"/>
      <c r="G353" s="63"/>
      <c r="H353" s="63"/>
      <c r="I353" s="63"/>
      <c r="J353" s="65"/>
      <c r="K353" s="392"/>
      <c r="L353" s="65"/>
      <c r="M353" s="65"/>
      <c r="N353" s="65"/>
      <c r="O353" s="386"/>
      <c r="P353" s="386"/>
      <c r="Q353" s="386"/>
      <c r="R353" s="386"/>
      <c r="S353" s="386"/>
      <c r="T353" s="386"/>
      <c r="U353" s="386"/>
      <c r="V353" s="386"/>
      <c r="W353" s="386"/>
      <c r="X353" s="386"/>
      <c r="Y353" s="386"/>
      <c r="Z353" s="386"/>
      <c r="AA353" s="386"/>
      <c r="AB353" s="386"/>
      <c r="AC353" s="386"/>
      <c r="AD353" s="386"/>
      <c r="AE353" s="386"/>
      <c r="AF353" s="386"/>
      <c r="AG353" s="386"/>
      <c r="AH353" s="386"/>
      <c r="AI353" s="386"/>
      <c r="AJ353" s="386"/>
      <c r="AK353" s="386"/>
      <c r="AL353" s="386"/>
      <c r="AM353" s="386"/>
      <c r="AN353" s="386"/>
      <c r="AO353" s="386"/>
      <c r="AP353" s="386"/>
      <c r="AQ353" s="386"/>
      <c r="AR353" s="386"/>
      <c r="AS353" s="386"/>
      <c r="AT353" s="386"/>
      <c r="AU353" s="386"/>
      <c r="AV353" s="386"/>
      <c r="AW353" s="386"/>
      <c r="AX353" s="386"/>
      <c r="AY353" s="386"/>
      <c r="AZ353" s="386"/>
      <c r="BA353" s="386"/>
      <c r="BB353" s="386"/>
      <c r="BC353" s="386"/>
      <c r="BD353" s="386"/>
      <c r="BE353" s="386"/>
      <c r="BF353" s="386"/>
      <c r="BG353" s="386"/>
      <c r="BH353" s="386"/>
      <c r="BI353" s="386"/>
      <c r="BJ353" s="386"/>
      <c r="BK353" s="386"/>
      <c r="BL353" s="386"/>
      <c r="BM353" s="386"/>
      <c r="BN353" s="386"/>
      <c r="BO353" s="386"/>
      <c r="BP353" s="386"/>
      <c r="BQ353" s="386"/>
      <c r="BR353" s="386"/>
      <c r="BS353" s="386"/>
      <c r="BT353" s="386"/>
      <c r="BU353" s="386"/>
      <c r="BV353" s="386"/>
      <c r="BW353" s="386"/>
      <c r="BX353" s="386"/>
      <c r="BY353" s="386"/>
      <c r="BZ353" s="386"/>
      <c r="CA353" s="386"/>
      <c r="CB353" s="386"/>
      <c r="CC353" s="386"/>
      <c r="CD353" s="386"/>
      <c r="CE353" s="386"/>
      <c r="CF353" s="386"/>
      <c r="CG353" s="386"/>
      <c r="CH353" s="386"/>
      <c r="CI353" s="386"/>
      <c r="CJ353" s="386"/>
      <c r="CK353" s="386"/>
      <c r="CL353" s="386"/>
    </row>
    <row r="354" spans="2:90" ht="12.75" customHeight="1" x14ac:dyDescent="0.15">
      <c r="B354" s="57"/>
      <c r="C354" s="57"/>
      <c r="D354" s="58"/>
      <c r="E354" s="59"/>
      <c r="F354" s="63"/>
      <c r="G354" s="63"/>
      <c r="H354" s="63"/>
      <c r="I354" s="63"/>
      <c r="J354" s="65"/>
      <c r="K354" s="392"/>
      <c r="L354" s="65"/>
      <c r="M354" s="65"/>
      <c r="N354" s="65"/>
      <c r="O354" s="386"/>
      <c r="P354" s="386"/>
      <c r="Q354" s="386"/>
      <c r="R354" s="386"/>
      <c r="S354" s="386"/>
      <c r="T354" s="386"/>
      <c r="U354" s="386"/>
      <c r="V354" s="386"/>
      <c r="W354" s="386"/>
      <c r="X354" s="386"/>
      <c r="Y354" s="386"/>
      <c r="Z354" s="386"/>
      <c r="AA354" s="386"/>
      <c r="AB354" s="386"/>
      <c r="AC354" s="386"/>
      <c r="AD354" s="386"/>
      <c r="AE354" s="386"/>
      <c r="AF354" s="386"/>
      <c r="AG354" s="386"/>
      <c r="AH354" s="386"/>
      <c r="AI354" s="386"/>
      <c r="AJ354" s="386"/>
      <c r="AK354" s="386"/>
      <c r="AL354" s="386"/>
      <c r="AM354" s="386"/>
      <c r="AN354" s="386"/>
      <c r="AO354" s="386"/>
      <c r="AP354" s="386"/>
      <c r="AQ354" s="386"/>
      <c r="AR354" s="386"/>
      <c r="AS354" s="386"/>
      <c r="AT354" s="386"/>
      <c r="AU354" s="386"/>
      <c r="AV354" s="386"/>
      <c r="AW354" s="386"/>
      <c r="AX354" s="386"/>
      <c r="AY354" s="386"/>
      <c r="AZ354" s="386"/>
      <c r="BA354" s="386"/>
      <c r="BB354" s="386"/>
      <c r="BC354" s="386"/>
      <c r="BD354" s="386"/>
      <c r="BE354" s="386"/>
      <c r="BF354" s="386"/>
      <c r="BG354" s="386"/>
      <c r="BH354" s="386"/>
      <c r="BI354" s="386"/>
      <c r="BJ354" s="386"/>
      <c r="BK354" s="386"/>
      <c r="BL354" s="386"/>
      <c r="BM354" s="386"/>
      <c r="BN354" s="386"/>
      <c r="BO354" s="386"/>
      <c r="BP354" s="386"/>
      <c r="BQ354" s="386"/>
      <c r="BR354" s="386"/>
      <c r="BS354" s="386"/>
      <c r="BT354" s="386"/>
      <c r="BU354" s="386"/>
      <c r="BV354" s="386"/>
      <c r="BW354" s="386"/>
      <c r="BX354" s="386"/>
      <c r="BY354" s="386"/>
      <c r="BZ354" s="386"/>
      <c r="CA354" s="386"/>
      <c r="CB354" s="386"/>
      <c r="CC354" s="386"/>
      <c r="CD354" s="386"/>
      <c r="CE354" s="386"/>
      <c r="CF354" s="386"/>
      <c r="CG354" s="386"/>
      <c r="CH354" s="386"/>
      <c r="CI354" s="386"/>
      <c r="CJ354" s="386"/>
      <c r="CK354" s="386"/>
      <c r="CL354" s="386"/>
    </row>
    <row r="355" spans="2:90" ht="12.75" customHeight="1" x14ac:dyDescent="0.15">
      <c r="B355" s="57"/>
      <c r="C355" s="57"/>
      <c r="D355" s="58"/>
      <c r="E355" s="59"/>
      <c r="F355" s="63"/>
      <c r="G355" s="63"/>
      <c r="H355" s="63"/>
      <c r="I355" s="63"/>
      <c r="J355" s="65"/>
      <c r="K355" s="392"/>
      <c r="L355" s="65"/>
      <c r="M355" s="65"/>
      <c r="N355" s="65"/>
      <c r="O355" s="386"/>
      <c r="P355" s="386"/>
      <c r="Q355" s="386"/>
      <c r="R355" s="386"/>
      <c r="S355" s="386"/>
      <c r="T355" s="386"/>
      <c r="U355" s="386"/>
      <c r="V355" s="386"/>
      <c r="W355" s="386"/>
      <c r="X355" s="386"/>
      <c r="Y355" s="386"/>
      <c r="Z355" s="386"/>
      <c r="AA355" s="386"/>
      <c r="AB355" s="386"/>
      <c r="AC355" s="386"/>
      <c r="AD355" s="386"/>
      <c r="AE355" s="386"/>
      <c r="AF355" s="386"/>
      <c r="AG355" s="386"/>
      <c r="AH355" s="386"/>
      <c r="AI355" s="386"/>
      <c r="AJ355" s="386"/>
      <c r="AK355" s="386"/>
      <c r="AL355" s="386"/>
      <c r="AM355" s="386"/>
      <c r="AN355" s="386"/>
      <c r="AO355" s="386"/>
      <c r="AP355" s="386"/>
      <c r="AQ355" s="386"/>
      <c r="AR355" s="386"/>
      <c r="AS355" s="386"/>
      <c r="AT355" s="386"/>
      <c r="AU355" s="386"/>
      <c r="AV355" s="386"/>
      <c r="AW355" s="386"/>
      <c r="AX355" s="386"/>
      <c r="AY355" s="386"/>
      <c r="AZ355" s="386"/>
      <c r="BA355" s="386"/>
      <c r="BB355" s="386"/>
      <c r="BC355" s="386"/>
      <c r="BD355" s="386"/>
      <c r="BE355" s="386"/>
      <c r="BF355" s="386"/>
      <c r="BG355" s="386"/>
      <c r="BH355" s="386"/>
      <c r="BI355" s="386"/>
      <c r="BJ355" s="386"/>
      <c r="BK355" s="386"/>
      <c r="BL355" s="386"/>
      <c r="BM355" s="386"/>
      <c r="BN355" s="386"/>
      <c r="BO355" s="386"/>
      <c r="BP355" s="386"/>
      <c r="BQ355" s="386"/>
      <c r="BR355" s="386"/>
      <c r="BS355" s="386"/>
      <c r="BT355" s="386"/>
      <c r="BU355" s="386"/>
      <c r="BV355" s="386"/>
      <c r="BW355" s="386"/>
      <c r="BX355" s="386"/>
      <c r="BY355" s="386"/>
      <c r="BZ355" s="386"/>
      <c r="CA355" s="386"/>
      <c r="CB355" s="386"/>
      <c r="CC355" s="386"/>
      <c r="CD355" s="386"/>
      <c r="CE355" s="386"/>
      <c r="CF355" s="386"/>
      <c r="CG355" s="386"/>
      <c r="CH355" s="386"/>
      <c r="CI355" s="386"/>
      <c r="CJ355" s="386"/>
      <c r="CK355" s="386"/>
      <c r="CL355" s="386"/>
    </row>
    <row r="356" spans="2:90" ht="12.75" customHeight="1" x14ac:dyDescent="0.15">
      <c r="B356" s="57"/>
      <c r="C356" s="57"/>
      <c r="D356" s="58"/>
      <c r="E356" s="59"/>
      <c r="F356" s="63"/>
      <c r="G356" s="63"/>
      <c r="H356" s="63"/>
      <c r="I356" s="63"/>
      <c r="J356" s="65"/>
      <c r="K356" s="392"/>
      <c r="L356" s="65"/>
      <c r="M356" s="65"/>
      <c r="N356" s="65"/>
      <c r="O356" s="386"/>
      <c r="P356" s="386"/>
      <c r="Q356" s="386"/>
      <c r="R356" s="386"/>
      <c r="S356" s="386"/>
      <c r="T356" s="386"/>
      <c r="U356" s="386"/>
      <c r="V356" s="386"/>
      <c r="W356" s="386"/>
      <c r="X356" s="386"/>
      <c r="Y356" s="386"/>
      <c r="Z356" s="386"/>
      <c r="AA356" s="386"/>
      <c r="AB356" s="386"/>
      <c r="AC356" s="386"/>
      <c r="AD356" s="386"/>
      <c r="AE356" s="386"/>
      <c r="AF356" s="386"/>
      <c r="AG356" s="386"/>
      <c r="AH356" s="386"/>
      <c r="AI356" s="386"/>
      <c r="AJ356" s="386"/>
      <c r="AK356" s="386"/>
      <c r="AL356" s="386"/>
      <c r="AM356" s="386"/>
      <c r="AN356" s="386"/>
      <c r="AO356" s="386"/>
      <c r="AP356" s="386"/>
      <c r="AQ356" s="386"/>
      <c r="AR356" s="386"/>
      <c r="AS356" s="386"/>
      <c r="AT356" s="386"/>
      <c r="AU356" s="386"/>
      <c r="AV356" s="386"/>
      <c r="AW356" s="386"/>
      <c r="AX356" s="386"/>
      <c r="AY356" s="386"/>
      <c r="AZ356" s="386"/>
      <c r="BA356" s="386"/>
      <c r="BB356" s="386"/>
      <c r="BC356" s="386"/>
      <c r="BD356" s="386"/>
      <c r="BE356" s="386"/>
      <c r="BF356" s="386"/>
      <c r="BG356" s="386"/>
      <c r="BH356" s="386"/>
      <c r="BI356" s="386"/>
      <c r="BJ356" s="386"/>
      <c r="BK356" s="386"/>
      <c r="BL356" s="386"/>
      <c r="BM356" s="386"/>
      <c r="BN356" s="386"/>
      <c r="BO356" s="386"/>
      <c r="BP356" s="386"/>
      <c r="BQ356" s="386"/>
      <c r="BR356" s="386"/>
      <c r="BS356" s="386"/>
      <c r="BT356" s="386"/>
      <c r="BU356" s="386"/>
      <c r="BV356" s="386"/>
      <c r="BW356" s="386"/>
      <c r="BX356" s="386"/>
      <c r="BY356" s="386"/>
      <c r="BZ356" s="386"/>
      <c r="CA356" s="386"/>
      <c r="CB356" s="386"/>
      <c r="CC356" s="386"/>
      <c r="CD356" s="386"/>
      <c r="CE356" s="386"/>
      <c r="CF356" s="386"/>
      <c r="CG356" s="386"/>
      <c r="CH356" s="386"/>
      <c r="CI356" s="386"/>
      <c r="CJ356" s="386"/>
      <c r="CK356" s="386"/>
      <c r="CL356" s="386"/>
    </row>
    <row r="357" spans="2:90" ht="12.75" customHeight="1" x14ac:dyDescent="0.15">
      <c r="B357" s="57"/>
      <c r="C357" s="57"/>
      <c r="D357" s="58"/>
      <c r="E357" s="59"/>
      <c r="F357" s="63"/>
      <c r="G357" s="63"/>
      <c r="H357" s="63"/>
      <c r="I357" s="63"/>
      <c r="J357" s="65"/>
      <c r="K357" s="392"/>
      <c r="L357" s="65"/>
      <c r="M357" s="65"/>
      <c r="N357" s="65"/>
      <c r="O357" s="386"/>
      <c r="P357" s="386"/>
      <c r="Q357" s="386"/>
      <c r="R357" s="386"/>
      <c r="S357" s="386"/>
      <c r="T357" s="386"/>
      <c r="U357" s="386"/>
      <c r="V357" s="386"/>
      <c r="W357" s="386"/>
      <c r="X357" s="386"/>
      <c r="Y357" s="386"/>
      <c r="Z357" s="386"/>
      <c r="AA357" s="386"/>
      <c r="AB357" s="386"/>
      <c r="AC357" s="386"/>
      <c r="AD357" s="386"/>
      <c r="AE357" s="386"/>
      <c r="AF357" s="386"/>
      <c r="AG357" s="386"/>
      <c r="AH357" s="386"/>
      <c r="AI357" s="386"/>
      <c r="AJ357" s="386"/>
      <c r="AK357" s="386"/>
      <c r="AL357" s="386"/>
      <c r="AM357" s="386"/>
      <c r="AN357" s="386"/>
      <c r="AO357" s="386"/>
      <c r="AP357" s="386"/>
      <c r="AQ357" s="386"/>
      <c r="AR357" s="386"/>
      <c r="AS357" s="386"/>
      <c r="AT357" s="386"/>
      <c r="AU357" s="386"/>
      <c r="AV357" s="386"/>
      <c r="AW357" s="386"/>
      <c r="AX357" s="386"/>
      <c r="AY357" s="386"/>
      <c r="AZ357" s="386"/>
      <c r="BA357" s="386"/>
      <c r="BB357" s="386"/>
      <c r="BC357" s="386"/>
      <c r="BD357" s="386"/>
      <c r="BE357" s="386"/>
      <c r="BF357" s="386"/>
      <c r="BG357" s="386"/>
      <c r="BH357" s="386"/>
      <c r="BI357" s="386"/>
      <c r="BJ357" s="386"/>
      <c r="BK357" s="386"/>
      <c r="BL357" s="386"/>
      <c r="BM357" s="386"/>
      <c r="BN357" s="386"/>
      <c r="BO357" s="386"/>
      <c r="BP357" s="386"/>
      <c r="BQ357" s="386"/>
      <c r="BR357" s="386"/>
      <c r="BS357" s="386"/>
      <c r="BT357" s="386"/>
      <c r="BU357" s="386"/>
      <c r="BV357" s="386"/>
      <c r="BW357" s="386"/>
      <c r="BX357" s="386"/>
      <c r="BY357" s="386"/>
      <c r="BZ357" s="386"/>
      <c r="CA357" s="386"/>
      <c r="CB357" s="386"/>
      <c r="CC357" s="386"/>
      <c r="CD357" s="386"/>
      <c r="CE357" s="386"/>
      <c r="CF357" s="386"/>
      <c r="CG357" s="386"/>
      <c r="CH357" s="386"/>
      <c r="CI357" s="386"/>
      <c r="CJ357" s="386"/>
      <c r="CK357" s="386"/>
      <c r="CL357" s="386"/>
    </row>
    <row r="358" spans="2:90" ht="12.75" customHeight="1" x14ac:dyDescent="0.15">
      <c r="B358" s="57"/>
      <c r="C358" s="57"/>
      <c r="D358" s="58"/>
      <c r="E358" s="59"/>
      <c r="F358" s="63"/>
      <c r="G358" s="63"/>
      <c r="H358" s="63"/>
      <c r="I358" s="63"/>
      <c r="J358" s="65"/>
      <c r="K358" s="392"/>
      <c r="L358" s="65"/>
      <c r="M358" s="65"/>
      <c r="N358" s="65"/>
      <c r="O358" s="386"/>
      <c r="P358" s="386"/>
      <c r="Q358" s="386"/>
      <c r="R358" s="386"/>
      <c r="S358" s="386"/>
      <c r="T358" s="386"/>
      <c r="U358" s="386"/>
      <c r="V358" s="386"/>
      <c r="W358" s="386"/>
      <c r="X358" s="386"/>
      <c r="Y358" s="386"/>
      <c r="Z358" s="386"/>
      <c r="AA358" s="386"/>
      <c r="AB358" s="386"/>
      <c r="AC358" s="386"/>
      <c r="AD358" s="386"/>
      <c r="AE358" s="386"/>
      <c r="AF358" s="386"/>
      <c r="AG358" s="386"/>
      <c r="AH358" s="386"/>
      <c r="AI358" s="386"/>
      <c r="AJ358" s="386"/>
      <c r="AK358" s="386"/>
      <c r="AL358" s="386"/>
      <c r="AM358" s="386"/>
      <c r="AN358" s="386"/>
      <c r="AO358" s="386"/>
      <c r="AP358" s="386"/>
      <c r="AQ358" s="386"/>
      <c r="AR358" s="386"/>
      <c r="AS358" s="386"/>
      <c r="AT358" s="386"/>
      <c r="AU358" s="386"/>
      <c r="AV358" s="386"/>
      <c r="AW358" s="386"/>
      <c r="AX358" s="386"/>
      <c r="AY358" s="386"/>
      <c r="AZ358" s="386"/>
      <c r="BA358" s="386"/>
      <c r="BB358" s="386"/>
      <c r="BC358" s="386"/>
      <c r="BD358" s="386"/>
      <c r="BE358" s="386"/>
      <c r="BF358" s="386"/>
      <c r="BG358" s="386"/>
      <c r="BH358" s="386"/>
      <c r="BI358" s="386"/>
      <c r="BJ358" s="386"/>
      <c r="BK358" s="386"/>
      <c r="BL358" s="386"/>
      <c r="BM358" s="386"/>
      <c r="BN358" s="386"/>
      <c r="BO358" s="386"/>
      <c r="BP358" s="386"/>
      <c r="BQ358" s="386"/>
      <c r="BR358" s="386"/>
      <c r="BS358" s="386"/>
      <c r="BT358" s="386"/>
      <c r="BU358" s="386"/>
      <c r="BV358" s="386"/>
      <c r="BW358" s="386"/>
      <c r="BX358" s="386"/>
      <c r="BY358" s="386"/>
      <c r="BZ358" s="386"/>
      <c r="CA358" s="386"/>
      <c r="CB358" s="386"/>
      <c r="CC358" s="386"/>
      <c r="CD358" s="386"/>
      <c r="CE358" s="386"/>
      <c r="CF358" s="386"/>
      <c r="CG358" s="386"/>
      <c r="CH358" s="386"/>
      <c r="CI358" s="386"/>
      <c r="CJ358" s="386"/>
      <c r="CK358" s="386"/>
      <c r="CL358" s="386"/>
    </row>
    <row r="359" spans="2:90" ht="12.75" customHeight="1" x14ac:dyDescent="0.15">
      <c r="B359" s="57"/>
      <c r="C359" s="57"/>
      <c r="D359" s="58"/>
      <c r="E359" s="59"/>
      <c r="F359" s="63"/>
      <c r="G359" s="63"/>
      <c r="H359" s="63"/>
      <c r="I359" s="63"/>
      <c r="J359" s="65"/>
      <c r="K359" s="392"/>
      <c r="L359" s="65"/>
      <c r="M359" s="65"/>
      <c r="N359" s="65"/>
      <c r="O359" s="386"/>
      <c r="P359" s="386"/>
      <c r="Q359" s="386"/>
      <c r="R359" s="386"/>
      <c r="S359" s="386"/>
      <c r="T359" s="386"/>
      <c r="U359" s="386"/>
      <c r="V359" s="386"/>
      <c r="W359" s="386"/>
      <c r="X359" s="386"/>
      <c r="Y359" s="386"/>
      <c r="Z359" s="386"/>
      <c r="AA359" s="386"/>
      <c r="AB359" s="386"/>
      <c r="AC359" s="386"/>
      <c r="AD359" s="386"/>
      <c r="AE359" s="386"/>
      <c r="AF359" s="386"/>
      <c r="AG359" s="386"/>
      <c r="AH359" s="386"/>
      <c r="AI359" s="386"/>
      <c r="AJ359" s="386"/>
      <c r="AK359" s="386"/>
      <c r="AL359" s="386"/>
      <c r="AM359" s="386"/>
      <c r="AN359" s="386"/>
      <c r="AO359" s="386"/>
      <c r="AP359" s="386"/>
      <c r="AQ359" s="386"/>
      <c r="AR359" s="386"/>
      <c r="AS359" s="386"/>
      <c r="AT359" s="386"/>
      <c r="AU359" s="386"/>
      <c r="AV359" s="386"/>
      <c r="AW359" s="386"/>
      <c r="AX359" s="386"/>
      <c r="AY359" s="386"/>
      <c r="AZ359" s="386"/>
      <c r="BA359" s="386"/>
      <c r="BB359" s="386"/>
      <c r="BC359" s="386"/>
      <c r="BD359" s="386"/>
      <c r="BE359" s="386"/>
      <c r="BF359" s="386"/>
      <c r="BG359" s="386"/>
      <c r="BH359" s="386"/>
      <c r="BI359" s="386"/>
      <c r="BJ359" s="386"/>
      <c r="BK359" s="386"/>
      <c r="BL359" s="386"/>
      <c r="BM359" s="386"/>
      <c r="BN359" s="386"/>
      <c r="BO359" s="386"/>
      <c r="BP359" s="386"/>
      <c r="BQ359" s="386"/>
      <c r="BR359" s="386"/>
      <c r="BS359" s="386"/>
      <c r="BT359" s="386"/>
      <c r="BU359" s="386"/>
      <c r="BV359" s="386"/>
      <c r="BW359" s="386"/>
      <c r="BX359" s="386"/>
      <c r="BY359" s="386"/>
      <c r="BZ359" s="386"/>
      <c r="CA359" s="386"/>
      <c r="CB359" s="386"/>
      <c r="CC359" s="386"/>
      <c r="CD359" s="386"/>
      <c r="CE359" s="386"/>
      <c r="CF359" s="386"/>
      <c r="CG359" s="386"/>
      <c r="CH359" s="386"/>
      <c r="CI359" s="386"/>
      <c r="CJ359" s="386"/>
      <c r="CK359" s="386"/>
      <c r="CL359" s="386"/>
    </row>
    <row r="360" spans="2:90" ht="12.75" customHeight="1" x14ac:dyDescent="0.15">
      <c r="B360" s="57"/>
      <c r="C360" s="57"/>
      <c r="D360" s="58"/>
      <c r="E360" s="59"/>
      <c r="F360" s="63"/>
      <c r="G360" s="63"/>
      <c r="H360" s="63"/>
      <c r="I360" s="63"/>
      <c r="J360" s="65"/>
      <c r="K360" s="392"/>
      <c r="L360" s="65"/>
      <c r="M360" s="65"/>
      <c r="N360" s="65"/>
      <c r="O360" s="386"/>
      <c r="P360" s="386"/>
      <c r="Q360" s="386"/>
      <c r="R360" s="386"/>
      <c r="S360" s="386"/>
      <c r="T360" s="386"/>
      <c r="U360" s="386"/>
      <c r="V360" s="386"/>
      <c r="W360" s="386"/>
      <c r="X360" s="386"/>
      <c r="Y360" s="386"/>
      <c r="Z360" s="386"/>
      <c r="AA360" s="386"/>
      <c r="AB360" s="386"/>
      <c r="AC360" s="386"/>
      <c r="AD360" s="386"/>
      <c r="AE360" s="386"/>
      <c r="AF360" s="386"/>
      <c r="AG360" s="386"/>
      <c r="AH360" s="386"/>
      <c r="AI360" s="386"/>
      <c r="AJ360" s="386"/>
      <c r="AK360" s="386"/>
      <c r="AL360" s="386"/>
      <c r="AM360" s="386"/>
      <c r="AN360" s="386"/>
      <c r="AO360" s="386"/>
      <c r="AP360" s="386"/>
      <c r="AQ360" s="386"/>
      <c r="AR360" s="386"/>
      <c r="AS360" s="386"/>
      <c r="AT360" s="386"/>
      <c r="AU360" s="386"/>
      <c r="AV360" s="386"/>
      <c r="AW360" s="386"/>
      <c r="AX360" s="386"/>
      <c r="AY360" s="386"/>
      <c r="AZ360" s="386"/>
      <c r="BA360" s="386"/>
      <c r="BB360" s="386"/>
      <c r="BC360" s="386"/>
      <c r="BD360" s="386"/>
      <c r="BE360" s="386"/>
      <c r="BF360" s="386"/>
      <c r="BG360" s="386"/>
      <c r="BH360" s="386"/>
      <c r="BI360" s="386"/>
      <c r="BJ360" s="386"/>
      <c r="BK360" s="386"/>
      <c r="BL360" s="386"/>
      <c r="BM360" s="386"/>
      <c r="BN360" s="386"/>
      <c r="BO360" s="386"/>
      <c r="BP360" s="386"/>
      <c r="BQ360" s="386"/>
      <c r="BR360" s="386"/>
      <c r="BS360" s="386"/>
      <c r="BT360" s="386"/>
      <c r="BU360" s="386"/>
      <c r="BV360" s="386"/>
      <c r="BW360" s="386"/>
      <c r="BX360" s="386"/>
      <c r="BY360" s="386"/>
      <c r="BZ360" s="386"/>
      <c r="CA360" s="386"/>
      <c r="CB360" s="386"/>
      <c r="CC360" s="386"/>
      <c r="CD360" s="386"/>
      <c r="CE360" s="386"/>
      <c r="CF360" s="386"/>
      <c r="CG360" s="386"/>
      <c r="CH360" s="386"/>
      <c r="CI360" s="386"/>
      <c r="CJ360" s="386"/>
      <c r="CK360" s="386"/>
      <c r="CL360" s="386"/>
    </row>
    <row r="361" spans="2:90" ht="12.75" customHeight="1" x14ac:dyDescent="0.15">
      <c r="B361" s="57"/>
      <c r="C361" s="57"/>
      <c r="D361" s="58"/>
      <c r="E361" s="59"/>
      <c r="F361" s="63"/>
      <c r="G361" s="63"/>
      <c r="H361" s="63"/>
      <c r="I361" s="63"/>
      <c r="J361" s="65"/>
      <c r="K361" s="392"/>
      <c r="L361" s="65"/>
      <c r="M361" s="65"/>
      <c r="N361" s="65"/>
      <c r="O361" s="386"/>
      <c r="P361" s="386"/>
      <c r="Q361" s="386"/>
      <c r="R361" s="386"/>
      <c r="S361" s="386"/>
      <c r="T361" s="386"/>
      <c r="U361" s="386"/>
      <c r="V361" s="386"/>
      <c r="W361" s="386"/>
      <c r="X361" s="386"/>
      <c r="Y361" s="386"/>
      <c r="Z361" s="386"/>
      <c r="AA361" s="386"/>
      <c r="AB361" s="386"/>
      <c r="AC361" s="386"/>
      <c r="AD361" s="386"/>
      <c r="AE361" s="386"/>
      <c r="AF361" s="386"/>
      <c r="AG361" s="386"/>
      <c r="AH361" s="386"/>
      <c r="AI361" s="386"/>
      <c r="AJ361" s="386"/>
      <c r="AK361" s="386"/>
      <c r="AL361" s="386"/>
      <c r="AM361" s="386"/>
      <c r="AN361" s="386"/>
      <c r="AO361" s="386"/>
      <c r="AP361" s="386"/>
      <c r="AQ361" s="386"/>
      <c r="AR361" s="386"/>
      <c r="AS361" s="386"/>
      <c r="AT361" s="386"/>
      <c r="AU361" s="386"/>
      <c r="AV361" s="386"/>
      <c r="AW361" s="386"/>
      <c r="AX361" s="386"/>
      <c r="AY361" s="386"/>
      <c r="AZ361" s="386"/>
      <c r="BA361" s="386"/>
      <c r="BB361" s="386"/>
      <c r="BC361" s="386"/>
      <c r="BD361" s="386"/>
      <c r="BE361" s="386"/>
      <c r="BF361" s="386"/>
      <c r="BG361" s="386"/>
      <c r="BH361" s="386"/>
      <c r="BI361" s="386"/>
      <c r="BJ361" s="386"/>
      <c r="BK361" s="386"/>
      <c r="BL361" s="386"/>
      <c r="BM361" s="386"/>
      <c r="BN361" s="386"/>
      <c r="BO361" s="386"/>
      <c r="BP361" s="386"/>
      <c r="BQ361" s="386"/>
      <c r="BR361" s="386"/>
      <c r="BS361" s="386"/>
      <c r="BT361" s="386"/>
      <c r="BU361" s="386"/>
      <c r="BV361" s="386"/>
      <c r="BW361" s="386"/>
      <c r="BX361" s="386"/>
      <c r="BY361" s="386"/>
      <c r="BZ361" s="386"/>
      <c r="CA361" s="386"/>
      <c r="CB361" s="386"/>
      <c r="CC361" s="386"/>
      <c r="CD361" s="386"/>
      <c r="CE361" s="386"/>
      <c r="CF361" s="386"/>
      <c r="CG361" s="386"/>
      <c r="CH361" s="386"/>
      <c r="CI361" s="386"/>
      <c r="CJ361" s="386"/>
      <c r="CK361" s="386"/>
      <c r="CL361" s="386"/>
    </row>
    <row r="362" spans="2:90" ht="12.75" customHeight="1" x14ac:dyDescent="0.15">
      <c r="B362" s="57"/>
      <c r="C362" s="57"/>
      <c r="D362" s="58"/>
      <c r="E362" s="59"/>
      <c r="F362" s="63"/>
      <c r="G362" s="63"/>
      <c r="H362" s="63"/>
      <c r="I362" s="63"/>
      <c r="J362" s="65"/>
      <c r="K362" s="392"/>
      <c r="L362" s="65"/>
      <c r="M362" s="65"/>
      <c r="N362" s="65"/>
      <c r="O362" s="386"/>
      <c r="P362" s="386"/>
      <c r="Q362" s="386"/>
      <c r="R362" s="386"/>
      <c r="S362" s="386"/>
      <c r="T362" s="386"/>
      <c r="U362" s="386"/>
      <c r="V362" s="386"/>
      <c r="W362" s="386"/>
      <c r="X362" s="386"/>
      <c r="Y362" s="386"/>
      <c r="Z362" s="386"/>
      <c r="AA362" s="386"/>
      <c r="AB362" s="386"/>
      <c r="AC362" s="386"/>
      <c r="AD362" s="386"/>
      <c r="AE362" s="386"/>
      <c r="AF362" s="386"/>
      <c r="AG362" s="386"/>
      <c r="AH362" s="386"/>
      <c r="AI362" s="386"/>
      <c r="AJ362" s="386"/>
      <c r="AK362" s="386"/>
      <c r="AL362" s="386"/>
      <c r="AM362" s="386"/>
      <c r="AN362" s="386"/>
      <c r="AO362" s="386"/>
      <c r="AP362" s="386"/>
      <c r="AQ362" s="386"/>
      <c r="AR362" s="386"/>
      <c r="AS362" s="386"/>
      <c r="AT362" s="386"/>
      <c r="AU362" s="386"/>
      <c r="AV362" s="386"/>
      <c r="AW362" s="386"/>
      <c r="AX362" s="386"/>
      <c r="AY362" s="386"/>
      <c r="AZ362" s="386"/>
      <c r="BA362" s="386"/>
      <c r="BB362" s="386"/>
      <c r="BC362" s="386"/>
      <c r="BD362" s="386"/>
      <c r="BE362" s="386"/>
      <c r="BF362" s="386"/>
      <c r="BG362" s="386"/>
      <c r="BH362" s="386"/>
      <c r="BI362" s="386"/>
      <c r="BJ362" s="386"/>
      <c r="BK362" s="386"/>
      <c r="BL362" s="386"/>
      <c r="BM362" s="386"/>
      <c r="BN362" s="386"/>
      <c r="BO362" s="386"/>
      <c r="BP362" s="386"/>
      <c r="BQ362" s="386"/>
      <c r="BR362" s="386"/>
      <c r="BS362" s="386"/>
      <c r="BT362" s="386"/>
      <c r="BU362" s="386"/>
      <c r="BV362" s="386"/>
      <c r="BW362" s="386"/>
      <c r="BX362" s="386"/>
      <c r="BY362" s="386"/>
      <c r="BZ362" s="386"/>
      <c r="CA362" s="386"/>
      <c r="CB362" s="386"/>
      <c r="CC362" s="386"/>
      <c r="CD362" s="386"/>
      <c r="CE362" s="386"/>
      <c r="CF362" s="386"/>
      <c r="CG362" s="386"/>
      <c r="CH362" s="386"/>
      <c r="CI362" s="386"/>
      <c r="CJ362" s="386"/>
      <c r="CK362" s="386"/>
      <c r="CL362" s="386"/>
    </row>
    <row r="363" spans="2:90" ht="12.75" customHeight="1" x14ac:dyDescent="0.15">
      <c r="B363" s="57"/>
      <c r="C363" s="57"/>
      <c r="D363" s="58"/>
      <c r="E363" s="59"/>
      <c r="F363" s="63"/>
      <c r="G363" s="63"/>
      <c r="H363" s="63"/>
      <c r="I363" s="63"/>
      <c r="J363" s="65"/>
      <c r="K363" s="392"/>
      <c r="L363" s="65"/>
      <c r="M363" s="65"/>
      <c r="N363" s="65"/>
      <c r="O363" s="386"/>
      <c r="P363" s="386"/>
      <c r="Q363" s="386"/>
      <c r="R363" s="386"/>
      <c r="S363" s="386"/>
      <c r="T363" s="386"/>
      <c r="U363" s="386"/>
      <c r="V363" s="386"/>
      <c r="W363" s="386"/>
      <c r="X363" s="386"/>
      <c r="Y363" s="386"/>
      <c r="Z363" s="386"/>
      <c r="AA363" s="386"/>
      <c r="AB363" s="386"/>
      <c r="AC363" s="386"/>
      <c r="AD363" s="386"/>
      <c r="AE363" s="386"/>
      <c r="AF363" s="386"/>
      <c r="AG363" s="386"/>
      <c r="AH363" s="386"/>
      <c r="AI363" s="386"/>
      <c r="AJ363" s="386"/>
      <c r="AK363" s="386"/>
      <c r="AL363" s="386"/>
      <c r="AM363" s="386"/>
      <c r="AN363" s="386"/>
      <c r="AO363" s="386"/>
      <c r="AP363" s="386"/>
      <c r="AQ363" s="386"/>
      <c r="AR363" s="386"/>
      <c r="AS363" s="386"/>
      <c r="AT363" s="386"/>
      <c r="AU363" s="386"/>
      <c r="AV363" s="386"/>
      <c r="AW363" s="386"/>
      <c r="AX363" s="386"/>
      <c r="AY363" s="386"/>
      <c r="AZ363" s="386"/>
      <c r="BA363" s="386"/>
      <c r="BB363" s="386"/>
      <c r="BC363" s="386"/>
      <c r="BD363" s="386"/>
      <c r="BE363" s="386"/>
      <c r="BF363" s="386"/>
      <c r="BG363" s="386"/>
      <c r="BH363" s="386"/>
      <c r="BI363" s="386"/>
      <c r="BJ363" s="386"/>
      <c r="BK363" s="386"/>
      <c r="BL363" s="386"/>
      <c r="BM363" s="386"/>
      <c r="BN363" s="386"/>
      <c r="BO363" s="386"/>
      <c r="BP363" s="386"/>
      <c r="BQ363" s="386"/>
      <c r="BR363" s="386"/>
      <c r="BS363" s="386"/>
      <c r="BT363" s="386"/>
      <c r="BU363" s="386"/>
      <c r="BV363" s="386"/>
      <c r="BW363" s="386"/>
      <c r="BX363" s="386"/>
      <c r="BY363" s="386"/>
      <c r="BZ363" s="386"/>
      <c r="CA363" s="386"/>
      <c r="CB363" s="386"/>
      <c r="CC363" s="386"/>
      <c r="CD363" s="386"/>
      <c r="CE363" s="386"/>
      <c r="CF363" s="386"/>
      <c r="CG363" s="386"/>
      <c r="CH363" s="386"/>
      <c r="CI363" s="386"/>
      <c r="CJ363" s="386"/>
      <c r="CK363" s="386"/>
      <c r="CL363" s="386"/>
    </row>
    <row r="364" spans="2:90" ht="12.75" customHeight="1" x14ac:dyDescent="0.15">
      <c r="B364" s="57"/>
      <c r="C364" s="57"/>
      <c r="D364" s="58"/>
      <c r="E364" s="59"/>
      <c r="F364" s="63"/>
      <c r="G364" s="63"/>
      <c r="H364" s="63"/>
      <c r="I364" s="63"/>
      <c r="J364" s="65"/>
      <c r="K364" s="392"/>
      <c r="L364" s="65"/>
      <c r="M364" s="65"/>
      <c r="N364" s="65"/>
      <c r="O364" s="386"/>
      <c r="P364" s="386"/>
      <c r="Q364" s="386"/>
      <c r="R364" s="386"/>
      <c r="S364" s="386"/>
      <c r="T364" s="386"/>
      <c r="U364" s="386"/>
      <c r="V364" s="386"/>
      <c r="W364" s="386"/>
      <c r="X364" s="386"/>
      <c r="Y364" s="386"/>
      <c r="Z364" s="386"/>
      <c r="AA364" s="386"/>
      <c r="AB364" s="386"/>
      <c r="AC364" s="386"/>
      <c r="AD364" s="386"/>
      <c r="AE364" s="386"/>
      <c r="AF364" s="386"/>
      <c r="AG364" s="386"/>
      <c r="AH364" s="386"/>
      <c r="AI364" s="386"/>
      <c r="AJ364" s="386"/>
      <c r="AK364" s="386"/>
      <c r="AL364" s="386"/>
      <c r="AM364" s="386"/>
      <c r="AN364" s="386"/>
      <c r="AO364" s="386"/>
      <c r="AP364" s="386"/>
      <c r="AQ364" s="386"/>
      <c r="AR364" s="386"/>
      <c r="AS364" s="386"/>
      <c r="AT364" s="386"/>
      <c r="AU364" s="386"/>
      <c r="AV364" s="386"/>
      <c r="AW364" s="386"/>
      <c r="AX364" s="386"/>
      <c r="AY364" s="386"/>
      <c r="AZ364" s="386"/>
      <c r="BA364" s="386"/>
      <c r="BB364" s="386"/>
      <c r="BC364" s="386"/>
      <c r="BD364" s="386"/>
      <c r="BE364" s="386"/>
      <c r="BF364" s="386"/>
      <c r="BG364" s="386"/>
      <c r="BH364" s="386"/>
      <c r="BI364" s="386"/>
      <c r="BJ364" s="386"/>
      <c r="BK364" s="386"/>
      <c r="BL364" s="386"/>
      <c r="BM364" s="386"/>
      <c r="BN364" s="386"/>
      <c r="BO364" s="386"/>
      <c r="BP364" s="386"/>
      <c r="BQ364" s="386"/>
      <c r="BR364" s="386"/>
      <c r="BS364" s="386"/>
      <c r="BT364" s="386"/>
      <c r="BU364" s="386"/>
      <c r="BV364" s="386"/>
      <c r="BW364" s="386"/>
      <c r="BX364" s="386"/>
      <c r="BY364" s="386"/>
      <c r="BZ364" s="386"/>
      <c r="CA364" s="386"/>
      <c r="CB364" s="386"/>
      <c r="CC364" s="386"/>
      <c r="CD364" s="386"/>
      <c r="CE364" s="386"/>
      <c r="CF364" s="386"/>
      <c r="CG364" s="386"/>
      <c r="CH364" s="386"/>
      <c r="CI364" s="386"/>
      <c r="CJ364" s="386"/>
      <c r="CK364" s="386"/>
      <c r="CL364" s="386"/>
    </row>
    <row r="365" spans="2:90" ht="12.75" customHeight="1" x14ac:dyDescent="0.15">
      <c r="B365" s="57"/>
      <c r="C365" s="57"/>
      <c r="D365" s="58"/>
      <c r="E365" s="59"/>
      <c r="F365" s="63"/>
      <c r="G365" s="63"/>
      <c r="H365" s="63"/>
      <c r="I365" s="63"/>
      <c r="J365" s="65"/>
      <c r="K365" s="392"/>
      <c r="L365" s="65"/>
      <c r="M365" s="65"/>
      <c r="N365" s="65"/>
      <c r="O365" s="386"/>
      <c r="P365" s="386"/>
      <c r="Q365" s="386"/>
      <c r="R365" s="386"/>
      <c r="S365" s="386"/>
      <c r="T365" s="386"/>
      <c r="U365" s="386"/>
      <c r="V365" s="386"/>
      <c r="W365" s="386"/>
      <c r="X365" s="386"/>
      <c r="Y365" s="386"/>
      <c r="Z365" s="386"/>
      <c r="AA365" s="386"/>
      <c r="AB365" s="386"/>
      <c r="AC365" s="386"/>
      <c r="AD365" s="386"/>
      <c r="AE365" s="386"/>
      <c r="AF365" s="386"/>
      <c r="AG365" s="386"/>
      <c r="AH365" s="386"/>
      <c r="AI365" s="386"/>
      <c r="AJ365" s="386"/>
      <c r="AK365" s="386"/>
      <c r="AL365" s="386"/>
      <c r="AM365" s="386"/>
      <c r="AN365" s="386"/>
      <c r="AO365" s="386"/>
      <c r="AP365" s="386"/>
      <c r="AQ365" s="386"/>
      <c r="AR365" s="386"/>
      <c r="AS365" s="386"/>
      <c r="AT365" s="386"/>
      <c r="AU365" s="386"/>
      <c r="AV365" s="386"/>
      <c r="AW365" s="386"/>
      <c r="AX365" s="386"/>
      <c r="AY365" s="386"/>
      <c r="AZ365" s="386"/>
      <c r="BA365" s="386"/>
      <c r="BB365" s="386"/>
      <c r="BC365" s="386"/>
      <c r="BD365" s="386"/>
      <c r="BE365" s="386"/>
      <c r="BF365" s="386"/>
      <c r="BG365" s="386"/>
      <c r="BH365" s="386"/>
      <c r="BI365" s="386"/>
      <c r="BJ365" s="386"/>
      <c r="BK365" s="386"/>
      <c r="BL365" s="386"/>
      <c r="BM365" s="386"/>
      <c r="BN365" s="386"/>
      <c r="BO365" s="386"/>
      <c r="BP365" s="386"/>
      <c r="BQ365" s="386"/>
      <c r="BR365" s="386"/>
      <c r="BS365" s="386"/>
      <c r="BT365" s="386"/>
      <c r="BU365" s="386"/>
      <c r="BV365" s="386"/>
      <c r="BW365" s="386"/>
      <c r="BX365" s="386"/>
      <c r="BY365" s="386"/>
      <c r="BZ365" s="386"/>
      <c r="CA365" s="386"/>
      <c r="CB365" s="386"/>
      <c r="CC365" s="386"/>
      <c r="CD365" s="386"/>
      <c r="CE365" s="386"/>
      <c r="CF365" s="386"/>
      <c r="CG365" s="386"/>
      <c r="CH365" s="386"/>
      <c r="CI365" s="386"/>
      <c r="CJ365" s="386"/>
      <c r="CK365" s="386"/>
      <c r="CL365" s="386"/>
    </row>
    <row r="366" spans="2:90" ht="12.75" customHeight="1" x14ac:dyDescent="0.15">
      <c r="B366" s="57"/>
      <c r="C366" s="57"/>
      <c r="D366" s="58"/>
      <c r="E366" s="59"/>
      <c r="F366" s="63"/>
      <c r="G366" s="63"/>
      <c r="H366" s="63"/>
      <c r="I366" s="63"/>
      <c r="J366" s="65"/>
      <c r="K366" s="392"/>
      <c r="L366" s="65"/>
      <c r="M366" s="65"/>
      <c r="N366" s="65"/>
      <c r="O366" s="386"/>
      <c r="P366" s="386"/>
      <c r="Q366" s="386"/>
      <c r="R366" s="386"/>
      <c r="S366" s="386"/>
      <c r="T366" s="386"/>
      <c r="U366" s="386"/>
      <c r="V366" s="386"/>
      <c r="W366" s="386"/>
      <c r="X366" s="386"/>
      <c r="Y366" s="386"/>
      <c r="Z366" s="386"/>
      <c r="AA366" s="386"/>
      <c r="AB366" s="386"/>
      <c r="AC366" s="386"/>
      <c r="AD366" s="386"/>
      <c r="AE366" s="386"/>
      <c r="AF366" s="386"/>
      <c r="AG366" s="386"/>
      <c r="AH366" s="386"/>
      <c r="AI366" s="386"/>
      <c r="AJ366" s="386"/>
      <c r="AK366" s="386"/>
      <c r="AL366" s="386"/>
      <c r="AM366" s="386"/>
      <c r="AN366" s="386"/>
      <c r="AO366" s="386"/>
      <c r="AP366" s="386"/>
      <c r="AQ366" s="386"/>
      <c r="AR366" s="386"/>
      <c r="AS366" s="386"/>
      <c r="AT366" s="386"/>
      <c r="AU366" s="386"/>
      <c r="AV366" s="386"/>
      <c r="AW366" s="386"/>
      <c r="AX366" s="386"/>
      <c r="AY366" s="386"/>
      <c r="AZ366" s="386"/>
      <c r="BA366" s="386"/>
      <c r="BB366" s="386"/>
      <c r="BC366" s="386"/>
      <c r="BD366" s="386"/>
      <c r="BE366" s="386"/>
      <c r="BF366" s="386"/>
      <c r="BG366" s="386"/>
      <c r="BH366" s="386"/>
      <c r="BI366" s="386"/>
      <c r="BJ366" s="386"/>
      <c r="BK366" s="386"/>
      <c r="BL366" s="386"/>
      <c r="BM366" s="386"/>
      <c r="BN366" s="386"/>
      <c r="BO366" s="386"/>
      <c r="BP366" s="386"/>
      <c r="BQ366" s="386"/>
      <c r="BR366" s="386"/>
      <c r="BS366" s="386"/>
      <c r="BT366" s="386"/>
      <c r="BU366" s="386"/>
      <c r="BV366" s="386"/>
      <c r="BW366" s="386"/>
      <c r="BX366" s="386"/>
      <c r="BY366" s="386"/>
      <c r="BZ366" s="386"/>
      <c r="CA366" s="386"/>
      <c r="CB366" s="386"/>
      <c r="CC366" s="386"/>
      <c r="CD366" s="386"/>
      <c r="CE366" s="386"/>
      <c r="CF366" s="386"/>
      <c r="CG366" s="386"/>
      <c r="CH366" s="386"/>
      <c r="CI366" s="386"/>
      <c r="CJ366" s="386"/>
      <c r="CK366" s="386"/>
      <c r="CL366" s="386"/>
    </row>
    <row r="367" spans="2:90" ht="12.75" customHeight="1" x14ac:dyDescent="0.15">
      <c r="B367" s="57"/>
      <c r="C367" s="57"/>
      <c r="D367" s="58"/>
      <c r="E367" s="59"/>
      <c r="F367" s="63"/>
      <c r="G367" s="63"/>
      <c r="H367" s="63"/>
      <c r="I367" s="63"/>
      <c r="J367" s="65"/>
      <c r="K367" s="392"/>
      <c r="L367" s="65"/>
      <c r="M367" s="65"/>
      <c r="N367" s="65"/>
      <c r="O367" s="386"/>
      <c r="P367" s="386"/>
      <c r="Q367" s="386"/>
      <c r="R367" s="386"/>
      <c r="S367" s="386"/>
      <c r="T367" s="386"/>
      <c r="U367" s="386"/>
      <c r="V367" s="386"/>
      <c r="W367" s="386"/>
      <c r="X367" s="386"/>
      <c r="Y367" s="386"/>
      <c r="Z367" s="386"/>
      <c r="AA367" s="386"/>
      <c r="AB367" s="386"/>
      <c r="AC367" s="386"/>
      <c r="AD367" s="386"/>
      <c r="AE367" s="386"/>
      <c r="AF367" s="386"/>
      <c r="AG367" s="386"/>
      <c r="AH367" s="386"/>
      <c r="AI367" s="386"/>
      <c r="AJ367" s="386"/>
      <c r="AK367" s="386"/>
      <c r="AL367" s="386"/>
      <c r="AM367" s="386"/>
      <c r="AN367" s="386"/>
      <c r="AO367" s="386"/>
      <c r="AP367" s="386"/>
      <c r="AQ367" s="386"/>
      <c r="AR367" s="386"/>
      <c r="AS367" s="386"/>
      <c r="AT367" s="386"/>
      <c r="AU367" s="386"/>
      <c r="AV367" s="386"/>
      <c r="AW367" s="386"/>
      <c r="AX367" s="386"/>
      <c r="AY367" s="386"/>
      <c r="AZ367" s="386"/>
      <c r="BA367" s="386"/>
      <c r="BB367" s="386"/>
      <c r="BC367" s="386"/>
      <c r="BD367" s="386"/>
      <c r="BE367" s="386"/>
      <c r="BF367" s="386"/>
      <c r="BG367" s="386"/>
      <c r="BH367" s="386"/>
      <c r="BI367" s="386"/>
      <c r="BJ367" s="386"/>
      <c r="BK367" s="386"/>
      <c r="BL367" s="386"/>
      <c r="BM367" s="386"/>
      <c r="BN367" s="386"/>
      <c r="BO367" s="386"/>
      <c r="BP367" s="386"/>
      <c r="BQ367" s="386"/>
      <c r="BR367" s="386"/>
      <c r="BS367" s="386"/>
      <c r="BT367" s="386"/>
      <c r="BU367" s="386"/>
      <c r="BV367" s="386"/>
      <c r="BW367" s="386"/>
      <c r="BX367" s="386"/>
      <c r="BY367" s="386"/>
      <c r="BZ367" s="386"/>
      <c r="CA367" s="386"/>
      <c r="CB367" s="386"/>
      <c r="CC367" s="386"/>
      <c r="CD367" s="386"/>
      <c r="CE367" s="386"/>
      <c r="CF367" s="386"/>
      <c r="CG367" s="386"/>
      <c r="CH367" s="386"/>
      <c r="CI367" s="386"/>
      <c r="CJ367" s="386"/>
      <c r="CK367" s="386"/>
      <c r="CL367" s="386"/>
    </row>
    <row r="368" spans="2:90" ht="12.75" customHeight="1" x14ac:dyDescent="0.15">
      <c r="B368" s="57"/>
      <c r="C368" s="57"/>
      <c r="D368" s="58"/>
      <c r="E368" s="59"/>
      <c r="F368" s="63"/>
      <c r="G368" s="63"/>
      <c r="H368" s="63"/>
      <c r="I368" s="63"/>
      <c r="J368" s="65"/>
      <c r="K368" s="392"/>
      <c r="L368" s="65"/>
      <c r="M368" s="65"/>
      <c r="N368" s="65"/>
      <c r="O368" s="386"/>
      <c r="P368" s="386"/>
      <c r="Q368" s="386"/>
      <c r="R368" s="386"/>
      <c r="S368" s="386"/>
      <c r="T368" s="386"/>
      <c r="U368" s="386"/>
      <c r="V368" s="386"/>
      <c r="W368" s="386"/>
      <c r="X368" s="386"/>
      <c r="Y368" s="386"/>
      <c r="Z368" s="386"/>
      <c r="AA368" s="386"/>
      <c r="AB368" s="386"/>
      <c r="AC368" s="386"/>
      <c r="AD368" s="386"/>
      <c r="AE368" s="386"/>
      <c r="AF368" s="386"/>
      <c r="AG368" s="386"/>
      <c r="AH368" s="386"/>
      <c r="AI368" s="386"/>
      <c r="AJ368" s="386"/>
      <c r="AK368" s="386"/>
      <c r="AL368" s="386"/>
      <c r="AM368" s="386"/>
      <c r="AN368" s="386"/>
      <c r="AO368" s="386"/>
      <c r="AP368" s="386"/>
      <c r="AQ368" s="386"/>
      <c r="AR368" s="386"/>
      <c r="AS368" s="386"/>
      <c r="AT368" s="386"/>
      <c r="AU368" s="386"/>
      <c r="AV368" s="386"/>
      <c r="AW368" s="386"/>
      <c r="AX368" s="386"/>
      <c r="AY368" s="386"/>
      <c r="AZ368" s="386"/>
      <c r="BA368" s="386"/>
      <c r="BB368" s="386"/>
      <c r="BC368" s="386"/>
      <c r="BD368" s="386"/>
      <c r="BE368" s="386"/>
      <c r="BF368" s="386"/>
      <c r="BG368" s="386"/>
      <c r="BH368" s="386"/>
      <c r="BI368" s="386"/>
      <c r="BJ368" s="386"/>
      <c r="BK368" s="386"/>
      <c r="BL368" s="386"/>
      <c r="BM368" s="386"/>
      <c r="BN368" s="386"/>
      <c r="BO368" s="386"/>
      <c r="BP368" s="386"/>
      <c r="BQ368" s="386"/>
      <c r="BR368" s="386"/>
      <c r="BS368" s="386"/>
      <c r="BT368" s="386"/>
      <c r="BU368" s="386"/>
      <c r="BV368" s="386"/>
      <c r="BW368" s="386"/>
      <c r="BX368" s="386"/>
      <c r="BY368" s="386"/>
      <c r="BZ368" s="386"/>
      <c r="CA368" s="386"/>
      <c r="CB368" s="386"/>
      <c r="CC368" s="386"/>
      <c r="CD368" s="386"/>
      <c r="CE368" s="386"/>
      <c r="CF368" s="386"/>
      <c r="CG368" s="386"/>
      <c r="CH368" s="386"/>
      <c r="CI368" s="386"/>
      <c r="CJ368" s="386"/>
      <c r="CK368" s="386"/>
      <c r="CL368" s="386"/>
    </row>
    <row r="369" spans="2:90" ht="12.75" customHeight="1" x14ac:dyDescent="0.15">
      <c r="B369" s="57"/>
      <c r="C369" s="57"/>
      <c r="D369" s="58"/>
      <c r="E369" s="59"/>
      <c r="F369" s="63"/>
      <c r="G369" s="63"/>
      <c r="H369" s="63"/>
      <c r="I369" s="63"/>
      <c r="J369" s="65"/>
      <c r="K369" s="392"/>
      <c r="L369" s="65"/>
      <c r="M369" s="65"/>
      <c r="N369" s="65"/>
      <c r="O369" s="386"/>
      <c r="P369" s="386"/>
      <c r="Q369" s="386"/>
      <c r="R369" s="386"/>
      <c r="S369" s="386"/>
      <c r="T369" s="386"/>
      <c r="U369" s="386"/>
      <c r="V369" s="386"/>
      <c r="W369" s="386"/>
      <c r="X369" s="386"/>
      <c r="Y369" s="386"/>
      <c r="Z369" s="386"/>
      <c r="AA369" s="386"/>
      <c r="AB369" s="386"/>
      <c r="AC369" s="386"/>
      <c r="AD369" s="386"/>
      <c r="AE369" s="386"/>
      <c r="AF369" s="386"/>
      <c r="AG369" s="386"/>
      <c r="AH369" s="386"/>
      <c r="AI369" s="386"/>
      <c r="AJ369" s="386"/>
      <c r="AK369" s="386"/>
      <c r="AL369" s="386"/>
      <c r="AM369" s="386"/>
      <c r="AN369" s="386"/>
      <c r="AO369" s="386"/>
      <c r="AP369" s="386"/>
      <c r="AQ369" s="386"/>
      <c r="AR369" s="386"/>
      <c r="AS369" s="386"/>
      <c r="AT369" s="386"/>
      <c r="AU369" s="386"/>
      <c r="AV369" s="386"/>
      <c r="AW369" s="386"/>
      <c r="AX369" s="386"/>
      <c r="AY369" s="386"/>
      <c r="AZ369" s="386"/>
      <c r="BA369" s="386"/>
      <c r="BB369" s="386"/>
      <c r="BC369" s="386"/>
      <c r="BD369" s="386"/>
      <c r="BE369" s="386"/>
      <c r="BF369" s="386"/>
      <c r="BG369" s="386"/>
      <c r="BH369" s="386"/>
      <c r="BI369" s="386"/>
      <c r="BJ369" s="386"/>
      <c r="BK369" s="386"/>
      <c r="BL369" s="386"/>
      <c r="BM369" s="386"/>
      <c r="BN369" s="386"/>
      <c r="BO369" s="386"/>
      <c r="BP369" s="386"/>
      <c r="BQ369" s="386"/>
      <c r="BR369" s="386"/>
      <c r="BS369" s="386"/>
      <c r="BT369" s="386"/>
      <c r="BU369" s="386"/>
      <c r="BV369" s="386"/>
      <c r="BW369" s="386"/>
      <c r="BX369" s="386"/>
      <c r="BY369" s="386"/>
      <c r="BZ369" s="386"/>
      <c r="CA369" s="386"/>
      <c r="CB369" s="386"/>
      <c r="CC369" s="386"/>
      <c r="CD369" s="386"/>
      <c r="CE369" s="386"/>
      <c r="CF369" s="386"/>
      <c r="CG369" s="386"/>
      <c r="CH369" s="386"/>
      <c r="CI369" s="386"/>
      <c r="CJ369" s="386"/>
      <c r="CK369" s="386"/>
      <c r="CL369" s="386"/>
    </row>
    <row r="370" spans="2:90" ht="12.75" customHeight="1" x14ac:dyDescent="0.15">
      <c r="B370" s="57"/>
      <c r="C370" s="57"/>
      <c r="D370" s="58"/>
      <c r="E370" s="59"/>
      <c r="F370" s="63"/>
      <c r="G370" s="63"/>
      <c r="H370" s="63"/>
      <c r="I370" s="63"/>
      <c r="J370" s="65"/>
      <c r="K370" s="392"/>
      <c r="L370" s="65"/>
      <c r="M370" s="65"/>
      <c r="N370" s="65"/>
      <c r="O370" s="386"/>
      <c r="P370" s="386"/>
      <c r="Q370" s="386"/>
      <c r="R370" s="386"/>
      <c r="S370" s="386"/>
      <c r="T370" s="386"/>
      <c r="U370" s="386"/>
      <c r="V370" s="386"/>
      <c r="W370" s="386"/>
      <c r="X370" s="386"/>
      <c r="Y370" s="386"/>
      <c r="Z370" s="386"/>
      <c r="AA370" s="386"/>
      <c r="AB370" s="386"/>
      <c r="AC370" s="386"/>
      <c r="AD370" s="386"/>
      <c r="AE370" s="386"/>
      <c r="AF370" s="386"/>
      <c r="AG370" s="386"/>
      <c r="AH370" s="386"/>
      <c r="AI370" s="386"/>
      <c r="AJ370" s="386"/>
      <c r="AK370" s="386"/>
      <c r="AL370" s="386"/>
      <c r="AM370" s="386"/>
      <c r="AN370" s="386"/>
      <c r="AO370" s="386"/>
      <c r="AP370" s="386"/>
      <c r="AQ370" s="386"/>
      <c r="AR370" s="386"/>
      <c r="AS370" s="386"/>
      <c r="AT370" s="386"/>
      <c r="AU370" s="386"/>
      <c r="AV370" s="386"/>
      <c r="AW370" s="386"/>
      <c r="AX370" s="386"/>
      <c r="AY370" s="386"/>
      <c r="AZ370" s="386"/>
      <c r="BA370" s="386"/>
      <c r="BB370" s="386"/>
      <c r="BC370" s="386"/>
      <c r="BD370" s="386"/>
      <c r="BE370" s="386"/>
      <c r="BF370" s="386"/>
      <c r="BG370" s="386"/>
      <c r="BH370" s="386"/>
      <c r="BI370" s="386"/>
      <c r="BJ370" s="386"/>
      <c r="BK370" s="386"/>
      <c r="BL370" s="386"/>
      <c r="BM370" s="386"/>
      <c r="BN370" s="386"/>
      <c r="BO370" s="386"/>
      <c r="BP370" s="386"/>
      <c r="BQ370" s="386"/>
      <c r="BR370" s="386"/>
      <c r="BS370" s="386"/>
      <c r="BT370" s="386"/>
      <c r="BU370" s="386"/>
      <c r="BV370" s="386"/>
      <c r="BW370" s="386"/>
      <c r="BX370" s="386"/>
      <c r="BY370" s="386"/>
      <c r="BZ370" s="386"/>
      <c r="CA370" s="386"/>
      <c r="CB370" s="386"/>
      <c r="CC370" s="386"/>
      <c r="CD370" s="386"/>
      <c r="CE370" s="386"/>
      <c r="CF370" s="386"/>
      <c r="CG370" s="386"/>
      <c r="CH370" s="386"/>
      <c r="CI370" s="386"/>
      <c r="CJ370" s="386"/>
      <c r="CK370" s="386"/>
      <c r="CL370" s="386"/>
    </row>
    <row r="371" spans="2:90" ht="12.75" customHeight="1" x14ac:dyDescent="0.15">
      <c r="B371" s="57"/>
      <c r="C371" s="57"/>
      <c r="D371" s="58"/>
      <c r="E371" s="59"/>
      <c r="F371" s="63"/>
      <c r="G371" s="63"/>
      <c r="H371" s="63"/>
      <c r="I371" s="63"/>
      <c r="J371" s="65"/>
      <c r="K371" s="392"/>
      <c r="L371" s="65"/>
      <c r="M371" s="65"/>
      <c r="N371" s="65"/>
      <c r="O371" s="386"/>
      <c r="P371" s="386"/>
      <c r="Q371" s="386"/>
      <c r="R371" s="386"/>
      <c r="S371" s="386"/>
      <c r="T371" s="386"/>
      <c r="U371" s="386"/>
      <c r="V371" s="386"/>
      <c r="W371" s="386"/>
      <c r="X371" s="386"/>
      <c r="Y371" s="386"/>
      <c r="Z371" s="386"/>
      <c r="AA371" s="386"/>
      <c r="AB371" s="386"/>
      <c r="AC371" s="386"/>
      <c r="AD371" s="386"/>
      <c r="AE371" s="386"/>
      <c r="AF371" s="386"/>
      <c r="AG371" s="386"/>
      <c r="AH371" s="386"/>
      <c r="AI371" s="386"/>
      <c r="AJ371" s="386"/>
      <c r="AK371" s="386"/>
      <c r="AL371" s="386"/>
      <c r="AM371" s="386"/>
      <c r="AN371" s="386"/>
      <c r="AO371" s="386"/>
      <c r="AP371" s="386"/>
      <c r="AQ371" s="386"/>
      <c r="AR371" s="386"/>
      <c r="AS371" s="386"/>
      <c r="AT371" s="386"/>
      <c r="AU371" s="386"/>
      <c r="AV371" s="386"/>
      <c r="AW371" s="386"/>
      <c r="AX371" s="386"/>
      <c r="AY371" s="386"/>
      <c r="AZ371" s="386"/>
      <c r="BA371" s="386"/>
      <c r="BB371" s="386"/>
      <c r="BC371" s="386"/>
      <c r="BD371" s="386"/>
      <c r="BE371" s="386"/>
      <c r="BF371" s="386"/>
      <c r="BG371" s="386"/>
      <c r="BH371" s="386"/>
      <c r="BI371" s="386"/>
      <c r="BJ371" s="386"/>
      <c r="BK371" s="386"/>
      <c r="BL371" s="386"/>
      <c r="BM371" s="386"/>
      <c r="BN371" s="386"/>
      <c r="BO371" s="386"/>
      <c r="BP371" s="386"/>
      <c r="BQ371" s="386"/>
      <c r="BR371" s="386"/>
      <c r="BS371" s="386"/>
      <c r="BT371" s="386"/>
      <c r="BU371" s="386"/>
      <c r="BV371" s="386"/>
      <c r="BW371" s="386"/>
      <c r="BX371" s="386"/>
      <c r="BY371" s="386"/>
      <c r="BZ371" s="386"/>
      <c r="CA371" s="386"/>
      <c r="CB371" s="386"/>
      <c r="CC371" s="386"/>
      <c r="CD371" s="386"/>
      <c r="CE371" s="386"/>
      <c r="CF371" s="386"/>
      <c r="CG371" s="386"/>
      <c r="CH371" s="386"/>
      <c r="CI371" s="386"/>
      <c r="CJ371" s="386"/>
      <c r="CK371" s="386"/>
      <c r="CL371" s="386"/>
    </row>
    <row r="372" spans="2:90" ht="12.75" customHeight="1" x14ac:dyDescent="0.15">
      <c r="B372" s="57"/>
      <c r="C372" s="57"/>
      <c r="D372" s="58"/>
      <c r="E372" s="59"/>
      <c r="F372" s="63"/>
      <c r="G372" s="63"/>
      <c r="H372" s="63"/>
      <c r="I372" s="63"/>
      <c r="J372" s="65"/>
      <c r="K372" s="392"/>
      <c r="L372" s="65"/>
      <c r="M372" s="65"/>
      <c r="N372" s="65"/>
      <c r="O372" s="386"/>
      <c r="P372" s="386"/>
      <c r="Q372" s="386"/>
      <c r="R372" s="386"/>
      <c r="S372" s="386"/>
      <c r="T372" s="386"/>
      <c r="U372" s="386"/>
      <c r="V372" s="386"/>
      <c r="W372" s="386"/>
      <c r="X372" s="386"/>
      <c r="Y372" s="386"/>
      <c r="Z372" s="386"/>
      <c r="AA372" s="386"/>
      <c r="AB372" s="386"/>
      <c r="AC372" s="386"/>
      <c r="AD372" s="386"/>
      <c r="AE372" s="386"/>
      <c r="AF372" s="386"/>
      <c r="AG372" s="386"/>
      <c r="AH372" s="386"/>
      <c r="AI372" s="386"/>
      <c r="AJ372" s="386"/>
      <c r="AK372" s="386"/>
      <c r="AL372" s="386"/>
      <c r="AM372" s="386"/>
      <c r="AN372" s="386"/>
      <c r="AO372" s="386"/>
      <c r="AP372" s="386"/>
      <c r="AQ372" s="386"/>
      <c r="AR372" s="386"/>
      <c r="AS372" s="386"/>
      <c r="AT372" s="386"/>
      <c r="AU372" s="386"/>
      <c r="AV372" s="386"/>
      <c r="AW372" s="386"/>
      <c r="AX372" s="386"/>
      <c r="AY372" s="386"/>
      <c r="AZ372" s="386"/>
      <c r="BA372" s="386"/>
      <c r="BB372" s="386"/>
      <c r="BC372" s="386"/>
      <c r="BD372" s="386"/>
      <c r="BE372" s="386"/>
      <c r="BF372" s="386"/>
      <c r="BG372" s="386"/>
      <c r="BH372" s="386"/>
      <c r="BI372" s="386"/>
      <c r="BJ372" s="386"/>
      <c r="BK372" s="386"/>
      <c r="BL372" s="386"/>
      <c r="BM372" s="386"/>
      <c r="BN372" s="386"/>
      <c r="BO372" s="386"/>
      <c r="BP372" s="386"/>
      <c r="BQ372" s="386"/>
      <c r="BR372" s="386"/>
      <c r="BS372" s="386"/>
      <c r="BT372" s="386"/>
      <c r="BU372" s="386"/>
      <c r="BV372" s="386"/>
      <c r="BW372" s="386"/>
      <c r="BX372" s="386"/>
      <c r="BY372" s="386"/>
      <c r="BZ372" s="386"/>
      <c r="CA372" s="386"/>
      <c r="CB372" s="386"/>
      <c r="CC372" s="386"/>
      <c r="CD372" s="386"/>
      <c r="CE372" s="386"/>
      <c r="CF372" s="386"/>
      <c r="CG372" s="386"/>
      <c r="CH372" s="386"/>
      <c r="CI372" s="386"/>
      <c r="CJ372" s="386"/>
      <c r="CK372" s="386"/>
      <c r="CL372" s="386"/>
    </row>
    <row r="373" spans="2:90" ht="12.75" customHeight="1" x14ac:dyDescent="0.15">
      <c r="B373" s="57"/>
      <c r="C373" s="57"/>
      <c r="D373" s="58"/>
      <c r="E373" s="59"/>
      <c r="F373" s="63"/>
      <c r="G373" s="63"/>
      <c r="H373" s="63"/>
      <c r="I373" s="63"/>
      <c r="J373" s="65"/>
      <c r="K373" s="392"/>
      <c r="L373" s="65"/>
      <c r="M373" s="65"/>
      <c r="N373" s="65"/>
      <c r="O373" s="386"/>
      <c r="P373" s="386"/>
      <c r="Q373" s="386"/>
      <c r="R373" s="386"/>
      <c r="S373" s="386"/>
      <c r="T373" s="386"/>
      <c r="U373" s="386"/>
      <c r="V373" s="386"/>
      <c r="W373" s="386"/>
      <c r="X373" s="386"/>
      <c r="Y373" s="386"/>
      <c r="Z373" s="386"/>
      <c r="AA373" s="386"/>
      <c r="AB373" s="386"/>
      <c r="AC373" s="386"/>
      <c r="AD373" s="386"/>
      <c r="AE373" s="386"/>
      <c r="AF373" s="386"/>
      <c r="AG373" s="386"/>
      <c r="AH373" s="386"/>
      <c r="AI373" s="386"/>
      <c r="AJ373" s="386"/>
      <c r="AK373" s="386"/>
      <c r="AL373" s="386"/>
      <c r="AM373" s="386"/>
      <c r="AN373" s="386"/>
      <c r="AO373" s="386"/>
      <c r="AP373" s="386"/>
      <c r="AQ373" s="386"/>
      <c r="AR373" s="386"/>
      <c r="AS373" s="386"/>
      <c r="AT373" s="386"/>
      <c r="AU373" s="386"/>
      <c r="AV373" s="386"/>
      <c r="AW373" s="386"/>
      <c r="AX373" s="386"/>
      <c r="AY373" s="386"/>
      <c r="AZ373" s="386"/>
      <c r="BA373" s="386"/>
      <c r="BB373" s="386"/>
      <c r="BC373" s="386"/>
      <c r="BD373" s="386"/>
      <c r="BE373" s="386"/>
      <c r="BF373" s="386"/>
      <c r="BG373" s="386"/>
      <c r="BH373" s="386"/>
      <c r="BI373" s="386"/>
      <c r="BJ373" s="386"/>
      <c r="BK373" s="386"/>
      <c r="BL373" s="386"/>
      <c r="BM373" s="386"/>
      <c r="BN373" s="386"/>
      <c r="BO373" s="386"/>
      <c r="BP373" s="386"/>
      <c r="BQ373" s="386"/>
      <c r="BR373" s="386"/>
      <c r="BS373" s="386"/>
      <c r="BT373" s="386"/>
      <c r="BU373" s="386"/>
      <c r="BV373" s="386"/>
      <c r="BW373" s="386"/>
      <c r="BX373" s="386"/>
      <c r="BY373" s="386"/>
      <c r="BZ373" s="386"/>
      <c r="CA373" s="386"/>
      <c r="CB373" s="386"/>
      <c r="CC373" s="386"/>
      <c r="CD373" s="386"/>
      <c r="CE373" s="386"/>
      <c r="CF373" s="386"/>
      <c r="CG373" s="386"/>
      <c r="CH373" s="386"/>
      <c r="CI373" s="386"/>
      <c r="CJ373" s="386"/>
      <c r="CK373" s="386"/>
      <c r="CL373" s="386"/>
    </row>
    <row r="374" spans="2:90" ht="12.75" customHeight="1" x14ac:dyDescent="0.15">
      <c r="B374" s="57"/>
      <c r="C374" s="57"/>
      <c r="D374" s="58"/>
      <c r="E374" s="59"/>
      <c r="F374" s="63"/>
      <c r="G374" s="63"/>
      <c r="H374" s="63"/>
      <c r="I374" s="63"/>
      <c r="J374" s="65"/>
      <c r="K374" s="392"/>
      <c r="L374" s="65"/>
      <c r="M374" s="65"/>
      <c r="N374" s="65"/>
      <c r="O374" s="386"/>
      <c r="P374" s="386"/>
      <c r="Q374" s="386"/>
      <c r="R374" s="386"/>
      <c r="S374" s="386"/>
      <c r="T374" s="386"/>
      <c r="U374" s="386"/>
      <c r="V374" s="386"/>
      <c r="W374" s="386"/>
      <c r="X374" s="386"/>
      <c r="Y374" s="386"/>
      <c r="Z374" s="386"/>
      <c r="AA374" s="386"/>
      <c r="AB374" s="386"/>
      <c r="AC374" s="386"/>
      <c r="AD374" s="386"/>
      <c r="AE374" s="386"/>
      <c r="AF374" s="386"/>
      <c r="AG374" s="386"/>
      <c r="AH374" s="386"/>
      <c r="AI374" s="386"/>
      <c r="AJ374" s="386"/>
      <c r="AK374" s="386"/>
      <c r="AL374" s="386"/>
      <c r="AM374" s="386"/>
      <c r="AN374" s="386"/>
      <c r="AO374" s="386"/>
      <c r="AP374" s="386"/>
      <c r="AQ374" s="386"/>
      <c r="AR374" s="386"/>
      <c r="AS374" s="386"/>
      <c r="AT374" s="386"/>
      <c r="AU374" s="386"/>
      <c r="AV374" s="386"/>
      <c r="AW374" s="386"/>
      <c r="AX374" s="386"/>
      <c r="AY374" s="386"/>
      <c r="AZ374" s="386"/>
      <c r="BA374" s="386"/>
      <c r="BB374" s="386"/>
      <c r="BC374" s="386"/>
      <c r="BD374" s="386"/>
      <c r="BE374" s="386"/>
      <c r="BF374" s="386"/>
      <c r="BG374" s="386"/>
      <c r="BH374" s="386"/>
      <c r="BI374" s="386"/>
      <c r="BJ374" s="386"/>
      <c r="BK374" s="386"/>
      <c r="BL374" s="386"/>
      <c r="BM374" s="386"/>
      <c r="BN374" s="386"/>
      <c r="BO374" s="386"/>
      <c r="BP374" s="386"/>
      <c r="BQ374" s="386"/>
      <c r="BR374" s="386"/>
      <c r="BS374" s="386"/>
      <c r="BT374" s="386"/>
      <c r="BU374" s="386"/>
      <c r="BV374" s="386"/>
      <c r="BW374" s="386"/>
      <c r="BX374" s="386"/>
      <c r="BY374" s="386"/>
      <c r="BZ374" s="386"/>
      <c r="CA374" s="386"/>
      <c r="CB374" s="386"/>
      <c r="CC374" s="386"/>
      <c r="CD374" s="386"/>
      <c r="CE374" s="386"/>
      <c r="CF374" s="386"/>
      <c r="CG374" s="386"/>
      <c r="CH374" s="386"/>
      <c r="CI374" s="386"/>
      <c r="CJ374" s="386"/>
      <c r="CK374" s="386"/>
      <c r="CL374" s="386"/>
    </row>
    <row r="375" spans="2:90" ht="12.75" customHeight="1" x14ac:dyDescent="0.15">
      <c r="B375" s="57"/>
      <c r="C375" s="57"/>
      <c r="D375" s="58"/>
      <c r="E375" s="59"/>
      <c r="F375" s="63"/>
      <c r="G375" s="63"/>
      <c r="H375" s="63"/>
      <c r="I375" s="63"/>
      <c r="J375" s="65"/>
      <c r="K375" s="392"/>
      <c r="L375" s="65"/>
      <c r="M375" s="65"/>
      <c r="N375" s="65"/>
      <c r="O375" s="386"/>
      <c r="P375" s="386"/>
      <c r="Q375" s="386"/>
      <c r="R375" s="386"/>
      <c r="S375" s="386"/>
      <c r="T375" s="386"/>
      <c r="U375" s="386"/>
      <c r="V375" s="386"/>
      <c r="W375" s="386"/>
      <c r="X375" s="386"/>
      <c r="Y375" s="386"/>
      <c r="Z375" s="386"/>
      <c r="AA375" s="386"/>
      <c r="AB375" s="386"/>
      <c r="AC375" s="386"/>
      <c r="AD375" s="386"/>
      <c r="AE375" s="386"/>
      <c r="AF375" s="386"/>
      <c r="AG375" s="386"/>
      <c r="AH375" s="386"/>
      <c r="AI375" s="386"/>
      <c r="AJ375" s="386"/>
      <c r="AK375" s="386"/>
      <c r="AL375" s="386"/>
      <c r="AM375" s="386"/>
      <c r="AN375" s="386"/>
      <c r="AO375" s="386"/>
      <c r="AP375" s="386"/>
      <c r="AQ375" s="386"/>
      <c r="AR375" s="386"/>
      <c r="AS375" s="386"/>
      <c r="AT375" s="386"/>
      <c r="AU375" s="386"/>
      <c r="AV375" s="386"/>
      <c r="AW375" s="386"/>
      <c r="AX375" s="386"/>
      <c r="AY375" s="386"/>
      <c r="AZ375" s="386"/>
      <c r="BA375" s="386"/>
      <c r="BB375" s="386"/>
      <c r="BC375" s="386"/>
      <c r="BD375" s="386"/>
      <c r="BE375" s="386"/>
      <c r="BF375" s="386"/>
      <c r="BG375" s="386"/>
      <c r="BH375" s="386"/>
      <c r="BI375" s="386"/>
      <c r="BJ375" s="386"/>
      <c r="BK375" s="386"/>
      <c r="BL375" s="386"/>
      <c r="BM375" s="386"/>
      <c r="BN375" s="386"/>
      <c r="BO375" s="386"/>
      <c r="BP375" s="386"/>
      <c r="BQ375" s="386"/>
      <c r="BR375" s="386"/>
      <c r="BS375" s="386"/>
      <c r="BT375" s="386"/>
      <c r="BU375" s="386"/>
      <c r="BV375" s="386"/>
      <c r="BW375" s="386"/>
      <c r="BX375" s="386"/>
      <c r="BY375" s="386"/>
      <c r="BZ375" s="386"/>
      <c r="CA375" s="386"/>
      <c r="CB375" s="386"/>
      <c r="CC375" s="386"/>
      <c r="CD375" s="386"/>
      <c r="CE375" s="386"/>
      <c r="CF375" s="386"/>
      <c r="CG375" s="386"/>
      <c r="CH375" s="386"/>
      <c r="CI375" s="386"/>
      <c r="CJ375" s="386"/>
      <c r="CK375" s="386"/>
      <c r="CL375" s="386"/>
    </row>
    <row r="376" spans="2:90" ht="12.75" customHeight="1" x14ac:dyDescent="0.15">
      <c r="B376" s="57"/>
      <c r="C376" s="57"/>
      <c r="D376" s="58"/>
      <c r="E376" s="59"/>
      <c r="F376" s="63"/>
      <c r="G376" s="63"/>
      <c r="H376" s="63"/>
      <c r="I376" s="63"/>
      <c r="J376" s="65"/>
      <c r="K376" s="392"/>
      <c r="L376" s="65"/>
      <c r="M376" s="65"/>
      <c r="N376" s="65"/>
      <c r="O376" s="386"/>
      <c r="P376" s="386"/>
      <c r="Q376" s="386"/>
      <c r="R376" s="386"/>
      <c r="S376" s="386"/>
      <c r="T376" s="386"/>
      <c r="U376" s="386"/>
      <c r="V376" s="386"/>
      <c r="W376" s="386"/>
      <c r="X376" s="386"/>
      <c r="Y376" s="386"/>
      <c r="Z376" s="386"/>
      <c r="AA376" s="386"/>
      <c r="AB376" s="386"/>
      <c r="AC376" s="386"/>
      <c r="AD376" s="386"/>
      <c r="AE376" s="386"/>
      <c r="AF376" s="386"/>
      <c r="AG376" s="386"/>
      <c r="AH376" s="386"/>
      <c r="AI376" s="386"/>
      <c r="AJ376" s="386"/>
      <c r="AK376" s="386"/>
      <c r="AL376" s="386"/>
      <c r="AM376" s="386"/>
      <c r="AN376" s="386"/>
      <c r="AO376" s="386"/>
      <c r="AP376" s="386"/>
      <c r="AQ376" s="386"/>
      <c r="AR376" s="386"/>
      <c r="AS376" s="386"/>
      <c r="AT376" s="386"/>
      <c r="AU376" s="386"/>
      <c r="AV376" s="386"/>
      <c r="AW376" s="386"/>
      <c r="AX376" s="386"/>
      <c r="AY376" s="386"/>
      <c r="AZ376" s="386"/>
      <c r="BA376" s="386"/>
      <c r="BB376" s="386"/>
      <c r="BC376" s="386"/>
      <c r="BD376" s="386"/>
      <c r="BE376" s="386"/>
      <c r="BF376" s="386"/>
      <c r="BG376" s="386"/>
      <c r="BH376" s="386"/>
      <c r="BI376" s="386"/>
      <c r="BJ376" s="386"/>
      <c r="BK376" s="386"/>
      <c r="BL376" s="386"/>
      <c r="BM376" s="386"/>
      <c r="BN376" s="386"/>
      <c r="BO376" s="386"/>
      <c r="BP376" s="386"/>
      <c r="BQ376" s="386"/>
      <c r="BR376" s="386"/>
      <c r="BS376" s="386"/>
      <c r="BT376" s="386"/>
      <c r="BU376" s="386"/>
      <c r="BV376" s="386"/>
      <c r="BW376" s="386"/>
      <c r="BX376" s="386"/>
      <c r="BY376" s="386"/>
      <c r="BZ376" s="386"/>
      <c r="CA376" s="386"/>
      <c r="CB376" s="386"/>
      <c r="CC376" s="386"/>
      <c r="CD376" s="386"/>
      <c r="CE376" s="386"/>
      <c r="CF376" s="386"/>
      <c r="CG376" s="386"/>
      <c r="CH376" s="386"/>
      <c r="CI376" s="386"/>
      <c r="CJ376" s="386"/>
      <c r="CK376" s="386"/>
      <c r="CL376" s="386"/>
    </row>
    <row r="377" spans="2:90" ht="12.75" customHeight="1" x14ac:dyDescent="0.15">
      <c r="B377" s="57"/>
      <c r="C377" s="57"/>
      <c r="D377" s="58"/>
      <c r="E377" s="59"/>
      <c r="F377" s="63"/>
      <c r="G377" s="63"/>
      <c r="H377" s="63"/>
      <c r="I377" s="63"/>
      <c r="J377" s="65"/>
      <c r="K377" s="392"/>
      <c r="L377" s="65"/>
      <c r="M377" s="65"/>
      <c r="N377" s="65"/>
      <c r="O377" s="386"/>
      <c r="P377" s="386"/>
      <c r="Q377" s="386"/>
      <c r="R377" s="386"/>
      <c r="S377" s="386"/>
      <c r="T377" s="386"/>
      <c r="U377" s="386"/>
      <c r="V377" s="386"/>
      <c r="W377" s="386"/>
      <c r="X377" s="386"/>
      <c r="Y377" s="386"/>
      <c r="Z377" s="386"/>
      <c r="AA377" s="386"/>
      <c r="AB377" s="386"/>
      <c r="AC377" s="386"/>
      <c r="AD377" s="386"/>
      <c r="AE377" s="386"/>
      <c r="AF377" s="386"/>
      <c r="AG377" s="386"/>
      <c r="AH377" s="386"/>
      <c r="AI377" s="386"/>
      <c r="AJ377" s="386"/>
      <c r="AK377" s="386"/>
      <c r="AL377" s="386"/>
      <c r="AM377" s="386"/>
      <c r="AN377" s="386"/>
      <c r="AO377" s="386"/>
      <c r="AP377" s="386"/>
      <c r="AQ377" s="386"/>
      <c r="AR377" s="386"/>
      <c r="AS377" s="386"/>
      <c r="AT377" s="386"/>
      <c r="AU377" s="386"/>
      <c r="AV377" s="386"/>
      <c r="AW377" s="386"/>
      <c r="AX377" s="386"/>
      <c r="AY377" s="386"/>
      <c r="AZ377" s="386"/>
      <c r="BA377" s="386"/>
      <c r="BB377" s="386"/>
      <c r="BC377" s="386"/>
      <c r="BD377" s="386"/>
      <c r="BE377" s="386"/>
      <c r="BF377" s="386"/>
      <c r="BG377" s="386"/>
      <c r="BH377" s="386"/>
      <c r="BI377" s="386"/>
      <c r="BJ377" s="386"/>
      <c r="BK377" s="386"/>
      <c r="BL377" s="386"/>
      <c r="BM377" s="386"/>
      <c r="BN377" s="386"/>
      <c r="BO377" s="386"/>
      <c r="BP377" s="386"/>
      <c r="BQ377" s="386"/>
      <c r="BR377" s="386"/>
      <c r="BS377" s="386"/>
      <c r="BT377" s="386"/>
      <c r="BU377" s="386"/>
      <c r="BV377" s="386"/>
      <c r="BW377" s="386"/>
      <c r="BX377" s="386"/>
      <c r="BY377" s="386"/>
      <c r="BZ377" s="386"/>
      <c r="CA377" s="386"/>
      <c r="CB377" s="386"/>
      <c r="CC377" s="386"/>
      <c r="CD377" s="386"/>
      <c r="CE377" s="386"/>
      <c r="CF377" s="386"/>
      <c r="CG377" s="386"/>
      <c r="CH377" s="386"/>
      <c r="CI377" s="386"/>
      <c r="CJ377" s="386"/>
      <c r="CK377" s="386"/>
      <c r="CL377" s="386"/>
    </row>
    <row r="378" spans="2:90" ht="12.75" customHeight="1" x14ac:dyDescent="0.15">
      <c r="B378" s="57"/>
      <c r="C378" s="57"/>
      <c r="D378" s="58"/>
      <c r="E378" s="59"/>
      <c r="F378" s="63"/>
      <c r="G378" s="63"/>
      <c r="H378" s="63"/>
      <c r="I378" s="63"/>
      <c r="J378" s="65"/>
      <c r="K378" s="392"/>
      <c r="L378" s="65"/>
      <c r="M378" s="65"/>
      <c r="N378" s="65"/>
      <c r="O378" s="386"/>
      <c r="P378" s="386"/>
      <c r="Q378" s="386"/>
      <c r="R378" s="386"/>
      <c r="S378" s="386"/>
      <c r="T378" s="386"/>
      <c r="U378" s="386"/>
      <c r="V378" s="386"/>
      <c r="W378" s="386"/>
      <c r="X378" s="386"/>
      <c r="Y378" s="386"/>
      <c r="Z378" s="386"/>
      <c r="AA378" s="386"/>
      <c r="AB378" s="386"/>
      <c r="AC378" s="386"/>
      <c r="AD378" s="386"/>
      <c r="AE378" s="386"/>
      <c r="AF378" s="386"/>
      <c r="AG378" s="386"/>
      <c r="AH378" s="386"/>
      <c r="AI378" s="386"/>
      <c r="AJ378" s="386"/>
      <c r="AK378" s="386"/>
      <c r="AL378" s="386"/>
      <c r="AM378" s="386"/>
      <c r="AN378" s="386"/>
      <c r="AO378" s="386"/>
      <c r="AP378" s="386"/>
      <c r="AQ378" s="386"/>
      <c r="AR378" s="386"/>
      <c r="AS378" s="386"/>
      <c r="AT378" s="386"/>
      <c r="AU378" s="386"/>
      <c r="AV378" s="386"/>
      <c r="AW378" s="386"/>
      <c r="AX378" s="386"/>
      <c r="AY378" s="386"/>
      <c r="AZ378" s="386"/>
      <c r="BA378" s="386"/>
      <c r="BB378" s="386"/>
      <c r="BC378" s="386"/>
      <c r="BD378" s="386"/>
      <c r="BE378" s="386"/>
      <c r="BF378" s="386"/>
      <c r="BG378" s="386"/>
      <c r="BH378" s="386"/>
      <c r="BI378" s="386"/>
      <c r="BJ378" s="386"/>
      <c r="BK378" s="386"/>
      <c r="BL378" s="386"/>
      <c r="BM378" s="386"/>
      <c r="BN378" s="386"/>
      <c r="BO378" s="386"/>
      <c r="BP378" s="386"/>
      <c r="BQ378" s="386"/>
      <c r="BR378" s="386"/>
      <c r="BS378" s="386"/>
      <c r="BT378" s="386"/>
      <c r="BU378" s="386"/>
      <c r="BV378" s="386"/>
      <c r="BW378" s="386"/>
      <c r="BX378" s="386"/>
      <c r="BY378" s="386"/>
      <c r="BZ378" s="386"/>
      <c r="CA378" s="386"/>
      <c r="CB378" s="386"/>
      <c r="CC378" s="386"/>
      <c r="CD378" s="386"/>
      <c r="CE378" s="386"/>
      <c r="CF378" s="386"/>
      <c r="CG378" s="386"/>
      <c r="CH378" s="386"/>
      <c r="CI378" s="386"/>
      <c r="CJ378" s="386"/>
      <c r="CK378" s="386"/>
      <c r="CL378" s="386"/>
    </row>
    <row r="379" spans="2:90" ht="12.75" customHeight="1" x14ac:dyDescent="0.15">
      <c r="B379" s="57"/>
      <c r="C379" s="57"/>
      <c r="D379" s="58"/>
      <c r="E379" s="59"/>
      <c r="F379" s="63"/>
      <c r="G379" s="63"/>
      <c r="H379" s="63"/>
      <c r="I379" s="63"/>
      <c r="J379" s="65"/>
      <c r="K379" s="392"/>
      <c r="L379" s="65"/>
      <c r="M379" s="65"/>
      <c r="N379" s="65"/>
      <c r="O379" s="386"/>
      <c r="P379" s="386"/>
      <c r="Q379" s="386"/>
      <c r="R379" s="386"/>
      <c r="S379" s="386"/>
      <c r="T379" s="386"/>
      <c r="U379" s="386"/>
      <c r="V379" s="386"/>
      <c r="W379" s="386"/>
      <c r="X379" s="386"/>
      <c r="Y379" s="386"/>
      <c r="Z379" s="386"/>
      <c r="AA379" s="386"/>
      <c r="AB379" s="386"/>
      <c r="AC379" s="386"/>
      <c r="AD379" s="386"/>
      <c r="AE379" s="386"/>
      <c r="AF379" s="386"/>
      <c r="AG379" s="386"/>
      <c r="AH379" s="386"/>
      <c r="AI379" s="386"/>
      <c r="AJ379" s="386"/>
      <c r="AK379" s="386"/>
      <c r="AL379" s="386"/>
      <c r="AM379" s="386"/>
      <c r="AN379" s="386"/>
      <c r="AO379" s="386"/>
      <c r="AP379" s="386"/>
      <c r="AQ379" s="386"/>
      <c r="AR379" s="386"/>
      <c r="AS379" s="386"/>
      <c r="AT379" s="386"/>
      <c r="AU379" s="386"/>
      <c r="AV379" s="386"/>
      <c r="AW379" s="386"/>
      <c r="AX379" s="386"/>
      <c r="AY379" s="386"/>
      <c r="AZ379" s="386"/>
      <c r="BA379" s="386"/>
      <c r="BB379" s="386"/>
      <c r="BC379" s="386"/>
      <c r="BD379" s="386"/>
      <c r="BE379" s="386"/>
      <c r="BF379" s="386"/>
      <c r="BG379" s="386"/>
      <c r="BH379" s="386"/>
      <c r="BI379" s="386"/>
      <c r="BJ379" s="386"/>
      <c r="BK379" s="386"/>
      <c r="BL379" s="386"/>
      <c r="BM379" s="386"/>
      <c r="BN379" s="386"/>
      <c r="BO379" s="386"/>
      <c r="BP379" s="386"/>
      <c r="BQ379" s="386"/>
      <c r="BR379" s="386"/>
      <c r="BS379" s="386"/>
      <c r="BT379" s="386"/>
      <c r="BU379" s="386"/>
      <c r="BV379" s="386"/>
      <c r="BW379" s="386"/>
      <c r="BX379" s="386"/>
      <c r="BY379" s="386"/>
      <c r="BZ379" s="386"/>
      <c r="CA379" s="386"/>
      <c r="CB379" s="386"/>
      <c r="CC379" s="386"/>
      <c r="CD379" s="386"/>
      <c r="CE379" s="386"/>
      <c r="CF379" s="386"/>
      <c r="CG379" s="386"/>
      <c r="CH379" s="386"/>
      <c r="CI379" s="386"/>
      <c r="CJ379" s="386"/>
      <c r="CK379" s="386"/>
      <c r="CL379" s="386"/>
    </row>
    <row r="380" spans="2:90" ht="12.75" customHeight="1" x14ac:dyDescent="0.15">
      <c r="B380" s="57"/>
      <c r="C380" s="57"/>
      <c r="D380" s="58"/>
      <c r="E380" s="59"/>
      <c r="F380" s="63"/>
      <c r="G380" s="63"/>
      <c r="H380" s="63"/>
      <c r="I380" s="63"/>
      <c r="J380" s="65"/>
      <c r="K380" s="392"/>
      <c r="L380" s="65"/>
      <c r="M380" s="65"/>
      <c r="N380" s="65"/>
      <c r="O380" s="386"/>
      <c r="P380" s="386"/>
      <c r="Q380" s="386"/>
      <c r="R380" s="386"/>
      <c r="S380" s="386"/>
      <c r="T380" s="386"/>
      <c r="U380" s="386"/>
      <c r="V380" s="386"/>
      <c r="W380" s="386"/>
      <c r="X380" s="386"/>
      <c r="Y380" s="386"/>
      <c r="Z380" s="386"/>
      <c r="AA380" s="386"/>
      <c r="AB380" s="386"/>
      <c r="AC380" s="386"/>
      <c r="AD380" s="386"/>
      <c r="AE380" s="386"/>
      <c r="AF380" s="386"/>
      <c r="AG380" s="386"/>
      <c r="AH380" s="386"/>
      <c r="AI380" s="386"/>
      <c r="AJ380" s="386"/>
      <c r="AK380" s="386"/>
      <c r="AL380" s="386"/>
      <c r="AM380" s="386"/>
      <c r="AN380" s="386"/>
      <c r="AO380" s="386"/>
      <c r="AP380" s="386"/>
      <c r="AQ380" s="386"/>
      <c r="AR380" s="386"/>
      <c r="AS380" s="386"/>
      <c r="AT380" s="386"/>
      <c r="AU380" s="386"/>
      <c r="AV380" s="386"/>
      <c r="AW380" s="386"/>
      <c r="AX380" s="386"/>
      <c r="AY380" s="386"/>
      <c r="AZ380" s="386"/>
      <c r="BA380" s="386"/>
      <c r="BB380" s="386"/>
      <c r="BC380" s="386"/>
      <c r="BD380" s="386"/>
      <c r="BE380" s="386"/>
      <c r="BF380" s="386"/>
      <c r="BG380" s="386"/>
      <c r="BH380" s="386"/>
      <c r="BI380" s="386"/>
      <c r="BJ380" s="386"/>
      <c r="BK380" s="386"/>
      <c r="BL380" s="386"/>
      <c r="BM380" s="386"/>
      <c r="BN380" s="386"/>
      <c r="BO380" s="386"/>
      <c r="BP380" s="386"/>
      <c r="BQ380" s="386"/>
      <c r="BR380" s="386"/>
      <c r="BS380" s="386"/>
      <c r="BT380" s="386"/>
      <c r="BU380" s="386"/>
      <c r="BV380" s="386"/>
      <c r="BW380" s="386"/>
      <c r="BX380" s="386"/>
      <c r="BY380" s="386"/>
      <c r="BZ380" s="386"/>
      <c r="CA380" s="386"/>
      <c r="CB380" s="386"/>
      <c r="CC380" s="386"/>
      <c r="CD380" s="386"/>
      <c r="CE380" s="386"/>
      <c r="CF380" s="386"/>
      <c r="CG380" s="386"/>
      <c r="CH380" s="386"/>
      <c r="CI380" s="386"/>
      <c r="CJ380" s="386"/>
      <c r="CK380" s="386"/>
      <c r="CL380" s="386"/>
    </row>
    <row r="381" spans="2:90" ht="12.75" customHeight="1" x14ac:dyDescent="0.15">
      <c r="B381" s="57"/>
      <c r="C381" s="57"/>
      <c r="D381" s="58"/>
      <c r="E381" s="59"/>
      <c r="F381" s="63"/>
      <c r="G381" s="63"/>
      <c r="H381" s="63"/>
      <c r="I381" s="63"/>
      <c r="J381" s="65"/>
      <c r="K381" s="392"/>
      <c r="L381" s="65"/>
      <c r="M381" s="65"/>
      <c r="N381" s="65"/>
      <c r="O381" s="386"/>
      <c r="P381" s="386"/>
      <c r="Q381" s="386"/>
      <c r="R381" s="386"/>
      <c r="S381" s="386"/>
      <c r="T381" s="386"/>
      <c r="U381" s="386"/>
      <c r="V381" s="386"/>
      <c r="W381" s="386"/>
      <c r="X381" s="386"/>
      <c r="Y381" s="386"/>
      <c r="Z381" s="386"/>
      <c r="AA381" s="386"/>
      <c r="AB381" s="386"/>
      <c r="AC381" s="386"/>
      <c r="AD381" s="386"/>
      <c r="AE381" s="386"/>
      <c r="AF381" s="386"/>
      <c r="AG381" s="386"/>
      <c r="AH381" s="386"/>
      <c r="AI381" s="386"/>
      <c r="AJ381" s="386"/>
      <c r="AK381" s="386"/>
      <c r="AL381" s="386"/>
      <c r="AM381" s="386"/>
      <c r="AN381" s="386"/>
      <c r="AO381" s="386"/>
      <c r="AP381" s="386"/>
      <c r="AQ381" s="386"/>
      <c r="AR381" s="386"/>
      <c r="AS381" s="386"/>
      <c r="AT381" s="386"/>
      <c r="AU381" s="386"/>
      <c r="AV381" s="386"/>
      <c r="AW381" s="386"/>
      <c r="AX381" s="386"/>
      <c r="AY381" s="386"/>
      <c r="AZ381" s="386"/>
      <c r="BA381" s="386"/>
      <c r="BB381" s="386"/>
      <c r="BC381" s="386"/>
      <c r="BD381" s="386"/>
      <c r="BE381" s="386"/>
      <c r="BF381" s="386"/>
      <c r="BG381" s="386"/>
      <c r="BH381" s="386"/>
      <c r="BI381" s="386"/>
      <c r="BJ381" s="386"/>
      <c r="BK381" s="386"/>
      <c r="BL381" s="386"/>
      <c r="BM381" s="386"/>
      <c r="BN381" s="386"/>
      <c r="BO381" s="386"/>
      <c r="BP381" s="386"/>
      <c r="BQ381" s="386"/>
      <c r="BR381" s="386"/>
      <c r="BS381" s="386"/>
      <c r="BT381" s="386"/>
      <c r="BU381" s="386"/>
      <c r="BV381" s="386"/>
      <c r="BW381" s="386"/>
      <c r="BX381" s="386"/>
      <c r="BY381" s="386"/>
      <c r="BZ381" s="386"/>
      <c r="CA381" s="386"/>
      <c r="CB381" s="386"/>
      <c r="CC381" s="386"/>
      <c r="CD381" s="386"/>
      <c r="CE381" s="386"/>
      <c r="CF381" s="386"/>
      <c r="CG381" s="386"/>
      <c r="CH381" s="386"/>
      <c r="CI381" s="386"/>
      <c r="CJ381" s="386"/>
      <c r="CK381" s="386"/>
      <c r="CL381" s="386"/>
    </row>
    <row r="382" spans="2:90" ht="12.75" customHeight="1" x14ac:dyDescent="0.15">
      <c r="B382" s="57"/>
      <c r="C382" s="57"/>
      <c r="D382" s="58"/>
      <c r="E382" s="59"/>
      <c r="F382" s="63"/>
      <c r="G382" s="63"/>
      <c r="H382" s="63"/>
      <c r="I382" s="63"/>
      <c r="J382" s="65"/>
      <c r="K382" s="392"/>
      <c r="L382" s="65"/>
      <c r="M382" s="65"/>
      <c r="N382" s="65"/>
      <c r="O382" s="386"/>
      <c r="P382" s="386"/>
      <c r="Q382" s="386"/>
      <c r="R382" s="386"/>
      <c r="S382" s="386"/>
      <c r="T382" s="386"/>
      <c r="U382" s="386"/>
      <c r="V382" s="386"/>
      <c r="W382" s="386"/>
      <c r="X382" s="386"/>
      <c r="Y382" s="386"/>
      <c r="Z382" s="386"/>
      <c r="AA382" s="386"/>
      <c r="AB382" s="386"/>
      <c r="AC382" s="386"/>
      <c r="AD382" s="386"/>
      <c r="AE382" s="386"/>
      <c r="AF382" s="386"/>
      <c r="AG382" s="386"/>
      <c r="AH382" s="386"/>
      <c r="AI382" s="386"/>
      <c r="AJ382" s="386"/>
      <c r="AK382" s="386"/>
      <c r="AL382" s="386"/>
      <c r="AM382" s="386"/>
      <c r="AN382" s="386"/>
      <c r="AO382" s="386"/>
      <c r="AP382" s="386"/>
      <c r="AQ382" s="386"/>
      <c r="AR382" s="386"/>
      <c r="AS382" s="386"/>
      <c r="AT382" s="386"/>
      <c r="AU382" s="386"/>
      <c r="AV382" s="386"/>
      <c r="AW382" s="386"/>
      <c r="AX382" s="386"/>
      <c r="AY382" s="386"/>
      <c r="AZ382" s="386"/>
      <c r="BA382" s="386"/>
      <c r="BB382" s="386"/>
      <c r="BC382" s="386"/>
      <c r="BD382" s="386"/>
      <c r="BE382" s="386"/>
      <c r="BF382" s="386"/>
      <c r="BG382" s="386"/>
      <c r="BH382" s="386"/>
      <c r="BI382" s="386"/>
      <c r="BJ382" s="386"/>
      <c r="BK382" s="386"/>
      <c r="BL382" s="386"/>
      <c r="BM382" s="386"/>
      <c r="BN382" s="386"/>
      <c r="BO382" s="386"/>
      <c r="BP382" s="386"/>
      <c r="BQ382" s="386"/>
      <c r="BR382" s="386"/>
      <c r="BS382" s="386"/>
      <c r="BT382" s="386"/>
      <c r="BU382" s="386"/>
      <c r="BV382" s="386"/>
      <c r="BW382" s="386"/>
      <c r="BX382" s="386"/>
      <c r="BY382" s="386"/>
      <c r="BZ382" s="386"/>
      <c r="CA382" s="386"/>
      <c r="CB382" s="386"/>
      <c r="CC382" s="386"/>
      <c r="CD382" s="386"/>
      <c r="CE382" s="386"/>
      <c r="CF382" s="386"/>
      <c r="CG382" s="386"/>
      <c r="CH382" s="386"/>
      <c r="CI382" s="386"/>
      <c r="CJ382" s="386"/>
      <c r="CK382" s="386"/>
      <c r="CL382" s="386"/>
    </row>
    <row r="383" spans="2:90" ht="12.75" customHeight="1" x14ac:dyDescent="0.15">
      <c r="B383" s="57"/>
      <c r="C383" s="57"/>
      <c r="D383" s="58"/>
      <c r="E383" s="59"/>
      <c r="F383" s="63"/>
      <c r="G383" s="63"/>
      <c r="H383" s="63"/>
      <c r="I383" s="63"/>
      <c r="J383" s="65"/>
      <c r="K383" s="392"/>
      <c r="L383" s="65"/>
      <c r="M383" s="65"/>
      <c r="N383" s="65"/>
      <c r="O383" s="386"/>
      <c r="P383" s="386"/>
      <c r="Q383" s="386"/>
      <c r="R383" s="386"/>
      <c r="S383" s="386"/>
      <c r="T383" s="386"/>
      <c r="U383" s="386"/>
      <c r="V383" s="386"/>
      <c r="W383" s="386"/>
      <c r="X383" s="386"/>
      <c r="Y383" s="386"/>
      <c r="Z383" s="386"/>
      <c r="AA383" s="386"/>
      <c r="AB383" s="386"/>
      <c r="AC383" s="386"/>
      <c r="AD383" s="386"/>
      <c r="AE383" s="386"/>
      <c r="AF383" s="386"/>
      <c r="AG383" s="386"/>
      <c r="AH383" s="386"/>
      <c r="AI383" s="386"/>
      <c r="AJ383" s="386"/>
      <c r="AK383" s="386"/>
      <c r="AL383" s="386"/>
      <c r="AM383" s="386"/>
      <c r="AN383" s="386"/>
      <c r="AO383" s="386"/>
      <c r="AP383" s="386"/>
      <c r="AQ383" s="386"/>
      <c r="AR383" s="386"/>
      <c r="AS383" s="386"/>
      <c r="AT383" s="386"/>
      <c r="AU383" s="386"/>
      <c r="AV383" s="386"/>
      <c r="AW383" s="386"/>
      <c r="AX383" s="386"/>
      <c r="AY383" s="386"/>
      <c r="AZ383" s="386"/>
      <c r="BA383" s="386"/>
      <c r="BB383" s="386"/>
      <c r="BC383" s="386"/>
      <c r="BD383" s="386"/>
      <c r="BE383" s="386"/>
      <c r="BF383" s="386"/>
      <c r="BG383" s="386"/>
      <c r="BH383" s="386"/>
      <c r="BI383" s="386"/>
      <c r="BJ383" s="386"/>
      <c r="BK383" s="386"/>
      <c r="BL383" s="386"/>
      <c r="BM383" s="386"/>
      <c r="BN383" s="386"/>
      <c r="BO383" s="386"/>
      <c r="BP383" s="386"/>
      <c r="BQ383" s="386"/>
      <c r="BR383" s="386"/>
      <c r="BS383" s="386"/>
      <c r="BT383" s="386"/>
      <c r="BU383" s="386"/>
      <c r="BV383" s="386"/>
      <c r="BW383" s="386"/>
      <c r="BX383" s="386"/>
      <c r="BY383" s="386"/>
      <c r="BZ383" s="386"/>
      <c r="CA383" s="386"/>
      <c r="CB383" s="386"/>
      <c r="CC383" s="386"/>
      <c r="CD383" s="386"/>
      <c r="CE383" s="386"/>
      <c r="CF383" s="386"/>
      <c r="CG383" s="386"/>
      <c r="CH383" s="386"/>
      <c r="CI383" s="386"/>
      <c r="CJ383" s="386"/>
      <c r="CK383" s="386"/>
      <c r="CL383" s="386"/>
    </row>
    <row r="384" spans="2:90" ht="12.75" customHeight="1" x14ac:dyDescent="0.15">
      <c r="B384" s="57"/>
      <c r="C384" s="57"/>
      <c r="D384" s="58"/>
      <c r="E384" s="59"/>
      <c r="F384" s="63"/>
      <c r="G384" s="63"/>
      <c r="H384" s="63"/>
      <c r="I384" s="63"/>
      <c r="J384" s="65"/>
      <c r="K384" s="392"/>
      <c r="L384" s="65"/>
      <c r="M384" s="65"/>
      <c r="N384" s="65"/>
      <c r="O384" s="386"/>
      <c r="P384" s="386"/>
      <c r="Q384" s="386"/>
      <c r="R384" s="386"/>
      <c r="S384" s="386"/>
      <c r="T384" s="386"/>
      <c r="U384" s="386"/>
      <c r="V384" s="386"/>
      <c r="W384" s="386"/>
      <c r="X384" s="386"/>
      <c r="Y384" s="386"/>
      <c r="Z384" s="386"/>
      <c r="AA384" s="386"/>
      <c r="AB384" s="386"/>
      <c r="AC384" s="386"/>
      <c r="AD384" s="386"/>
      <c r="AE384" s="386"/>
      <c r="AF384" s="386"/>
      <c r="AG384" s="386"/>
      <c r="AH384" s="386"/>
      <c r="AI384" s="386"/>
      <c r="AJ384" s="386"/>
      <c r="AK384" s="386"/>
      <c r="AL384" s="386"/>
      <c r="AM384" s="386"/>
      <c r="AN384" s="386"/>
      <c r="AO384" s="386"/>
      <c r="AP384" s="386"/>
      <c r="AQ384" s="386"/>
      <c r="AR384" s="386"/>
      <c r="AS384" s="386"/>
      <c r="AT384" s="386"/>
      <c r="AU384" s="386"/>
      <c r="AV384" s="386"/>
      <c r="AW384" s="386"/>
      <c r="AX384" s="386"/>
      <c r="AY384" s="386"/>
      <c r="AZ384" s="386"/>
      <c r="BA384" s="386"/>
      <c r="BB384" s="386"/>
      <c r="BC384" s="386"/>
      <c r="BD384" s="386"/>
      <c r="BE384" s="386"/>
      <c r="BF384" s="386"/>
      <c r="BG384" s="386"/>
      <c r="BH384" s="386"/>
      <c r="BI384" s="386"/>
      <c r="BJ384" s="386"/>
      <c r="BK384" s="386"/>
      <c r="BL384" s="386"/>
      <c r="BM384" s="386"/>
      <c r="BN384" s="386"/>
      <c r="BO384" s="386"/>
      <c r="BP384" s="386"/>
      <c r="BQ384" s="386"/>
      <c r="BR384" s="386"/>
      <c r="BS384" s="386"/>
      <c r="BT384" s="386"/>
      <c r="BU384" s="386"/>
      <c r="BV384" s="386"/>
      <c r="BW384" s="386"/>
      <c r="BX384" s="386"/>
      <c r="BY384" s="386"/>
      <c r="BZ384" s="386"/>
      <c r="CA384" s="386"/>
      <c r="CB384" s="386"/>
      <c r="CC384" s="386"/>
      <c r="CD384" s="386"/>
      <c r="CE384" s="386"/>
      <c r="CF384" s="386"/>
      <c r="CG384" s="386"/>
      <c r="CH384" s="386"/>
      <c r="CI384" s="386"/>
      <c r="CJ384" s="386"/>
      <c r="CK384" s="386"/>
      <c r="CL384" s="386"/>
    </row>
    <row r="385" spans="2:90" ht="12.75" customHeight="1" x14ac:dyDescent="0.15">
      <c r="B385" s="57"/>
      <c r="C385" s="57"/>
      <c r="D385" s="58"/>
      <c r="E385" s="59"/>
      <c r="F385" s="63"/>
      <c r="G385" s="63"/>
      <c r="H385" s="63"/>
      <c r="I385" s="63"/>
      <c r="J385" s="65"/>
      <c r="K385" s="392"/>
      <c r="L385" s="65"/>
      <c r="M385" s="65"/>
      <c r="N385" s="65"/>
      <c r="O385" s="386"/>
      <c r="P385" s="386"/>
      <c r="Q385" s="386"/>
      <c r="R385" s="386"/>
      <c r="S385" s="386"/>
      <c r="T385" s="386"/>
      <c r="U385" s="386"/>
      <c r="V385" s="386"/>
      <c r="W385" s="386"/>
      <c r="X385" s="386"/>
      <c r="Y385" s="386"/>
      <c r="Z385" s="386"/>
      <c r="AA385" s="386"/>
      <c r="AB385" s="386"/>
      <c r="AC385" s="386"/>
      <c r="AD385" s="386"/>
      <c r="AE385" s="386"/>
      <c r="AF385" s="386"/>
      <c r="AG385" s="386"/>
      <c r="AH385" s="386"/>
      <c r="AI385" s="386"/>
      <c r="AJ385" s="386"/>
      <c r="AK385" s="386"/>
      <c r="AL385" s="386"/>
      <c r="AM385" s="386"/>
      <c r="AN385" s="386"/>
      <c r="AO385" s="386"/>
      <c r="AP385" s="386"/>
      <c r="AQ385" s="386"/>
      <c r="AR385" s="386"/>
      <c r="AS385" s="386"/>
      <c r="AT385" s="386"/>
      <c r="AU385" s="386"/>
      <c r="AV385" s="386"/>
      <c r="AW385" s="386"/>
      <c r="AX385" s="386"/>
      <c r="AY385" s="386"/>
      <c r="AZ385" s="386"/>
      <c r="BA385" s="386"/>
      <c r="BB385" s="386"/>
      <c r="BC385" s="386"/>
      <c r="BD385" s="386"/>
      <c r="BE385" s="386"/>
      <c r="BF385" s="386"/>
      <c r="BG385" s="386"/>
      <c r="BH385" s="386"/>
      <c r="BI385" s="386"/>
      <c r="BJ385" s="386"/>
      <c r="BK385" s="386"/>
      <c r="BL385" s="386"/>
      <c r="BM385" s="386"/>
      <c r="BN385" s="386"/>
      <c r="BO385" s="386"/>
      <c r="BP385" s="386"/>
      <c r="BQ385" s="386"/>
      <c r="BR385" s="386"/>
      <c r="BS385" s="386"/>
      <c r="BT385" s="386"/>
      <c r="BU385" s="386"/>
      <c r="BV385" s="386"/>
      <c r="BW385" s="386"/>
      <c r="BX385" s="386"/>
      <c r="BY385" s="386"/>
      <c r="BZ385" s="386"/>
      <c r="CA385" s="386"/>
      <c r="CB385" s="386"/>
      <c r="CC385" s="386"/>
      <c r="CD385" s="386"/>
      <c r="CE385" s="386"/>
      <c r="CF385" s="386"/>
      <c r="CG385" s="386"/>
      <c r="CH385" s="386"/>
      <c r="CI385" s="386"/>
      <c r="CJ385" s="386"/>
      <c r="CK385" s="386"/>
      <c r="CL385" s="386"/>
    </row>
    <row r="386" spans="2:90" ht="12.75" customHeight="1" x14ac:dyDescent="0.15">
      <c r="B386" s="57"/>
      <c r="C386" s="57"/>
      <c r="D386" s="58"/>
      <c r="E386" s="59"/>
      <c r="F386" s="63"/>
      <c r="G386" s="63"/>
      <c r="H386" s="63"/>
      <c r="I386" s="63"/>
      <c r="J386" s="65"/>
      <c r="K386" s="392"/>
      <c r="L386" s="65"/>
      <c r="M386" s="65"/>
      <c r="N386" s="65"/>
      <c r="O386" s="386"/>
      <c r="P386" s="386"/>
      <c r="Q386" s="386"/>
      <c r="R386" s="386"/>
      <c r="S386" s="386"/>
      <c r="T386" s="386"/>
      <c r="U386" s="386"/>
      <c r="V386" s="386"/>
      <c r="W386" s="386"/>
      <c r="X386" s="386"/>
      <c r="Y386" s="386"/>
      <c r="Z386" s="386"/>
      <c r="AA386" s="386"/>
      <c r="AB386" s="386"/>
      <c r="AC386" s="386"/>
      <c r="AD386" s="386"/>
      <c r="AE386" s="386"/>
      <c r="AF386" s="386"/>
      <c r="AG386" s="386"/>
      <c r="AH386" s="386"/>
      <c r="AI386" s="386"/>
      <c r="AJ386" s="386"/>
      <c r="AK386" s="386"/>
      <c r="AL386" s="386"/>
      <c r="AM386" s="386"/>
      <c r="AN386" s="386"/>
      <c r="AO386" s="386"/>
      <c r="AP386" s="386"/>
      <c r="AQ386" s="386"/>
      <c r="AR386" s="386"/>
      <c r="AS386" s="386"/>
      <c r="AT386" s="386"/>
      <c r="AU386" s="386"/>
      <c r="AV386" s="386"/>
      <c r="AW386" s="386"/>
      <c r="AX386" s="386"/>
      <c r="AY386" s="386"/>
      <c r="AZ386" s="386"/>
      <c r="BA386" s="386"/>
      <c r="BB386" s="386"/>
      <c r="BC386" s="386"/>
      <c r="BD386" s="386"/>
      <c r="BE386" s="386"/>
      <c r="BF386" s="386"/>
      <c r="BG386" s="386"/>
      <c r="BH386" s="386"/>
      <c r="BI386" s="386"/>
      <c r="BJ386" s="386"/>
      <c r="BK386" s="386"/>
      <c r="BL386" s="386"/>
      <c r="BM386" s="386"/>
      <c r="BN386" s="386"/>
      <c r="BO386" s="386"/>
      <c r="BP386" s="386"/>
      <c r="BQ386" s="386"/>
      <c r="BR386" s="386"/>
      <c r="BS386" s="386"/>
      <c r="BT386" s="386"/>
      <c r="BU386" s="386"/>
      <c r="BV386" s="386"/>
      <c r="BW386" s="386"/>
      <c r="BX386" s="386"/>
      <c r="BY386" s="386"/>
      <c r="BZ386" s="386"/>
      <c r="CA386" s="386"/>
      <c r="CB386" s="386"/>
      <c r="CC386" s="386"/>
      <c r="CD386" s="386"/>
      <c r="CE386" s="386"/>
      <c r="CF386" s="386"/>
      <c r="CG386" s="386"/>
      <c r="CH386" s="386"/>
      <c r="CI386" s="386"/>
      <c r="CJ386" s="386"/>
      <c r="CK386" s="386"/>
      <c r="CL386" s="386"/>
    </row>
    <row r="387" spans="2:90" ht="12.75" customHeight="1" x14ac:dyDescent="0.15">
      <c r="B387" s="57"/>
      <c r="C387" s="57"/>
      <c r="D387" s="58"/>
      <c r="E387" s="59"/>
      <c r="F387" s="63"/>
      <c r="G387" s="63"/>
      <c r="H387" s="63"/>
      <c r="I387" s="63"/>
      <c r="J387" s="65"/>
      <c r="K387" s="392"/>
      <c r="L387" s="65"/>
      <c r="M387" s="65"/>
      <c r="N387" s="65"/>
      <c r="O387" s="386"/>
      <c r="P387" s="386"/>
      <c r="Q387" s="386"/>
      <c r="R387" s="386"/>
      <c r="S387" s="386"/>
      <c r="T387" s="386"/>
      <c r="U387" s="386"/>
      <c r="V387" s="386"/>
      <c r="W387" s="386"/>
      <c r="X387" s="386"/>
      <c r="Y387" s="386"/>
      <c r="Z387" s="386"/>
      <c r="AA387" s="386"/>
      <c r="AB387" s="386"/>
      <c r="AC387" s="386"/>
      <c r="AD387" s="386"/>
      <c r="AE387" s="386"/>
      <c r="AF387" s="386"/>
      <c r="AG387" s="386"/>
      <c r="AH387" s="386"/>
      <c r="AI387" s="386"/>
      <c r="AJ387" s="386"/>
      <c r="AK387" s="386"/>
      <c r="AL387" s="386"/>
      <c r="AM387" s="386"/>
      <c r="AN387" s="386"/>
      <c r="AO387" s="386"/>
      <c r="AP387" s="386"/>
      <c r="AQ387" s="386"/>
      <c r="AR387" s="386"/>
      <c r="AS387" s="386"/>
      <c r="AT387" s="386"/>
      <c r="AU387" s="386"/>
      <c r="AV387" s="386"/>
      <c r="AW387" s="386"/>
      <c r="AX387" s="386"/>
      <c r="AY387" s="386"/>
      <c r="AZ387" s="386"/>
      <c r="BA387" s="386"/>
      <c r="BB387" s="386"/>
      <c r="BC387" s="386"/>
      <c r="BD387" s="386"/>
      <c r="BE387" s="386"/>
      <c r="BF387" s="386"/>
      <c r="BG387" s="386"/>
      <c r="BH387" s="386"/>
      <c r="BI387" s="386"/>
      <c r="BJ387" s="386"/>
      <c r="BK387" s="386"/>
      <c r="BL387" s="386"/>
      <c r="BM387" s="386"/>
      <c r="BN387" s="386"/>
      <c r="BO387" s="386"/>
      <c r="BP387" s="386"/>
      <c r="BQ387" s="386"/>
      <c r="BR387" s="386"/>
      <c r="BS387" s="386"/>
      <c r="BT387" s="386"/>
      <c r="BU387" s="386"/>
      <c r="BV387" s="386"/>
      <c r="BW387" s="386"/>
      <c r="BX387" s="386"/>
      <c r="BY387" s="386"/>
      <c r="BZ387" s="386"/>
      <c r="CA387" s="386"/>
      <c r="CB387" s="386"/>
      <c r="CC387" s="386"/>
      <c r="CD387" s="386"/>
      <c r="CE387" s="386"/>
      <c r="CF387" s="386"/>
      <c r="CG387" s="386"/>
      <c r="CH387" s="386"/>
      <c r="CI387" s="386"/>
      <c r="CJ387" s="386"/>
      <c r="CK387" s="386"/>
      <c r="CL387" s="386"/>
    </row>
    <row r="388" spans="2:90" ht="12.75" customHeight="1" x14ac:dyDescent="0.15">
      <c r="B388" s="57"/>
      <c r="C388" s="57"/>
      <c r="D388" s="58"/>
      <c r="E388" s="59"/>
      <c r="F388" s="63"/>
      <c r="G388" s="63"/>
      <c r="H388" s="63"/>
      <c r="I388" s="63"/>
      <c r="J388" s="65"/>
      <c r="K388" s="392"/>
      <c r="L388" s="65"/>
      <c r="M388" s="65"/>
      <c r="N388" s="65"/>
      <c r="O388" s="386"/>
      <c r="P388" s="386"/>
      <c r="Q388" s="386"/>
      <c r="R388" s="386"/>
      <c r="S388" s="386"/>
      <c r="T388" s="386"/>
      <c r="U388" s="386"/>
      <c r="V388" s="386"/>
      <c r="W388" s="386"/>
      <c r="X388" s="386"/>
      <c r="Y388" s="386"/>
      <c r="Z388" s="386"/>
      <c r="AA388" s="386"/>
      <c r="AB388" s="386"/>
      <c r="AC388" s="386"/>
      <c r="AD388" s="386"/>
      <c r="AE388" s="386"/>
      <c r="AF388" s="386"/>
      <c r="AG388" s="386"/>
      <c r="AH388" s="386"/>
      <c r="AI388" s="386"/>
      <c r="AJ388" s="386"/>
      <c r="AK388" s="386"/>
      <c r="AL388" s="386"/>
      <c r="AM388" s="386"/>
      <c r="AN388" s="386"/>
      <c r="AO388" s="386"/>
      <c r="AP388" s="386"/>
      <c r="AQ388" s="386"/>
      <c r="AR388" s="386"/>
      <c r="AS388" s="386"/>
      <c r="AT388" s="386"/>
      <c r="AU388" s="386"/>
      <c r="AV388" s="386"/>
      <c r="AW388" s="386"/>
      <c r="AX388" s="386"/>
      <c r="AY388" s="386"/>
      <c r="AZ388" s="386"/>
      <c r="BA388" s="386"/>
      <c r="BB388" s="386"/>
      <c r="BC388" s="386"/>
      <c r="BD388" s="386"/>
      <c r="BE388" s="386"/>
      <c r="BF388" s="386"/>
      <c r="BG388" s="386"/>
      <c r="BH388" s="386"/>
      <c r="BI388" s="386"/>
      <c r="BJ388" s="386"/>
      <c r="BK388" s="386"/>
      <c r="BL388" s="386"/>
      <c r="BM388" s="386"/>
      <c r="BN388" s="386"/>
      <c r="BO388" s="386"/>
      <c r="BP388" s="386"/>
      <c r="BQ388" s="386"/>
      <c r="BR388" s="386"/>
      <c r="BS388" s="386"/>
      <c r="BT388" s="386"/>
      <c r="BU388" s="386"/>
      <c r="BV388" s="386"/>
      <c r="BW388" s="386"/>
      <c r="BX388" s="386"/>
      <c r="BY388" s="386"/>
      <c r="BZ388" s="386"/>
      <c r="CA388" s="386"/>
      <c r="CB388" s="386"/>
      <c r="CC388" s="386"/>
      <c r="CD388" s="386"/>
      <c r="CE388" s="386"/>
      <c r="CF388" s="386"/>
      <c r="CG388" s="386"/>
      <c r="CH388" s="386"/>
      <c r="CI388" s="386"/>
      <c r="CJ388" s="386"/>
      <c r="CK388" s="386"/>
      <c r="CL388" s="386"/>
    </row>
    <row r="389" spans="2:90" ht="12.75" customHeight="1" x14ac:dyDescent="0.15">
      <c r="B389" s="57"/>
      <c r="C389" s="57"/>
      <c r="D389" s="58"/>
      <c r="E389" s="59"/>
      <c r="F389" s="63"/>
      <c r="G389" s="63"/>
      <c r="H389" s="63"/>
      <c r="I389" s="63"/>
      <c r="J389" s="65"/>
      <c r="K389" s="392"/>
      <c r="L389" s="65"/>
      <c r="M389" s="65"/>
      <c r="N389" s="65"/>
      <c r="O389" s="386"/>
      <c r="P389" s="386"/>
      <c r="Q389" s="386"/>
      <c r="R389" s="386"/>
      <c r="S389" s="386"/>
      <c r="T389" s="386"/>
      <c r="U389" s="386"/>
      <c r="V389" s="386"/>
      <c r="W389" s="386"/>
      <c r="X389" s="386"/>
      <c r="Y389" s="386"/>
      <c r="Z389" s="386"/>
      <c r="AA389" s="386"/>
      <c r="AB389" s="386"/>
      <c r="AC389" s="386"/>
      <c r="AD389" s="386"/>
      <c r="AE389" s="386"/>
      <c r="AF389" s="386"/>
      <c r="AG389" s="386"/>
      <c r="AH389" s="386"/>
      <c r="AI389" s="386"/>
      <c r="AJ389" s="386"/>
      <c r="AK389" s="386"/>
      <c r="AL389" s="386"/>
      <c r="AM389" s="386"/>
      <c r="AN389" s="386"/>
      <c r="AO389" s="386"/>
      <c r="AP389" s="386"/>
      <c r="AQ389" s="386"/>
      <c r="AR389" s="386"/>
      <c r="AS389" s="386"/>
      <c r="AT389" s="386"/>
      <c r="AU389" s="386"/>
      <c r="AV389" s="386"/>
      <c r="AW389" s="386"/>
      <c r="AX389" s="386"/>
      <c r="AY389" s="386"/>
      <c r="AZ389" s="386"/>
      <c r="BA389" s="386"/>
      <c r="BB389" s="386"/>
      <c r="BC389" s="386"/>
      <c r="BD389" s="386"/>
      <c r="BE389" s="386"/>
      <c r="BF389" s="386"/>
      <c r="BG389" s="386"/>
      <c r="BH389" s="386"/>
      <c r="BI389" s="386"/>
      <c r="BJ389" s="386"/>
      <c r="BK389" s="386"/>
      <c r="BL389" s="386"/>
      <c r="BM389" s="386"/>
      <c r="BN389" s="386"/>
      <c r="BO389" s="386"/>
      <c r="BP389" s="386"/>
      <c r="BQ389" s="386"/>
      <c r="BR389" s="386"/>
      <c r="BS389" s="386"/>
      <c r="BT389" s="386"/>
      <c r="BU389" s="386"/>
      <c r="BV389" s="386"/>
      <c r="BW389" s="386"/>
      <c r="BX389" s="386"/>
      <c r="BY389" s="386"/>
      <c r="BZ389" s="386"/>
      <c r="CA389" s="386"/>
      <c r="CB389" s="386"/>
      <c r="CC389" s="386"/>
      <c r="CD389" s="386"/>
      <c r="CE389" s="386"/>
      <c r="CF389" s="386"/>
      <c r="CG389" s="386"/>
      <c r="CH389" s="386"/>
      <c r="CI389" s="386"/>
      <c r="CJ389" s="386"/>
      <c r="CK389" s="386"/>
      <c r="CL389" s="386"/>
    </row>
    <row r="390" spans="2:90" ht="12.75" customHeight="1" x14ac:dyDescent="0.15">
      <c r="B390" s="57"/>
      <c r="C390" s="57"/>
      <c r="D390" s="58"/>
      <c r="E390" s="59"/>
      <c r="F390" s="63"/>
      <c r="G390" s="63"/>
      <c r="H390" s="63"/>
      <c r="I390" s="63"/>
      <c r="J390" s="65"/>
      <c r="K390" s="392"/>
      <c r="L390" s="65"/>
      <c r="M390" s="65"/>
      <c r="N390" s="65"/>
      <c r="O390" s="386"/>
      <c r="P390" s="386"/>
      <c r="Q390" s="386"/>
      <c r="R390" s="386"/>
      <c r="S390" s="386"/>
      <c r="T390" s="386"/>
      <c r="U390" s="386"/>
      <c r="V390" s="386"/>
      <c r="W390" s="386"/>
      <c r="X390" s="386"/>
      <c r="Y390" s="386"/>
      <c r="Z390" s="386"/>
      <c r="AA390" s="386"/>
      <c r="AB390" s="386"/>
      <c r="AC390" s="386"/>
      <c r="AD390" s="386"/>
      <c r="AE390" s="386"/>
      <c r="AF390" s="386"/>
      <c r="AG390" s="386"/>
      <c r="AH390" s="386"/>
      <c r="AI390" s="386"/>
      <c r="AJ390" s="386"/>
      <c r="AK390" s="386"/>
      <c r="AL390" s="386"/>
      <c r="AM390" s="386"/>
      <c r="AN390" s="386"/>
      <c r="AO390" s="386"/>
      <c r="AP390" s="386"/>
      <c r="AQ390" s="386"/>
      <c r="AR390" s="386"/>
      <c r="AS390" s="386"/>
      <c r="AT390" s="386"/>
      <c r="AU390" s="386"/>
      <c r="AV390" s="386"/>
      <c r="AW390" s="386"/>
      <c r="AX390" s="386"/>
      <c r="AY390" s="386"/>
      <c r="AZ390" s="386"/>
      <c r="BA390" s="386"/>
      <c r="BB390" s="386"/>
      <c r="BC390" s="386"/>
      <c r="BD390" s="386"/>
      <c r="BE390" s="386"/>
      <c r="BF390" s="386"/>
      <c r="BG390" s="386"/>
      <c r="BH390" s="386"/>
      <c r="BI390" s="386"/>
      <c r="BJ390" s="386"/>
      <c r="BK390" s="386"/>
      <c r="BL390" s="386"/>
      <c r="BM390" s="386"/>
      <c r="BN390" s="386"/>
      <c r="BO390" s="386"/>
      <c r="BP390" s="386"/>
      <c r="BQ390" s="386"/>
      <c r="BR390" s="386"/>
      <c r="BS390" s="386"/>
      <c r="BT390" s="386"/>
      <c r="BU390" s="386"/>
      <c r="BV390" s="386"/>
      <c r="BW390" s="386"/>
      <c r="BX390" s="386"/>
      <c r="BY390" s="386"/>
      <c r="BZ390" s="386"/>
      <c r="CA390" s="386"/>
      <c r="CB390" s="386"/>
      <c r="CC390" s="386"/>
      <c r="CD390" s="386"/>
      <c r="CE390" s="386"/>
      <c r="CF390" s="386"/>
      <c r="CG390" s="386"/>
      <c r="CH390" s="386"/>
      <c r="CI390" s="386"/>
      <c r="CJ390" s="386"/>
      <c r="CK390" s="386"/>
      <c r="CL390" s="386"/>
    </row>
    <row r="391" spans="2:90" ht="12.75" customHeight="1" x14ac:dyDescent="0.15">
      <c r="B391" s="57"/>
      <c r="C391" s="57"/>
      <c r="D391" s="58"/>
      <c r="E391" s="59"/>
      <c r="F391" s="63"/>
      <c r="G391" s="63"/>
      <c r="H391" s="63"/>
      <c r="I391" s="63"/>
      <c r="J391" s="65"/>
      <c r="K391" s="392"/>
      <c r="L391" s="65"/>
      <c r="M391" s="65"/>
      <c r="N391" s="65"/>
      <c r="O391" s="386"/>
      <c r="P391" s="386"/>
      <c r="Q391" s="386"/>
      <c r="R391" s="386"/>
      <c r="S391" s="386"/>
      <c r="T391" s="386"/>
      <c r="U391" s="386"/>
      <c r="V391" s="386"/>
      <c r="W391" s="386"/>
      <c r="X391" s="386"/>
      <c r="Y391" s="386"/>
      <c r="Z391" s="386"/>
      <c r="AA391" s="386"/>
      <c r="AB391" s="386"/>
      <c r="AC391" s="386"/>
      <c r="AD391" s="386"/>
      <c r="AE391" s="386"/>
      <c r="AF391" s="386"/>
      <c r="AG391" s="386"/>
      <c r="AH391" s="386"/>
      <c r="AI391" s="386"/>
      <c r="AJ391" s="386"/>
      <c r="AK391" s="386"/>
      <c r="AL391" s="386"/>
      <c r="AM391" s="386"/>
      <c r="AN391" s="386"/>
      <c r="AO391" s="386"/>
      <c r="AP391" s="386"/>
      <c r="AQ391" s="386"/>
      <c r="AR391" s="386"/>
      <c r="AS391" s="386"/>
      <c r="AT391" s="386"/>
      <c r="AU391" s="386"/>
      <c r="AV391" s="386"/>
      <c r="AW391" s="386"/>
      <c r="AX391" s="386"/>
      <c r="AY391" s="386"/>
      <c r="AZ391" s="386"/>
      <c r="BA391" s="386"/>
      <c r="BB391" s="386"/>
      <c r="BC391" s="386"/>
      <c r="BD391" s="386"/>
      <c r="BE391" s="386"/>
      <c r="BF391" s="386"/>
      <c r="BG391" s="386"/>
      <c r="BH391" s="386"/>
      <c r="BI391" s="386"/>
      <c r="BJ391" s="386"/>
      <c r="BK391" s="386"/>
      <c r="BL391" s="386"/>
      <c r="BM391" s="386"/>
      <c r="BN391" s="386"/>
      <c r="BO391" s="386"/>
      <c r="BP391" s="386"/>
      <c r="BQ391" s="386"/>
      <c r="BR391" s="386"/>
      <c r="BS391" s="386"/>
      <c r="BT391" s="386"/>
      <c r="BU391" s="386"/>
      <c r="BV391" s="386"/>
      <c r="BW391" s="386"/>
      <c r="BX391" s="386"/>
      <c r="BY391" s="386"/>
      <c r="BZ391" s="386"/>
      <c r="CA391" s="386"/>
      <c r="CB391" s="386"/>
      <c r="CC391" s="386"/>
      <c r="CD391" s="386"/>
      <c r="CE391" s="386"/>
      <c r="CF391" s="386"/>
      <c r="CG391" s="386"/>
      <c r="CH391" s="386"/>
      <c r="CI391" s="386"/>
      <c r="CJ391" s="386"/>
      <c r="CK391" s="386"/>
      <c r="CL391" s="386"/>
    </row>
    <row r="392" spans="2:90" ht="12.75" customHeight="1" x14ac:dyDescent="0.15">
      <c r="B392" s="57"/>
      <c r="C392" s="57"/>
      <c r="D392" s="58"/>
      <c r="E392" s="59"/>
      <c r="F392" s="63"/>
      <c r="G392" s="63"/>
      <c r="H392" s="63"/>
      <c r="I392" s="63"/>
      <c r="J392" s="65"/>
      <c r="K392" s="392"/>
      <c r="L392" s="65"/>
      <c r="M392" s="65"/>
      <c r="N392" s="65"/>
      <c r="O392" s="386"/>
      <c r="P392" s="386"/>
      <c r="Q392" s="386"/>
      <c r="R392" s="386"/>
      <c r="S392" s="386"/>
      <c r="T392" s="386"/>
      <c r="U392" s="386"/>
      <c r="V392" s="386"/>
      <c r="W392" s="386"/>
      <c r="X392" s="386"/>
      <c r="Y392" s="386"/>
      <c r="Z392" s="386"/>
      <c r="AA392" s="386"/>
      <c r="AB392" s="386"/>
      <c r="AC392" s="386"/>
      <c r="AD392" s="386"/>
      <c r="AE392" s="386"/>
      <c r="AF392" s="386"/>
      <c r="AG392" s="386"/>
      <c r="AH392" s="386"/>
      <c r="AI392" s="386"/>
      <c r="AJ392" s="386"/>
      <c r="AK392" s="386"/>
      <c r="AL392" s="386"/>
      <c r="AM392" s="386"/>
      <c r="AN392" s="386"/>
      <c r="AO392" s="386"/>
      <c r="AP392" s="386"/>
      <c r="AQ392" s="386"/>
      <c r="AR392" s="386"/>
      <c r="AS392" s="386"/>
      <c r="AT392" s="386"/>
      <c r="AU392" s="386"/>
      <c r="AV392" s="386"/>
      <c r="AW392" s="386"/>
      <c r="AX392" s="386"/>
      <c r="AY392" s="386"/>
      <c r="AZ392" s="386"/>
      <c r="BA392" s="386"/>
      <c r="BB392" s="386"/>
      <c r="BC392" s="386"/>
      <c r="BD392" s="386"/>
      <c r="BE392" s="386"/>
      <c r="BF392" s="386"/>
      <c r="BG392" s="386"/>
      <c r="BH392" s="386"/>
      <c r="BI392" s="386"/>
      <c r="BJ392" s="386"/>
      <c r="BK392" s="386"/>
      <c r="BL392" s="386"/>
      <c r="BM392" s="386"/>
      <c r="BN392" s="386"/>
      <c r="BO392" s="386"/>
      <c r="BP392" s="386"/>
      <c r="BQ392" s="386"/>
      <c r="BR392" s="386"/>
      <c r="BS392" s="386"/>
      <c r="BT392" s="386"/>
      <c r="BU392" s="386"/>
      <c r="BV392" s="386"/>
      <c r="BW392" s="386"/>
      <c r="BX392" s="386"/>
      <c r="BY392" s="386"/>
      <c r="BZ392" s="386"/>
      <c r="CA392" s="386"/>
      <c r="CB392" s="386"/>
      <c r="CC392" s="386"/>
      <c r="CD392" s="386"/>
      <c r="CE392" s="386"/>
      <c r="CF392" s="386"/>
      <c r="CG392" s="386"/>
      <c r="CH392" s="386"/>
      <c r="CI392" s="386"/>
      <c r="CJ392" s="386"/>
      <c r="CK392" s="386"/>
      <c r="CL392" s="386"/>
    </row>
    <row r="393" spans="2:90" ht="12.75" customHeight="1" x14ac:dyDescent="0.15">
      <c r="B393" s="57"/>
      <c r="C393" s="57"/>
      <c r="D393" s="58"/>
      <c r="E393" s="59"/>
      <c r="F393" s="63"/>
      <c r="G393" s="63"/>
      <c r="H393" s="63"/>
      <c r="I393" s="63"/>
      <c r="J393" s="65"/>
      <c r="K393" s="392"/>
      <c r="L393" s="65"/>
      <c r="M393" s="65"/>
      <c r="N393" s="65"/>
      <c r="O393" s="386"/>
      <c r="P393" s="386"/>
      <c r="Q393" s="386"/>
      <c r="R393" s="386"/>
      <c r="S393" s="386"/>
      <c r="T393" s="386"/>
      <c r="U393" s="386"/>
      <c r="V393" s="386"/>
      <c r="W393" s="386"/>
      <c r="X393" s="386"/>
      <c r="Y393" s="386"/>
      <c r="Z393" s="386"/>
      <c r="AA393" s="386"/>
      <c r="AB393" s="386"/>
      <c r="AC393" s="386"/>
      <c r="AD393" s="386"/>
      <c r="AE393" s="386"/>
      <c r="AF393" s="386"/>
      <c r="AG393" s="386"/>
      <c r="AH393" s="386"/>
      <c r="AI393" s="386"/>
      <c r="AJ393" s="386"/>
      <c r="AK393" s="386"/>
      <c r="AL393" s="386"/>
      <c r="AM393" s="386"/>
      <c r="AN393" s="386"/>
      <c r="AO393" s="386"/>
      <c r="AP393" s="386"/>
      <c r="AQ393" s="386"/>
      <c r="AR393" s="386"/>
      <c r="AS393" s="386"/>
      <c r="AT393" s="386"/>
      <c r="AU393" s="386"/>
      <c r="AV393" s="386"/>
      <c r="AW393" s="386"/>
      <c r="AX393" s="386"/>
      <c r="AY393" s="386"/>
      <c r="AZ393" s="386"/>
      <c r="BA393" s="386"/>
      <c r="BB393" s="386"/>
      <c r="BC393" s="386"/>
      <c r="BD393" s="386"/>
      <c r="BE393" s="386"/>
      <c r="BF393" s="386"/>
      <c r="BG393" s="386"/>
      <c r="BH393" s="386"/>
      <c r="BI393" s="386"/>
      <c r="BJ393" s="386"/>
      <c r="BK393" s="386"/>
      <c r="BL393" s="386"/>
      <c r="BM393" s="386"/>
      <c r="BN393" s="386"/>
      <c r="BO393" s="386"/>
      <c r="BP393" s="386"/>
      <c r="BQ393" s="386"/>
      <c r="BR393" s="386"/>
      <c r="BS393" s="386"/>
      <c r="BT393" s="386"/>
      <c r="BU393" s="386"/>
      <c r="BV393" s="386"/>
      <c r="BW393" s="386"/>
      <c r="BX393" s="386"/>
      <c r="BY393" s="386"/>
      <c r="BZ393" s="386"/>
      <c r="CA393" s="386"/>
      <c r="CB393" s="386"/>
      <c r="CC393" s="386"/>
      <c r="CD393" s="386"/>
      <c r="CE393" s="386"/>
      <c r="CF393" s="386"/>
      <c r="CG393" s="386"/>
      <c r="CH393" s="386"/>
      <c r="CI393" s="386"/>
      <c r="CJ393" s="386"/>
      <c r="CK393" s="386"/>
      <c r="CL393" s="386"/>
    </row>
    <row r="394" spans="2:90" ht="12.75" customHeight="1" x14ac:dyDescent="0.15">
      <c r="B394" s="57"/>
      <c r="C394" s="57"/>
      <c r="D394" s="58"/>
      <c r="E394" s="59"/>
      <c r="F394" s="63"/>
      <c r="G394" s="63"/>
      <c r="H394" s="63"/>
      <c r="I394" s="63"/>
      <c r="J394" s="65"/>
      <c r="K394" s="392"/>
      <c r="L394" s="65"/>
      <c r="M394" s="65"/>
      <c r="N394" s="65"/>
      <c r="O394" s="386"/>
      <c r="P394" s="386"/>
      <c r="Q394" s="386"/>
      <c r="R394" s="386"/>
      <c r="S394" s="386"/>
      <c r="T394" s="386"/>
      <c r="U394" s="386"/>
      <c r="V394" s="386"/>
      <c r="W394" s="386"/>
      <c r="X394" s="386"/>
      <c r="Y394" s="386"/>
      <c r="Z394" s="386"/>
      <c r="AA394" s="386"/>
      <c r="AB394" s="386"/>
      <c r="AC394" s="386"/>
      <c r="AD394" s="386"/>
      <c r="AE394" s="386"/>
      <c r="AF394" s="386"/>
      <c r="AG394" s="386"/>
      <c r="AH394" s="386"/>
      <c r="AI394" s="386"/>
      <c r="AJ394" s="386"/>
      <c r="AK394" s="386"/>
      <c r="AL394" s="386"/>
      <c r="AM394" s="386"/>
      <c r="AN394" s="386"/>
      <c r="AO394" s="386"/>
      <c r="AP394" s="386"/>
      <c r="AQ394" s="386"/>
      <c r="AR394" s="386"/>
      <c r="AS394" s="386"/>
      <c r="AT394" s="386"/>
      <c r="AU394" s="386"/>
      <c r="AV394" s="386"/>
      <c r="AW394" s="386"/>
      <c r="AX394" s="386"/>
      <c r="AY394" s="386"/>
      <c r="AZ394" s="386"/>
      <c r="BA394" s="386"/>
      <c r="BB394" s="386"/>
      <c r="BC394" s="386"/>
      <c r="BD394" s="386"/>
      <c r="BE394" s="386"/>
      <c r="BF394" s="386"/>
      <c r="BG394" s="386"/>
      <c r="BH394" s="386"/>
      <c r="BI394" s="386"/>
      <c r="BJ394" s="386"/>
      <c r="BK394" s="386"/>
      <c r="BL394" s="386"/>
      <c r="BM394" s="386"/>
      <c r="BN394" s="386"/>
      <c r="BO394" s="386"/>
      <c r="BP394" s="386"/>
      <c r="BQ394" s="386"/>
      <c r="BR394" s="386"/>
      <c r="BS394" s="386"/>
      <c r="BT394" s="386"/>
      <c r="BU394" s="386"/>
      <c r="BV394" s="386"/>
      <c r="BW394" s="386"/>
      <c r="BX394" s="386"/>
      <c r="BY394" s="386"/>
      <c r="BZ394" s="386"/>
      <c r="CA394" s="386"/>
      <c r="CB394" s="386"/>
      <c r="CC394" s="386"/>
      <c r="CD394" s="386"/>
      <c r="CE394" s="386"/>
      <c r="CF394" s="386"/>
      <c r="CG394" s="386"/>
      <c r="CH394" s="386"/>
      <c r="CI394" s="386"/>
      <c r="CJ394" s="386"/>
      <c r="CK394" s="386"/>
      <c r="CL394" s="386"/>
    </row>
    <row r="395" spans="2:90" ht="12.75" customHeight="1" x14ac:dyDescent="0.15">
      <c r="B395" s="57"/>
      <c r="C395" s="57"/>
      <c r="D395" s="58"/>
      <c r="E395" s="59"/>
      <c r="F395" s="63"/>
      <c r="G395" s="63"/>
      <c r="H395" s="63"/>
      <c r="I395" s="63"/>
      <c r="J395" s="65"/>
      <c r="K395" s="392"/>
      <c r="L395" s="65"/>
      <c r="M395" s="65"/>
      <c r="N395" s="65"/>
      <c r="O395" s="386"/>
      <c r="P395" s="386"/>
      <c r="Q395" s="386"/>
      <c r="R395" s="386"/>
      <c r="S395" s="386"/>
      <c r="T395" s="386"/>
      <c r="U395" s="386"/>
      <c r="V395" s="386"/>
      <c r="W395" s="386"/>
      <c r="X395" s="386"/>
      <c r="Y395" s="386"/>
      <c r="Z395" s="386"/>
      <c r="AA395" s="386"/>
      <c r="AB395" s="386"/>
      <c r="AC395" s="386"/>
      <c r="AD395" s="386"/>
      <c r="AE395" s="386"/>
      <c r="AF395" s="386"/>
      <c r="AG395" s="386"/>
      <c r="AH395" s="386"/>
      <c r="AI395" s="386"/>
      <c r="AJ395" s="386"/>
      <c r="AK395" s="386"/>
      <c r="AL395" s="386"/>
      <c r="AM395" s="386"/>
      <c r="AN395" s="386"/>
      <c r="AO395" s="386"/>
      <c r="AP395" s="386"/>
      <c r="AQ395" s="386"/>
      <c r="AR395" s="386"/>
      <c r="AS395" s="386"/>
      <c r="AT395" s="386"/>
      <c r="AU395" s="386"/>
      <c r="AV395" s="386"/>
      <c r="AW395" s="386"/>
      <c r="AX395" s="386"/>
      <c r="AY395" s="386"/>
      <c r="AZ395" s="386"/>
      <c r="BA395" s="386"/>
      <c r="BB395" s="386"/>
      <c r="BC395" s="386"/>
      <c r="BD395" s="386"/>
      <c r="BE395" s="386"/>
      <c r="BF395" s="386"/>
      <c r="BG395" s="386"/>
      <c r="BH395" s="386"/>
      <c r="BI395" s="386"/>
      <c r="BJ395" s="386"/>
      <c r="BK395" s="386"/>
      <c r="BL395" s="386"/>
      <c r="BM395" s="386"/>
      <c r="BN395" s="386"/>
      <c r="BO395" s="386"/>
      <c r="BP395" s="386"/>
      <c r="BQ395" s="386"/>
      <c r="BR395" s="386"/>
      <c r="BS395" s="386"/>
      <c r="BT395" s="386"/>
      <c r="BU395" s="386"/>
      <c r="BV395" s="386"/>
      <c r="BW395" s="386"/>
      <c r="BX395" s="386"/>
      <c r="BY395" s="386"/>
      <c r="BZ395" s="386"/>
      <c r="CA395" s="386"/>
      <c r="CB395" s="386"/>
      <c r="CC395" s="386"/>
      <c r="CD395" s="386"/>
      <c r="CE395" s="386"/>
      <c r="CF395" s="386"/>
      <c r="CG395" s="386"/>
      <c r="CH395" s="386"/>
      <c r="CI395" s="386"/>
      <c r="CJ395" s="386"/>
      <c r="CK395" s="386"/>
      <c r="CL395" s="386"/>
    </row>
    <row r="396" spans="2:90" ht="12.75" customHeight="1" x14ac:dyDescent="0.15">
      <c r="B396" s="57"/>
      <c r="C396" s="57"/>
      <c r="D396" s="58"/>
      <c r="E396" s="59"/>
      <c r="F396" s="63"/>
      <c r="G396" s="63"/>
      <c r="H396" s="63"/>
      <c r="I396" s="63"/>
      <c r="J396" s="65"/>
      <c r="K396" s="392"/>
      <c r="L396" s="65"/>
      <c r="M396" s="65"/>
      <c r="N396" s="65"/>
      <c r="O396" s="386"/>
      <c r="P396" s="386"/>
      <c r="Q396" s="386"/>
      <c r="R396" s="386"/>
      <c r="S396" s="386"/>
      <c r="T396" s="386"/>
      <c r="U396" s="386"/>
      <c r="V396" s="386"/>
      <c r="W396" s="386"/>
      <c r="X396" s="386"/>
      <c r="Y396" s="386"/>
      <c r="Z396" s="386"/>
      <c r="AA396" s="386"/>
      <c r="AB396" s="386"/>
      <c r="AC396" s="386"/>
      <c r="AD396" s="386"/>
      <c r="AE396" s="386"/>
      <c r="AF396" s="386"/>
      <c r="AG396" s="386"/>
      <c r="AH396" s="386"/>
      <c r="AI396" s="386"/>
      <c r="AJ396" s="386"/>
      <c r="AK396" s="386"/>
      <c r="AL396" s="386"/>
      <c r="AM396" s="386"/>
      <c r="AN396" s="386"/>
      <c r="AO396" s="386"/>
      <c r="AP396" s="386"/>
      <c r="AQ396" s="386"/>
      <c r="AR396" s="386"/>
      <c r="AS396" s="386"/>
      <c r="AT396" s="386"/>
      <c r="AU396" s="386"/>
      <c r="AV396" s="386"/>
      <c r="AW396" s="386"/>
      <c r="AX396" s="386"/>
      <c r="AY396" s="386"/>
      <c r="AZ396" s="386"/>
      <c r="BA396" s="386"/>
      <c r="BB396" s="386"/>
      <c r="BC396" s="386"/>
      <c r="BD396" s="386"/>
      <c r="BE396" s="386"/>
      <c r="BF396" s="386"/>
      <c r="BG396" s="386"/>
      <c r="BH396" s="386"/>
      <c r="BI396" s="386"/>
      <c r="BJ396" s="386"/>
      <c r="BK396" s="386"/>
      <c r="BL396" s="386"/>
      <c r="BM396" s="386"/>
      <c r="BN396" s="386"/>
      <c r="BO396" s="386"/>
      <c r="BP396" s="386"/>
      <c r="BQ396" s="386"/>
      <c r="BR396" s="386"/>
      <c r="BS396" s="386"/>
      <c r="BT396" s="386"/>
      <c r="BU396" s="386"/>
      <c r="BV396" s="386"/>
      <c r="BW396" s="386"/>
      <c r="BX396" s="386"/>
      <c r="BY396" s="386"/>
      <c r="BZ396" s="386"/>
      <c r="CA396" s="386"/>
      <c r="CB396" s="386"/>
      <c r="CC396" s="386"/>
      <c r="CD396" s="386"/>
      <c r="CE396" s="386"/>
      <c r="CF396" s="386"/>
      <c r="CG396" s="386"/>
      <c r="CH396" s="386"/>
      <c r="CI396" s="386"/>
      <c r="CJ396" s="386"/>
      <c r="CK396" s="386"/>
      <c r="CL396" s="386"/>
    </row>
    <row r="397" spans="2:90" ht="12.75" customHeight="1" x14ac:dyDescent="0.15">
      <c r="B397" s="57"/>
      <c r="C397" s="57"/>
      <c r="D397" s="58"/>
      <c r="E397" s="59"/>
      <c r="F397" s="63"/>
      <c r="G397" s="63"/>
      <c r="H397" s="63"/>
      <c r="I397" s="63"/>
      <c r="J397" s="65"/>
      <c r="K397" s="392"/>
      <c r="L397" s="65"/>
      <c r="M397" s="65"/>
      <c r="N397" s="65"/>
      <c r="O397" s="386"/>
      <c r="P397" s="386"/>
      <c r="Q397" s="386"/>
      <c r="R397" s="386"/>
      <c r="S397" s="386"/>
      <c r="T397" s="386"/>
      <c r="U397" s="386"/>
      <c r="V397" s="386"/>
      <c r="W397" s="386"/>
      <c r="X397" s="386"/>
      <c r="Y397" s="386"/>
      <c r="Z397" s="386"/>
      <c r="AA397" s="386"/>
      <c r="AB397" s="386"/>
      <c r="AC397" s="386"/>
      <c r="AD397" s="386"/>
      <c r="AE397" s="386"/>
      <c r="AF397" s="386"/>
      <c r="AG397" s="386"/>
      <c r="AH397" s="386"/>
      <c r="AI397" s="386"/>
      <c r="AJ397" s="386"/>
      <c r="AK397" s="386"/>
      <c r="AL397" s="386"/>
      <c r="AM397" s="386"/>
      <c r="AN397" s="386"/>
      <c r="AO397" s="386"/>
      <c r="AP397" s="386"/>
      <c r="AQ397" s="386"/>
      <c r="AR397" s="386"/>
      <c r="AS397" s="386"/>
      <c r="AT397" s="386"/>
      <c r="AU397" s="386"/>
      <c r="AV397" s="386"/>
      <c r="AW397" s="386"/>
      <c r="AX397" s="386"/>
      <c r="AY397" s="386"/>
      <c r="AZ397" s="386"/>
      <c r="BA397" s="386"/>
      <c r="BB397" s="386"/>
      <c r="BC397" s="386"/>
      <c r="BD397" s="386"/>
      <c r="BE397" s="386"/>
      <c r="BF397" s="386"/>
      <c r="BG397" s="386"/>
      <c r="BH397" s="386"/>
      <c r="BI397" s="386"/>
      <c r="BJ397" s="386"/>
      <c r="BK397" s="386"/>
      <c r="BL397" s="386"/>
      <c r="BM397" s="386"/>
      <c r="BN397" s="386"/>
      <c r="BO397" s="386"/>
      <c r="BP397" s="386"/>
      <c r="BQ397" s="386"/>
      <c r="BR397" s="386"/>
      <c r="BS397" s="386"/>
      <c r="BT397" s="386"/>
      <c r="BU397" s="386"/>
      <c r="BV397" s="386"/>
      <c r="BW397" s="386"/>
      <c r="BX397" s="386"/>
      <c r="BY397" s="386"/>
      <c r="BZ397" s="386"/>
      <c r="CA397" s="386"/>
      <c r="CB397" s="386"/>
      <c r="CC397" s="386"/>
      <c r="CD397" s="386"/>
      <c r="CE397" s="386"/>
      <c r="CF397" s="386"/>
      <c r="CG397" s="386"/>
      <c r="CH397" s="386"/>
      <c r="CI397" s="386"/>
      <c r="CJ397" s="386"/>
      <c r="CK397" s="386"/>
      <c r="CL397" s="386"/>
    </row>
    <row r="398" spans="2:90" ht="12.75" customHeight="1" x14ac:dyDescent="0.15">
      <c r="B398" s="57"/>
      <c r="C398" s="57"/>
      <c r="D398" s="58"/>
      <c r="E398" s="59"/>
      <c r="F398" s="63"/>
      <c r="G398" s="63"/>
      <c r="H398" s="63"/>
      <c r="I398" s="63"/>
      <c r="J398" s="65"/>
      <c r="K398" s="392"/>
      <c r="L398" s="65"/>
      <c r="M398" s="65"/>
      <c r="N398" s="65"/>
      <c r="O398" s="386"/>
      <c r="P398" s="386"/>
      <c r="Q398" s="386"/>
      <c r="R398" s="386"/>
      <c r="S398" s="386"/>
      <c r="T398" s="386"/>
      <c r="U398" s="386"/>
      <c r="V398" s="386"/>
      <c r="W398" s="386"/>
      <c r="X398" s="386"/>
      <c r="Y398" s="386"/>
      <c r="Z398" s="386"/>
      <c r="AA398" s="386"/>
      <c r="AB398" s="386"/>
      <c r="AC398" s="386"/>
      <c r="AD398" s="386"/>
      <c r="AE398" s="386"/>
      <c r="AF398" s="386"/>
      <c r="AG398" s="386"/>
      <c r="AH398" s="386"/>
      <c r="AI398" s="386"/>
      <c r="AJ398" s="386"/>
      <c r="AK398" s="386"/>
      <c r="AL398" s="386"/>
      <c r="AM398" s="386"/>
      <c r="AN398" s="386"/>
      <c r="AO398" s="386"/>
      <c r="AP398" s="386"/>
      <c r="AQ398" s="386"/>
      <c r="AR398" s="386"/>
      <c r="AS398" s="386"/>
      <c r="AT398" s="386"/>
      <c r="AU398" s="386"/>
      <c r="AV398" s="386"/>
      <c r="AW398" s="386"/>
      <c r="AX398" s="386"/>
      <c r="AY398" s="386"/>
      <c r="AZ398" s="386"/>
      <c r="BA398" s="386"/>
      <c r="BB398" s="386"/>
      <c r="BC398" s="386"/>
      <c r="BD398" s="386"/>
      <c r="BE398" s="386"/>
      <c r="BF398" s="386"/>
      <c r="BG398" s="386"/>
      <c r="BH398" s="386"/>
      <c r="BI398" s="386"/>
      <c r="BJ398" s="386"/>
      <c r="BK398" s="386"/>
      <c r="BL398" s="386"/>
      <c r="BM398" s="386"/>
      <c r="BN398" s="386"/>
      <c r="BO398" s="386"/>
      <c r="BP398" s="386"/>
      <c r="BQ398" s="386"/>
      <c r="BR398" s="386"/>
      <c r="BS398" s="386"/>
      <c r="BT398" s="386"/>
      <c r="BU398" s="386"/>
      <c r="BV398" s="386"/>
      <c r="BW398" s="386"/>
      <c r="BX398" s="386"/>
      <c r="BY398" s="386"/>
      <c r="BZ398" s="386"/>
      <c r="CA398" s="386"/>
      <c r="CB398" s="386"/>
      <c r="CC398" s="386"/>
      <c r="CD398" s="386"/>
      <c r="CE398" s="386"/>
      <c r="CF398" s="386"/>
      <c r="CG398" s="386"/>
      <c r="CH398" s="386"/>
      <c r="CI398" s="386"/>
      <c r="CJ398" s="386"/>
      <c r="CK398" s="386"/>
      <c r="CL398" s="386"/>
    </row>
    <row r="399" spans="2:90" ht="12.75" customHeight="1" x14ac:dyDescent="0.15">
      <c r="B399" s="57"/>
      <c r="C399" s="57"/>
      <c r="D399" s="58"/>
      <c r="E399" s="59"/>
      <c r="F399" s="63"/>
      <c r="G399" s="63"/>
      <c r="H399" s="63"/>
      <c r="I399" s="63"/>
      <c r="J399" s="65"/>
      <c r="K399" s="392"/>
      <c r="L399" s="65"/>
      <c r="M399" s="65"/>
      <c r="N399" s="65"/>
      <c r="O399" s="386"/>
      <c r="P399" s="386"/>
      <c r="Q399" s="386"/>
      <c r="R399" s="386"/>
      <c r="S399" s="386"/>
      <c r="T399" s="386"/>
      <c r="U399" s="386"/>
      <c r="V399" s="386"/>
      <c r="W399" s="386"/>
      <c r="X399" s="386"/>
      <c r="Y399" s="386"/>
      <c r="Z399" s="386"/>
      <c r="AA399" s="386"/>
      <c r="AB399" s="386"/>
      <c r="AC399" s="386"/>
      <c r="AD399" s="386"/>
      <c r="AE399" s="386"/>
      <c r="AF399" s="386"/>
      <c r="AG399" s="386"/>
      <c r="AH399" s="386"/>
      <c r="AI399" s="386"/>
      <c r="AJ399" s="386"/>
      <c r="AK399" s="386"/>
      <c r="AL399" s="386"/>
      <c r="AM399" s="386"/>
      <c r="AN399" s="386"/>
      <c r="AO399" s="386"/>
      <c r="AP399" s="386"/>
      <c r="AQ399" s="386"/>
      <c r="AR399" s="386"/>
      <c r="AS399" s="386"/>
      <c r="AT399" s="386"/>
      <c r="AU399" s="386"/>
      <c r="AV399" s="386"/>
      <c r="AW399" s="386"/>
      <c r="AX399" s="386"/>
      <c r="AY399" s="386"/>
      <c r="AZ399" s="386"/>
      <c r="BA399" s="386"/>
      <c r="BB399" s="386"/>
      <c r="BC399" s="386"/>
      <c r="BD399" s="386"/>
      <c r="BE399" s="386"/>
      <c r="BF399" s="386"/>
      <c r="BG399" s="386"/>
      <c r="BH399" s="386"/>
      <c r="BI399" s="386"/>
      <c r="BJ399" s="386"/>
      <c r="BK399" s="386"/>
      <c r="BL399" s="386"/>
      <c r="BM399" s="386"/>
      <c r="BN399" s="386"/>
      <c r="BO399" s="386"/>
      <c r="BP399" s="386"/>
      <c r="BQ399" s="386"/>
      <c r="BR399" s="386"/>
      <c r="BS399" s="386"/>
      <c r="BT399" s="386"/>
      <c r="BU399" s="386"/>
      <c r="BV399" s="386"/>
      <c r="BW399" s="386"/>
      <c r="BX399" s="386"/>
      <c r="BY399" s="386"/>
      <c r="BZ399" s="386"/>
      <c r="CA399" s="386"/>
      <c r="CB399" s="386"/>
      <c r="CC399" s="386"/>
      <c r="CD399" s="386"/>
      <c r="CE399" s="386"/>
      <c r="CF399" s="386"/>
      <c r="CG399" s="386"/>
      <c r="CH399" s="386"/>
      <c r="CI399" s="386"/>
      <c r="CJ399" s="386"/>
      <c r="CK399" s="386"/>
      <c r="CL399" s="386"/>
    </row>
    <row r="400" spans="2:90" ht="12.75" customHeight="1" x14ac:dyDescent="0.15">
      <c r="B400" s="57"/>
      <c r="C400" s="57"/>
      <c r="D400" s="58"/>
      <c r="E400" s="59"/>
      <c r="F400" s="63"/>
      <c r="G400" s="63"/>
      <c r="H400" s="63"/>
      <c r="I400" s="63"/>
      <c r="J400" s="65"/>
      <c r="K400" s="392"/>
      <c r="L400" s="65"/>
      <c r="M400" s="65"/>
      <c r="N400" s="65"/>
      <c r="O400" s="386"/>
      <c r="P400" s="386"/>
      <c r="Q400" s="386"/>
      <c r="R400" s="386"/>
      <c r="S400" s="386"/>
      <c r="T400" s="386"/>
      <c r="U400" s="386"/>
      <c r="V400" s="386"/>
      <c r="W400" s="386"/>
      <c r="X400" s="386"/>
      <c r="Y400" s="386"/>
      <c r="Z400" s="386"/>
      <c r="AA400" s="386"/>
      <c r="AB400" s="386"/>
      <c r="AC400" s="386"/>
      <c r="AD400" s="386"/>
      <c r="AE400" s="386"/>
      <c r="AF400" s="386"/>
      <c r="AG400" s="386"/>
      <c r="AH400" s="386"/>
      <c r="AI400" s="386"/>
      <c r="AJ400" s="386"/>
      <c r="AK400" s="386"/>
      <c r="AL400" s="386"/>
      <c r="AM400" s="386"/>
      <c r="AN400" s="386"/>
      <c r="AO400" s="386"/>
      <c r="AP400" s="386"/>
      <c r="AQ400" s="386"/>
      <c r="AR400" s="386"/>
      <c r="AS400" s="386"/>
      <c r="AT400" s="386"/>
      <c r="AU400" s="386"/>
      <c r="AV400" s="386"/>
      <c r="AW400" s="386"/>
      <c r="AX400" s="386"/>
      <c r="AY400" s="386"/>
      <c r="AZ400" s="386"/>
      <c r="BA400" s="386"/>
      <c r="BB400" s="386"/>
      <c r="BC400" s="386"/>
      <c r="BD400" s="386"/>
      <c r="BE400" s="386"/>
      <c r="BF400" s="386"/>
      <c r="BG400" s="386"/>
      <c r="BH400" s="386"/>
      <c r="BI400" s="386"/>
      <c r="BJ400" s="386"/>
      <c r="BK400" s="386"/>
      <c r="BL400" s="386"/>
      <c r="BM400" s="386"/>
      <c r="BN400" s="386"/>
      <c r="BO400" s="386"/>
      <c r="BP400" s="386"/>
      <c r="BQ400" s="386"/>
      <c r="BR400" s="386"/>
      <c r="BS400" s="386"/>
      <c r="BT400" s="386"/>
      <c r="BU400" s="386"/>
      <c r="BV400" s="386"/>
      <c r="BW400" s="386"/>
      <c r="BX400" s="386"/>
      <c r="BY400" s="386"/>
      <c r="BZ400" s="386"/>
      <c r="CA400" s="386"/>
      <c r="CB400" s="386"/>
      <c r="CC400" s="386"/>
      <c r="CD400" s="386"/>
      <c r="CE400" s="386"/>
      <c r="CF400" s="386"/>
      <c r="CG400" s="386"/>
      <c r="CH400" s="386"/>
      <c r="CI400" s="386"/>
      <c r="CJ400" s="386"/>
      <c r="CK400" s="386"/>
      <c r="CL400" s="386"/>
    </row>
    <row r="401" spans="2:90" ht="12.75" customHeight="1" x14ac:dyDescent="0.15">
      <c r="B401" s="57"/>
      <c r="C401" s="57"/>
      <c r="D401" s="58"/>
      <c r="E401" s="59"/>
      <c r="F401" s="63"/>
      <c r="G401" s="63"/>
      <c r="H401" s="63"/>
      <c r="I401" s="63"/>
      <c r="J401" s="65"/>
      <c r="K401" s="392"/>
      <c r="L401" s="65"/>
      <c r="M401" s="65"/>
      <c r="N401" s="65"/>
      <c r="O401" s="386"/>
      <c r="P401" s="386"/>
      <c r="Q401" s="386"/>
      <c r="R401" s="386"/>
      <c r="S401" s="386"/>
      <c r="T401" s="386"/>
      <c r="U401" s="386"/>
      <c r="V401" s="386"/>
      <c r="W401" s="386"/>
      <c r="X401" s="386"/>
      <c r="Y401" s="386"/>
      <c r="Z401" s="386"/>
      <c r="AA401" s="386"/>
      <c r="AB401" s="386"/>
      <c r="AC401" s="386"/>
      <c r="AD401" s="386"/>
      <c r="AE401" s="386"/>
      <c r="AF401" s="386"/>
      <c r="AG401" s="386"/>
      <c r="AH401" s="386"/>
      <c r="AI401" s="386"/>
      <c r="AJ401" s="386"/>
      <c r="AK401" s="386"/>
      <c r="AL401" s="386"/>
      <c r="AM401" s="386"/>
      <c r="AN401" s="386"/>
      <c r="AO401" s="386"/>
      <c r="AP401" s="386"/>
      <c r="AQ401" s="386"/>
      <c r="AR401" s="386"/>
      <c r="AS401" s="386"/>
      <c r="AT401" s="386"/>
      <c r="AU401" s="386"/>
      <c r="AV401" s="386"/>
      <c r="AW401" s="386"/>
      <c r="AX401" s="386"/>
      <c r="AY401" s="386"/>
      <c r="AZ401" s="386"/>
      <c r="BA401" s="386"/>
      <c r="BB401" s="386"/>
      <c r="BC401" s="386"/>
      <c r="BD401" s="386"/>
      <c r="BE401" s="386"/>
      <c r="BF401" s="386"/>
      <c r="BG401" s="386"/>
      <c r="BH401" s="386"/>
      <c r="BI401" s="386"/>
      <c r="BJ401" s="386"/>
      <c r="BK401" s="386"/>
      <c r="BL401" s="386"/>
      <c r="BM401" s="386"/>
      <c r="BN401" s="386"/>
      <c r="BO401" s="386"/>
      <c r="BP401" s="386"/>
      <c r="BQ401" s="386"/>
      <c r="BR401" s="386"/>
      <c r="BS401" s="386"/>
      <c r="BT401" s="386"/>
      <c r="BU401" s="386"/>
      <c r="BV401" s="386"/>
      <c r="BW401" s="386"/>
      <c r="BX401" s="386"/>
      <c r="BY401" s="386"/>
      <c r="BZ401" s="386"/>
      <c r="CA401" s="386"/>
      <c r="CB401" s="386"/>
      <c r="CC401" s="386"/>
      <c r="CD401" s="386"/>
      <c r="CE401" s="386"/>
      <c r="CF401" s="386"/>
      <c r="CG401" s="386"/>
      <c r="CH401" s="386"/>
      <c r="CI401" s="386"/>
      <c r="CJ401" s="386"/>
      <c r="CK401" s="386"/>
      <c r="CL401" s="386"/>
    </row>
    <row r="402" spans="2:90" ht="12.75" customHeight="1" x14ac:dyDescent="0.15">
      <c r="B402" s="57"/>
      <c r="C402" s="57"/>
      <c r="D402" s="58"/>
      <c r="E402" s="59"/>
      <c r="F402" s="63"/>
      <c r="G402" s="63"/>
      <c r="H402" s="63"/>
      <c r="I402" s="63"/>
      <c r="J402" s="65"/>
      <c r="K402" s="392"/>
      <c r="L402" s="65"/>
      <c r="M402" s="65"/>
      <c r="N402" s="65"/>
      <c r="O402" s="386"/>
      <c r="P402" s="386"/>
      <c r="Q402" s="386"/>
      <c r="R402" s="386"/>
      <c r="S402" s="386"/>
      <c r="T402" s="386"/>
      <c r="U402" s="386"/>
      <c r="V402" s="386"/>
      <c r="W402" s="386"/>
      <c r="X402" s="386"/>
      <c r="Y402" s="386"/>
      <c r="Z402" s="386"/>
      <c r="AA402" s="386"/>
      <c r="AB402" s="386"/>
      <c r="AC402" s="386"/>
      <c r="AD402" s="386"/>
      <c r="AE402" s="386"/>
      <c r="AF402" s="386"/>
      <c r="AG402" s="386"/>
      <c r="AH402" s="386"/>
      <c r="AI402" s="386"/>
      <c r="AJ402" s="386"/>
      <c r="AK402" s="386"/>
      <c r="AL402" s="386"/>
      <c r="AM402" s="386"/>
      <c r="AN402" s="386"/>
      <c r="AO402" s="386"/>
      <c r="AP402" s="386"/>
      <c r="AQ402" s="386"/>
      <c r="AR402" s="386"/>
      <c r="AS402" s="386"/>
      <c r="AT402" s="386"/>
      <c r="AU402" s="386"/>
      <c r="AV402" s="386"/>
      <c r="AW402" s="386"/>
      <c r="AX402" s="386"/>
      <c r="AY402" s="386"/>
      <c r="AZ402" s="386"/>
      <c r="BA402" s="386"/>
      <c r="BB402" s="386"/>
      <c r="BC402" s="386"/>
      <c r="BD402" s="386"/>
      <c r="BE402" s="386"/>
      <c r="BF402" s="386"/>
      <c r="BG402" s="386"/>
      <c r="BH402" s="386"/>
      <c r="BI402" s="386"/>
      <c r="BJ402" s="386"/>
      <c r="BK402" s="386"/>
      <c r="BL402" s="386"/>
      <c r="BM402" s="386"/>
      <c r="BN402" s="386"/>
      <c r="BO402" s="386"/>
      <c r="BP402" s="386"/>
      <c r="BQ402" s="386"/>
      <c r="BR402" s="386"/>
      <c r="BS402" s="386"/>
      <c r="BT402" s="386"/>
      <c r="BU402" s="386"/>
      <c r="BV402" s="386"/>
      <c r="BW402" s="386"/>
      <c r="BX402" s="386"/>
      <c r="BY402" s="386"/>
      <c r="BZ402" s="386"/>
      <c r="CA402" s="386"/>
      <c r="CB402" s="386"/>
      <c r="CC402" s="386"/>
      <c r="CD402" s="386"/>
      <c r="CE402" s="386"/>
      <c r="CF402" s="386"/>
      <c r="CG402" s="386"/>
      <c r="CH402" s="386"/>
      <c r="CI402" s="386"/>
      <c r="CJ402" s="386"/>
      <c r="CK402" s="386"/>
      <c r="CL402" s="386"/>
    </row>
    <row r="403" spans="2:90" ht="12.75" customHeight="1" x14ac:dyDescent="0.15">
      <c r="B403" s="57"/>
      <c r="C403" s="57"/>
      <c r="D403" s="58"/>
      <c r="E403" s="59"/>
      <c r="F403" s="63"/>
      <c r="G403" s="63"/>
      <c r="H403" s="63"/>
      <c r="I403" s="63"/>
      <c r="J403" s="65"/>
      <c r="K403" s="392"/>
      <c r="L403" s="65"/>
      <c r="M403" s="65"/>
      <c r="N403" s="65"/>
      <c r="O403" s="386"/>
      <c r="P403" s="386"/>
      <c r="Q403" s="386"/>
      <c r="R403" s="386"/>
      <c r="S403" s="386"/>
      <c r="T403" s="386"/>
      <c r="U403" s="386"/>
      <c r="V403" s="386"/>
      <c r="W403" s="386"/>
      <c r="X403" s="386"/>
      <c r="Y403" s="386"/>
      <c r="Z403" s="386"/>
      <c r="AA403" s="386"/>
      <c r="AB403" s="386"/>
      <c r="AC403" s="386"/>
      <c r="AD403" s="386"/>
      <c r="AE403" s="386"/>
      <c r="AF403" s="386"/>
      <c r="AG403" s="386"/>
      <c r="AH403" s="386"/>
      <c r="AI403" s="386"/>
      <c r="AJ403" s="386"/>
      <c r="AK403" s="386"/>
      <c r="AL403" s="386"/>
      <c r="AM403" s="386"/>
      <c r="AN403" s="386"/>
      <c r="AO403" s="386"/>
      <c r="AP403" s="386"/>
      <c r="AQ403" s="386"/>
      <c r="AR403" s="386"/>
      <c r="AS403" s="386"/>
      <c r="AT403" s="386"/>
      <c r="AU403" s="386"/>
      <c r="AV403" s="386"/>
      <c r="AW403" s="386"/>
      <c r="AX403" s="386"/>
      <c r="AY403" s="386"/>
      <c r="AZ403" s="386"/>
      <c r="BA403" s="386"/>
      <c r="BB403" s="386"/>
      <c r="BC403" s="386"/>
      <c r="BD403" s="386"/>
      <c r="BE403" s="386"/>
      <c r="BF403" s="386"/>
      <c r="BG403" s="386"/>
      <c r="BH403" s="386"/>
      <c r="BI403" s="386"/>
      <c r="BJ403" s="386"/>
      <c r="BK403" s="386"/>
      <c r="BL403" s="386"/>
      <c r="BM403" s="386"/>
      <c r="BN403" s="386"/>
      <c r="BO403" s="386"/>
      <c r="BP403" s="386"/>
      <c r="BQ403" s="386"/>
      <c r="BR403" s="386"/>
      <c r="BS403" s="386"/>
      <c r="BT403" s="386"/>
      <c r="BU403" s="386"/>
      <c r="BV403" s="386"/>
      <c r="BW403" s="386"/>
      <c r="BX403" s="386"/>
      <c r="BY403" s="386"/>
      <c r="BZ403" s="386"/>
      <c r="CA403" s="386"/>
      <c r="CB403" s="386"/>
      <c r="CC403" s="386"/>
      <c r="CD403" s="386"/>
      <c r="CE403" s="386"/>
      <c r="CF403" s="386"/>
      <c r="CG403" s="386"/>
      <c r="CH403" s="386"/>
      <c r="CI403" s="386"/>
      <c r="CJ403" s="386"/>
      <c r="CK403" s="386"/>
      <c r="CL403" s="386"/>
    </row>
    <row r="404" spans="2:90" ht="12.75" customHeight="1" x14ac:dyDescent="0.15">
      <c r="B404" s="57"/>
      <c r="C404" s="57"/>
      <c r="D404" s="58"/>
      <c r="E404" s="59"/>
      <c r="F404" s="63"/>
      <c r="G404" s="63"/>
      <c r="H404" s="63"/>
      <c r="I404" s="63"/>
      <c r="J404" s="65"/>
      <c r="K404" s="392"/>
      <c r="L404" s="65"/>
      <c r="M404" s="65"/>
      <c r="N404" s="65"/>
      <c r="O404" s="386"/>
      <c r="P404" s="386"/>
      <c r="Q404" s="386"/>
      <c r="R404" s="386"/>
      <c r="S404" s="386"/>
      <c r="T404" s="386"/>
      <c r="U404" s="386"/>
      <c r="V404" s="386"/>
      <c r="W404" s="386"/>
      <c r="X404" s="386"/>
      <c r="Y404" s="386"/>
      <c r="Z404" s="386"/>
      <c r="AA404" s="386"/>
      <c r="AB404" s="386"/>
      <c r="AC404" s="386"/>
      <c r="AD404" s="386"/>
      <c r="AE404" s="386"/>
      <c r="AF404" s="386"/>
      <c r="AG404" s="386"/>
      <c r="AH404" s="386"/>
      <c r="AI404" s="386"/>
      <c r="AJ404" s="386"/>
      <c r="AK404" s="386"/>
      <c r="AL404" s="386"/>
      <c r="AM404" s="386"/>
      <c r="AN404" s="386"/>
      <c r="AO404" s="386"/>
      <c r="AP404" s="386"/>
      <c r="AQ404" s="386"/>
      <c r="AR404" s="386"/>
      <c r="AS404" s="386"/>
      <c r="AT404" s="386"/>
      <c r="AU404" s="386"/>
      <c r="AV404" s="386"/>
      <c r="AW404" s="386"/>
      <c r="AX404" s="386"/>
      <c r="AY404" s="386"/>
      <c r="AZ404" s="386"/>
      <c r="BA404" s="386"/>
      <c r="BB404" s="386"/>
      <c r="BC404" s="386"/>
      <c r="BD404" s="386"/>
      <c r="BE404" s="386"/>
      <c r="BF404" s="386"/>
      <c r="BG404" s="386"/>
      <c r="BH404" s="386"/>
      <c r="BI404" s="386"/>
      <c r="BJ404" s="386"/>
      <c r="BK404" s="386"/>
      <c r="BL404" s="386"/>
      <c r="BM404" s="386"/>
      <c r="BN404" s="386"/>
      <c r="BO404" s="386"/>
      <c r="BP404" s="386"/>
      <c r="BQ404" s="386"/>
      <c r="BR404" s="386"/>
      <c r="BS404" s="386"/>
      <c r="BT404" s="386"/>
      <c r="BU404" s="386"/>
      <c r="BV404" s="386"/>
      <c r="BW404" s="386"/>
      <c r="BX404" s="386"/>
      <c r="BY404" s="386"/>
      <c r="BZ404" s="386"/>
      <c r="CA404" s="386"/>
      <c r="CB404" s="386"/>
      <c r="CC404" s="386"/>
      <c r="CD404" s="386"/>
      <c r="CE404" s="386"/>
      <c r="CF404" s="386"/>
      <c r="CG404" s="386"/>
      <c r="CH404" s="386"/>
      <c r="CI404" s="386"/>
      <c r="CJ404" s="386"/>
      <c r="CK404" s="386"/>
      <c r="CL404" s="386"/>
    </row>
    <row r="405" spans="2:90" ht="12.75" customHeight="1" x14ac:dyDescent="0.15">
      <c r="B405" s="57"/>
      <c r="C405" s="57"/>
      <c r="D405" s="58"/>
      <c r="E405" s="59"/>
      <c r="F405" s="63"/>
      <c r="G405" s="63"/>
      <c r="H405" s="63"/>
      <c r="I405" s="63"/>
      <c r="J405" s="65"/>
      <c r="K405" s="392"/>
      <c r="L405" s="65"/>
      <c r="M405" s="65"/>
      <c r="N405" s="65"/>
      <c r="O405" s="386"/>
      <c r="P405" s="386"/>
      <c r="Q405" s="386"/>
      <c r="R405" s="386"/>
      <c r="S405" s="386"/>
      <c r="T405" s="386"/>
      <c r="U405" s="386"/>
      <c r="V405" s="386"/>
      <c r="W405" s="386"/>
      <c r="X405" s="386"/>
      <c r="Y405" s="386"/>
      <c r="Z405" s="386"/>
      <c r="AA405" s="386"/>
      <c r="AB405" s="386"/>
      <c r="AC405" s="386"/>
      <c r="AD405" s="386"/>
      <c r="AE405" s="386"/>
      <c r="AF405" s="386"/>
      <c r="AG405" s="386"/>
      <c r="AH405" s="386"/>
      <c r="AI405" s="386"/>
      <c r="AJ405" s="386"/>
      <c r="AK405" s="386"/>
      <c r="AL405" s="386"/>
      <c r="AM405" s="386"/>
      <c r="AN405" s="386"/>
      <c r="AO405" s="386"/>
      <c r="AP405" s="386"/>
      <c r="AQ405" s="386"/>
      <c r="AR405" s="386"/>
      <c r="AS405" s="386"/>
      <c r="AT405" s="386"/>
      <c r="AU405" s="386"/>
      <c r="AV405" s="386"/>
      <c r="AW405" s="386"/>
      <c r="AX405" s="386"/>
      <c r="AY405" s="386"/>
      <c r="AZ405" s="386"/>
      <c r="BA405" s="386"/>
      <c r="BB405" s="386"/>
      <c r="BC405" s="386"/>
      <c r="BD405" s="386"/>
      <c r="BE405" s="386"/>
      <c r="BF405" s="386"/>
      <c r="BG405" s="386"/>
      <c r="BH405" s="386"/>
      <c r="BI405" s="386"/>
      <c r="BJ405" s="386"/>
      <c r="BK405" s="386"/>
      <c r="BL405" s="386"/>
      <c r="BM405" s="386"/>
      <c r="BN405" s="386"/>
      <c r="BO405" s="386"/>
      <c r="BP405" s="386"/>
      <c r="BQ405" s="386"/>
      <c r="BR405" s="386"/>
      <c r="BS405" s="386"/>
      <c r="BT405" s="386"/>
      <c r="BU405" s="386"/>
      <c r="BV405" s="386"/>
      <c r="BW405" s="386"/>
      <c r="BX405" s="386"/>
      <c r="BY405" s="386"/>
      <c r="BZ405" s="386"/>
      <c r="CA405" s="386"/>
      <c r="CB405" s="386"/>
      <c r="CC405" s="386"/>
      <c r="CD405" s="386"/>
      <c r="CE405" s="386"/>
      <c r="CF405" s="386"/>
      <c r="CG405" s="386"/>
      <c r="CH405" s="386"/>
      <c r="CI405" s="386"/>
      <c r="CJ405" s="386"/>
      <c r="CK405" s="386"/>
      <c r="CL405" s="386"/>
    </row>
    <row r="406" spans="2:90" ht="12.75" customHeight="1" x14ac:dyDescent="0.15">
      <c r="B406" s="57"/>
      <c r="C406" s="57"/>
      <c r="D406" s="58"/>
      <c r="E406" s="59"/>
      <c r="F406" s="63"/>
      <c r="G406" s="63"/>
      <c r="H406" s="63"/>
      <c r="I406" s="63"/>
      <c r="J406" s="65"/>
      <c r="K406" s="392"/>
      <c r="L406" s="65"/>
      <c r="M406" s="65"/>
      <c r="N406" s="65"/>
      <c r="O406" s="386"/>
      <c r="P406" s="386"/>
      <c r="Q406" s="386"/>
      <c r="R406" s="386"/>
      <c r="S406" s="386"/>
      <c r="T406" s="386"/>
      <c r="U406" s="386"/>
      <c r="V406" s="386"/>
      <c r="W406" s="386"/>
      <c r="X406" s="386"/>
      <c r="Y406" s="386"/>
      <c r="Z406" s="386"/>
      <c r="AA406" s="386"/>
      <c r="AB406" s="386"/>
      <c r="AC406" s="386"/>
      <c r="AD406" s="386"/>
      <c r="AE406" s="386"/>
      <c r="AF406" s="386"/>
      <c r="AG406" s="386"/>
      <c r="AH406" s="386"/>
      <c r="AI406" s="386"/>
      <c r="AJ406" s="386"/>
      <c r="AK406" s="386"/>
      <c r="AL406" s="386"/>
      <c r="AM406" s="386"/>
      <c r="AN406" s="386"/>
      <c r="AO406" s="386"/>
      <c r="AP406" s="386"/>
      <c r="AQ406" s="386"/>
      <c r="AR406" s="386"/>
      <c r="AS406" s="386"/>
      <c r="AT406" s="386"/>
      <c r="AU406" s="386"/>
      <c r="AV406" s="386"/>
      <c r="AW406" s="386"/>
      <c r="AX406" s="386"/>
      <c r="AY406" s="386"/>
      <c r="AZ406" s="386"/>
      <c r="BA406" s="386"/>
      <c r="BB406" s="386"/>
      <c r="BC406" s="386"/>
      <c r="BD406" s="386"/>
      <c r="BE406" s="386"/>
      <c r="BF406" s="386"/>
      <c r="BG406" s="386"/>
      <c r="BH406" s="386"/>
      <c r="BI406" s="386"/>
      <c r="BJ406" s="386"/>
      <c r="BK406" s="386"/>
      <c r="BL406" s="386"/>
      <c r="BM406" s="386"/>
      <c r="BN406" s="386"/>
      <c r="BO406" s="386"/>
      <c r="BP406" s="386"/>
      <c r="BQ406" s="386"/>
      <c r="BR406" s="386"/>
      <c r="BS406" s="386"/>
      <c r="BT406" s="386"/>
      <c r="BU406" s="386"/>
      <c r="BV406" s="386"/>
      <c r="BW406" s="386"/>
      <c r="BX406" s="386"/>
      <c r="BY406" s="386"/>
      <c r="BZ406" s="386"/>
      <c r="CA406" s="386"/>
      <c r="CB406" s="386"/>
      <c r="CC406" s="386"/>
      <c r="CD406" s="386"/>
      <c r="CE406" s="386"/>
      <c r="CF406" s="386"/>
      <c r="CG406" s="386"/>
      <c r="CH406" s="386"/>
      <c r="CI406" s="386"/>
      <c r="CJ406" s="386"/>
      <c r="CK406" s="386"/>
      <c r="CL406" s="386"/>
    </row>
    <row r="407" spans="2:90" ht="12.75" customHeight="1" x14ac:dyDescent="0.15">
      <c r="B407" s="57"/>
      <c r="C407" s="57"/>
      <c r="D407" s="58"/>
      <c r="E407" s="59"/>
      <c r="F407" s="63"/>
      <c r="G407" s="63"/>
      <c r="H407" s="63"/>
      <c r="I407" s="63"/>
      <c r="J407" s="65"/>
      <c r="K407" s="392"/>
      <c r="L407" s="65"/>
      <c r="M407" s="65"/>
      <c r="N407" s="65"/>
      <c r="O407" s="386"/>
      <c r="P407" s="386"/>
      <c r="Q407" s="386"/>
      <c r="R407" s="386"/>
      <c r="S407" s="386"/>
      <c r="T407" s="386"/>
      <c r="U407" s="386"/>
      <c r="V407" s="386"/>
      <c r="W407" s="386"/>
      <c r="X407" s="386"/>
      <c r="Y407" s="386"/>
      <c r="Z407" s="386"/>
      <c r="AA407" s="386"/>
      <c r="AB407" s="386"/>
      <c r="AC407" s="386"/>
      <c r="AD407" s="386"/>
      <c r="AE407" s="386"/>
      <c r="AF407" s="386"/>
      <c r="AG407" s="386"/>
      <c r="AH407" s="386"/>
      <c r="AI407" s="386"/>
      <c r="AJ407" s="386"/>
      <c r="AK407" s="386"/>
      <c r="AL407" s="386"/>
      <c r="AM407" s="386"/>
      <c r="AN407" s="386"/>
      <c r="AO407" s="386"/>
      <c r="AP407" s="386"/>
      <c r="AQ407" s="386"/>
      <c r="AR407" s="386"/>
      <c r="AS407" s="386"/>
      <c r="AT407" s="386"/>
      <c r="AU407" s="386"/>
      <c r="AV407" s="386"/>
      <c r="AW407" s="386"/>
      <c r="AX407" s="386"/>
      <c r="AY407" s="386"/>
      <c r="AZ407" s="386"/>
      <c r="BA407" s="386"/>
      <c r="BB407" s="386"/>
      <c r="BC407" s="386"/>
      <c r="BD407" s="386"/>
      <c r="BE407" s="386"/>
      <c r="BF407" s="386"/>
      <c r="BG407" s="386"/>
      <c r="BH407" s="386"/>
      <c r="BI407" s="386"/>
      <c r="BJ407" s="386"/>
      <c r="BK407" s="386"/>
      <c r="BL407" s="386"/>
      <c r="BM407" s="386"/>
      <c r="BN407" s="386"/>
      <c r="BO407" s="386"/>
      <c r="BP407" s="386"/>
      <c r="BQ407" s="386"/>
      <c r="BR407" s="386"/>
      <c r="BS407" s="386"/>
      <c r="BT407" s="386"/>
      <c r="BU407" s="386"/>
      <c r="BV407" s="386"/>
      <c r="BW407" s="386"/>
      <c r="BX407" s="386"/>
      <c r="BY407" s="386"/>
      <c r="BZ407" s="386"/>
      <c r="CA407" s="386"/>
      <c r="CB407" s="386"/>
      <c r="CC407" s="386"/>
      <c r="CD407" s="386"/>
      <c r="CE407" s="386"/>
      <c r="CF407" s="386"/>
      <c r="CG407" s="386"/>
      <c r="CH407" s="386"/>
      <c r="CI407" s="386"/>
      <c r="CJ407" s="386"/>
      <c r="CK407" s="386"/>
      <c r="CL407" s="386"/>
    </row>
    <row r="408" spans="2:90" ht="12.75" customHeight="1" x14ac:dyDescent="0.15">
      <c r="B408" s="57"/>
      <c r="C408" s="57"/>
      <c r="D408" s="58"/>
      <c r="E408" s="59"/>
      <c r="F408" s="63"/>
      <c r="G408" s="63"/>
      <c r="H408" s="63"/>
      <c r="I408" s="63"/>
      <c r="J408" s="65"/>
      <c r="K408" s="392"/>
      <c r="L408" s="65"/>
      <c r="M408" s="65"/>
      <c r="N408" s="65"/>
      <c r="O408" s="386"/>
      <c r="P408" s="386"/>
      <c r="Q408" s="386"/>
      <c r="R408" s="386"/>
      <c r="S408" s="386"/>
      <c r="T408" s="386"/>
      <c r="U408" s="386"/>
      <c r="V408" s="386"/>
      <c r="W408" s="386"/>
      <c r="X408" s="386"/>
      <c r="Y408" s="386"/>
      <c r="Z408" s="386"/>
      <c r="AA408" s="386"/>
      <c r="AB408" s="386"/>
      <c r="AC408" s="386"/>
      <c r="AD408" s="386"/>
      <c r="AE408" s="386"/>
      <c r="AF408" s="386"/>
      <c r="AG408" s="386"/>
      <c r="AH408" s="386"/>
      <c r="AI408" s="386"/>
      <c r="AJ408" s="386"/>
      <c r="AK408" s="386"/>
      <c r="AL408" s="386"/>
      <c r="AM408" s="386"/>
      <c r="AN408" s="386"/>
      <c r="AO408" s="386"/>
      <c r="AP408" s="386"/>
      <c r="AQ408" s="386"/>
      <c r="AR408" s="386"/>
      <c r="AS408" s="386"/>
      <c r="AT408" s="386"/>
      <c r="AU408" s="386"/>
      <c r="AV408" s="386"/>
      <c r="AW408" s="386"/>
      <c r="AX408" s="386"/>
      <c r="AY408" s="386"/>
      <c r="AZ408" s="386"/>
      <c r="BA408" s="386"/>
      <c r="BB408" s="386"/>
      <c r="BC408" s="386"/>
      <c r="BD408" s="386"/>
      <c r="BE408" s="386"/>
      <c r="BF408" s="386"/>
      <c r="BG408" s="386"/>
      <c r="BH408" s="386"/>
      <c r="BI408" s="386"/>
      <c r="BJ408" s="386"/>
      <c r="BK408" s="386"/>
      <c r="BL408" s="386"/>
      <c r="BM408" s="386"/>
      <c r="BN408" s="386"/>
      <c r="BO408" s="386"/>
      <c r="BP408" s="386"/>
      <c r="BQ408" s="386"/>
      <c r="BR408" s="386"/>
      <c r="BS408" s="386"/>
      <c r="BT408" s="386"/>
      <c r="BU408" s="386"/>
      <c r="BV408" s="386"/>
      <c r="BW408" s="386"/>
      <c r="BX408" s="386"/>
      <c r="BY408" s="386"/>
      <c r="BZ408" s="386"/>
      <c r="CA408" s="386"/>
      <c r="CB408" s="386"/>
      <c r="CC408" s="386"/>
      <c r="CD408" s="386"/>
      <c r="CE408" s="386"/>
      <c r="CF408" s="386"/>
      <c r="CG408" s="386"/>
      <c r="CH408" s="386"/>
      <c r="CI408" s="386"/>
      <c r="CJ408" s="386"/>
      <c r="CK408" s="386"/>
      <c r="CL408" s="386"/>
    </row>
    <row r="409" spans="2:90" ht="12.75" customHeight="1" x14ac:dyDescent="0.15">
      <c r="B409" s="57"/>
      <c r="C409" s="57"/>
      <c r="D409" s="58"/>
      <c r="E409" s="59"/>
      <c r="F409" s="63"/>
      <c r="G409" s="63"/>
      <c r="H409" s="63"/>
      <c r="I409" s="63"/>
      <c r="J409" s="65"/>
      <c r="K409" s="392"/>
      <c r="L409" s="65"/>
      <c r="M409" s="65"/>
      <c r="N409" s="65"/>
      <c r="O409" s="386"/>
      <c r="P409" s="386"/>
      <c r="Q409" s="386"/>
      <c r="R409" s="386"/>
      <c r="S409" s="386"/>
      <c r="T409" s="386"/>
      <c r="U409" s="386"/>
      <c r="V409" s="386"/>
      <c r="W409" s="386"/>
      <c r="X409" s="386"/>
      <c r="Y409" s="386"/>
      <c r="Z409" s="386"/>
      <c r="AA409" s="386"/>
      <c r="AB409" s="386"/>
      <c r="AC409" s="386"/>
      <c r="AD409" s="386"/>
      <c r="AE409" s="386"/>
      <c r="AF409" s="386"/>
      <c r="AG409" s="386"/>
      <c r="AH409" s="386"/>
      <c r="AI409" s="386"/>
      <c r="AJ409" s="386"/>
      <c r="AK409" s="386"/>
      <c r="AL409" s="386"/>
      <c r="AM409" s="386"/>
      <c r="AN409" s="386"/>
      <c r="AO409" s="386"/>
      <c r="AP409" s="386"/>
      <c r="AQ409" s="386"/>
      <c r="AR409" s="386"/>
      <c r="AS409" s="386"/>
      <c r="AT409" s="386"/>
      <c r="AU409" s="386"/>
      <c r="AV409" s="386"/>
      <c r="AW409" s="386"/>
      <c r="AX409" s="386"/>
      <c r="AY409" s="386"/>
      <c r="AZ409" s="386"/>
      <c r="BA409" s="386"/>
      <c r="BB409" s="386"/>
      <c r="BC409" s="386"/>
      <c r="BD409" s="386"/>
      <c r="BE409" s="386"/>
      <c r="BF409" s="386"/>
      <c r="BG409" s="386"/>
      <c r="BH409" s="386"/>
      <c r="BI409" s="386"/>
      <c r="BJ409" s="386"/>
      <c r="BK409" s="386"/>
      <c r="BL409" s="386"/>
      <c r="BM409" s="386"/>
      <c r="BN409" s="386"/>
      <c r="BO409" s="386"/>
      <c r="BP409" s="386"/>
      <c r="BQ409" s="386"/>
      <c r="BR409" s="386"/>
      <c r="BS409" s="386"/>
      <c r="BT409" s="386"/>
      <c r="BU409" s="386"/>
      <c r="BV409" s="386"/>
      <c r="BW409" s="386"/>
      <c r="BX409" s="386"/>
      <c r="BY409" s="386"/>
      <c r="BZ409" s="386"/>
      <c r="CA409" s="386"/>
      <c r="CB409" s="386"/>
      <c r="CC409" s="386"/>
      <c r="CD409" s="386"/>
      <c r="CE409" s="386"/>
      <c r="CF409" s="386"/>
      <c r="CG409" s="386"/>
      <c r="CH409" s="386"/>
      <c r="CI409" s="386"/>
      <c r="CJ409" s="386"/>
      <c r="CK409" s="386"/>
      <c r="CL409" s="386"/>
    </row>
    <row r="410" spans="2:90" ht="12.75" customHeight="1" x14ac:dyDescent="0.15">
      <c r="B410" s="57"/>
      <c r="C410" s="57"/>
      <c r="D410" s="58"/>
      <c r="E410" s="59"/>
      <c r="F410" s="63"/>
      <c r="G410" s="63"/>
      <c r="H410" s="63"/>
      <c r="I410" s="63"/>
      <c r="J410" s="65"/>
      <c r="K410" s="392"/>
      <c r="L410" s="65"/>
      <c r="M410" s="65"/>
      <c r="N410" s="65"/>
      <c r="O410" s="386"/>
      <c r="P410" s="386"/>
      <c r="Q410" s="386"/>
      <c r="R410" s="386"/>
      <c r="S410" s="386"/>
      <c r="T410" s="386"/>
      <c r="U410" s="386"/>
      <c r="V410" s="386"/>
      <c r="W410" s="386"/>
      <c r="X410" s="386"/>
      <c r="Y410" s="386"/>
      <c r="Z410" s="386"/>
      <c r="AA410" s="386"/>
      <c r="AB410" s="386"/>
      <c r="AC410" s="386"/>
      <c r="AD410" s="386"/>
      <c r="AE410" s="386"/>
      <c r="AF410" s="386"/>
      <c r="AG410" s="386"/>
      <c r="AH410" s="386"/>
      <c r="AI410" s="386"/>
      <c r="AJ410" s="386"/>
      <c r="AK410" s="386"/>
      <c r="AL410" s="386"/>
      <c r="AM410" s="386"/>
      <c r="AN410" s="386"/>
      <c r="AO410" s="386"/>
      <c r="AP410" s="386"/>
      <c r="AQ410" s="386"/>
      <c r="AR410" s="386"/>
      <c r="AS410" s="386"/>
      <c r="AT410" s="386"/>
      <c r="AU410" s="386"/>
      <c r="AV410" s="386"/>
      <c r="AW410" s="386"/>
      <c r="AX410" s="386"/>
      <c r="AY410" s="386"/>
      <c r="AZ410" s="386"/>
      <c r="BA410" s="386"/>
      <c r="BB410" s="386"/>
      <c r="BC410" s="386"/>
      <c r="BD410" s="386"/>
      <c r="BE410" s="386"/>
      <c r="BF410" s="386"/>
      <c r="BG410" s="386"/>
      <c r="BH410" s="386"/>
      <c r="BI410" s="386"/>
      <c r="BJ410" s="386"/>
      <c r="BK410" s="386"/>
      <c r="BL410" s="386"/>
      <c r="BM410" s="386"/>
      <c r="BN410" s="386"/>
      <c r="BO410" s="386"/>
      <c r="BP410" s="386"/>
      <c r="BQ410" s="386"/>
      <c r="BR410" s="386"/>
      <c r="BS410" s="386"/>
      <c r="BT410" s="386"/>
      <c r="BU410" s="386"/>
      <c r="BV410" s="386"/>
      <c r="BW410" s="386"/>
      <c r="BX410" s="386"/>
      <c r="BY410" s="386"/>
      <c r="BZ410" s="386"/>
      <c r="CA410" s="386"/>
      <c r="CB410" s="386"/>
      <c r="CC410" s="386"/>
      <c r="CD410" s="386"/>
      <c r="CE410" s="386"/>
      <c r="CF410" s="386"/>
      <c r="CG410" s="386"/>
      <c r="CH410" s="386"/>
      <c r="CI410" s="386"/>
      <c r="CJ410" s="386"/>
      <c r="CK410" s="386"/>
      <c r="CL410" s="386"/>
    </row>
    <row r="411" spans="2:90" ht="12.75" customHeight="1" x14ac:dyDescent="0.15">
      <c r="B411" s="57"/>
      <c r="C411" s="57"/>
      <c r="D411" s="58"/>
      <c r="E411" s="59"/>
      <c r="F411" s="63"/>
      <c r="G411" s="63"/>
      <c r="H411" s="63"/>
      <c r="I411" s="63"/>
      <c r="J411" s="65"/>
      <c r="K411" s="392"/>
      <c r="L411" s="65"/>
      <c r="M411" s="65"/>
      <c r="N411" s="65"/>
      <c r="O411" s="386"/>
      <c r="P411" s="386"/>
      <c r="Q411" s="386"/>
      <c r="R411" s="386"/>
      <c r="S411" s="386"/>
      <c r="T411" s="386"/>
      <c r="U411" s="386"/>
      <c r="V411" s="386"/>
      <c r="W411" s="386"/>
      <c r="X411" s="386"/>
      <c r="Y411" s="386"/>
      <c r="Z411" s="386"/>
      <c r="AA411" s="386"/>
      <c r="AB411" s="386"/>
      <c r="AC411" s="386"/>
      <c r="AD411" s="386"/>
      <c r="AE411" s="386"/>
      <c r="AF411" s="386"/>
      <c r="AG411" s="386"/>
      <c r="AH411" s="386"/>
      <c r="AI411" s="386"/>
      <c r="AJ411" s="386"/>
      <c r="AK411" s="386"/>
      <c r="AL411" s="386"/>
      <c r="AM411" s="386"/>
      <c r="AN411" s="386"/>
      <c r="AO411" s="386"/>
      <c r="AP411" s="386"/>
      <c r="AQ411" s="386"/>
      <c r="AR411" s="386"/>
      <c r="AS411" s="386"/>
      <c r="AT411" s="386"/>
      <c r="AU411" s="386"/>
      <c r="AV411" s="386"/>
      <c r="AW411" s="386"/>
      <c r="AX411" s="386"/>
      <c r="AY411" s="386"/>
      <c r="AZ411" s="386"/>
      <c r="BA411" s="386"/>
      <c r="BB411" s="386"/>
      <c r="BC411" s="386"/>
      <c r="BD411" s="386"/>
      <c r="BE411" s="386"/>
      <c r="BF411" s="386"/>
      <c r="BG411" s="386"/>
      <c r="BH411" s="386"/>
      <c r="BI411" s="386"/>
      <c r="BJ411" s="386"/>
      <c r="BK411" s="386"/>
      <c r="BL411" s="386"/>
      <c r="BM411" s="386"/>
      <c r="BN411" s="386"/>
      <c r="BO411" s="386"/>
      <c r="BP411" s="386"/>
      <c r="BQ411" s="386"/>
      <c r="BR411" s="386"/>
      <c r="BS411" s="386"/>
      <c r="BT411" s="386"/>
      <c r="BU411" s="386"/>
      <c r="BV411" s="386"/>
      <c r="BW411" s="386"/>
      <c r="BX411" s="386"/>
      <c r="BY411" s="386"/>
      <c r="BZ411" s="386"/>
      <c r="CA411" s="386"/>
      <c r="CB411" s="386"/>
      <c r="CC411" s="386"/>
      <c r="CD411" s="386"/>
      <c r="CE411" s="386"/>
      <c r="CF411" s="386"/>
      <c r="CG411" s="386"/>
      <c r="CH411" s="386"/>
      <c r="CI411" s="386"/>
      <c r="CJ411" s="386"/>
      <c r="CK411" s="386"/>
      <c r="CL411" s="386"/>
    </row>
    <row r="412" spans="2:90" ht="12.75" customHeight="1" x14ac:dyDescent="0.15">
      <c r="B412" s="57"/>
      <c r="C412" s="57"/>
      <c r="D412" s="58"/>
      <c r="E412" s="59"/>
      <c r="F412" s="63"/>
      <c r="G412" s="63"/>
      <c r="H412" s="63"/>
      <c r="I412" s="63"/>
      <c r="J412" s="65"/>
      <c r="K412" s="392"/>
      <c r="L412" s="65"/>
      <c r="M412" s="65"/>
      <c r="N412" s="65"/>
      <c r="O412" s="386"/>
      <c r="P412" s="386"/>
      <c r="Q412" s="386"/>
      <c r="R412" s="386"/>
      <c r="S412" s="386"/>
      <c r="T412" s="386"/>
      <c r="U412" s="386"/>
      <c r="V412" s="386"/>
      <c r="W412" s="386"/>
      <c r="X412" s="386"/>
      <c r="Y412" s="386"/>
      <c r="Z412" s="386"/>
      <c r="AA412" s="386"/>
      <c r="AB412" s="386"/>
      <c r="AC412" s="386"/>
      <c r="AD412" s="386"/>
      <c r="AE412" s="386"/>
      <c r="AF412" s="386"/>
      <c r="AG412" s="386"/>
      <c r="AH412" s="386"/>
      <c r="AI412" s="386"/>
      <c r="AJ412" s="386"/>
      <c r="AK412" s="386"/>
      <c r="AL412" s="386"/>
      <c r="AM412" s="386"/>
      <c r="AN412" s="386"/>
      <c r="AO412" s="386"/>
      <c r="AP412" s="386"/>
      <c r="AQ412" s="386"/>
      <c r="AR412" s="386"/>
      <c r="AS412" s="386"/>
      <c r="AT412" s="386"/>
      <c r="AU412" s="386"/>
      <c r="AV412" s="386"/>
      <c r="AW412" s="386"/>
      <c r="AX412" s="386"/>
      <c r="AY412" s="386"/>
      <c r="AZ412" s="386"/>
      <c r="BA412" s="386"/>
      <c r="BB412" s="386"/>
      <c r="BC412" s="386"/>
      <c r="BD412" s="386"/>
      <c r="BE412" s="386"/>
      <c r="BF412" s="386"/>
      <c r="BG412" s="386"/>
      <c r="BH412" s="386"/>
      <c r="BI412" s="386"/>
      <c r="BJ412" s="386"/>
      <c r="BK412" s="386"/>
      <c r="BL412" s="386"/>
      <c r="BM412" s="386"/>
      <c r="BN412" s="386"/>
      <c r="BO412" s="386"/>
      <c r="BP412" s="386"/>
      <c r="BQ412" s="386"/>
      <c r="BR412" s="386"/>
      <c r="BS412" s="386"/>
      <c r="BT412" s="386"/>
      <c r="BU412" s="386"/>
      <c r="BV412" s="386"/>
      <c r="BW412" s="386"/>
      <c r="BX412" s="386"/>
      <c r="BY412" s="386"/>
      <c r="BZ412" s="386"/>
      <c r="CA412" s="386"/>
      <c r="CB412" s="386"/>
      <c r="CC412" s="386"/>
      <c r="CD412" s="386"/>
      <c r="CE412" s="386"/>
      <c r="CF412" s="386"/>
      <c r="CG412" s="386"/>
      <c r="CH412" s="386"/>
      <c r="CI412" s="386"/>
      <c r="CJ412" s="386"/>
      <c r="CK412" s="386"/>
      <c r="CL412" s="386"/>
    </row>
    <row r="413" spans="2:90" ht="12.75" customHeight="1" x14ac:dyDescent="0.15">
      <c r="B413" s="57"/>
      <c r="C413" s="57"/>
      <c r="D413" s="58"/>
      <c r="E413" s="59"/>
      <c r="F413" s="63"/>
      <c r="G413" s="63"/>
      <c r="H413" s="63"/>
      <c r="I413" s="63"/>
      <c r="J413" s="65"/>
      <c r="K413" s="392"/>
      <c r="L413" s="65"/>
      <c r="M413" s="65"/>
      <c r="N413" s="65"/>
      <c r="O413" s="386"/>
      <c r="P413" s="386"/>
      <c r="Q413" s="386"/>
      <c r="R413" s="386"/>
      <c r="S413" s="386"/>
      <c r="T413" s="386"/>
      <c r="U413" s="386"/>
      <c r="V413" s="386"/>
      <c r="W413" s="386"/>
      <c r="X413" s="386"/>
      <c r="Y413" s="386"/>
      <c r="Z413" s="386"/>
      <c r="AA413" s="386"/>
      <c r="AB413" s="386"/>
      <c r="AC413" s="386"/>
      <c r="AD413" s="386"/>
      <c r="AE413" s="386"/>
      <c r="AF413" s="386"/>
      <c r="AG413" s="386"/>
      <c r="AH413" s="386"/>
      <c r="AI413" s="386"/>
      <c r="AJ413" s="386"/>
      <c r="AK413" s="386"/>
      <c r="AL413" s="386"/>
      <c r="AM413" s="386"/>
      <c r="AN413" s="386"/>
      <c r="AO413" s="386"/>
      <c r="AP413" s="386"/>
      <c r="AQ413" s="386"/>
      <c r="AR413" s="386"/>
      <c r="AS413" s="386"/>
      <c r="AT413" s="386"/>
      <c r="AU413" s="386"/>
      <c r="AV413" s="386"/>
      <c r="AW413" s="386"/>
      <c r="AX413" s="386"/>
      <c r="AY413" s="386"/>
      <c r="AZ413" s="386"/>
      <c r="BA413" s="386"/>
      <c r="BB413" s="386"/>
      <c r="BC413" s="386"/>
      <c r="BD413" s="386"/>
      <c r="BE413" s="386"/>
      <c r="BF413" s="386"/>
      <c r="BG413" s="386"/>
      <c r="BH413" s="386"/>
      <c r="BI413" s="386"/>
      <c r="BJ413" s="386"/>
      <c r="BK413" s="386"/>
      <c r="BL413" s="386"/>
      <c r="BM413" s="386"/>
      <c r="BN413" s="386"/>
      <c r="BO413" s="386"/>
      <c r="BP413" s="386"/>
      <c r="BQ413" s="386"/>
      <c r="BR413" s="386"/>
      <c r="BS413" s="386"/>
      <c r="BT413" s="386"/>
      <c r="BU413" s="386"/>
      <c r="BV413" s="386"/>
      <c r="BW413" s="386"/>
      <c r="BX413" s="386"/>
      <c r="BY413" s="386"/>
      <c r="BZ413" s="386"/>
      <c r="CA413" s="386"/>
      <c r="CB413" s="386"/>
      <c r="CC413" s="386"/>
      <c r="CD413" s="386"/>
      <c r="CE413" s="386"/>
      <c r="CF413" s="386"/>
      <c r="CG413" s="386"/>
      <c r="CH413" s="386"/>
      <c r="CI413" s="386"/>
      <c r="CJ413" s="386"/>
      <c r="CK413" s="386"/>
      <c r="CL413" s="386"/>
    </row>
    <row r="414" spans="2:90" ht="12.75" customHeight="1" x14ac:dyDescent="0.15">
      <c r="B414" s="57"/>
      <c r="C414" s="57"/>
      <c r="D414" s="58"/>
      <c r="E414" s="59"/>
      <c r="F414" s="63"/>
      <c r="G414" s="63"/>
      <c r="H414" s="63"/>
      <c r="I414" s="63"/>
      <c r="J414" s="65"/>
      <c r="K414" s="392"/>
      <c r="L414" s="65"/>
      <c r="M414" s="65"/>
      <c r="N414" s="65"/>
      <c r="O414" s="386"/>
      <c r="P414" s="386"/>
      <c r="Q414" s="386"/>
      <c r="R414" s="386"/>
      <c r="S414" s="386"/>
      <c r="T414" s="386"/>
      <c r="U414" s="386"/>
      <c r="V414" s="386"/>
      <c r="W414" s="386"/>
      <c r="X414" s="386"/>
      <c r="Y414" s="386"/>
      <c r="Z414" s="386"/>
      <c r="AA414" s="386"/>
      <c r="AB414" s="386"/>
      <c r="AC414" s="386"/>
      <c r="AD414" s="386"/>
      <c r="AE414" s="386"/>
      <c r="AF414" s="386"/>
      <c r="AG414" s="386"/>
      <c r="AH414" s="386"/>
      <c r="AI414" s="386"/>
      <c r="AJ414" s="386"/>
      <c r="AK414" s="386"/>
      <c r="AL414" s="386"/>
      <c r="AM414" s="386"/>
      <c r="AN414" s="386"/>
      <c r="AO414" s="386"/>
      <c r="AP414" s="386"/>
      <c r="AQ414" s="386"/>
      <c r="AR414" s="386"/>
      <c r="AS414" s="386"/>
      <c r="AT414" s="386"/>
      <c r="AU414" s="386"/>
      <c r="AV414" s="386"/>
      <c r="AW414" s="386"/>
      <c r="AX414" s="386"/>
      <c r="AY414" s="386"/>
      <c r="AZ414" s="386"/>
      <c r="BA414" s="386"/>
      <c r="BB414" s="386"/>
      <c r="BC414" s="386"/>
      <c r="BD414" s="386"/>
      <c r="BE414" s="386"/>
      <c r="BF414" s="386"/>
      <c r="BG414" s="386"/>
      <c r="BH414" s="386"/>
      <c r="BI414" s="386"/>
      <c r="BJ414" s="386"/>
      <c r="BK414" s="386"/>
      <c r="BL414" s="386"/>
      <c r="BM414" s="386"/>
      <c r="BN414" s="386"/>
      <c r="BO414" s="386"/>
      <c r="BP414" s="386"/>
      <c r="BQ414" s="386"/>
      <c r="BR414" s="386"/>
      <c r="BS414" s="386"/>
      <c r="BT414" s="386"/>
      <c r="BU414" s="386"/>
      <c r="BV414" s="386"/>
      <c r="BW414" s="386"/>
      <c r="BX414" s="386"/>
      <c r="BY414" s="386"/>
      <c r="BZ414" s="386"/>
      <c r="CA414" s="386"/>
      <c r="CB414" s="386"/>
      <c r="CC414" s="386"/>
      <c r="CD414" s="386"/>
      <c r="CE414" s="386"/>
      <c r="CF414" s="386"/>
      <c r="CG414" s="386"/>
      <c r="CH414" s="386"/>
      <c r="CI414" s="386"/>
      <c r="CJ414" s="386"/>
      <c r="CK414" s="386"/>
      <c r="CL414" s="386"/>
    </row>
    <row r="415" spans="2:90" ht="12.75" customHeight="1" x14ac:dyDescent="0.15">
      <c r="B415" s="57"/>
      <c r="C415" s="57"/>
      <c r="D415" s="58"/>
      <c r="E415" s="59"/>
      <c r="F415" s="63"/>
      <c r="G415" s="63"/>
      <c r="H415" s="63"/>
      <c r="I415" s="63"/>
      <c r="J415" s="65"/>
      <c r="K415" s="392"/>
      <c r="L415" s="65"/>
      <c r="M415" s="65"/>
      <c r="N415" s="65"/>
      <c r="O415" s="386"/>
      <c r="P415" s="386"/>
      <c r="Q415" s="386"/>
      <c r="R415" s="386"/>
      <c r="S415" s="386"/>
      <c r="T415" s="386"/>
      <c r="U415" s="386"/>
      <c r="V415" s="386"/>
      <c r="W415" s="386"/>
      <c r="X415" s="386"/>
      <c r="Y415" s="386"/>
      <c r="Z415" s="386"/>
      <c r="AA415" s="386"/>
      <c r="AB415" s="386"/>
      <c r="AC415" s="386"/>
      <c r="AD415" s="386"/>
      <c r="AE415" s="386"/>
      <c r="AF415" s="386"/>
      <c r="AG415" s="386"/>
      <c r="AH415" s="386"/>
      <c r="AI415" s="386"/>
      <c r="AJ415" s="386"/>
      <c r="AK415" s="386"/>
      <c r="AL415" s="386"/>
      <c r="AM415" s="386"/>
      <c r="AN415" s="386"/>
      <c r="AO415" s="386"/>
      <c r="AP415" s="386"/>
      <c r="AQ415" s="386"/>
      <c r="AR415" s="386"/>
      <c r="AS415" s="386"/>
      <c r="AT415" s="386"/>
      <c r="AU415" s="386"/>
      <c r="AV415" s="386"/>
      <c r="AW415" s="386"/>
      <c r="AX415" s="386"/>
      <c r="AY415" s="386"/>
      <c r="AZ415" s="386"/>
      <c r="BA415" s="386"/>
      <c r="BB415" s="386"/>
      <c r="BC415" s="386"/>
      <c r="BD415" s="386"/>
      <c r="BE415" s="386"/>
      <c r="BF415" s="386"/>
      <c r="BG415" s="386"/>
      <c r="BH415" s="386"/>
      <c r="BI415" s="386"/>
      <c r="BJ415" s="386"/>
      <c r="BK415" s="386"/>
      <c r="BL415" s="386"/>
      <c r="BM415" s="386"/>
      <c r="BN415" s="386"/>
      <c r="BO415" s="386"/>
      <c r="BP415" s="386"/>
      <c r="BQ415" s="386"/>
      <c r="BR415" s="386"/>
      <c r="BS415" s="386"/>
      <c r="BT415" s="386"/>
      <c r="BU415" s="386"/>
      <c r="BV415" s="386"/>
      <c r="BW415" s="386"/>
      <c r="BX415" s="386"/>
      <c r="BY415" s="386"/>
      <c r="BZ415" s="386"/>
      <c r="CA415" s="386"/>
      <c r="CB415" s="386"/>
      <c r="CC415" s="386"/>
      <c r="CD415" s="386"/>
      <c r="CE415" s="386"/>
      <c r="CF415" s="386"/>
      <c r="CG415" s="386"/>
      <c r="CH415" s="386"/>
      <c r="CI415" s="386"/>
      <c r="CJ415" s="386"/>
      <c r="CK415" s="386"/>
      <c r="CL415" s="386"/>
    </row>
    <row r="416" spans="2:90" ht="12.75" customHeight="1" x14ac:dyDescent="0.15">
      <c r="B416" s="57"/>
      <c r="C416" s="57"/>
      <c r="D416" s="58"/>
      <c r="E416" s="59"/>
      <c r="F416" s="63"/>
      <c r="G416" s="63"/>
      <c r="H416" s="63"/>
      <c r="I416" s="63"/>
      <c r="J416" s="65"/>
      <c r="K416" s="392"/>
      <c r="L416" s="65"/>
      <c r="M416" s="65"/>
      <c r="N416" s="65"/>
      <c r="O416" s="386"/>
      <c r="P416" s="386"/>
      <c r="Q416" s="386"/>
      <c r="R416" s="386"/>
      <c r="S416" s="386"/>
      <c r="T416" s="386"/>
      <c r="U416" s="386"/>
      <c r="V416" s="386"/>
      <c r="W416" s="386"/>
      <c r="X416" s="386"/>
      <c r="Y416" s="386"/>
      <c r="Z416" s="386"/>
      <c r="AA416" s="386"/>
      <c r="AB416" s="386"/>
      <c r="AC416" s="386"/>
      <c r="AD416" s="386"/>
      <c r="AE416" s="386"/>
      <c r="AF416" s="386"/>
      <c r="AG416" s="386"/>
      <c r="AH416" s="386"/>
      <c r="AI416" s="386"/>
      <c r="AJ416" s="386"/>
      <c r="AK416" s="386"/>
      <c r="AL416" s="386"/>
      <c r="AM416" s="386"/>
      <c r="AN416" s="386"/>
      <c r="AO416" s="386"/>
      <c r="AP416" s="386"/>
      <c r="AQ416" s="386"/>
      <c r="AR416" s="386"/>
      <c r="AS416" s="386"/>
      <c r="AT416" s="386"/>
      <c r="AU416" s="386"/>
      <c r="AV416" s="386"/>
      <c r="AW416" s="386"/>
      <c r="AX416" s="386"/>
      <c r="AY416" s="386"/>
      <c r="AZ416" s="386"/>
      <c r="BA416" s="386"/>
      <c r="BB416" s="386"/>
      <c r="BC416" s="386"/>
      <c r="BD416" s="386"/>
      <c r="BE416" s="386"/>
      <c r="BF416" s="386"/>
      <c r="BG416" s="386"/>
      <c r="BH416" s="386"/>
      <c r="BI416" s="386"/>
      <c r="BJ416" s="386"/>
      <c r="BK416" s="386"/>
      <c r="BL416" s="386"/>
      <c r="BM416" s="386"/>
      <c r="BN416" s="386"/>
      <c r="BO416" s="386"/>
      <c r="BP416" s="386"/>
      <c r="BQ416" s="386"/>
      <c r="BR416" s="386"/>
      <c r="BS416" s="386"/>
      <c r="BT416" s="386"/>
      <c r="BU416" s="386"/>
      <c r="BV416" s="386"/>
      <c r="BW416" s="386"/>
      <c r="BX416" s="386"/>
      <c r="BY416" s="386"/>
      <c r="BZ416" s="386"/>
      <c r="CA416" s="386"/>
      <c r="CB416" s="386"/>
      <c r="CC416" s="386"/>
      <c r="CD416" s="386"/>
      <c r="CE416" s="386"/>
      <c r="CF416" s="386"/>
      <c r="CG416" s="386"/>
      <c r="CH416" s="386"/>
      <c r="CI416" s="386"/>
      <c r="CJ416" s="386"/>
      <c r="CK416" s="386"/>
      <c r="CL416" s="386"/>
    </row>
    <row r="417" spans="2:90" ht="12.75" customHeight="1" x14ac:dyDescent="0.15">
      <c r="B417" s="57"/>
      <c r="C417" s="57"/>
      <c r="D417" s="58"/>
      <c r="E417" s="59"/>
      <c r="F417" s="63"/>
      <c r="G417" s="63"/>
      <c r="H417" s="63"/>
      <c r="I417" s="63"/>
      <c r="J417" s="65"/>
      <c r="K417" s="392"/>
      <c r="L417" s="65"/>
      <c r="M417" s="65"/>
      <c r="N417" s="65"/>
      <c r="O417" s="386"/>
      <c r="P417" s="386"/>
      <c r="Q417" s="386"/>
      <c r="R417" s="386"/>
      <c r="S417" s="386"/>
      <c r="T417" s="386"/>
      <c r="U417" s="386"/>
      <c r="V417" s="386"/>
      <c r="W417" s="386"/>
      <c r="X417" s="386"/>
      <c r="Y417" s="386"/>
      <c r="Z417" s="386"/>
      <c r="AA417" s="386"/>
      <c r="AB417" s="386"/>
      <c r="AC417" s="386"/>
      <c r="AD417" s="386"/>
      <c r="AE417" s="386"/>
      <c r="AF417" s="386"/>
      <c r="AG417" s="386"/>
      <c r="AH417" s="386"/>
      <c r="AI417" s="386"/>
      <c r="AJ417" s="386"/>
      <c r="AK417" s="386"/>
      <c r="AL417" s="386"/>
      <c r="AM417" s="386"/>
      <c r="AN417" s="386"/>
      <c r="AO417" s="386"/>
      <c r="AP417" s="386"/>
      <c r="AQ417" s="386"/>
      <c r="AR417" s="386"/>
      <c r="AS417" s="386"/>
      <c r="AT417" s="386"/>
      <c r="AU417" s="386"/>
      <c r="AV417" s="386"/>
      <c r="AW417" s="386"/>
      <c r="AX417" s="386"/>
      <c r="AY417" s="386"/>
      <c r="AZ417" s="386"/>
      <c r="BA417" s="386"/>
      <c r="BB417" s="386"/>
      <c r="BC417" s="386"/>
      <c r="BD417" s="386"/>
      <c r="BE417" s="386"/>
      <c r="BF417" s="386"/>
      <c r="BG417" s="386"/>
      <c r="BH417" s="386"/>
      <c r="BI417" s="386"/>
      <c r="BJ417" s="386"/>
      <c r="BK417" s="386"/>
      <c r="BL417" s="386"/>
      <c r="BM417" s="386"/>
      <c r="BN417" s="386"/>
      <c r="BO417" s="386"/>
      <c r="BP417" s="386"/>
      <c r="BQ417" s="386"/>
      <c r="BR417" s="386"/>
      <c r="BS417" s="386"/>
      <c r="BT417" s="386"/>
      <c r="BU417" s="386"/>
      <c r="BV417" s="386"/>
      <c r="BW417" s="386"/>
      <c r="BX417" s="386"/>
      <c r="BY417" s="386"/>
      <c r="BZ417" s="386"/>
      <c r="CA417" s="386"/>
      <c r="CB417" s="386"/>
      <c r="CC417" s="386"/>
      <c r="CD417" s="386"/>
      <c r="CE417" s="386"/>
      <c r="CF417" s="386"/>
      <c r="CG417" s="386"/>
      <c r="CH417" s="386"/>
      <c r="CI417" s="386"/>
      <c r="CJ417" s="386"/>
      <c r="CK417" s="386"/>
      <c r="CL417" s="386"/>
    </row>
    <row r="418" spans="2:90" ht="12.75" customHeight="1" x14ac:dyDescent="0.15">
      <c r="B418" s="57"/>
      <c r="C418" s="57"/>
      <c r="D418" s="58"/>
      <c r="E418" s="59"/>
      <c r="F418" s="63"/>
      <c r="G418" s="63"/>
      <c r="H418" s="63"/>
      <c r="I418" s="63"/>
      <c r="J418" s="65"/>
      <c r="K418" s="392"/>
      <c r="L418" s="65"/>
      <c r="M418" s="65"/>
      <c r="N418" s="65"/>
      <c r="O418" s="386"/>
      <c r="P418" s="386"/>
      <c r="Q418" s="386"/>
      <c r="R418" s="386"/>
      <c r="S418" s="386"/>
      <c r="T418" s="386"/>
      <c r="U418" s="386"/>
      <c r="V418" s="386"/>
      <c r="W418" s="386"/>
      <c r="X418" s="386"/>
      <c r="Y418" s="386"/>
      <c r="Z418" s="386"/>
      <c r="AA418" s="386"/>
      <c r="AB418" s="386"/>
      <c r="AC418" s="386"/>
      <c r="AD418" s="386"/>
      <c r="AE418" s="386"/>
      <c r="AF418" s="386"/>
      <c r="AG418" s="386"/>
      <c r="AH418" s="386"/>
      <c r="AI418" s="386"/>
      <c r="AJ418" s="386"/>
      <c r="AK418" s="386"/>
      <c r="AL418" s="386"/>
      <c r="AM418" s="386"/>
      <c r="AN418" s="386"/>
      <c r="AO418" s="386"/>
      <c r="AP418" s="386"/>
      <c r="AQ418" s="386"/>
      <c r="AR418" s="386"/>
      <c r="AS418" s="386"/>
      <c r="AT418" s="386"/>
      <c r="AU418" s="386"/>
      <c r="AV418" s="386"/>
      <c r="AW418" s="386"/>
      <c r="AX418" s="386"/>
      <c r="AY418" s="386"/>
      <c r="AZ418" s="386"/>
      <c r="BA418" s="386"/>
      <c r="BB418" s="386"/>
      <c r="BC418" s="386"/>
      <c r="BD418" s="386"/>
      <c r="BE418" s="386"/>
      <c r="BF418" s="386"/>
      <c r="BG418" s="386"/>
      <c r="BH418" s="386"/>
      <c r="BI418" s="386"/>
      <c r="BJ418" s="386"/>
      <c r="BK418" s="386"/>
      <c r="BL418" s="386"/>
      <c r="BM418" s="386"/>
      <c r="BN418" s="386"/>
      <c r="BO418" s="386"/>
      <c r="BP418" s="386"/>
      <c r="BQ418" s="386"/>
      <c r="BR418" s="386"/>
      <c r="BS418" s="386"/>
      <c r="BT418" s="386"/>
      <c r="BU418" s="386"/>
      <c r="BV418" s="386"/>
      <c r="BW418" s="386"/>
      <c r="BX418" s="386"/>
      <c r="BY418" s="386"/>
      <c r="BZ418" s="386"/>
      <c r="CA418" s="386"/>
      <c r="CB418" s="386"/>
      <c r="CC418" s="386"/>
      <c r="CD418" s="386"/>
      <c r="CE418" s="386"/>
      <c r="CF418" s="386"/>
      <c r="CG418" s="386"/>
      <c r="CH418" s="386"/>
      <c r="CI418" s="386"/>
      <c r="CJ418" s="386"/>
      <c r="CK418" s="386"/>
      <c r="CL418" s="386"/>
    </row>
    <row r="419" spans="2:90" ht="12.75" customHeight="1" x14ac:dyDescent="0.15">
      <c r="B419" s="57"/>
      <c r="C419" s="57"/>
      <c r="D419" s="58"/>
      <c r="E419" s="59"/>
      <c r="F419" s="63"/>
      <c r="G419" s="63"/>
      <c r="H419" s="63"/>
      <c r="I419" s="63"/>
      <c r="J419" s="65"/>
      <c r="K419" s="392"/>
      <c r="L419" s="65"/>
      <c r="M419" s="65"/>
      <c r="N419" s="65"/>
      <c r="O419" s="386"/>
      <c r="P419" s="386"/>
      <c r="Q419" s="386"/>
      <c r="R419" s="386"/>
      <c r="S419" s="386"/>
      <c r="T419" s="386"/>
      <c r="U419" s="386"/>
      <c r="V419" s="386"/>
      <c r="W419" s="386"/>
      <c r="X419" s="386"/>
      <c r="Y419" s="386"/>
      <c r="Z419" s="386"/>
      <c r="AA419" s="386"/>
      <c r="AB419" s="386"/>
      <c r="AC419" s="386"/>
      <c r="AD419" s="386"/>
      <c r="AE419" s="386"/>
      <c r="AF419" s="386"/>
      <c r="AG419" s="386"/>
      <c r="AH419" s="386"/>
      <c r="AI419" s="386"/>
      <c r="AJ419" s="386"/>
      <c r="AK419" s="386"/>
      <c r="AL419" s="386"/>
      <c r="AM419" s="386"/>
      <c r="AN419" s="386"/>
      <c r="AO419" s="386"/>
      <c r="AP419" s="386"/>
      <c r="AQ419" s="386"/>
      <c r="AR419" s="386"/>
      <c r="AS419" s="386"/>
      <c r="AT419" s="386"/>
      <c r="AU419" s="386"/>
      <c r="AV419" s="386"/>
      <c r="AW419" s="386"/>
      <c r="AX419" s="386"/>
      <c r="AY419" s="386"/>
      <c r="AZ419" s="386"/>
      <c r="BA419" s="386"/>
      <c r="BB419" s="386"/>
      <c r="BC419" s="386"/>
      <c r="BD419" s="386"/>
      <c r="BE419" s="386"/>
      <c r="BF419" s="386"/>
      <c r="BG419" s="386"/>
      <c r="BH419" s="386"/>
      <c r="BI419" s="386"/>
      <c r="BJ419" s="386"/>
      <c r="BK419" s="386"/>
      <c r="BL419" s="386"/>
      <c r="BM419" s="386"/>
      <c r="BN419" s="386"/>
      <c r="BO419" s="386"/>
      <c r="BP419" s="386"/>
      <c r="BQ419" s="386"/>
      <c r="BR419" s="386"/>
      <c r="BS419" s="386"/>
      <c r="BT419" s="386"/>
      <c r="BU419" s="386"/>
      <c r="BV419" s="386"/>
      <c r="BW419" s="386"/>
      <c r="BX419" s="386"/>
      <c r="BY419" s="386"/>
      <c r="BZ419" s="386"/>
      <c r="CA419" s="386"/>
      <c r="CB419" s="386"/>
      <c r="CC419" s="386"/>
      <c r="CD419" s="386"/>
      <c r="CE419" s="386"/>
      <c r="CF419" s="386"/>
      <c r="CG419" s="386"/>
      <c r="CH419" s="386"/>
      <c r="CI419" s="386"/>
      <c r="CJ419" s="386"/>
      <c r="CK419" s="386"/>
      <c r="CL419" s="386"/>
    </row>
    <row r="420" spans="2:90" ht="12.75" customHeight="1" x14ac:dyDescent="0.15">
      <c r="B420" s="57"/>
      <c r="C420" s="57"/>
      <c r="D420" s="58"/>
      <c r="E420" s="59"/>
      <c r="F420" s="63"/>
      <c r="G420" s="63"/>
      <c r="H420" s="63"/>
      <c r="I420" s="63"/>
      <c r="J420" s="65"/>
      <c r="K420" s="392"/>
      <c r="L420" s="65"/>
      <c r="M420" s="65"/>
      <c r="N420" s="65"/>
      <c r="O420" s="386"/>
      <c r="P420" s="386"/>
      <c r="Q420" s="386"/>
      <c r="R420" s="386"/>
      <c r="S420" s="386"/>
      <c r="T420" s="386"/>
      <c r="U420" s="386"/>
      <c r="V420" s="386"/>
      <c r="W420" s="386"/>
      <c r="X420" s="386"/>
      <c r="Y420" s="386"/>
      <c r="Z420" s="386"/>
      <c r="AA420" s="386"/>
      <c r="AB420" s="386"/>
      <c r="AC420" s="386"/>
      <c r="AD420" s="386"/>
      <c r="AE420" s="386"/>
      <c r="AF420" s="386"/>
      <c r="AG420" s="386"/>
      <c r="AH420" s="386"/>
      <c r="AI420" s="386"/>
      <c r="AJ420" s="386"/>
      <c r="AK420" s="386"/>
      <c r="AL420" s="386"/>
      <c r="AM420" s="386"/>
      <c r="AN420" s="386"/>
      <c r="AO420" s="386"/>
      <c r="AP420" s="386"/>
      <c r="AQ420" s="386"/>
      <c r="AR420" s="386"/>
      <c r="AS420" s="386"/>
      <c r="AT420" s="386"/>
      <c r="AU420" s="386"/>
      <c r="AV420" s="386"/>
      <c r="AW420" s="386"/>
      <c r="AX420" s="386"/>
      <c r="AY420" s="386"/>
      <c r="AZ420" s="386"/>
      <c r="BA420" s="386"/>
      <c r="BB420" s="386"/>
      <c r="BC420" s="386"/>
      <c r="BD420" s="386"/>
      <c r="BE420" s="386"/>
      <c r="BF420" s="386"/>
      <c r="BG420" s="386"/>
      <c r="BH420" s="386"/>
      <c r="BI420" s="386"/>
      <c r="BJ420" s="386"/>
      <c r="BK420" s="386"/>
      <c r="BL420" s="386"/>
      <c r="BM420" s="386"/>
      <c r="BN420" s="386"/>
      <c r="BO420" s="386"/>
      <c r="BP420" s="386"/>
      <c r="BQ420" s="386"/>
      <c r="BR420" s="386"/>
      <c r="BS420" s="386"/>
      <c r="BT420" s="386"/>
      <c r="BU420" s="386"/>
      <c r="BV420" s="386"/>
      <c r="BW420" s="386"/>
      <c r="BX420" s="386"/>
      <c r="BY420" s="386"/>
      <c r="BZ420" s="386"/>
      <c r="CA420" s="386"/>
      <c r="CB420" s="386"/>
      <c r="CC420" s="386"/>
      <c r="CD420" s="386"/>
      <c r="CE420" s="386"/>
      <c r="CF420" s="386"/>
      <c r="CG420" s="386"/>
      <c r="CH420" s="386"/>
      <c r="CI420" s="386"/>
      <c r="CJ420" s="386"/>
      <c r="CK420" s="386"/>
      <c r="CL420" s="386"/>
    </row>
    <row r="421" spans="2:90" ht="12.75" customHeight="1" x14ac:dyDescent="0.15">
      <c r="B421" s="57"/>
      <c r="C421" s="57"/>
      <c r="D421" s="58"/>
      <c r="E421" s="59"/>
      <c r="F421" s="63"/>
      <c r="G421" s="63"/>
      <c r="H421" s="63"/>
      <c r="I421" s="63"/>
      <c r="J421" s="65"/>
      <c r="K421" s="392"/>
      <c r="L421" s="65"/>
      <c r="M421" s="65"/>
      <c r="N421" s="65"/>
      <c r="O421" s="386"/>
      <c r="P421" s="386"/>
      <c r="Q421" s="386"/>
      <c r="R421" s="386"/>
      <c r="S421" s="386"/>
      <c r="T421" s="386"/>
      <c r="U421" s="386"/>
      <c r="V421" s="386"/>
      <c r="W421" s="386"/>
      <c r="X421" s="386"/>
      <c r="Y421" s="386"/>
      <c r="Z421" s="386"/>
      <c r="AA421" s="386"/>
      <c r="AB421" s="386"/>
      <c r="AC421" s="386"/>
      <c r="AD421" s="386"/>
      <c r="AE421" s="386"/>
      <c r="AF421" s="386"/>
      <c r="AG421" s="386"/>
      <c r="AH421" s="386"/>
      <c r="AI421" s="386"/>
      <c r="AJ421" s="386"/>
      <c r="AK421" s="386"/>
      <c r="AL421" s="386"/>
      <c r="AM421" s="386"/>
      <c r="AN421" s="386"/>
      <c r="AO421" s="386"/>
      <c r="AP421" s="386"/>
      <c r="AQ421" s="386"/>
      <c r="AR421" s="386"/>
      <c r="AS421" s="386"/>
      <c r="AT421" s="386"/>
      <c r="AU421" s="386"/>
      <c r="AV421" s="386"/>
      <c r="AW421" s="386"/>
      <c r="AX421" s="386"/>
      <c r="AY421" s="386"/>
      <c r="AZ421" s="386"/>
      <c r="BA421" s="386"/>
      <c r="BB421" s="386"/>
      <c r="BC421" s="386"/>
      <c r="BD421" s="386"/>
      <c r="BE421" s="386"/>
      <c r="BF421" s="386"/>
      <c r="BG421" s="386"/>
      <c r="BH421" s="386"/>
      <c r="BI421" s="386"/>
      <c r="BJ421" s="386"/>
      <c r="BK421" s="386"/>
      <c r="BL421" s="386"/>
      <c r="BM421" s="386"/>
      <c r="BN421" s="386"/>
      <c r="BO421" s="386"/>
      <c r="BP421" s="386"/>
      <c r="BQ421" s="386"/>
      <c r="BR421" s="386"/>
      <c r="BS421" s="386"/>
      <c r="BT421" s="386"/>
      <c r="BU421" s="386"/>
      <c r="BV421" s="386"/>
      <c r="BW421" s="386"/>
      <c r="BX421" s="386"/>
      <c r="BY421" s="386"/>
      <c r="BZ421" s="386"/>
      <c r="CA421" s="386"/>
      <c r="CB421" s="386"/>
      <c r="CC421" s="386"/>
      <c r="CD421" s="386"/>
      <c r="CE421" s="386"/>
      <c r="CF421" s="386"/>
      <c r="CG421" s="386"/>
      <c r="CH421" s="386"/>
      <c r="CI421" s="386"/>
      <c r="CJ421" s="386"/>
      <c r="CK421" s="386"/>
      <c r="CL421" s="386"/>
    </row>
    <row r="422" spans="2:90" ht="12.75" customHeight="1" x14ac:dyDescent="0.15">
      <c r="B422" s="57"/>
      <c r="C422" s="57"/>
      <c r="D422" s="58"/>
      <c r="E422" s="59"/>
      <c r="F422" s="63"/>
      <c r="G422" s="63"/>
      <c r="H422" s="63"/>
      <c r="I422" s="63"/>
      <c r="J422" s="65"/>
      <c r="K422" s="392"/>
      <c r="L422" s="65"/>
      <c r="M422" s="65"/>
      <c r="N422" s="65"/>
      <c r="O422" s="386"/>
      <c r="P422" s="386"/>
      <c r="Q422" s="386"/>
      <c r="R422" s="386"/>
      <c r="S422" s="386"/>
      <c r="T422" s="386"/>
      <c r="U422" s="386"/>
      <c r="V422" s="386"/>
      <c r="W422" s="386"/>
      <c r="X422" s="386"/>
      <c r="Y422" s="386"/>
      <c r="Z422" s="386"/>
      <c r="AA422" s="386"/>
      <c r="AB422" s="386"/>
      <c r="AC422" s="386"/>
      <c r="AD422" s="386"/>
      <c r="AE422" s="386"/>
      <c r="AF422" s="386"/>
      <c r="AG422" s="386"/>
      <c r="AH422" s="386"/>
      <c r="AI422" s="386"/>
      <c r="AJ422" s="386"/>
      <c r="AK422" s="386"/>
      <c r="AL422" s="386"/>
      <c r="AM422" s="386"/>
      <c r="AN422" s="386"/>
      <c r="AO422" s="386"/>
      <c r="AP422" s="386"/>
      <c r="AQ422" s="386"/>
      <c r="AR422" s="386"/>
      <c r="AS422" s="386"/>
      <c r="AT422" s="386"/>
      <c r="AU422" s="386"/>
      <c r="AV422" s="386"/>
      <c r="AW422" s="386"/>
      <c r="AX422" s="386"/>
      <c r="AY422" s="386"/>
      <c r="AZ422" s="386"/>
      <c r="BA422" s="386"/>
      <c r="BB422" s="386"/>
      <c r="BC422" s="386"/>
      <c r="BD422" s="386"/>
      <c r="BE422" s="386"/>
      <c r="BF422" s="386"/>
      <c r="BG422" s="386"/>
      <c r="BH422" s="386"/>
      <c r="BI422" s="386"/>
      <c r="BJ422" s="386"/>
      <c r="BK422" s="386"/>
      <c r="BL422" s="386"/>
      <c r="BM422" s="386"/>
      <c r="BN422" s="386"/>
      <c r="BO422" s="386"/>
      <c r="BP422" s="386"/>
      <c r="BQ422" s="386"/>
      <c r="BR422" s="386"/>
      <c r="BS422" s="386"/>
      <c r="BT422" s="386"/>
      <c r="BU422" s="386"/>
      <c r="BV422" s="386"/>
      <c r="BW422" s="386"/>
      <c r="BX422" s="386"/>
      <c r="BY422" s="386"/>
      <c r="BZ422" s="386"/>
      <c r="CA422" s="386"/>
      <c r="CB422" s="386"/>
      <c r="CC422" s="386"/>
      <c r="CD422" s="386"/>
      <c r="CE422" s="386"/>
      <c r="CF422" s="386"/>
      <c r="CG422" s="386"/>
      <c r="CH422" s="386"/>
      <c r="CI422" s="386"/>
      <c r="CJ422" s="386"/>
      <c r="CK422" s="386"/>
      <c r="CL422" s="386"/>
    </row>
    <row r="423" spans="2:90" ht="12.75" customHeight="1" x14ac:dyDescent="0.15">
      <c r="B423" s="57"/>
      <c r="C423" s="57"/>
      <c r="D423" s="58"/>
      <c r="E423" s="59"/>
      <c r="F423" s="63"/>
      <c r="G423" s="63"/>
      <c r="H423" s="63"/>
      <c r="I423" s="63"/>
      <c r="J423" s="65"/>
      <c r="K423" s="392"/>
      <c r="L423" s="65"/>
      <c r="M423" s="65"/>
      <c r="N423" s="65"/>
      <c r="O423" s="386"/>
      <c r="P423" s="386"/>
      <c r="Q423" s="386"/>
      <c r="R423" s="386"/>
      <c r="S423" s="386"/>
      <c r="T423" s="386"/>
      <c r="U423" s="386"/>
      <c r="V423" s="386"/>
      <c r="W423" s="386"/>
      <c r="X423" s="386"/>
      <c r="Y423" s="386"/>
      <c r="Z423" s="386"/>
      <c r="AA423" s="386"/>
      <c r="AB423" s="386"/>
      <c r="AC423" s="386"/>
      <c r="AD423" s="386"/>
      <c r="AE423" s="386"/>
      <c r="AF423" s="386"/>
      <c r="AG423" s="386"/>
      <c r="AH423" s="386"/>
      <c r="AI423" s="386"/>
      <c r="AJ423" s="386"/>
      <c r="AK423" s="386"/>
      <c r="AL423" s="386"/>
      <c r="AM423" s="386"/>
      <c r="AN423" s="386"/>
      <c r="AO423" s="386"/>
      <c r="AP423" s="386"/>
      <c r="AQ423" s="386"/>
      <c r="AR423" s="386"/>
      <c r="AS423" s="386"/>
      <c r="AT423" s="386"/>
      <c r="AU423" s="386"/>
      <c r="AV423" s="386"/>
      <c r="AW423" s="386"/>
      <c r="AX423" s="386"/>
      <c r="AY423" s="386"/>
      <c r="AZ423" s="386"/>
      <c r="BA423" s="386"/>
      <c r="BB423" s="386"/>
      <c r="BC423" s="386"/>
      <c r="BD423" s="386"/>
      <c r="BE423" s="386"/>
      <c r="BF423" s="386"/>
      <c r="BG423" s="386"/>
      <c r="BH423" s="386"/>
      <c r="BI423" s="386"/>
      <c r="BJ423" s="386"/>
      <c r="BK423" s="386"/>
      <c r="BL423" s="386"/>
      <c r="BM423" s="386"/>
      <c r="BN423" s="386"/>
      <c r="BO423" s="386"/>
      <c r="BP423" s="386"/>
      <c r="BQ423" s="386"/>
      <c r="BR423" s="386"/>
      <c r="BS423" s="386"/>
      <c r="BT423" s="386"/>
      <c r="BU423" s="386"/>
      <c r="BV423" s="386"/>
      <c r="BW423" s="386"/>
      <c r="BX423" s="386"/>
      <c r="BY423" s="386"/>
      <c r="BZ423" s="386"/>
      <c r="CA423" s="386"/>
      <c r="CB423" s="386"/>
      <c r="CC423" s="386"/>
      <c r="CD423" s="386"/>
      <c r="CE423" s="386"/>
      <c r="CF423" s="386"/>
      <c r="CG423" s="386"/>
      <c r="CH423" s="386"/>
      <c r="CI423" s="386"/>
      <c r="CJ423" s="386"/>
      <c r="CK423" s="386"/>
      <c r="CL423" s="386"/>
    </row>
    <row r="424" spans="2:90" ht="12.75" customHeight="1" x14ac:dyDescent="0.15">
      <c r="B424" s="57"/>
      <c r="C424" s="57"/>
      <c r="D424" s="58"/>
      <c r="E424" s="59"/>
      <c r="F424" s="63"/>
      <c r="G424" s="63"/>
      <c r="H424" s="63"/>
      <c r="I424" s="63"/>
      <c r="J424" s="65"/>
      <c r="K424" s="392"/>
      <c r="L424" s="65"/>
      <c r="M424" s="65"/>
      <c r="N424" s="65"/>
      <c r="O424" s="386"/>
      <c r="P424" s="386"/>
      <c r="Q424" s="386"/>
      <c r="R424" s="386"/>
      <c r="S424" s="386"/>
      <c r="T424" s="386"/>
      <c r="U424" s="386"/>
      <c r="V424" s="386"/>
      <c r="W424" s="386"/>
      <c r="X424" s="386"/>
      <c r="Y424" s="386"/>
      <c r="Z424" s="386"/>
      <c r="AA424" s="386"/>
      <c r="AB424" s="386"/>
      <c r="AC424" s="386"/>
      <c r="AD424" s="386"/>
      <c r="AE424" s="386"/>
      <c r="AF424" s="386"/>
      <c r="AG424" s="386"/>
      <c r="AH424" s="386"/>
      <c r="AI424" s="386"/>
      <c r="AJ424" s="386"/>
      <c r="AK424" s="386"/>
      <c r="AL424" s="386"/>
      <c r="AM424" s="386"/>
      <c r="AN424" s="386"/>
      <c r="AO424" s="386"/>
      <c r="AP424" s="386"/>
      <c r="AQ424" s="386"/>
      <c r="AR424" s="386"/>
      <c r="AS424" s="386"/>
      <c r="AT424" s="386"/>
      <c r="AU424" s="386"/>
      <c r="AV424" s="386"/>
      <c r="AW424" s="386"/>
      <c r="AX424" s="386"/>
      <c r="AY424" s="386"/>
      <c r="AZ424" s="386"/>
      <c r="BA424" s="386"/>
      <c r="BB424" s="386"/>
      <c r="BC424" s="386"/>
      <c r="BD424" s="386"/>
      <c r="BE424" s="386"/>
      <c r="BF424" s="386"/>
      <c r="BG424" s="386"/>
      <c r="BH424" s="386"/>
      <c r="BI424" s="386"/>
      <c r="BJ424" s="386"/>
      <c r="BK424" s="386"/>
      <c r="BL424" s="386"/>
      <c r="BM424" s="386"/>
      <c r="BN424" s="386"/>
      <c r="BO424" s="386"/>
      <c r="BP424" s="386"/>
      <c r="BQ424" s="386"/>
      <c r="BR424" s="386"/>
      <c r="BS424" s="386"/>
      <c r="BT424" s="386"/>
      <c r="BU424" s="386"/>
      <c r="BV424" s="386"/>
      <c r="BW424" s="386"/>
      <c r="BX424" s="386"/>
      <c r="BY424" s="386"/>
      <c r="BZ424" s="386"/>
      <c r="CA424" s="386"/>
      <c r="CB424" s="386"/>
      <c r="CC424" s="386"/>
      <c r="CD424" s="386"/>
      <c r="CE424" s="386"/>
      <c r="CF424" s="386"/>
      <c r="CG424" s="386"/>
      <c r="CH424" s="386"/>
      <c r="CI424" s="386"/>
      <c r="CJ424" s="386"/>
      <c r="CK424" s="386"/>
      <c r="CL424" s="386"/>
    </row>
    <row r="425" spans="2:90" ht="12.75" customHeight="1" x14ac:dyDescent="0.15">
      <c r="B425" s="57"/>
      <c r="C425" s="57"/>
      <c r="D425" s="58"/>
      <c r="E425" s="59"/>
      <c r="F425" s="63"/>
      <c r="G425" s="63"/>
      <c r="H425" s="63"/>
      <c r="I425" s="63"/>
      <c r="J425" s="65"/>
      <c r="K425" s="392"/>
      <c r="L425" s="65"/>
      <c r="M425" s="65"/>
      <c r="N425" s="65"/>
      <c r="O425" s="386"/>
      <c r="P425" s="386"/>
      <c r="Q425" s="386"/>
      <c r="R425" s="386"/>
      <c r="S425" s="386"/>
      <c r="T425" s="386"/>
      <c r="U425" s="386"/>
      <c r="V425" s="386"/>
      <c r="W425" s="386"/>
      <c r="X425" s="386"/>
      <c r="Y425" s="386"/>
      <c r="Z425" s="386"/>
      <c r="AA425" s="386"/>
      <c r="AB425" s="386"/>
      <c r="AC425" s="386"/>
      <c r="AD425" s="386"/>
      <c r="AE425" s="386"/>
      <c r="AF425" s="386"/>
      <c r="AG425" s="386"/>
      <c r="AH425" s="386"/>
      <c r="AI425" s="386"/>
      <c r="AJ425" s="386"/>
      <c r="AK425" s="386"/>
      <c r="AL425" s="386"/>
      <c r="AM425" s="386"/>
      <c r="AN425" s="386"/>
      <c r="AO425" s="386"/>
      <c r="AP425" s="386"/>
      <c r="AQ425" s="386"/>
      <c r="AR425" s="386"/>
      <c r="AS425" s="386"/>
      <c r="AT425" s="386"/>
      <c r="AU425" s="386"/>
      <c r="AV425" s="386"/>
      <c r="AW425" s="386"/>
      <c r="AX425" s="386"/>
      <c r="AY425" s="386"/>
      <c r="AZ425" s="386"/>
      <c r="BA425" s="386"/>
      <c r="BB425" s="386"/>
      <c r="BC425" s="386"/>
      <c r="BD425" s="386"/>
      <c r="BE425" s="386"/>
      <c r="BF425" s="386"/>
      <c r="BG425" s="386"/>
      <c r="BH425" s="386"/>
      <c r="BI425" s="386"/>
      <c r="BJ425" s="386"/>
      <c r="BK425" s="386"/>
      <c r="BL425" s="386"/>
      <c r="BM425" s="386"/>
      <c r="BN425" s="386"/>
      <c r="BO425" s="386"/>
      <c r="BP425" s="386"/>
      <c r="BQ425" s="386"/>
      <c r="BR425" s="386"/>
      <c r="BS425" s="386"/>
      <c r="BT425" s="386"/>
      <c r="BU425" s="386"/>
      <c r="BV425" s="386"/>
      <c r="BW425" s="386"/>
      <c r="BX425" s="386"/>
      <c r="BY425" s="386"/>
      <c r="BZ425" s="386"/>
      <c r="CA425" s="386"/>
      <c r="CB425" s="386"/>
      <c r="CC425" s="386"/>
      <c r="CD425" s="386"/>
      <c r="CE425" s="386"/>
      <c r="CF425" s="386"/>
      <c r="CG425" s="386"/>
      <c r="CH425" s="386"/>
      <c r="CI425" s="386"/>
      <c r="CJ425" s="386"/>
      <c r="CK425" s="386"/>
      <c r="CL425" s="386"/>
    </row>
    <row r="426" spans="2:90" ht="12.75" customHeight="1" x14ac:dyDescent="0.15">
      <c r="B426" s="57"/>
      <c r="C426" s="57"/>
      <c r="D426" s="58"/>
      <c r="E426" s="59"/>
      <c r="F426" s="63"/>
      <c r="G426" s="63"/>
      <c r="H426" s="63"/>
      <c r="I426" s="63"/>
      <c r="J426" s="65"/>
      <c r="K426" s="392"/>
      <c r="L426" s="65"/>
      <c r="M426" s="65"/>
      <c r="N426" s="65"/>
      <c r="O426" s="386"/>
      <c r="P426" s="386"/>
      <c r="Q426" s="386"/>
      <c r="R426" s="386"/>
      <c r="S426" s="386"/>
      <c r="T426" s="386"/>
      <c r="U426" s="386"/>
      <c r="V426" s="386"/>
      <c r="W426" s="386"/>
      <c r="X426" s="386"/>
      <c r="Y426" s="386"/>
      <c r="Z426" s="386"/>
      <c r="AA426" s="386"/>
      <c r="AB426" s="386"/>
      <c r="AC426" s="386"/>
      <c r="AD426" s="386"/>
      <c r="AE426" s="386"/>
      <c r="AF426" s="386"/>
      <c r="AG426" s="386"/>
      <c r="AH426" s="386"/>
      <c r="AI426" s="386"/>
      <c r="AJ426" s="386"/>
      <c r="AK426" s="386"/>
      <c r="AL426" s="386"/>
      <c r="AM426" s="386"/>
      <c r="AN426" s="386"/>
      <c r="AO426" s="386"/>
      <c r="AP426" s="386"/>
      <c r="AQ426" s="386"/>
      <c r="AR426" s="386"/>
      <c r="AS426" s="386"/>
      <c r="AT426" s="386"/>
      <c r="AU426" s="386"/>
      <c r="AV426" s="386"/>
      <c r="AW426" s="386"/>
      <c r="AX426" s="386"/>
      <c r="AY426" s="386"/>
      <c r="AZ426" s="386"/>
      <c r="BA426" s="386"/>
      <c r="BB426" s="386"/>
      <c r="BC426" s="386"/>
      <c r="BD426" s="386"/>
      <c r="BE426" s="386"/>
      <c r="BF426" s="386"/>
      <c r="BG426" s="386"/>
      <c r="BH426" s="386"/>
      <c r="BI426" s="386"/>
      <c r="BJ426" s="386"/>
      <c r="BK426" s="386"/>
      <c r="BL426" s="386"/>
      <c r="BM426" s="386"/>
      <c r="BN426" s="386"/>
      <c r="BO426" s="386"/>
      <c r="BP426" s="386"/>
      <c r="BQ426" s="386"/>
      <c r="BR426" s="386"/>
      <c r="BS426" s="386"/>
      <c r="BT426" s="386"/>
      <c r="BU426" s="386"/>
      <c r="BV426" s="386"/>
      <c r="BW426" s="386"/>
      <c r="BX426" s="386"/>
      <c r="BY426" s="386"/>
      <c r="BZ426" s="386"/>
      <c r="CA426" s="386"/>
      <c r="CB426" s="386"/>
      <c r="CC426" s="386"/>
      <c r="CD426" s="386"/>
      <c r="CE426" s="386"/>
      <c r="CF426" s="386"/>
      <c r="CG426" s="386"/>
      <c r="CH426" s="386"/>
      <c r="CI426" s="386"/>
      <c r="CJ426" s="386"/>
      <c r="CK426" s="386"/>
      <c r="CL426" s="386"/>
    </row>
    <row r="427" spans="2:90" ht="12.75" customHeight="1" x14ac:dyDescent="0.15">
      <c r="B427" s="57"/>
      <c r="C427" s="57"/>
      <c r="D427" s="58"/>
      <c r="E427" s="59"/>
      <c r="F427" s="63"/>
      <c r="G427" s="63"/>
      <c r="H427" s="63"/>
      <c r="I427" s="63"/>
      <c r="J427" s="65"/>
      <c r="K427" s="392"/>
      <c r="L427" s="65"/>
      <c r="M427" s="65"/>
      <c r="N427" s="65"/>
      <c r="O427" s="386"/>
      <c r="P427" s="386"/>
      <c r="Q427" s="386"/>
      <c r="R427" s="386"/>
      <c r="S427" s="386"/>
      <c r="T427" s="386"/>
      <c r="U427" s="386"/>
      <c r="V427" s="386"/>
      <c r="W427" s="386"/>
      <c r="X427" s="386"/>
      <c r="Y427" s="386"/>
      <c r="Z427" s="386"/>
      <c r="AA427" s="386"/>
      <c r="AB427" s="386"/>
      <c r="AC427" s="386"/>
      <c r="AD427" s="386"/>
      <c r="AE427" s="386"/>
      <c r="AF427" s="386"/>
      <c r="AG427" s="386"/>
      <c r="AH427" s="386"/>
      <c r="AI427" s="386"/>
      <c r="AJ427" s="386"/>
      <c r="AK427" s="386"/>
      <c r="AL427" s="386"/>
      <c r="AM427" s="386"/>
      <c r="AN427" s="386"/>
      <c r="AO427" s="386"/>
      <c r="AP427" s="386"/>
      <c r="AQ427" s="386"/>
      <c r="AR427" s="386"/>
      <c r="AS427" s="386"/>
      <c r="AT427" s="386"/>
      <c r="AU427" s="386"/>
      <c r="AV427" s="386"/>
      <c r="AW427" s="386"/>
      <c r="AX427" s="386"/>
      <c r="AY427" s="386"/>
      <c r="AZ427" s="386"/>
      <c r="BA427" s="386"/>
      <c r="BB427" s="386"/>
      <c r="BC427" s="386"/>
      <c r="BD427" s="386"/>
      <c r="BE427" s="386"/>
      <c r="BF427" s="386"/>
      <c r="BG427" s="386"/>
      <c r="BH427" s="386"/>
      <c r="BI427" s="386"/>
      <c r="BJ427" s="386"/>
      <c r="BK427" s="386"/>
      <c r="BL427" s="386"/>
      <c r="BM427" s="386"/>
      <c r="BN427" s="386"/>
      <c r="BO427" s="386"/>
      <c r="BP427" s="386"/>
      <c r="BQ427" s="386"/>
      <c r="BR427" s="386"/>
      <c r="BS427" s="386"/>
      <c r="BT427" s="386"/>
      <c r="BU427" s="386"/>
      <c r="BV427" s="386"/>
      <c r="BW427" s="386"/>
      <c r="BX427" s="386"/>
      <c r="BY427" s="386"/>
      <c r="BZ427" s="386"/>
      <c r="CA427" s="386"/>
      <c r="CB427" s="386"/>
      <c r="CC427" s="386"/>
      <c r="CD427" s="386"/>
      <c r="CE427" s="386"/>
      <c r="CF427" s="386"/>
      <c r="CG427" s="386"/>
      <c r="CH427" s="386"/>
      <c r="CI427" s="386"/>
      <c r="CJ427" s="386"/>
      <c r="CK427" s="386"/>
      <c r="CL427" s="386"/>
    </row>
    <row r="428" spans="2:90" ht="12.75" customHeight="1" x14ac:dyDescent="0.15">
      <c r="B428" s="57"/>
      <c r="C428" s="57"/>
      <c r="D428" s="58"/>
      <c r="E428" s="59"/>
      <c r="F428" s="63"/>
      <c r="G428" s="63"/>
      <c r="H428" s="63"/>
      <c r="I428" s="63"/>
      <c r="J428" s="65"/>
      <c r="K428" s="392"/>
      <c r="L428" s="65"/>
      <c r="M428" s="65"/>
      <c r="N428" s="65"/>
      <c r="O428" s="386"/>
      <c r="P428" s="386"/>
      <c r="Q428" s="386"/>
      <c r="R428" s="386"/>
      <c r="S428" s="386"/>
      <c r="T428" s="386"/>
      <c r="U428" s="386"/>
      <c r="V428" s="386"/>
      <c r="W428" s="386"/>
      <c r="X428" s="386"/>
      <c r="Y428" s="386"/>
      <c r="Z428" s="386"/>
      <c r="AA428" s="386"/>
      <c r="AB428" s="386"/>
      <c r="AC428" s="386"/>
      <c r="AD428" s="386"/>
      <c r="AE428" s="386"/>
      <c r="AF428" s="386"/>
      <c r="AG428" s="386"/>
      <c r="AH428" s="386"/>
      <c r="AI428" s="386"/>
      <c r="AJ428" s="386"/>
      <c r="AK428" s="386"/>
      <c r="AL428" s="386"/>
      <c r="AM428" s="386"/>
      <c r="AN428" s="386"/>
      <c r="AO428" s="386"/>
      <c r="AP428" s="386"/>
      <c r="AQ428" s="386"/>
      <c r="AR428" s="386"/>
      <c r="AS428" s="386"/>
      <c r="AT428" s="386"/>
      <c r="AU428" s="386"/>
      <c r="AV428" s="386"/>
      <c r="AW428" s="386"/>
      <c r="AX428" s="386"/>
      <c r="AY428" s="386"/>
      <c r="AZ428" s="386"/>
      <c r="BA428" s="386"/>
      <c r="BB428" s="386"/>
      <c r="BC428" s="386"/>
      <c r="BD428" s="386"/>
      <c r="BE428" s="386"/>
      <c r="BF428" s="386"/>
      <c r="BG428" s="386"/>
      <c r="BH428" s="386"/>
      <c r="BI428" s="386"/>
      <c r="BJ428" s="386"/>
      <c r="BK428" s="386"/>
      <c r="BL428" s="386"/>
      <c r="BM428" s="386"/>
      <c r="BN428" s="386"/>
      <c r="BO428" s="386"/>
      <c r="BP428" s="386"/>
      <c r="BQ428" s="386"/>
      <c r="BR428" s="386"/>
      <c r="BS428" s="386"/>
      <c r="BT428" s="386"/>
      <c r="BU428" s="386"/>
      <c r="BV428" s="386"/>
      <c r="BW428" s="386"/>
      <c r="BX428" s="386"/>
      <c r="BY428" s="386"/>
      <c r="BZ428" s="386"/>
      <c r="CA428" s="386"/>
      <c r="CB428" s="386"/>
      <c r="CC428" s="386"/>
      <c r="CD428" s="386"/>
      <c r="CE428" s="386"/>
      <c r="CF428" s="386"/>
      <c r="CG428" s="386"/>
      <c r="CH428" s="386"/>
      <c r="CI428" s="386"/>
      <c r="CJ428" s="386"/>
      <c r="CK428" s="386"/>
      <c r="CL428" s="386"/>
    </row>
    <row r="429" spans="2:90" ht="12.75" customHeight="1" x14ac:dyDescent="0.15">
      <c r="B429" s="57"/>
      <c r="C429" s="57"/>
      <c r="D429" s="58"/>
      <c r="E429" s="59"/>
      <c r="F429" s="63"/>
      <c r="G429" s="63"/>
      <c r="H429" s="63"/>
      <c r="I429" s="63"/>
      <c r="J429" s="65"/>
      <c r="K429" s="392"/>
      <c r="L429" s="65"/>
      <c r="M429" s="65"/>
      <c r="N429" s="65"/>
      <c r="O429" s="386"/>
      <c r="P429" s="386"/>
      <c r="Q429" s="386"/>
      <c r="R429" s="386"/>
      <c r="S429" s="386"/>
      <c r="T429" s="386"/>
      <c r="U429" s="386"/>
      <c r="V429" s="386"/>
      <c r="W429" s="386"/>
      <c r="X429" s="386"/>
      <c r="Y429" s="386"/>
      <c r="Z429" s="386"/>
      <c r="AA429" s="386"/>
      <c r="AB429" s="386"/>
      <c r="AC429" s="386"/>
      <c r="AD429" s="386"/>
      <c r="AE429" s="386"/>
      <c r="AF429" s="386"/>
      <c r="AG429" s="386"/>
      <c r="AH429" s="386"/>
      <c r="AI429" s="386"/>
      <c r="AJ429" s="386"/>
      <c r="AK429" s="386"/>
      <c r="AL429" s="386"/>
      <c r="AM429" s="386"/>
      <c r="AN429" s="386"/>
      <c r="AO429" s="386"/>
      <c r="AP429" s="386"/>
      <c r="AQ429" s="386"/>
      <c r="AR429" s="386"/>
      <c r="AS429" s="386"/>
      <c r="AT429" s="386"/>
      <c r="AU429" s="386"/>
      <c r="AV429" s="386"/>
      <c r="AW429" s="386"/>
      <c r="AX429" s="386"/>
      <c r="AY429" s="386"/>
      <c r="AZ429" s="386"/>
      <c r="BA429" s="386"/>
      <c r="BB429" s="386"/>
      <c r="BC429" s="386"/>
      <c r="BD429" s="386"/>
      <c r="BE429" s="386"/>
      <c r="BF429" s="386"/>
      <c r="BG429" s="386"/>
      <c r="BH429" s="386"/>
      <c r="BI429" s="386"/>
      <c r="BJ429" s="386"/>
      <c r="BK429" s="386"/>
      <c r="BL429" s="386"/>
      <c r="BM429" s="386"/>
      <c r="BN429" s="386"/>
      <c r="BO429" s="386"/>
      <c r="BP429" s="386"/>
      <c r="BQ429" s="386"/>
      <c r="BR429" s="386"/>
      <c r="BS429" s="386"/>
      <c r="BT429" s="386"/>
      <c r="BU429" s="386"/>
      <c r="BV429" s="386"/>
      <c r="BW429" s="386"/>
      <c r="BX429" s="386"/>
      <c r="BY429" s="386"/>
      <c r="BZ429" s="386"/>
      <c r="CA429" s="386"/>
      <c r="CB429" s="386"/>
      <c r="CC429" s="386"/>
      <c r="CD429" s="386"/>
      <c r="CE429" s="386"/>
      <c r="CF429" s="386"/>
      <c r="CG429" s="386"/>
      <c r="CH429" s="386"/>
      <c r="CI429" s="386"/>
      <c r="CJ429" s="386"/>
      <c r="CK429" s="386"/>
      <c r="CL429" s="386"/>
    </row>
    <row r="430" spans="2:90" ht="12.75" customHeight="1" x14ac:dyDescent="0.15">
      <c r="B430" s="57"/>
      <c r="C430" s="57"/>
      <c r="D430" s="58"/>
      <c r="E430" s="59"/>
      <c r="F430" s="63"/>
      <c r="G430" s="63"/>
      <c r="H430" s="63"/>
      <c r="I430" s="63"/>
      <c r="J430" s="65"/>
      <c r="K430" s="392"/>
      <c r="L430" s="65"/>
      <c r="M430" s="65"/>
      <c r="N430" s="65"/>
      <c r="O430" s="386"/>
      <c r="P430" s="386"/>
      <c r="Q430" s="386"/>
      <c r="R430" s="386"/>
      <c r="S430" s="386"/>
      <c r="T430" s="386"/>
      <c r="U430" s="386"/>
      <c r="V430" s="386"/>
      <c r="W430" s="386"/>
      <c r="X430" s="386"/>
      <c r="Y430" s="386"/>
      <c r="Z430" s="386"/>
      <c r="AA430" s="386"/>
      <c r="AB430" s="386"/>
      <c r="AC430" s="386"/>
      <c r="AD430" s="386"/>
      <c r="AE430" s="386"/>
      <c r="AF430" s="386"/>
      <c r="AG430" s="386"/>
      <c r="AH430" s="386"/>
      <c r="AI430" s="386"/>
      <c r="AJ430" s="386"/>
      <c r="AK430" s="386"/>
      <c r="AL430" s="386"/>
      <c r="AM430" s="386"/>
      <c r="AN430" s="386"/>
      <c r="AO430" s="386"/>
      <c r="AP430" s="386"/>
      <c r="AQ430" s="386"/>
      <c r="AR430" s="386"/>
      <c r="AS430" s="386"/>
      <c r="AT430" s="386"/>
      <c r="AU430" s="386"/>
      <c r="AV430" s="386"/>
      <c r="AW430" s="386"/>
      <c r="AX430" s="386"/>
      <c r="AY430" s="386"/>
      <c r="AZ430" s="386"/>
      <c r="BA430" s="386"/>
      <c r="BB430" s="386"/>
      <c r="BC430" s="386"/>
      <c r="BD430" s="386"/>
      <c r="BE430" s="386"/>
      <c r="BF430" s="386"/>
      <c r="BG430" s="386"/>
      <c r="BH430" s="386"/>
      <c r="BI430" s="386"/>
      <c r="BJ430" s="386"/>
      <c r="BK430" s="386"/>
      <c r="BL430" s="386"/>
      <c r="BM430" s="386"/>
      <c r="BN430" s="386"/>
      <c r="BO430" s="386"/>
      <c r="BP430" s="386"/>
      <c r="BQ430" s="386"/>
      <c r="BR430" s="386"/>
      <c r="BS430" s="386"/>
      <c r="BT430" s="386"/>
      <c r="BU430" s="386"/>
      <c r="BV430" s="386"/>
      <c r="BW430" s="386"/>
      <c r="BX430" s="386"/>
      <c r="BY430" s="386"/>
      <c r="BZ430" s="386"/>
      <c r="CA430" s="386"/>
      <c r="CB430" s="386"/>
      <c r="CC430" s="386"/>
      <c r="CD430" s="386"/>
      <c r="CE430" s="386"/>
      <c r="CF430" s="386"/>
      <c r="CG430" s="386"/>
      <c r="CH430" s="386"/>
      <c r="CI430" s="386"/>
      <c r="CJ430" s="386"/>
      <c r="CK430" s="386"/>
      <c r="CL430" s="386"/>
    </row>
    <row r="431" spans="2:90" ht="12.75" customHeight="1" x14ac:dyDescent="0.15">
      <c r="B431" s="57"/>
      <c r="C431" s="57"/>
      <c r="D431" s="58"/>
      <c r="E431" s="59"/>
      <c r="F431" s="63"/>
      <c r="G431" s="63"/>
      <c r="H431" s="63"/>
      <c r="I431" s="63"/>
      <c r="J431" s="65"/>
      <c r="K431" s="392"/>
      <c r="L431" s="65"/>
      <c r="M431" s="65"/>
      <c r="N431" s="65"/>
      <c r="O431" s="386"/>
      <c r="P431" s="386"/>
      <c r="Q431" s="386"/>
      <c r="R431" s="386"/>
      <c r="S431" s="386"/>
      <c r="T431" s="386"/>
      <c r="U431" s="386"/>
      <c r="V431" s="386"/>
      <c r="W431" s="386"/>
      <c r="X431" s="386"/>
      <c r="Y431" s="386"/>
      <c r="Z431" s="386"/>
      <c r="AA431" s="386"/>
      <c r="AB431" s="386"/>
      <c r="AC431" s="386"/>
      <c r="AD431" s="386"/>
      <c r="AE431" s="386"/>
      <c r="AF431" s="386"/>
      <c r="AG431" s="386"/>
      <c r="AH431" s="386"/>
      <c r="AI431" s="386"/>
      <c r="AJ431" s="386"/>
      <c r="AK431" s="386"/>
      <c r="AL431" s="386"/>
      <c r="AM431" s="386"/>
      <c r="AN431" s="386"/>
      <c r="AO431" s="386"/>
      <c r="AP431" s="386"/>
      <c r="AQ431" s="386"/>
      <c r="AR431" s="386"/>
      <c r="AS431" s="386"/>
      <c r="AT431" s="386"/>
      <c r="AU431" s="386"/>
      <c r="AV431" s="386"/>
      <c r="AW431" s="386"/>
      <c r="AX431" s="386"/>
      <c r="AY431" s="386"/>
      <c r="AZ431" s="386"/>
      <c r="BA431" s="386"/>
      <c r="BB431" s="386"/>
      <c r="BC431" s="386"/>
      <c r="BD431" s="386"/>
      <c r="BE431" s="386"/>
      <c r="BF431" s="386"/>
      <c r="BG431" s="386"/>
      <c r="BH431" s="386"/>
      <c r="BI431" s="386"/>
      <c r="BJ431" s="386"/>
      <c r="BK431" s="386"/>
      <c r="BL431" s="386"/>
      <c r="BM431" s="386"/>
      <c r="BN431" s="386"/>
      <c r="BO431" s="386"/>
      <c r="BP431" s="386"/>
      <c r="BQ431" s="386"/>
      <c r="BR431" s="386"/>
      <c r="BS431" s="386"/>
      <c r="BT431" s="386"/>
      <c r="BU431" s="386"/>
      <c r="BV431" s="386"/>
      <c r="BW431" s="386"/>
      <c r="BX431" s="386"/>
      <c r="BY431" s="386"/>
      <c r="BZ431" s="386"/>
      <c r="CA431" s="386"/>
      <c r="CB431" s="386"/>
      <c r="CC431" s="386"/>
      <c r="CD431" s="386"/>
      <c r="CE431" s="386"/>
      <c r="CF431" s="386"/>
      <c r="CG431" s="386"/>
      <c r="CH431" s="386"/>
      <c r="CI431" s="386"/>
      <c r="CJ431" s="386"/>
      <c r="CK431" s="386"/>
      <c r="CL431" s="386"/>
    </row>
    <row r="432" spans="2:90" ht="12.75" customHeight="1" x14ac:dyDescent="0.15">
      <c r="B432" s="57"/>
      <c r="C432" s="57"/>
      <c r="D432" s="58"/>
      <c r="E432" s="59"/>
      <c r="F432" s="63"/>
      <c r="G432" s="63"/>
      <c r="H432" s="63"/>
      <c r="I432" s="63"/>
      <c r="J432" s="65"/>
      <c r="K432" s="392"/>
      <c r="L432" s="65"/>
      <c r="M432" s="65"/>
      <c r="N432" s="65"/>
      <c r="O432" s="386"/>
      <c r="P432" s="386"/>
      <c r="Q432" s="386"/>
      <c r="R432" s="386"/>
      <c r="S432" s="386"/>
      <c r="T432" s="386"/>
      <c r="U432" s="386"/>
      <c r="V432" s="386"/>
      <c r="W432" s="386"/>
      <c r="X432" s="386"/>
      <c r="Y432" s="386"/>
      <c r="Z432" s="386"/>
      <c r="AA432" s="386"/>
      <c r="AB432" s="386"/>
      <c r="AC432" s="386"/>
      <c r="AD432" s="386"/>
      <c r="AE432" s="386"/>
      <c r="AF432" s="386"/>
      <c r="AG432" s="386"/>
      <c r="AH432" s="386"/>
      <c r="AI432" s="386"/>
      <c r="AJ432" s="386"/>
      <c r="AK432" s="386"/>
      <c r="AL432" s="386"/>
      <c r="AM432" s="386"/>
      <c r="AN432" s="386"/>
      <c r="AO432" s="386"/>
      <c r="AP432" s="386"/>
      <c r="AQ432" s="386"/>
      <c r="AR432" s="386"/>
      <c r="AS432" s="386"/>
      <c r="AT432" s="386"/>
      <c r="AU432" s="386"/>
      <c r="AV432" s="386"/>
      <c r="AW432" s="386"/>
      <c r="AX432" s="386"/>
      <c r="AY432" s="386"/>
      <c r="AZ432" s="386"/>
      <c r="BA432" s="386"/>
      <c r="BB432" s="386"/>
      <c r="BC432" s="386"/>
      <c r="BD432" s="386"/>
      <c r="BE432" s="386"/>
      <c r="BF432" s="386"/>
      <c r="BG432" s="386"/>
      <c r="BH432" s="386"/>
      <c r="BI432" s="386"/>
      <c r="BJ432" s="386"/>
      <c r="BK432" s="386"/>
      <c r="BL432" s="386"/>
      <c r="BM432" s="386"/>
      <c r="BN432" s="386"/>
      <c r="BO432" s="386"/>
      <c r="BP432" s="386"/>
      <c r="BQ432" s="386"/>
      <c r="BR432" s="386"/>
      <c r="BS432" s="386"/>
      <c r="BT432" s="386"/>
      <c r="BU432" s="386"/>
      <c r="BV432" s="386"/>
      <c r="BW432" s="386"/>
      <c r="BX432" s="386"/>
      <c r="BY432" s="386"/>
      <c r="BZ432" s="386"/>
      <c r="CA432" s="386"/>
      <c r="CB432" s="386"/>
      <c r="CC432" s="386"/>
      <c r="CD432" s="386"/>
      <c r="CE432" s="386"/>
      <c r="CF432" s="386"/>
      <c r="CG432" s="386"/>
      <c r="CH432" s="386"/>
      <c r="CI432" s="386"/>
      <c r="CJ432" s="386"/>
      <c r="CK432" s="386"/>
      <c r="CL432" s="386"/>
    </row>
    <row r="433" spans="2:90" ht="12.75" customHeight="1" x14ac:dyDescent="0.15">
      <c r="B433" s="57"/>
      <c r="C433" s="57"/>
      <c r="D433" s="58"/>
      <c r="E433" s="59"/>
      <c r="F433" s="63"/>
      <c r="G433" s="63"/>
      <c r="H433" s="63"/>
      <c r="I433" s="63"/>
      <c r="J433" s="65"/>
      <c r="K433" s="392"/>
      <c r="L433" s="65"/>
      <c r="M433" s="65"/>
      <c r="N433" s="65"/>
      <c r="O433" s="386"/>
      <c r="P433" s="386"/>
      <c r="Q433" s="386"/>
      <c r="R433" s="386"/>
      <c r="S433" s="386"/>
      <c r="T433" s="386"/>
      <c r="U433" s="386"/>
      <c r="V433" s="386"/>
      <c r="W433" s="386"/>
      <c r="X433" s="386"/>
      <c r="Y433" s="386"/>
      <c r="Z433" s="386"/>
      <c r="AA433" s="386"/>
      <c r="AB433" s="386"/>
      <c r="AC433" s="386"/>
      <c r="AD433" s="386"/>
      <c r="AE433" s="386"/>
      <c r="AF433" s="386"/>
      <c r="AG433" s="386"/>
      <c r="AH433" s="386"/>
      <c r="AI433" s="386"/>
      <c r="AJ433" s="386"/>
      <c r="AK433" s="386"/>
      <c r="AL433" s="386"/>
      <c r="AM433" s="386"/>
      <c r="AN433" s="386"/>
      <c r="AO433" s="386"/>
      <c r="AP433" s="386"/>
      <c r="AQ433" s="386"/>
      <c r="AR433" s="386"/>
      <c r="AS433" s="386"/>
      <c r="AT433" s="386"/>
      <c r="AU433" s="386"/>
      <c r="AV433" s="386"/>
      <c r="AW433" s="386"/>
      <c r="AX433" s="386"/>
      <c r="AY433" s="386"/>
      <c r="AZ433" s="386"/>
      <c r="BA433" s="386"/>
      <c r="BB433" s="386"/>
      <c r="BC433" s="386"/>
      <c r="BD433" s="386"/>
      <c r="BE433" s="386"/>
      <c r="BF433" s="386"/>
      <c r="BG433" s="386"/>
      <c r="BH433" s="386"/>
      <c r="BI433" s="386"/>
      <c r="BJ433" s="386"/>
      <c r="BK433" s="386"/>
      <c r="BL433" s="386"/>
      <c r="BM433" s="386"/>
      <c r="BN433" s="386"/>
      <c r="BO433" s="386"/>
      <c r="BP433" s="386"/>
      <c r="BQ433" s="386"/>
      <c r="BR433" s="386"/>
      <c r="BS433" s="386"/>
      <c r="BT433" s="386"/>
      <c r="BU433" s="386"/>
      <c r="BV433" s="386"/>
      <c r="BW433" s="386"/>
      <c r="BX433" s="386"/>
      <c r="BY433" s="386"/>
      <c r="BZ433" s="386"/>
      <c r="CA433" s="386"/>
      <c r="CB433" s="386"/>
      <c r="CC433" s="386"/>
      <c r="CD433" s="386"/>
      <c r="CE433" s="386"/>
      <c r="CF433" s="386"/>
      <c r="CG433" s="386"/>
      <c r="CH433" s="386"/>
      <c r="CI433" s="386"/>
      <c r="CJ433" s="386"/>
      <c r="CK433" s="386"/>
      <c r="CL433" s="386"/>
    </row>
    <row r="434" spans="2:90" ht="12.75" customHeight="1" x14ac:dyDescent="0.15">
      <c r="B434" s="57"/>
      <c r="C434" s="57"/>
      <c r="D434" s="58"/>
      <c r="E434" s="59"/>
      <c r="F434" s="63"/>
      <c r="G434" s="63"/>
      <c r="H434" s="63"/>
      <c r="I434" s="63"/>
      <c r="J434" s="65"/>
      <c r="K434" s="392"/>
      <c r="L434" s="65"/>
      <c r="M434" s="65"/>
      <c r="N434" s="65"/>
      <c r="O434" s="386"/>
      <c r="P434" s="386"/>
      <c r="Q434" s="386"/>
      <c r="R434" s="386"/>
      <c r="S434" s="386"/>
      <c r="T434" s="386"/>
      <c r="U434" s="386"/>
      <c r="V434" s="386"/>
      <c r="W434" s="386"/>
      <c r="X434" s="386"/>
      <c r="Y434" s="386"/>
      <c r="Z434" s="386"/>
      <c r="AA434" s="386"/>
      <c r="AB434" s="386"/>
      <c r="AC434" s="386"/>
      <c r="AD434" s="386"/>
      <c r="AE434" s="386"/>
      <c r="AF434" s="386"/>
      <c r="AG434" s="386"/>
      <c r="AH434" s="386"/>
      <c r="AI434" s="386"/>
      <c r="AJ434" s="386"/>
      <c r="AK434" s="386"/>
      <c r="AL434" s="386"/>
      <c r="AM434" s="386"/>
      <c r="AN434" s="386"/>
      <c r="AO434" s="386"/>
      <c r="AP434" s="386"/>
      <c r="AQ434" s="386"/>
      <c r="AR434" s="386"/>
      <c r="AS434" s="386"/>
      <c r="AT434" s="386"/>
      <c r="AU434" s="386"/>
      <c r="AV434" s="386"/>
      <c r="AW434" s="386"/>
      <c r="AX434" s="386"/>
      <c r="AY434" s="386"/>
      <c r="AZ434" s="386"/>
      <c r="BA434" s="386"/>
      <c r="BB434" s="386"/>
      <c r="BC434" s="386"/>
      <c r="BD434" s="386"/>
      <c r="BE434" s="386"/>
      <c r="BF434" s="386"/>
      <c r="BG434" s="386"/>
      <c r="BH434" s="386"/>
      <c r="BI434" s="386"/>
      <c r="BJ434" s="386"/>
      <c r="BK434" s="386"/>
      <c r="BL434" s="386"/>
      <c r="BM434" s="386"/>
      <c r="BN434" s="386"/>
      <c r="BO434" s="386"/>
      <c r="BP434" s="386"/>
      <c r="BQ434" s="386"/>
      <c r="BR434" s="386"/>
      <c r="BS434" s="386"/>
      <c r="BT434" s="386"/>
      <c r="BU434" s="386"/>
      <c r="BV434" s="386"/>
      <c r="BW434" s="386"/>
      <c r="BX434" s="386"/>
      <c r="BY434" s="386"/>
      <c r="BZ434" s="386"/>
      <c r="CA434" s="386"/>
      <c r="CB434" s="386"/>
      <c r="CC434" s="386"/>
      <c r="CD434" s="386"/>
      <c r="CE434" s="386"/>
      <c r="CF434" s="386"/>
      <c r="CG434" s="386"/>
      <c r="CH434" s="386"/>
      <c r="CI434" s="386"/>
      <c r="CJ434" s="386"/>
      <c r="CK434" s="386"/>
      <c r="CL434" s="386"/>
    </row>
    <row r="435" spans="2:90" ht="12.75" customHeight="1" x14ac:dyDescent="0.15">
      <c r="B435" s="57"/>
      <c r="C435" s="57"/>
      <c r="D435" s="58"/>
      <c r="E435" s="59"/>
      <c r="F435" s="63"/>
      <c r="G435" s="63"/>
      <c r="H435" s="63"/>
      <c r="I435" s="63"/>
      <c r="J435" s="65"/>
      <c r="K435" s="392"/>
      <c r="L435" s="65"/>
      <c r="M435" s="65"/>
      <c r="N435" s="65"/>
      <c r="O435" s="386"/>
      <c r="P435" s="386"/>
      <c r="Q435" s="386"/>
      <c r="R435" s="386"/>
      <c r="S435" s="386"/>
      <c r="T435" s="386"/>
      <c r="U435" s="386"/>
      <c r="V435" s="386"/>
      <c r="W435" s="386"/>
      <c r="X435" s="386"/>
      <c r="Y435" s="386"/>
      <c r="Z435" s="386"/>
      <c r="AA435" s="386"/>
      <c r="AB435" s="386"/>
      <c r="AC435" s="386"/>
      <c r="AD435" s="386"/>
      <c r="AE435" s="386"/>
      <c r="AF435" s="386"/>
      <c r="AG435" s="386"/>
      <c r="AH435" s="386"/>
      <c r="AI435" s="386"/>
      <c r="AJ435" s="386"/>
      <c r="AK435" s="386"/>
      <c r="AL435" s="386"/>
      <c r="AM435" s="386"/>
      <c r="AN435" s="386"/>
      <c r="AO435" s="386"/>
      <c r="AP435" s="386"/>
      <c r="AQ435" s="386"/>
      <c r="AR435" s="386"/>
      <c r="AS435" s="386"/>
      <c r="AT435" s="386"/>
      <c r="AU435" s="386"/>
      <c r="AV435" s="386"/>
      <c r="AW435" s="386"/>
      <c r="AX435" s="386"/>
      <c r="AY435" s="386"/>
      <c r="AZ435" s="386"/>
      <c r="BA435" s="386"/>
      <c r="BB435" s="386"/>
      <c r="BC435" s="386"/>
      <c r="BD435" s="386"/>
      <c r="BE435" s="386"/>
      <c r="BF435" s="386"/>
      <c r="BG435" s="386"/>
      <c r="BH435" s="386"/>
      <c r="BI435" s="386"/>
      <c r="BJ435" s="386"/>
      <c r="BK435" s="386"/>
      <c r="BL435" s="386"/>
      <c r="BM435" s="386"/>
      <c r="BN435" s="386"/>
      <c r="BO435" s="386"/>
      <c r="BP435" s="386"/>
      <c r="BQ435" s="386"/>
      <c r="BR435" s="386"/>
      <c r="BS435" s="386"/>
      <c r="BT435" s="386"/>
      <c r="BU435" s="386"/>
      <c r="BV435" s="386"/>
      <c r="BW435" s="386"/>
      <c r="BX435" s="386"/>
      <c r="BY435" s="386"/>
      <c r="BZ435" s="386"/>
      <c r="CA435" s="386"/>
      <c r="CB435" s="386"/>
      <c r="CC435" s="386"/>
      <c r="CD435" s="386"/>
      <c r="CE435" s="386"/>
      <c r="CF435" s="386"/>
      <c r="CG435" s="386"/>
      <c r="CH435" s="386"/>
      <c r="CI435" s="386"/>
      <c r="CJ435" s="386"/>
      <c r="CK435" s="386"/>
      <c r="CL435" s="386"/>
    </row>
    <row r="436" spans="2:90" ht="12.75" customHeight="1" x14ac:dyDescent="0.15">
      <c r="B436" s="57"/>
      <c r="C436" s="57"/>
      <c r="D436" s="58"/>
      <c r="E436" s="59"/>
      <c r="F436" s="63"/>
      <c r="G436" s="63"/>
      <c r="H436" s="63"/>
      <c r="I436" s="63"/>
      <c r="J436" s="65"/>
      <c r="K436" s="392"/>
      <c r="L436" s="65"/>
      <c r="M436" s="65"/>
      <c r="N436" s="65"/>
      <c r="O436" s="386"/>
      <c r="P436" s="386"/>
      <c r="Q436" s="386"/>
      <c r="R436" s="386"/>
      <c r="S436" s="386"/>
      <c r="T436" s="386"/>
      <c r="U436" s="386"/>
      <c r="V436" s="386"/>
      <c r="W436" s="386"/>
      <c r="X436" s="386"/>
      <c r="Y436" s="386"/>
      <c r="Z436" s="386"/>
      <c r="AA436" s="386"/>
      <c r="AB436" s="386"/>
      <c r="AC436" s="386"/>
      <c r="AD436" s="386"/>
      <c r="AE436" s="386"/>
      <c r="AF436" s="386"/>
      <c r="AG436" s="386"/>
      <c r="AH436" s="386"/>
      <c r="AI436" s="386"/>
      <c r="AJ436" s="386"/>
      <c r="AK436" s="386"/>
      <c r="AL436" s="386"/>
      <c r="AM436" s="386"/>
      <c r="AN436" s="386"/>
      <c r="AO436" s="386"/>
      <c r="AP436" s="386"/>
      <c r="AQ436" s="386"/>
      <c r="AR436" s="386"/>
      <c r="AS436" s="386"/>
      <c r="AT436" s="386"/>
      <c r="AU436" s="386"/>
      <c r="AV436" s="386"/>
      <c r="AW436" s="386"/>
      <c r="AX436" s="386"/>
      <c r="AY436" s="386"/>
      <c r="AZ436" s="386"/>
      <c r="BA436" s="386"/>
      <c r="BB436" s="386"/>
      <c r="BC436" s="386"/>
      <c r="BD436" s="386"/>
      <c r="BE436" s="386"/>
      <c r="BF436" s="386"/>
      <c r="BG436" s="386"/>
      <c r="BH436" s="386"/>
      <c r="BI436" s="386"/>
      <c r="BJ436" s="386"/>
      <c r="BK436" s="386"/>
      <c r="BL436" s="386"/>
      <c r="BM436" s="386"/>
      <c r="BN436" s="386"/>
      <c r="BO436" s="386"/>
      <c r="BP436" s="386"/>
      <c r="BQ436" s="386"/>
      <c r="BR436" s="386"/>
      <c r="BS436" s="386"/>
      <c r="BT436" s="386"/>
      <c r="BU436" s="386"/>
      <c r="BV436" s="386"/>
      <c r="BW436" s="386"/>
      <c r="BX436" s="386"/>
      <c r="BY436" s="386"/>
      <c r="BZ436" s="386"/>
      <c r="CA436" s="386"/>
      <c r="CB436" s="386"/>
      <c r="CC436" s="386"/>
      <c r="CD436" s="386"/>
      <c r="CE436" s="386"/>
      <c r="CF436" s="386"/>
      <c r="CG436" s="386"/>
      <c r="CH436" s="386"/>
      <c r="CI436" s="386"/>
      <c r="CJ436" s="386"/>
      <c r="CK436" s="386"/>
      <c r="CL436" s="386"/>
    </row>
    <row r="437" spans="2:90" ht="12.75" customHeight="1" x14ac:dyDescent="0.15">
      <c r="B437" s="57"/>
      <c r="C437" s="57"/>
      <c r="D437" s="58"/>
      <c r="E437" s="59"/>
      <c r="F437" s="63"/>
      <c r="G437" s="63"/>
      <c r="H437" s="63"/>
      <c r="I437" s="63"/>
      <c r="J437" s="65"/>
      <c r="K437" s="392"/>
      <c r="L437" s="65"/>
      <c r="M437" s="65"/>
      <c r="N437" s="65"/>
      <c r="O437" s="386"/>
      <c r="P437" s="386"/>
      <c r="Q437" s="386"/>
      <c r="R437" s="386"/>
      <c r="S437" s="386"/>
      <c r="T437" s="386"/>
      <c r="U437" s="386"/>
      <c r="V437" s="386"/>
      <c r="W437" s="386"/>
      <c r="X437" s="386"/>
      <c r="Y437" s="386"/>
      <c r="Z437" s="386"/>
      <c r="AA437" s="386"/>
      <c r="AB437" s="386"/>
      <c r="AC437" s="386"/>
      <c r="AD437" s="386"/>
      <c r="AE437" s="386"/>
      <c r="AF437" s="386"/>
      <c r="AG437" s="386"/>
      <c r="AH437" s="386"/>
      <c r="AI437" s="386"/>
      <c r="AJ437" s="386"/>
      <c r="AK437" s="386"/>
      <c r="AL437" s="386"/>
      <c r="AM437" s="386"/>
      <c r="AN437" s="386"/>
      <c r="AO437" s="386"/>
      <c r="AP437" s="386"/>
      <c r="AQ437" s="386"/>
      <c r="AR437" s="386"/>
      <c r="AS437" s="386"/>
      <c r="AT437" s="386"/>
      <c r="AU437" s="386"/>
      <c r="AV437" s="386"/>
      <c r="AW437" s="386"/>
      <c r="AX437" s="386"/>
      <c r="AY437" s="386"/>
      <c r="AZ437" s="386"/>
      <c r="BA437" s="386"/>
      <c r="BB437" s="386"/>
      <c r="BC437" s="386"/>
      <c r="BD437" s="386"/>
      <c r="BE437" s="386"/>
      <c r="BF437" s="386"/>
      <c r="BG437" s="386"/>
      <c r="BH437" s="386"/>
      <c r="BI437" s="386"/>
      <c r="BJ437" s="386"/>
      <c r="BK437" s="386"/>
      <c r="BL437" s="386"/>
      <c r="BM437" s="386"/>
      <c r="BN437" s="386"/>
      <c r="BO437" s="386"/>
      <c r="BP437" s="386"/>
      <c r="BQ437" s="386"/>
      <c r="BR437" s="386"/>
      <c r="BS437" s="386"/>
      <c r="BT437" s="386"/>
      <c r="BU437" s="386"/>
      <c r="BV437" s="386"/>
      <c r="BW437" s="386"/>
      <c r="BX437" s="386"/>
      <c r="BY437" s="386"/>
      <c r="BZ437" s="386"/>
      <c r="CA437" s="386"/>
      <c r="CB437" s="386"/>
      <c r="CC437" s="386"/>
      <c r="CD437" s="386"/>
      <c r="CE437" s="386"/>
      <c r="CF437" s="386"/>
      <c r="CG437" s="386"/>
      <c r="CH437" s="386"/>
      <c r="CI437" s="386"/>
      <c r="CJ437" s="386"/>
      <c r="CK437" s="386"/>
      <c r="CL437" s="386"/>
    </row>
    <row r="438" spans="2:90" ht="12.75" customHeight="1" x14ac:dyDescent="0.15">
      <c r="B438" s="57"/>
      <c r="C438" s="57"/>
      <c r="D438" s="58"/>
      <c r="E438" s="59"/>
      <c r="F438" s="63"/>
      <c r="G438" s="63"/>
      <c r="H438" s="63"/>
      <c r="I438" s="63"/>
      <c r="J438" s="65"/>
      <c r="K438" s="392"/>
      <c r="L438" s="65"/>
      <c r="M438" s="65"/>
      <c r="N438" s="65"/>
      <c r="O438" s="386"/>
      <c r="P438" s="386"/>
      <c r="Q438" s="386"/>
      <c r="R438" s="386"/>
      <c r="S438" s="386"/>
      <c r="T438" s="386"/>
      <c r="U438" s="386"/>
      <c r="V438" s="386"/>
      <c r="W438" s="386"/>
      <c r="X438" s="386"/>
      <c r="Y438" s="386"/>
      <c r="Z438" s="386"/>
      <c r="AA438" s="386"/>
      <c r="AB438" s="386"/>
      <c r="AC438" s="386"/>
      <c r="AD438" s="386"/>
      <c r="AE438" s="386"/>
      <c r="AF438" s="386"/>
      <c r="AG438" s="386"/>
      <c r="AH438" s="386"/>
      <c r="AI438" s="386"/>
      <c r="AJ438" s="386"/>
      <c r="AK438" s="386"/>
      <c r="AL438" s="386"/>
      <c r="AM438" s="386"/>
      <c r="AN438" s="386"/>
      <c r="AO438" s="386"/>
      <c r="AP438" s="386"/>
      <c r="AQ438" s="386"/>
      <c r="AR438" s="386"/>
      <c r="AS438" s="386"/>
      <c r="AT438" s="386"/>
      <c r="AU438" s="386"/>
      <c r="AV438" s="386"/>
      <c r="AW438" s="386"/>
      <c r="AX438" s="386"/>
      <c r="AY438" s="386"/>
      <c r="AZ438" s="386"/>
      <c r="BA438" s="386"/>
      <c r="BB438" s="386"/>
      <c r="BC438" s="386"/>
      <c r="BD438" s="386"/>
      <c r="BE438" s="386"/>
      <c r="BF438" s="386"/>
      <c r="BG438" s="386"/>
      <c r="BH438" s="386"/>
      <c r="BI438" s="386"/>
      <c r="BJ438" s="386"/>
      <c r="BK438" s="386"/>
      <c r="BL438" s="386"/>
      <c r="BM438" s="386"/>
      <c r="BN438" s="386"/>
      <c r="BO438" s="386"/>
      <c r="BP438" s="386"/>
      <c r="BQ438" s="386"/>
      <c r="BR438" s="386"/>
      <c r="BS438" s="386"/>
      <c r="BT438" s="386"/>
      <c r="BU438" s="386"/>
      <c r="BV438" s="386"/>
      <c r="BW438" s="386"/>
      <c r="BX438" s="386"/>
      <c r="BY438" s="386"/>
      <c r="BZ438" s="386"/>
      <c r="CA438" s="386"/>
      <c r="CB438" s="386"/>
      <c r="CC438" s="386"/>
      <c r="CD438" s="386"/>
      <c r="CE438" s="386"/>
      <c r="CF438" s="386"/>
      <c r="CG438" s="386"/>
      <c r="CH438" s="386"/>
      <c r="CI438" s="386"/>
      <c r="CJ438" s="386"/>
      <c r="CK438" s="386"/>
      <c r="CL438" s="386"/>
    </row>
    <row r="439" spans="2:90" ht="12.75" customHeight="1" x14ac:dyDescent="0.15">
      <c r="B439" s="57"/>
      <c r="C439" s="57"/>
      <c r="D439" s="58"/>
      <c r="E439" s="59"/>
      <c r="F439" s="63"/>
      <c r="G439" s="63"/>
      <c r="H439" s="63"/>
      <c r="I439" s="63"/>
      <c r="J439" s="65"/>
      <c r="K439" s="392"/>
      <c r="L439" s="65"/>
      <c r="M439" s="65"/>
      <c r="N439" s="65"/>
      <c r="O439" s="386"/>
      <c r="P439" s="386"/>
      <c r="Q439" s="386"/>
      <c r="R439" s="386"/>
      <c r="S439" s="386"/>
      <c r="T439" s="386"/>
      <c r="U439" s="386"/>
      <c r="V439" s="386"/>
      <c r="W439" s="386"/>
      <c r="X439" s="386"/>
      <c r="Y439" s="386"/>
      <c r="Z439" s="386"/>
      <c r="AA439" s="386"/>
      <c r="AB439" s="386"/>
      <c r="AC439" s="386"/>
      <c r="AD439" s="386"/>
      <c r="AE439" s="386"/>
      <c r="AF439" s="386"/>
      <c r="AG439" s="386"/>
      <c r="AH439" s="386"/>
      <c r="AI439" s="386"/>
      <c r="AJ439" s="386"/>
      <c r="AK439" s="386"/>
      <c r="AL439" s="386"/>
      <c r="AM439" s="386"/>
      <c r="AN439" s="386"/>
      <c r="AO439" s="386"/>
      <c r="AP439" s="386"/>
      <c r="AQ439" s="386"/>
      <c r="AR439" s="386"/>
      <c r="AS439" s="386"/>
      <c r="AT439" s="386"/>
      <c r="AU439" s="386"/>
      <c r="AV439" s="386"/>
      <c r="AW439" s="386"/>
      <c r="AX439" s="386"/>
      <c r="AY439" s="386"/>
      <c r="AZ439" s="386"/>
      <c r="BA439" s="386"/>
      <c r="BB439" s="386"/>
      <c r="BC439" s="386"/>
      <c r="BD439" s="386"/>
      <c r="BE439" s="386"/>
      <c r="BF439" s="386"/>
      <c r="BG439" s="386"/>
      <c r="BH439" s="386"/>
      <c r="BI439" s="386"/>
      <c r="BJ439" s="386"/>
      <c r="BK439" s="386"/>
      <c r="BL439" s="386"/>
      <c r="BM439" s="386"/>
      <c r="BN439" s="386"/>
      <c r="BO439" s="386"/>
      <c r="BP439" s="386"/>
      <c r="BQ439" s="386"/>
      <c r="BR439" s="386"/>
      <c r="BS439" s="386"/>
      <c r="BT439" s="386"/>
      <c r="BU439" s="386"/>
      <c r="BV439" s="386"/>
      <c r="BW439" s="386"/>
      <c r="BX439" s="386"/>
      <c r="BY439" s="386"/>
      <c r="BZ439" s="386"/>
      <c r="CA439" s="386"/>
      <c r="CB439" s="386"/>
      <c r="CC439" s="386"/>
      <c r="CD439" s="386"/>
      <c r="CE439" s="386"/>
      <c r="CF439" s="386"/>
      <c r="CG439" s="386"/>
      <c r="CH439" s="386"/>
      <c r="CI439" s="386"/>
      <c r="CJ439" s="386"/>
      <c r="CK439" s="386"/>
      <c r="CL439" s="386"/>
    </row>
    <row r="440" spans="2:90" ht="12.75" customHeight="1" x14ac:dyDescent="0.15">
      <c r="B440" s="57"/>
      <c r="C440" s="57"/>
      <c r="D440" s="58"/>
      <c r="E440" s="59"/>
      <c r="F440" s="63"/>
      <c r="G440" s="63"/>
      <c r="H440" s="63"/>
      <c r="I440" s="63"/>
      <c r="J440" s="65"/>
      <c r="K440" s="392"/>
      <c r="L440" s="65"/>
      <c r="M440" s="65"/>
      <c r="N440" s="65"/>
      <c r="O440" s="386"/>
      <c r="P440" s="386"/>
      <c r="Q440" s="386"/>
      <c r="R440" s="386"/>
      <c r="S440" s="386"/>
      <c r="T440" s="386"/>
      <c r="U440" s="386"/>
      <c r="V440" s="386"/>
      <c r="W440" s="386"/>
      <c r="X440" s="386"/>
      <c r="Y440" s="386"/>
      <c r="Z440" s="386"/>
      <c r="AA440" s="386"/>
      <c r="AB440" s="386"/>
      <c r="AC440" s="386"/>
      <c r="AD440" s="386"/>
      <c r="AE440" s="386"/>
      <c r="AF440" s="386"/>
      <c r="AG440" s="386"/>
      <c r="AH440" s="386"/>
      <c r="AI440" s="386"/>
      <c r="AJ440" s="386"/>
      <c r="AK440" s="386"/>
      <c r="AL440" s="386"/>
      <c r="AM440" s="386"/>
      <c r="AN440" s="386"/>
      <c r="AO440" s="386"/>
      <c r="AP440" s="386"/>
      <c r="AQ440" s="386"/>
      <c r="AR440" s="386"/>
      <c r="AS440" s="386"/>
      <c r="AT440" s="386"/>
      <c r="AU440" s="386"/>
      <c r="AV440" s="386"/>
      <c r="AW440" s="386"/>
      <c r="AX440" s="386"/>
      <c r="AY440" s="386"/>
      <c r="AZ440" s="386"/>
      <c r="BA440" s="386"/>
      <c r="BB440" s="386"/>
      <c r="BC440" s="386"/>
      <c r="BD440" s="386"/>
      <c r="BE440" s="386"/>
      <c r="BF440" s="386"/>
      <c r="BG440" s="386"/>
      <c r="BH440" s="386"/>
      <c r="BI440" s="386"/>
      <c r="BJ440" s="386"/>
      <c r="BK440" s="386"/>
      <c r="BL440" s="386"/>
      <c r="BM440" s="386"/>
      <c r="BN440" s="386"/>
      <c r="BO440" s="386"/>
      <c r="BP440" s="386"/>
      <c r="BQ440" s="386"/>
      <c r="BR440" s="386"/>
      <c r="BS440" s="386"/>
      <c r="BT440" s="386"/>
      <c r="BU440" s="386"/>
      <c r="BV440" s="386"/>
      <c r="BW440" s="386"/>
      <c r="BX440" s="386"/>
      <c r="BY440" s="386"/>
      <c r="BZ440" s="386"/>
      <c r="CA440" s="386"/>
      <c r="CB440" s="386"/>
      <c r="CC440" s="386"/>
      <c r="CD440" s="386"/>
      <c r="CE440" s="386"/>
      <c r="CF440" s="386"/>
      <c r="CG440" s="386"/>
      <c r="CH440" s="386"/>
      <c r="CI440" s="386"/>
      <c r="CJ440" s="386"/>
      <c r="CK440" s="386"/>
      <c r="CL440" s="386"/>
    </row>
    <row r="441" spans="2:90" ht="12.75" customHeight="1" x14ac:dyDescent="0.15">
      <c r="B441" s="57"/>
      <c r="C441" s="57"/>
      <c r="D441" s="58"/>
      <c r="E441" s="59"/>
      <c r="F441" s="63"/>
      <c r="G441" s="63"/>
      <c r="H441" s="63"/>
      <c r="I441" s="63"/>
      <c r="J441" s="65"/>
      <c r="K441" s="392"/>
      <c r="L441" s="65"/>
      <c r="M441" s="65"/>
      <c r="N441" s="65"/>
      <c r="O441" s="386"/>
      <c r="P441" s="386"/>
      <c r="Q441" s="386"/>
      <c r="R441" s="386"/>
      <c r="S441" s="386"/>
      <c r="T441" s="386"/>
      <c r="U441" s="386"/>
      <c r="V441" s="386"/>
      <c r="W441" s="386"/>
      <c r="X441" s="386"/>
      <c r="Y441" s="386"/>
      <c r="Z441" s="386"/>
      <c r="AA441" s="386"/>
      <c r="AB441" s="386"/>
      <c r="AC441" s="386"/>
      <c r="AD441" s="386"/>
      <c r="AE441" s="386"/>
      <c r="AF441" s="386"/>
      <c r="AG441" s="386"/>
      <c r="AH441" s="386"/>
      <c r="AI441" s="386"/>
      <c r="AJ441" s="386"/>
      <c r="AK441" s="386"/>
      <c r="AL441" s="386"/>
      <c r="AM441" s="386"/>
      <c r="AN441" s="386"/>
      <c r="AO441" s="386"/>
      <c r="AP441" s="386"/>
      <c r="AQ441" s="386"/>
      <c r="AR441" s="386"/>
      <c r="AS441" s="386"/>
      <c r="AT441" s="386"/>
      <c r="AU441" s="386"/>
      <c r="AV441" s="386"/>
      <c r="AW441" s="386"/>
      <c r="AX441" s="386"/>
      <c r="AY441" s="386"/>
      <c r="AZ441" s="386"/>
      <c r="BA441" s="386"/>
      <c r="BB441" s="386"/>
      <c r="BC441" s="386"/>
      <c r="BD441" s="386"/>
      <c r="BE441" s="386"/>
      <c r="BF441" s="386"/>
      <c r="BG441" s="386"/>
      <c r="BH441" s="386"/>
      <c r="BI441" s="386"/>
      <c r="BJ441" s="386"/>
      <c r="BK441" s="386"/>
      <c r="BL441" s="386"/>
      <c r="BM441" s="386"/>
      <c r="BN441" s="386"/>
      <c r="BO441" s="386"/>
      <c r="BP441" s="386"/>
      <c r="BQ441" s="386"/>
      <c r="BR441" s="386"/>
      <c r="BS441" s="386"/>
      <c r="BT441" s="386"/>
      <c r="BU441" s="386"/>
      <c r="BV441" s="386"/>
      <c r="BW441" s="386"/>
      <c r="BX441" s="386"/>
      <c r="BY441" s="386"/>
      <c r="BZ441" s="386"/>
      <c r="CA441" s="386"/>
      <c r="CB441" s="386"/>
      <c r="CC441" s="386"/>
      <c r="CD441" s="386"/>
      <c r="CE441" s="386"/>
      <c r="CF441" s="386"/>
      <c r="CG441" s="386"/>
      <c r="CH441" s="386"/>
      <c r="CI441" s="386"/>
      <c r="CJ441" s="386"/>
      <c r="CK441" s="386"/>
      <c r="CL441" s="386"/>
    </row>
    <row r="442" spans="2:90" ht="12.75" customHeight="1" x14ac:dyDescent="0.15">
      <c r="B442" s="57"/>
      <c r="C442" s="57"/>
      <c r="D442" s="58"/>
      <c r="E442" s="59"/>
      <c r="F442" s="63"/>
      <c r="G442" s="63"/>
      <c r="H442" s="63"/>
      <c r="I442" s="63"/>
      <c r="J442" s="65"/>
      <c r="K442" s="392"/>
      <c r="L442" s="65"/>
      <c r="M442" s="65"/>
      <c r="N442" s="65"/>
      <c r="O442" s="386"/>
      <c r="P442" s="386"/>
      <c r="Q442" s="386"/>
      <c r="R442" s="386"/>
      <c r="S442" s="386"/>
      <c r="T442" s="386"/>
      <c r="U442" s="386"/>
      <c r="V442" s="386"/>
      <c r="W442" s="386"/>
      <c r="X442" s="386"/>
      <c r="Y442" s="386"/>
      <c r="Z442" s="386"/>
      <c r="AA442" s="386"/>
      <c r="AB442" s="386"/>
      <c r="AC442" s="386"/>
      <c r="AD442" s="386"/>
      <c r="AE442" s="386"/>
      <c r="AF442" s="386"/>
      <c r="AG442" s="386"/>
      <c r="AH442" s="386"/>
      <c r="AI442" s="386"/>
      <c r="AJ442" s="386"/>
      <c r="AK442" s="386"/>
      <c r="AL442" s="386"/>
      <c r="AM442" s="386"/>
      <c r="AN442" s="386"/>
      <c r="AO442" s="386"/>
      <c r="AP442" s="386"/>
      <c r="AQ442" s="386"/>
      <c r="AR442" s="386"/>
      <c r="AS442" s="386"/>
      <c r="AT442" s="386"/>
      <c r="AU442" s="386"/>
      <c r="AV442" s="386"/>
      <c r="AW442" s="386"/>
      <c r="AX442" s="386"/>
      <c r="AY442" s="386"/>
      <c r="AZ442" s="386"/>
      <c r="BA442" s="386"/>
      <c r="BB442" s="386"/>
      <c r="BC442" s="386"/>
      <c r="BD442" s="386"/>
      <c r="BE442" s="386"/>
      <c r="BF442" s="386"/>
      <c r="BG442" s="386"/>
      <c r="BH442" s="386"/>
      <c r="BI442" s="386"/>
      <c r="BJ442" s="386"/>
      <c r="BK442" s="386"/>
      <c r="BL442" s="386"/>
      <c r="BM442" s="386"/>
      <c r="BN442" s="386"/>
      <c r="BO442" s="386"/>
      <c r="BP442" s="386"/>
      <c r="BQ442" s="386"/>
      <c r="BR442" s="386"/>
      <c r="BS442" s="386"/>
      <c r="BT442" s="386"/>
      <c r="BU442" s="386"/>
      <c r="BV442" s="386"/>
      <c r="BW442" s="386"/>
      <c r="BX442" s="386"/>
      <c r="BY442" s="386"/>
      <c r="BZ442" s="386"/>
      <c r="CA442" s="386"/>
      <c r="CB442" s="386"/>
      <c r="CC442" s="386"/>
      <c r="CD442" s="386"/>
      <c r="CE442" s="386"/>
      <c r="CF442" s="386"/>
      <c r="CG442" s="386"/>
      <c r="CH442" s="386"/>
      <c r="CI442" s="386"/>
      <c r="CJ442" s="386"/>
      <c r="CK442" s="386"/>
      <c r="CL442" s="386"/>
    </row>
    <row r="443" spans="2:90" ht="12.75" customHeight="1" x14ac:dyDescent="0.15">
      <c r="B443" s="57"/>
      <c r="C443" s="57"/>
      <c r="D443" s="58"/>
      <c r="E443" s="59"/>
      <c r="F443" s="63"/>
      <c r="G443" s="63"/>
      <c r="H443" s="63"/>
      <c r="I443" s="63"/>
      <c r="J443" s="65"/>
      <c r="K443" s="392"/>
      <c r="L443" s="65"/>
      <c r="M443" s="65"/>
      <c r="N443" s="65"/>
      <c r="O443" s="386"/>
      <c r="P443" s="386"/>
      <c r="Q443" s="386"/>
      <c r="R443" s="386"/>
      <c r="S443" s="386"/>
      <c r="T443" s="386"/>
      <c r="U443" s="386"/>
      <c r="V443" s="386"/>
      <c r="W443" s="386"/>
      <c r="X443" s="386"/>
      <c r="Y443" s="386"/>
      <c r="Z443" s="386"/>
      <c r="AA443" s="386"/>
      <c r="AB443" s="386"/>
      <c r="AC443" s="386"/>
      <c r="AD443" s="386"/>
      <c r="AE443" s="386"/>
      <c r="AF443" s="386"/>
      <c r="AG443" s="386"/>
      <c r="AH443" s="386"/>
      <c r="AI443" s="386"/>
      <c r="AJ443" s="386"/>
      <c r="AK443" s="386"/>
      <c r="AL443" s="386"/>
      <c r="AM443" s="386"/>
      <c r="AN443" s="386"/>
      <c r="AO443" s="386"/>
      <c r="AP443" s="386"/>
      <c r="AQ443" s="386"/>
      <c r="AR443" s="386"/>
      <c r="AS443" s="386"/>
      <c r="AT443" s="386"/>
      <c r="AU443" s="386"/>
      <c r="AV443" s="386"/>
      <c r="AW443" s="386"/>
      <c r="AX443" s="386"/>
      <c r="AY443" s="386"/>
      <c r="AZ443" s="386"/>
      <c r="BA443" s="386"/>
      <c r="BB443" s="386"/>
      <c r="BC443" s="386"/>
      <c r="BD443" s="386"/>
      <c r="BE443" s="386"/>
      <c r="BF443" s="386"/>
      <c r="BG443" s="386"/>
      <c r="BH443" s="386"/>
      <c r="BI443" s="386"/>
      <c r="BJ443" s="386"/>
      <c r="BK443" s="386"/>
      <c r="BL443" s="386"/>
      <c r="BM443" s="386"/>
      <c r="BN443" s="386"/>
      <c r="BO443" s="386"/>
      <c r="BP443" s="386"/>
      <c r="BQ443" s="386"/>
      <c r="BR443" s="386"/>
      <c r="BS443" s="386"/>
      <c r="BT443" s="386"/>
      <c r="BU443" s="386"/>
      <c r="BV443" s="386"/>
      <c r="BW443" s="386"/>
      <c r="BX443" s="386"/>
      <c r="BY443" s="386"/>
      <c r="BZ443" s="386"/>
      <c r="CA443" s="386"/>
      <c r="CB443" s="386"/>
      <c r="CC443" s="386"/>
      <c r="CD443" s="386"/>
      <c r="CE443" s="386"/>
      <c r="CF443" s="386"/>
      <c r="CG443" s="386"/>
      <c r="CH443" s="386"/>
      <c r="CI443" s="386"/>
      <c r="CJ443" s="386"/>
      <c r="CK443" s="386"/>
      <c r="CL443" s="386"/>
    </row>
    <row r="444" spans="2:90" ht="12.75" customHeight="1" x14ac:dyDescent="0.15">
      <c r="B444" s="57"/>
      <c r="C444" s="57"/>
      <c r="D444" s="58"/>
      <c r="E444" s="59"/>
      <c r="F444" s="63"/>
      <c r="G444" s="63"/>
      <c r="H444" s="63"/>
      <c r="I444" s="63"/>
      <c r="J444" s="65"/>
      <c r="K444" s="392"/>
      <c r="L444" s="65"/>
      <c r="M444" s="65"/>
      <c r="N444" s="65"/>
      <c r="O444" s="386"/>
      <c r="P444" s="386"/>
      <c r="Q444" s="386"/>
      <c r="R444" s="386"/>
      <c r="S444" s="386"/>
      <c r="T444" s="386"/>
      <c r="U444" s="386"/>
      <c r="V444" s="386"/>
      <c r="W444" s="386"/>
      <c r="X444" s="386"/>
      <c r="Y444" s="386"/>
      <c r="Z444" s="386"/>
      <c r="AA444" s="386"/>
      <c r="AB444" s="386"/>
      <c r="AC444" s="386"/>
      <c r="AD444" s="386"/>
      <c r="AE444" s="386"/>
      <c r="AF444" s="386"/>
      <c r="AG444" s="386"/>
      <c r="AH444" s="386"/>
      <c r="AI444" s="386"/>
      <c r="AJ444" s="386"/>
      <c r="AK444" s="386"/>
      <c r="AL444" s="386"/>
      <c r="AM444" s="386"/>
      <c r="AN444" s="386"/>
      <c r="AO444" s="386"/>
      <c r="AP444" s="386"/>
      <c r="AQ444" s="386"/>
      <c r="AR444" s="386"/>
      <c r="AS444" s="386"/>
      <c r="AT444" s="386"/>
      <c r="AU444" s="386"/>
      <c r="AV444" s="386"/>
      <c r="AW444" s="386"/>
      <c r="AX444" s="386"/>
      <c r="AY444" s="386"/>
      <c r="AZ444" s="386"/>
      <c r="BA444" s="386"/>
      <c r="BB444" s="386"/>
      <c r="BC444" s="386"/>
      <c r="BD444" s="386"/>
      <c r="BE444" s="386"/>
      <c r="BF444" s="386"/>
      <c r="BG444" s="386"/>
      <c r="BH444" s="386"/>
      <c r="BI444" s="386"/>
      <c r="BJ444" s="386"/>
      <c r="BK444" s="386"/>
      <c r="BL444" s="386"/>
      <c r="BM444" s="386"/>
      <c r="BN444" s="386"/>
      <c r="BO444" s="386"/>
      <c r="BP444" s="386"/>
      <c r="BQ444" s="386"/>
      <c r="BR444" s="386"/>
      <c r="BS444" s="386"/>
      <c r="BT444" s="386"/>
      <c r="BU444" s="386"/>
      <c r="BV444" s="386"/>
      <c r="BW444" s="386"/>
      <c r="BX444" s="386"/>
      <c r="BY444" s="386"/>
      <c r="BZ444" s="386"/>
      <c r="CA444" s="386"/>
      <c r="CB444" s="386"/>
      <c r="CC444" s="386"/>
      <c r="CD444" s="386"/>
      <c r="CE444" s="386"/>
      <c r="CF444" s="386"/>
      <c r="CG444" s="386"/>
      <c r="CH444" s="386"/>
      <c r="CI444" s="386"/>
      <c r="CJ444" s="386"/>
      <c r="CK444" s="386"/>
      <c r="CL444" s="386"/>
    </row>
    <row r="445" spans="2:90" ht="12.75" customHeight="1" x14ac:dyDescent="0.15">
      <c r="B445" s="57"/>
      <c r="C445" s="57"/>
      <c r="D445" s="58"/>
      <c r="E445" s="59"/>
      <c r="F445" s="63"/>
      <c r="G445" s="63"/>
      <c r="H445" s="63"/>
      <c r="I445" s="63"/>
      <c r="J445" s="65"/>
      <c r="K445" s="392"/>
      <c r="L445" s="65"/>
      <c r="M445" s="65"/>
      <c r="N445" s="65"/>
      <c r="O445" s="386"/>
      <c r="P445" s="386"/>
      <c r="Q445" s="386"/>
      <c r="R445" s="386"/>
      <c r="S445" s="386"/>
      <c r="T445" s="386"/>
      <c r="U445" s="386"/>
      <c r="V445" s="386"/>
      <c r="W445" s="386"/>
      <c r="X445" s="386"/>
      <c r="Y445" s="386"/>
      <c r="Z445" s="386"/>
      <c r="AA445" s="386"/>
      <c r="AB445" s="386"/>
      <c r="AC445" s="386"/>
      <c r="AD445" s="386"/>
      <c r="AE445" s="386"/>
      <c r="AF445" s="386"/>
      <c r="AG445" s="386"/>
      <c r="AH445" s="386"/>
      <c r="AI445" s="386"/>
      <c r="AJ445" s="386"/>
      <c r="AK445" s="386"/>
      <c r="AL445" s="386"/>
      <c r="AM445" s="386"/>
      <c r="AN445" s="386"/>
      <c r="AO445" s="386"/>
      <c r="AP445" s="386"/>
      <c r="AQ445" s="386"/>
      <c r="AR445" s="386"/>
      <c r="AS445" s="386"/>
      <c r="AT445" s="386"/>
      <c r="AU445" s="386"/>
      <c r="AV445" s="386"/>
      <c r="AW445" s="386"/>
      <c r="AX445" s="386"/>
      <c r="AY445" s="386"/>
      <c r="AZ445" s="386"/>
      <c r="BA445" s="386"/>
      <c r="BB445" s="386"/>
      <c r="BC445" s="386"/>
      <c r="BD445" s="386"/>
      <c r="BE445" s="386"/>
      <c r="BF445" s="386"/>
      <c r="BG445" s="386"/>
      <c r="BH445" s="386"/>
      <c r="BI445" s="386"/>
      <c r="BJ445" s="386"/>
      <c r="BK445" s="386"/>
      <c r="BL445" s="386"/>
      <c r="BM445" s="386"/>
      <c r="BN445" s="386"/>
      <c r="BO445" s="386"/>
      <c r="BP445" s="386"/>
      <c r="BQ445" s="386"/>
      <c r="BR445" s="386"/>
      <c r="BS445" s="386"/>
      <c r="BT445" s="386"/>
      <c r="BU445" s="386"/>
      <c r="BV445" s="386"/>
      <c r="BW445" s="386"/>
      <c r="BX445" s="386"/>
      <c r="BY445" s="386"/>
      <c r="BZ445" s="386"/>
      <c r="CA445" s="386"/>
      <c r="CB445" s="386"/>
      <c r="CC445" s="386"/>
      <c r="CD445" s="386"/>
      <c r="CE445" s="386"/>
      <c r="CF445" s="386"/>
      <c r="CG445" s="386"/>
      <c r="CH445" s="386"/>
      <c r="CI445" s="386"/>
      <c r="CJ445" s="386"/>
      <c r="CK445" s="386"/>
      <c r="CL445" s="386"/>
    </row>
    <row r="446" spans="2:90" ht="12.75" customHeight="1" x14ac:dyDescent="0.15">
      <c r="B446" s="57"/>
      <c r="C446" s="57"/>
      <c r="D446" s="58"/>
      <c r="E446" s="59"/>
      <c r="F446" s="63"/>
      <c r="G446" s="63"/>
      <c r="H446" s="63"/>
      <c r="I446" s="63"/>
      <c r="J446" s="65"/>
      <c r="K446" s="392"/>
      <c r="L446" s="65"/>
      <c r="M446" s="65"/>
      <c r="N446" s="65"/>
      <c r="O446" s="386"/>
      <c r="P446" s="386"/>
      <c r="Q446" s="386"/>
      <c r="R446" s="386"/>
      <c r="S446" s="386"/>
      <c r="T446" s="386"/>
      <c r="U446" s="386"/>
      <c r="V446" s="386"/>
      <c r="W446" s="386"/>
      <c r="X446" s="386"/>
      <c r="Y446" s="386"/>
      <c r="Z446" s="386"/>
      <c r="AA446" s="386"/>
      <c r="AB446" s="386"/>
      <c r="AC446" s="386"/>
      <c r="AD446" s="386"/>
      <c r="AE446" s="386"/>
      <c r="AF446" s="386"/>
      <c r="AG446" s="386"/>
      <c r="AH446" s="386"/>
      <c r="AI446" s="386"/>
      <c r="AJ446" s="386"/>
      <c r="AK446" s="386"/>
      <c r="AL446" s="386"/>
      <c r="AM446" s="386"/>
      <c r="AN446" s="386"/>
      <c r="AO446" s="386"/>
      <c r="AP446" s="386"/>
      <c r="AQ446" s="386"/>
      <c r="AR446" s="386"/>
      <c r="AS446" s="386"/>
      <c r="AT446" s="386"/>
      <c r="AU446" s="386"/>
      <c r="AV446" s="386"/>
      <c r="AW446" s="386"/>
      <c r="AX446" s="386"/>
      <c r="AY446" s="386"/>
      <c r="AZ446" s="386"/>
      <c r="BA446" s="386"/>
      <c r="BB446" s="386"/>
      <c r="BC446" s="386"/>
      <c r="BD446" s="386"/>
      <c r="BE446" s="386"/>
      <c r="BF446" s="386"/>
      <c r="BG446" s="386"/>
      <c r="BH446" s="386"/>
      <c r="BI446" s="386"/>
      <c r="BJ446" s="386"/>
      <c r="BK446" s="386"/>
      <c r="BL446" s="386"/>
      <c r="BM446" s="386"/>
      <c r="BN446" s="386"/>
      <c r="BO446" s="386"/>
      <c r="BP446" s="386"/>
      <c r="BQ446" s="386"/>
      <c r="BR446" s="386"/>
      <c r="BS446" s="386"/>
      <c r="BT446" s="386"/>
      <c r="BU446" s="386"/>
      <c r="BV446" s="386"/>
      <c r="BW446" s="386"/>
      <c r="BX446" s="386"/>
      <c r="BY446" s="386"/>
      <c r="BZ446" s="386"/>
      <c r="CA446" s="386"/>
      <c r="CB446" s="386"/>
      <c r="CC446" s="386"/>
      <c r="CD446" s="386"/>
      <c r="CE446" s="386"/>
      <c r="CF446" s="386"/>
      <c r="CG446" s="386"/>
      <c r="CH446" s="386"/>
      <c r="CI446" s="386"/>
      <c r="CJ446" s="386"/>
      <c r="CK446" s="386"/>
      <c r="CL446" s="386"/>
    </row>
    <row r="447" spans="2:90" ht="12.75" customHeight="1" x14ac:dyDescent="0.15">
      <c r="B447" s="57"/>
      <c r="C447" s="57"/>
      <c r="D447" s="58"/>
      <c r="E447" s="59"/>
      <c r="F447" s="63"/>
      <c r="G447" s="63"/>
      <c r="H447" s="63"/>
      <c r="I447" s="63"/>
      <c r="J447" s="65"/>
      <c r="K447" s="392"/>
      <c r="L447" s="65"/>
      <c r="M447" s="65"/>
      <c r="N447" s="65"/>
      <c r="O447" s="386"/>
      <c r="P447" s="386"/>
      <c r="Q447" s="386"/>
      <c r="R447" s="386"/>
      <c r="S447" s="386"/>
      <c r="T447" s="386"/>
      <c r="U447" s="386"/>
      <c r="V447" s="386"/>
      <c r="W447" s="386"/>
      <c r="X447" s="386"/>
      <c r="Y447" s="386"/>
      <c r="Z447" s="386"/>
      <c r="AA447" s="386"/>
      <c r="AB447" s="386"/>
      <c r="AC447" s="386"/>
      <c r="AD447" s="386"/>
      <c r="AE447" s="386"/>
      <c r="AF447" s="386"/>
      <c r="AG447" s="386"/>
      <c r="AH447" s="386"/>
      <c r="AI447" s="386"/>
      <c r="AJ447" s="386"/>
      <c r="AK447" s="386"/>
      <c r="AL447" s="386"/>
      <c r="AM447" s="386"/>
      <c r="AN447" s="386"/>
      <c r="AO447" s="386"/>
      <c r="AP447" s="386"/>
      <c r="AQ447" s="386"/>
      <c r="AR447" s="386"/>
      <c r="AS447" s="386"/>
      <c r="AT447" s="386"/>
      <c r="AU447" s="386"/>
      <c r="AV447" s="386"/>
      <c r="AW447" s="386"/>
      <c r="AX447" s="386"/>
      <c r="AY447" s="386"/>
      <c r="AZ447" s="386"/>
      <c r="BA447" s="386"/>
      <c r="BB447" s="386"/>
      <c r="BC447" s="386"/>
      <c r="BD447" s="386"/>
      <c r="BE447" s="386"/>
      <c r="BF447" s="386"/>
      <c r="BG447" s="386"/>
      <c r="BH447" s="386"/>
      <c r="BI447" s="386"/>
      <c r="BJ447" s="386"/>
      <c r="BK447" s="386"/>
      <c r="BL447" s="386"/>
      <c r="BM447" s="386"/>
      <c r="BN447" s="386"/>
      <c r="BO447" s="386"/>
      <c r="BP447" s="386"/>
      <c r="BQ447" s="386"/>
      <c r="BR447" s="386"/>
      <c r="BS447" s="386"/>
      <c r="BT447" s="386"/>
      <c r="BU447" s="386"/>
      <c r="BV447" s="386"/>
      <c r="BW447" s="386"/>
      <c r="BX447" s="386"/>
      <c r="BY447" s="386"/>
      <c r="BZ447" s="386"/>
      <c r="CA447" s="386"/>
      <c r="CB447" s="386"/>
      <c r="CC447" s="386"/>
      <c r="CD447" s="386"/>
      <c r="CE447" s="386"/>
      <c r="CF447" s="386"/>
      <c r="CG447" s="386"/>
      <c r="CH447" s="386"/>
      <c r="CI447" s="386"/>
      <c r="CJ447" s="386"/>
      <c r="CK447" s="386"/>
      <c r="CL447" s="386"/>
    </row>
    <row r="448" spans="2:90" ht="12.75" customHeight="1" x14ac:dyDescent="0.15">
      <c r="B448" s="57"/>
      <c r="C448" s="57"/>
      <c r="D448" s="58"/>
      <c r="E448" s="59"/>
      <c r="F448" s="63"/>
      <c r="G448" s="63"/>
      <c r="H448" s="63"/>
      <c r="I448" s="63"/>
      <c r="J448" s="65"/>
      <c r="K448" s="392"/>
      <c r="L448" s="65"/>
      <c r="M448" s="65"/>
      <c r="N448" s="65"/>
      <c r="O448" s="386"/>
      <c r="P448" s="386"/>
      <c r="Q448" s="386"/>
      <c r="R448" s="386"/>
      <c r="S448" s="386"/>
      <c r="T448" s="386"/>
      <c r="U448" s="386"/>
      <c r="V448" s="386"/>
      <c r="W448" s="386"/>
      <c r="X448" s="386"/>
      <c r="Y448" s="386"/>
      <c r="Z448" s="386"/>
      <c r="AA448" s="386"/>
      <c r="AB448" s="386"/>
      <c r="AC448" s="386"/>
      <c r="AD448" s="386"/>
      <c r="AE448" s="386"/>
      <c r="AF448" s="386"/>
      <c r="AG448" s="386"/>
      <c r="AH448" s="386"/>
      <c r="AI448" s="386"/>
      <c r="AJ448" s="386"/>
      <c r="AK448" s="386"/>
      <c r="AL448" s="386"/>
      <c r="AM448" s="386"/>
      <c r="AN448" s="386"/>
      <c r="AO448" s="386"/>
      <c r="AP448" s="386"/>
      <c r="AQ448" s="386"/>
      <c r="AR448" s="386"/>
      <c r="AS448" s="386"/>
      <c r="AT448" s="386"/>
      <c r="AU448" s="386"/>
      <c r="AV448" s="386"/>
      <c r="AW448" s="386"/>
      <c r="AX448" s="386"/>
      <c r="AY448" s="386"/>
      <c r="AZ448" s="386"/>
      <c r="BA448" s="386"/>
      <c r="BB448" s="386"/>
      <c r="BC448" s="386"/>
      <c r="BD448" s="386"/>
      <c r="BE448" s="386"/>
      <c r="BF448" s="386"/>
      <c r="BG448" s="386"/>
      <c r="BH448" s="386"/>
      <c r="BI448" s="386"/>
      <c r="BJ448" s="386"/>
      <c r="BK448" s="386"/>
      <c r="BL448" s="386"/>
      <c r="BM448" s="386"/>
      <c r="BN448" s="386"/>
      <c r="BO448" s="386"/>
      <c r="BP448" s="386"/>
      <c r="BQ448" s="386"/>
      <c r="BR448" s="386"/>
      <c r="BS448" s="386"/>
      <c r="BT448" s="386"/>
      <c r="BU448" s="386"/>
      <c r="BV448" s="386"/>
      <c r="BW448" s="386"/>
      <c r="BX448" s="386"/>
      <c r="BY448" s="386"/>
      <c r="BZ448" s="386"/>
      <c r="CA448" s="386"/>
      <c r="CB448" s="386"/>
      <c r="CC448" s="386"/>
      <c r="CD448" s="386"/>
      <c r="CE448" s="386"/>
      <c r="CF448" s="386"/>
      <c r="CG448" s="386"/>
      <c r="CH448" s="386"/>
      <c r="CI448" s="386"/>
      <c r="CJ448" s="386"/>
      <c r="CK448" s="386"/>
      <c r="CL448" s="386"/>
    </row>
    <row r="449" spans="2:90" ht="12.75" customHeight="1" x14ac:dyDescent="0.15">
      <c r="B449" s="57"/>
      <c r="C449" s="57"/>
      <c r="D449" s="58"/>
      <c r="E449" s="59"/>
      <c r="F449" s="63"/>
      <c r="G449" s="63"/>
      <c r="H449" s="63"/>
      <c r="I449" s="63"/>
      <c r="J449" s="65"/>
      <c r="K449" s="392"/>
      <c r="L449" s="65"/>
      <c r="M449" s="65"/>
      <c r="N449" s="65"/>
      <c r="O449" s="386"/>
      <c r="P449" s="386"/>
      <c r="Q449" s="386"/>
      <c r="R449" s="386"/>
      <c r="S449" s="386"/>
      <c r="T449" s="386"/>
      <c r="U449" s="386"/>
      <c r="V449" s="386"/>
      <c r="W449" s="386"/>
      <c r="X449" s="386"/>
      <c r="Y449" s="386"/>
      <c r="Z449" s="386"/>
      <c r="AA449" s="386"/>
      <c r="AB449" s="386"/>
      <c r="AC449" s="386"/>
      <c r="AD449" s="386"/>
      <c r="AE449" s="386"/>
      <c r="AF449" s="386"/>
      <c r="AG449" s="386"/>
      <c r="AH449" s="386"/>
      <c r="AI449" s="386"/>
      <c r="AJ449" s="386"/>
      <c r="AK449" s="386"/>
      <c r="AL449" s="386"/>
      <c r="AM449" s="386"/>
      <c r="AN449" s="386"/>
      <c r="AO449" s="386"/>
      <c r="AP449" s="386"/>
      <c r="AQ449" s="386"/>
      <c r="AR449" s="386"/>
      <c r="AS449" s="386"/>
      <c r="AT449" s="386"/>
      <c r="AU449" s="386"/>
      <c r="AV449" s="386"/>
      <c r="AW449" s="386"/>
      <c r="AX449" s="386"/>
      <c r="AY449" s="386"/>
      <c r="AZ449" s="386"/>
      <c r="BA449" s="386"/>
      <c r="BB449" s="386"/>
      <c r="BC449" s="386"/>
      <c r="BD449" s="386"/>
      <c r="BE449" s="386"/>
      <c r="BF449" s="386"/>
      <c r="BG449" s="386"/>
      <c r="BH449" s="386"/>
      <c r="BI449" s="386"/>
      <c r="BJ449" s="386"/>
      <c r="BK449" s="386"/>
      <c r="BL449" s="386"/>
      <c r="BM449" s="386"/>
      <c r="BN449" s="386"/>
      <c r="BO449" s="386"/>
      <c r="BP449" s="386"/>
      <c r="BQ449" s="386"/>
      <c r="BR449" s="386"/>
      <c r="BS449" s="386"/>
      <c r="BT449" s="386"/>
      <c r="BU449" s="386"/>
      <c r="BV449" s="386"/>
      <c r="BW449" s="386"/>
      <c r="BX449" s="386"/>
      <c r="BY449" s="386"/>
      <c r="BZ449" s="386"/>
      <c r="CA449" s="386"/>
      <c r="CB449" s="386"/>
      <c r="CC449" s="386"/>
      <c r="CD449" s="386"/>
      <c r="CE449" s="386"/>
      <c r="CF449" s="386"/>
      <c r="CG449" s="386"/>
      <c r="CH449" s="386"/>
      <c r="CI449" s="386"/>
      <c r="CJ449" s="386"/>
      <c r="CK449" s="386"/>
      <c r="CL449" s="386"/>
    </row>
    <row r="450" spans="2:90" ht="12.75" customHeight="1" x14ac:dyDescent="0.15">
      <c r="B450" s="57"/>
      <c r="C450" s="57"/>
      <c r="D450" s="58"/>
      <c r="E450" s="59"/>
      <c r="F450" s="63"/>
      <c r="G450" s="63"/>
      <c r="H450" s="63"/>
      <c r="I450" s="63"/>
      <c r="J450" s="65"/>
      <c r="K450" s="392"/>
      <c r="L450" s="65"/>
      <c r="M450" s="65"/>
      <c r="N450" s="65"/>
      <c r="O450" s="386"/>
      <c r="P450" s="386"/>
      <c r="Q450" s="386"/>
      <c r="R450" s="386"/>
      <c r="S450" s="386"/>
      <c r="T450" s="386"/>
      <c r="U450" s="386"/>
      <c r="V450" s="386"/>
      <c r="W450" s="386"/>
      <c r="X450" s="386"/>
      <c r="Y450" s="386"/>
      <c r="Z450" s="386"/>
      <c r="AA450" s="386"/>
      <c r="AB450" s="386"/>
      <c r="AC450" s="386"/>
      <c r="AD450" s="386"/>
      <c r="AE450" s="386"/>
      <c r="AF450" s="386"/>
      <c r="AG450" s="386"/>
      <c r="AH450" s="386"/>
      <c r="AI450" s="386"/>
      <c r="AJ450" s="386"/>
      <c r="AK450" s="386"/>
      <c r="AL450" s="386"/>
      <c r="AM450" s="386"/>
      <c r="AN450" s="386"/>
      <c r="AO450" s="386"/>
      <c r="AP450" s="386"/>
      <c r="AQ450" s="386"/>
      <c r="AR450" s="386"/>
      <c r="AS450" s="386"/>
      <c r="AT450" s="386"/>
      <c r="AU450" s="386"/>
      <c r="AV450" s="386"/>
      <c r="AW450" s="386"/>
      <c r="AX450" s="386"/>
      <c r="AY450" s="386"/>
      <c r="AZ450" s="386"/>
      <c r="BA450" s="386"/>
      <c r="BB450" s="386"/>
      <c r="BC450" s="386"/>
      <c r="BD450" s="386"/>
      <c r="BE450" s="386"/>
      <c r="BF450" s="386"/>
      <c r="BG450" s="386"/>
      <c r="BH450" s="386"/>
      <c r="BI450" s="386"/>
      <c r="BJ450" s="386"/>
      <c r="BK450" s="386"/>
      <c r="BL450" s="386"/>
      <c r="BM450" s="386"/>
      <c r="BN450" s="386"/>
      <c r="BO450" s="386"/>
      <c r="BP450" s="386"/>
      <c r="BQ450" s="386"/>
      <c r="BR450" s="386"/>
      <c r="BS450" s="386"/>
      <c r="BT450" s="386"/>
      <c r="BU450" s="386"/>
      <c r="BV450" s="386"/>
      <c r="BW450" s="386"/>
      <c r="BX450" s="386"/>
      <c r="BY450" s="386"/>
      <c r="BZ450" s="386"/>
      <c r="CA450" s="386"/>
      <c r="CB450" s="386"/>
      <c r="CC450" s="386"/>
      <c r="CD450" s="386"/>
      <c r="CE450" s="386"/>
      <c r="CF450" s="386"/>
      <c r="CG450" s="386"/>
      <c r="CH450" s="386"/>
      <c r="CI450" s="386"/>
      <c r="CJ450" s="386"/>
      <c r="CK450" s="386"/>
      <c r="CL450" s="386"/>
    </row>
    <row r="451" spans="2:90" ht="12.75" customHeight="1" x14ac:dyDescent="0.15">
      <c r="B451" s="57"/>
      <c r="C451" s="57"/>
      <c r="D451" s="58"/>
      <c r="E451" s="59"/>
      <c r="F451" s="63"/>
      <c r="G451" s="63"/>
      <c r="H451" s="63"/>
      <c r="I451" s="63"/>
      <c r="J451" s="65"/>
      <c r="K451" s="392"/>
      <c r="L451" s="65"/>
      <c r="M451" s="65"/>
      <c r="N451" s="65"/>
      <c r="O451" s="386"/>
      <c r="P451" s="386"/>
      <c r="Q451" s="386"/>
      <c r="R451" s="386"/>
      <c r="S451" s="386"/>
      <c r="T451" s="386"/>
      <c r="U451" s="386"/>
      <c r="V451" s="386"/>
      <c r="W451" s="386"/>
      <c r="X451" s="386"/>
      <c r="Y451" s="386"/>
      <c r="Z451" s="386"/>
      <c r="AA451" s="386"/>
      <c r="AB451" s="386"/>
      <c r="AC451" s="386"/>
      <c r="AD451" s="386"/>
      <c r="AE451" s="386"/>
      <c r="AF451" s="386"/>
      <c r="AG451" s="386"/>
      <c r="AH451" s="386"/>
      <c r="AI451" s="386"/>
      <c r="AJ451" s="386"/>
      <c r="AK451" s="386"/>
      <c r="AL451" s="386"/>
      <c r="AM451" s="386"/>
      <c r="AN451" s="386"/>
      <c r="AO451" s="386"/>
      <c r="AP451" s="386"/>
      <c r="AQ451" s="386"/>
      <c r="AR451" s="386"/>
      <c r="AS451" s="386"/>
      <c r="AT451" s="386"/>
      <c r="AU451" s="386"/>
      <c r="AV451" s="386"/>
      <c r="AW451" s="386"/>
      <c r="AX451" s="386"/>
      <c r="AY451" s="386"/>
      <c r="AZ451" s="386"/>
      <c r="BA451" s="386"/>
      <c r="BB451" s="386"/>
      <c r="BC451" s="386"/>
      <c r="BD451" s="386"/>
      <c r="BE451" s="386"/>
      <c r="BF451" s="386"/>
      <c r="BG451" s="386"/>
      <c r="BH451" s="386"/>
      <c r="BI451" s="386"/>
      <c r="BJ451" s="386"/>
      <c r="BK451" s="386"/>
      <c r="BL451" s="386"/>
      <c r="BM451" s="386"/>
      <c r="BN451" s="386"/>
      <c r="BO451" s="386"/>
      <c r="BP451" s="386"/>
      <c r="BQ451" s="386"/>
      <c r="BR451" s="386"/>
      <c r="BS451" s="386"/>
      <c r="BT451" s="386"/>
      <c r="BU451" s="386"/>
      <c r="BV451" s="386"/>
      <c r="BW451" s="386"/>
      <c r="BX451" s="386"/>
      <c r="BY451" s="386"/>
      <c r="BZ451" s="386"/>
      <c r="CA451" s="386"/>
      <c r="CB451" s="386"/>
      <c r="CC451" s="386"/>
      <c r="CD451" s="386"/>
      <c r="CE451" s="386"/>
      <c r="CF451" s="386"/>
      <c r="CG451" s="386"/>
      <c r="CH451" s="386"/>
      <c r="CI451" s="386"/>
      <c r="CJ451" s="386"/>
      <c r="CK451" s="386"/>
      <c r="CL451" s="386"/>
    </row>
    <row r="452" spans="2:90" ht="12.75" customHeight="1" x14ac:dyDescent="0.15">
      <c r="B452" s="57"/>
      <c r="C452" s="57"/>
      <c r="D452" s="58"/>
      <c r="E452" s="59"/>
      <c r="F452" s="63"/>
      <c r="G452" s="63"/>
      <c r="H452" s="63"/>
      <c r="I452" s="63"/>
      <c r="J452" s="65"/>
      <c r="K452" s="392"/>
      <c r="L452" s="65"/>
      <c r="M452" s="65"/>
      <c r="N452" s="65"/>
      <c r="O452" s="386"/>
      <c r="P452" s="386"/>
      <c r="Q452" s="386"/>
      <c r="R452" s="386"/>
      <c r="S452" s="386"/>
      <c r="T452" s="386"/>
      <c r="U452" s="386"/>
      <c r="V452" s="386"/>
      <c r="W452" s="386"/>
      <c r="X452" s="386"/>
      <c r="Y452" s="386"/>
      <c r="Z452" s="386"/>
      <c r="AA452" s="386"/>
      <c r="AB452" s="386"/>
      <c r="AC452" s="386"/>
      <c r="AD452" s="386"/>
      <c r="AE452" s="386"/>
      <c r="AF452" s="386"/>
      <c r="AG452" s="386"/>
      <c r="AH452" s="386"/>
      <c r="AI452" s="386"/>
      <c r="AJ452" s="386"/>
      <c r="AK452" s="386"/>
      <c r="AL452" s="386"/>
      <c r="AM452" s="386"/>
      <c r="AN452" s="386"/>
      <c r="AO452" s="386"/>
      <c r="AP452" s="386"/>
      <c r="AQ452" s="386"/>
      <c r="AR452" s="386"/>
      <c r="AS452" s="386"/>
      <c r="AT452" s="386"/>
      <c r="AU452" s="386"/>
      <c r="AV452" s="386"/>
      <c r="AW452" s="386"/>
      <c r="AX452" s="386"/>
      <c r="AY452" s="386"/>
      <c r="AZ452" s="386"/>
      <c r="BA452" s="386"/>
      <c r="BB452" s="386"/>
      <c r="BC452" s="386"/>
      <c r="BD452" s="386"/>
      <c r="BE452" s="386"/>
      <c r="BF452" s="386"/>
      <c r="BG452" s="386"/>
      <c r="BH452" s="386"/>
      <c r="BI452" s="386"/>
      <c r="BJ452" s="386"/>
      <c r="BK452" s="386"/>
      <c r="BL452" s="386"/>
      <c r="BM452" s="386"/>
      <c r="BN452" s="386"/>
      <c r="BO452" s="386"/>
      <c r="BP452" s="386"/>
      <c r="BQ452" s="386"/>
      <c r="BR452" s="386"/>
      <c r="BS452" s="386"/>
      <c r="BT452" s="386"/>
      <c r="BU452" s="386"/>
      <c r="BV452" s="386"/>
      <c r="BW452" s="386"/>
      <c r="BX452" s="386"/>
      <c r="BY452" s="386"/>
      <c r="BZ452" s="386"/>
      <c r="CA452" s="386"/>
      <c r="CB452" s="386"/>
      <c r="CC452" s="386"/>
      <c r="CD452" s="386"/>
      <c r="CE452" s="386"/>
      <c r="CF452" s="386"/>
      <c r="CG452" s="386"/>
      <c r="CH452" s="386"/>
      <c r="CI452" s="386"/>
      <c r="CJ452" s="386"/>
      <c r="CK452" s="386"/>
      <c r="CL452" s="386"/>
    </row>
    <row r="453" spans="2:90" ht="12.75" customHeight="1" x14ac:dyDescent="0.15">
      <c r="B453" s="57"/>
      <c r="C453" s="57"/>
      <c r="D453" s="58"/>
      <c r="E453" s="59"/>
      <c r="F453" s="63"/>
      <c r="G453" s="63"/>
      <c r="H453" s="63"/>
      <c r="I453" s="63"/>
      <c r="J453" s="65"/>
      <c r="K453" s="392"/>
      <c r="L453" s="65"/>
      <c r="M453" s="65"/>
      <c r="N453" s="65"/>
      <c r="O453" s="386"/>
      <c r="P453" s="386"/>
      <c r="Q453" s="386"/>
      <c r="R453" s="386"/>
      <c r="S453" s="386"/>
      <c r="T453" s="386"/>
      <c r="U453" s="386"/>
      <c r="V453" s="386"/>
      <c r="W453" s="386"/>
      <c r="X453" s="386"/>
      <c r="Y453" s="386"/>
      <c r="Z453" s="386"/>
      <c r="AA453" s="386"/>
      <c r="AB453" s="386"/>
      <c r="AC453" s="386"/>
      <c r="AD453" s="386"/>
      <c r="AE453" s="386"/>
      <c r="AF453" s="386"/>
      <c r="AG453" s="386"/>
      <c r="AH453" s="386"/>
      <c r="AI453" s="386"/>
      <c r="AJ453" s="386"/>
      <c r="AK453" s="386"/>
      <c r="AL453" s="386"/>
      <c r="AM453" s="386"/>
      <c r="AN453" s="386"/>
      <c r="AO453" s="386"/>
      <c r="AP453" s="386"/>
      <c r="AQ453" s="386"/>
      <c r="AR453" s="386"/>
      <c r="AS453" s="386"/>
      <c r="AT453" s="386"/>
      <c r="AU453" s="386"/>
      <c r="AV453" s="386"/>
      <c r="AW453" s="386"/>
      <c r="AX453" s="386"/>
      <c r="AY453" s="386"/>
      <c r="AZ453" s="386"/>
      <c r="BA453" s="386"/>
      <c r="BB453" s="386"/>
      <c r="BC453" s="386"/>
      <c r="BD453" s="386"/>
      <c r="BE453" s="386"/>
      <c r="BF453" s="386"/>
      <c r="BG453" s="386"/>
      <c r="BH453" s="386"/>
      <c r="BI453" s="386"/>
      <c r="BJ453" s="386"/>
      <c r="BK453" s="386"/>
      <c r="BL453" s="386"/>
      <c r="BM453" s="386"/>
      <c r="BN453" s="386"/>
      <c r="BO453" s="386"/>
      <c r="BP453" s="386"/>
      <c r="BQ453" s="386"/>
      <c r="BR453" s="386"/>
      <c r="BS453" s="386"/>
      <c r="BT453" s="386"/>
      <c r="BU453" s="386"/>
      <c r="BV453" s="386"/>
      <c r="BW453" s="386"/>
      <c r="BX453" s="386"/>
      <c r="BY453" s="386"/>
      <c r="BZ453" s="386"/>
      <c r="CA453" s="386"/>
      <c r="CB453" s="386"/>
      <c r="CC453" s="386"/>
      <c r="CD453" s="386"/>
      <c r="CE453" s="386"/>
      <c r="CF453" s="386"/>
      <c r="CG453" s="386"/>
      <c r="CH453" s="386"/>
      <c r="CI453" s="386"/>
      <c r="CJ453" s="386"/>
      <c r="CK453" s="386"/>
      <c r="CL453" s="386"/>
    </row>
    <row r="454" spans="2:90" ht="12.75" customHeight="1" x14ac:dyDescent="0.15">
      <c r="B454" s="57"/>
      <c r="C454" s="57"/>
      <c r="D454" s="58"/>
      <c r="E454" s="59"/>
      <c r="F454" s="63"/>
      <c r="G454" s="63"/>
      <c r="H454" s="63"/>
      <c r="I454" s="63"/>
      <c r="J454" s="65"/>
      <c r="K454" s="392"/>
      <c r="L454" s="65"/>
      <c r="M454" s="65"/>
      <c r="N454" s="65"/>
      <c r="O454" s="386"/>
      <c r="P454" s="386"/>
      <c r="Q454" s="386"/>
      <c r="R454" s="386"/>
      <c r="S454" s="386"/>
      <c r="T454" s="386"/>
      <c r="U454" s="386"/>
      <c r="V454" s="386"/>
      <c r="W454" s="386"/>
      <c r="X454" s="386"/>
      <c r="Y454" s="386"/>
      <c r="Z454" s="386"/>
      <c r="AA454" s="386"/>
      <c r="AB454" s="386"/>
      <c r="AC454" s="386"/>
      <c r="AD454" s="386"/>
      <c r="AE454" s="386"/>
      <c r="AF454" s="386"/>
      <c r="AG454" s="386"/>
      <c r="AH454" s="386"/>
      <c r="AI454" s="386"/>
      <c r="AJ454" s="386"/>
      <c r="AK454" s="386"/>
      <c r="AL454" s="386"/>
      <c r="AM454" s="386"/>
      <c r="AN454" s="386"/>
      <c r="AO454" s="386"/>
      <c r="AP454" s="386"/>
      <c r="AQ454" s="386"/>
      <c r="AR454" s="386"/>
      <c r="AS454" s="386"/>
      <c r="AT454" s="386"/>
      <c r="AU454" s="386"/>
      <c r="AV454" s="386"/>
      <c r="AW454" s="386"/>
      <c r="AX454" s="386"/>
      <c r="AY454" s="386"/>
      <c r="AZ454" s="386"/>
      <c r="BA454" s="386"/>
      <c r="BB454" s="386"/>
      <c r="BC454" s="386"/>
      <c r="BD454" s="386"/>
      <c r="BE454" s="386"/>
      <c r="BF454" s="386"/>
      <c r="BG454" s="386"/>
      <c r="BH454" s="386"/>
      <c r="BI454" s="386"/>
      <c r="BJ454" s="386"/>
      <c r="BK454" s="386"/>
      <c r="BL454" s="386"/>
      <c r="BM454" s="386"/>
      <c r="BN454" s="386"/>
      <c r="BO454" s="386"/>
      <c r="BP454" s="386"/>
      <c r="BQ454" s="386"/>
      <c r="BR454" s="386"/>
      <c r="BS454" s="386"/>
      <c r="BT454" s="386"/>
      <c r="BU454" s="386"/>
      <c r="BV454" s="386"/>
      <c r="BW454" s="386"/>
      <c r="BX454" s="386"/>
      <c r="BY454" s="386"/>
      <c r="BZ454" s="386"/>
      <c r="CA454" s="386"/>
      <c r="CB454" s="386"/>
      <c r="CC454" s="386"/>
      <c r="CD454" s="386"/>
      <c r="CE454" s="386"/>
      <c r="CF454" s="386"/>
      <c r="CG454" s="386"/>
      <c r="CH454" s="386"/>
      <c r="CI454" s="386"/>
      <c r="CJ454" s="386"/>
      <c r="CK454" s="386"/>
      <c r="CL454" s="386"/>
    </row>
    <row r="455" spans="2:90" ht="12.75" customHeight="1" x14ac:dyDescent="0.15">
      <c r="B455" s="57"/>
      <c r="C455" s="57"/>
      <c r="D455" s="58"/>
      <c r="E455" s="59"/>
      <c r="F455" s="63"/>
      <c r="G455" s="63"/>
      <c r="H455" s="63"/>
      <c r="I455" s="63"/>
      <c r="J455" s="65"/>
      <c r="K455" s="392"/>
      <c r="L455" s="65"/>
      <c r="M455" s="65"/>
      <c r="N455" s="65"/>
      <c r="O455" s="386"/>
      <c r="P455" s="386"/>
      <c r="Q455" s="386"/>
      <c r="R455" s="386"/>
      <c r="S455" s="386"/>
      <c r="T455" s="386"/>
      <c r="U455" s="386"/>
      <c r="V455" s="386"/>
      <c r="W455" s="386"/>
      <c r="X455" s="386"/>
      <c r="Y455" s="386"/>
      <c r="Z455" s="386"/>
      <c r="AA455" s="386"/>
      <c r="AB455" s="386"/>
      <c r="AC455" s="386"/>
      <c r="AD455" s="386"/>
      <c r="AE455" s="386"/>
      <c r="AF455" s="386"/>
      <c r="AG455" s="386"/>
      <c r="AH455" s="386"/>
      <c r="AI455" s="386"/>
      <c r="AJ455" s="386"/>
      <c r="AK455" s="386"/>
      <c r="AL455" s="386"/>
      <c r="AM455" s="386"/>
      <c r="AN455" s="386"/>
      <c r="AO455" s="386"/>
      <c r="AP455" s="386"/>
      <c r="AQ455" s="386"/>
      <c r="AR455" s="386"/>
      <c r="AS455" s="386"/>
      <c r="AT455" s="386"/>
      <c r="AU455" s="386"/>
      <c r="AV455" s="386"/>
      <c r="AW455" s="386"/>
      <c r="AX455" s="386"/>
      <c r="AY455" s="386"/>
      <c r="AZ455" s="386"/>
      <c r="BA455" s="386"/>
      <c r="BB455" s="386"/>
      <c r="BC455" s="386"/>
      <c r="BD455" s="386"/>
      <c r="BE455" s="386"/>
      <c r="BF455" s="386"/>
      <c r="BG455" s="386"/>
      <c r="BH455" s="386"/>
      <c r="BI455" s="386"/>
      <c r="BJ455" s="386"/>
      <c r="BK455" s="386"/>
      <c r="BL455" s="386"/>
      <c r="BM455" s="386"/>
      <c r="BN455" s="386"/>
      <c r="BO455" s="386"/>
      <c r="BP455" s="386"/>
      <c r="BQ455" s="386"/>
      <c r="BR455" s="386"/>
      <c r="BS455" s="386"/>
      <c r="BT455" s="386"/>
      <c r="BU455" s="386"/>
      <c r="BV455" s="386"/>
      <c r="BW455" s="386"/>
      <c r="BX455" s="386"/>
      <c r="BY455" s="386"/>
      <c r="BZ455" s="386"/>
      <c r="CA455" s="386"/>
      <c r="CB455" s="386"/>
      <c r="CC455" s="386"/>
      <c r="CD455" s="386"/>
      <c r="CE455" s="386"/>
      <c r="CF455" s="386"/>
      <c r="CG455" s="386"/>
      <c r="CH455" s="386"/>
      <c r="CI455" s="386"/>
      <c r="CJ455" s="386"/>
      <c r="CK455" s="386"/>
      <c r="CL455" s="386"/>
    </row>
    <row r="456" spans="2:90" ht="12.75" customHeight="1" x14ac:dyDescent="0.15">
      <c r="B456" s="57"/>
      <c r="C456" s="57"/>
      <c r="D456" s="58"/>
      <c r="E456" s="59"/>
      <c r="F456" s="63"/>
      <c r="G456" s="63"/>
      <c r="H456" s="63"/>
      <c r="I456" s="63"/>
      <c r="J456" s="65"/>
      <c r="K456" s="392"/>
      <c r="L456" s="65"/>
      <c r="M456" s="65"/>
      <c r="N456" s="65"/>
      <c r="O456" s="386"/>
      <c r="P456" s="386"/>
      <c r="Q456" s="386"/>
      <c r="R456" s="386"/>
      <c r="S456" s="386"/>
      <c r="T456" s="386"/>
      <c r="U456" s="386"/>
      <c r="V456" s="386"/>
      <c r="W456" s="386"/>
      <c r="X456" s="386"/>
      <c r="Y456" s="386"/>
      <c r="Z456" s="386"/>
      <c r="AA456" s="386"/>
      <c r="AB456" s="386"/>
      <c r="AC456" s="386"/>
      <c r="AD456" s="386"/>
      <c r="AE456" s="386"/>
      <c r="AF456" s="386"/>
      <c r="AG456" s="386"/>
      <c r="AH456" s="386"/>
      <c r="AI456" s="386"/>
      <c r="AJ456" s="386"/>
      <c r="AK456" s="386"/>
      <c r="AL456" s="386"/>
      <c r="AM456" s="386"/>
      <c r="AN456" s="386"/>
      <c r="AO456" s="386"/>
      <c r="AP456" s="386"/>
      <c r="AQ456" s="386"/>
      <c r="AR456" s="386"/>
      <c r="AS456" s="386"/>
      <c r="AT456" s="386"/>
      <c r="AU456" s="386"/>
      <c r="AV456" s="386"/>
      <c r="AW456" s="386"/>
      <c r="AX456" s="386"/>
      <c r="AY456" s="386"/>
      <c r="AZ456" s="386"/>
      <c r="BA456" s="386"/>
      <c r="BB456" s="386"/>
      <c r="BC456" s="386"/>
      <c r="BD456" s="386"/>
      <c r="BE456" s="386"/>
      <c r="BF456" s="386"/>
      <c r="BG456" s="386"/>
      <c r="BH456" s="386"/>
      <c r="BI456" s="386"/>
      <c r="BJ456" s="386"/>
      <c r="BK456" s="386"/>
      <c r="BL456" s="386"/>
      <c r="BM456" s="386"/>
      <c r="BN456" s="386"/>
      <c r="BO456" s="386"/>
      <c r="BP456" s="386"/>
      <c r="BQ456" s="386"/>
      <c r="BR456" s="386"/>
      <c r="BS456" s="386"/>
      <c r="BT456" s="386"/>
      <c r="BU456" s="386"/>
      <c r="BV456" s="386"/>
      <c r="BW456" s="386"/>
      <c r="BX456" s="386"/>
      <c r="BY456" s="386"/>
      <c r="BZ456" s="386"/>
      <c r="CA456" s="386"/>
      <c r="CB456" s="386"/>
      <c r="CC456" s="386"/>
      <c r="CD456" s="386"/>
      <c r="CE456" s="386"/>
      <c r="CF456" s="386"/>
      <c r="CG456" s="386"/>
      <c r="CH456" s="386"/>
      <c r="CI456" s="386"/>
      <c r="CJ456" s="386"/>
      <c r="CK456" s="386"/>
      <c r="CL456" s="386"/>
    </row>
    <row r="457" spans="2:90" ht="12.75" customHeight="1" x14ac:dyDescent="0.15">
      <c r="B457" s="57"/>
      <c r="C457" s="57"/>
      <c r="D457" s="58"/>
      <c r="E457" s="59"/>
      <c r="F457" s="63"/>
      <c r="G457" s="63"/>
      <c r="H457" s="63"/>
      <c r="I457" s="63"/>
      <c r="J457" s="65"/>
      <c r="K457" s="392"/>
      <c r="L457" s="65"/>
      <c r="M457" s="65"/>
      <c r="N457" s="65"/>
      <c r="O457" s="386"/>
      <c r="P457" s="386"/>
      <c r="Q457" s="386"/>
      <c r="R457" s="386"/>
      <c r="S457" s="386"/>
      <c r="T457" s="386"/>
      <c r="U457" s="386"/>
      <c r="V457" s="386"/>
      <c r="W457" s="386"/>
      <c r="X457" s="386"/>
      <c r="Y457" s="386"/>
      <c r="Z457" s="386"/>
      <c r="AA457" s="386"/>
      <c r="AB457" s="386"/>
      <c r="AC457" s="386"/>
      <c r="AD457" s="386"/>
      <c r="AE457" s="386"/>
      <c r="AF457" s="386"/>
      <c r="AG457" s="386"/>
      <c r="AH457" s="386"/>
      <c r="AI457" s="386"/>
      <c r="AJ457" s="386"/>
      <c r="AK457" s="386"/>
      <c r="AL457" s="386"/>
      <c r="AM457" s="386"/>
      <c r="AN457" s="386"/>
      <c r="AO457" s="386"/>
      <c r="AP457" s="386"/>
      <c r="AQ457" s="386"/>
      <c r="AR457" s="386"/>
      <c r="AS457" s="386"/>
      <c r="AT457" s="386"/>
      <c r="AU457" s="386"/>
      <c r="AV457" s="386"/>
      <c r="AW457" s="386"/>
      <c r="AX457" s="386"/>
      <c r="AY457" s="386"/>
      <c r="AZ457" s="386"/>
      <c r="BA457" s="386"/>
      <c r="BB457" s="386"/>
      <c r="BC457" s="386"/>
      <c r="BD457" s="386"/>
      <c r="BE457" s="386"/>
      <c r="BF457" s="386"/>
      <c r="BG457" s="386"/>
      <c r="BH457" s="386"/>
      <c r="BI457" s="386"/>
      <c r="BJ457" s="386"/>
      <c r="BK457" s="386"/>
      <c r="BL457" s="386"/>
      <c r="BM457" s="386"/>
      <c r="BN457" s="386"/>
      <c r="BO457" s="386"/>
      <c r="BP457" s="386"/>
      <c r="BQ457" s="386"/>
      <c r="BR457" s="386"/>
      <c r="BS457" s="386"/>
      <c r="BT457" s="386"/>
      <c r="BU457" s="386"/>
      <c r="BV457" s="386"/>
      <c r="BW457" s="386"/>
      <c r="BX457" s="386"/>
      <c r="BY457" s="386"/>
      <c r="BZ457" s="386"/>
      <c r="CA457" s="386"/>
      <c r="CB457" s="386"/>
      <c r="CC457" s="386"/>
      <c r="CD457" s="386"/>
      <c r="CE457" s="386"/>
      <c r="CF457" s="386"/>
      <c r="CG457" s="386"/>
      <c r="CH457" s="386"/>
      <c r="CI457" s="386"/>
      <c r="CJ457" s="386"/>
      <c r="CK457" s="386"/>
      <c r="CL457" s="386"/>
    </row>
    <row r="458" spans="2:90" ht="12.75" customHeight="1" x14ac:dyDescent="0.15">
      <c r="B458" s="57"/>
      <c r="C458" s="57"/>
      <c r="D458" s="58"/>
      <c r="E458" s="59"/>
      <c r="F458" s="63"/>
      <c r="G458" s="63"/>
      <c r="H458" s="63"/>
      <c r="I458" s="63"/>
      <c r="J458" s="65"/>
      <c r="K458" s="392"/>
      <c r="L458" s="65"/>
      <c r="M458" s="65"/>
      <c r="N458" s="65"/>
      <c r="O458" s="386"/>
      <c r="P458" s="386"/>
      <c r="Q458" s="386"/>
      <c r="R458" s="386"/>
      <c r="S458" s="386"/>
      <c r="T458" s="386"/>
      <c r="U458" s="386"/>
      <c r="V458" s="386"/>
      <c r="W458" s="386"/>
      <c r="X458" s="386"/>
      <c r="Y458" s="386"/>
      <c r="Z458" s="386"/>
      <c r="AA458" s="386"/>
      <c r="AB458" s="386"/>
      <c r="AC458" s="386"/>
      <c r="AD458" s="386"/>
      <c r="AE458" s="386"/>
      <c r="AF458" s="386"/>
      <c r="AG458" s="386"/>
      <c r="AH458" s="386"/>
      <c r="AI458" s="386"/>
      <c r="AJ458" s="386"/>
      <c r="AK458" s="386"/>
      <c r="AL458" s="386"/>
      <c r="AM458" s="386"/>
      <c r="AN458" s="386"/>
      <c r="AO458" s="386"/>
      <c r="AP458" s="386"/>
      <c r="AQ458" s="386"/>
      <c r="AR458" s="386"/>
      <c r="AS458" s="386"/>
      <c r="AT458" s="386"/>
      <c r="AU458" s="386"/>
      <c r="AV458" s="386"/>
      <c r="AW458" s="386"/>
      <c r="AX458" s="386"/>
      <c r="AY458" s="386"/>
      <c r="AZ458" s="386"/>
      <c r="BA458" s="386"/>
      <c r="BB458" s="386"/>
      <c r="BC458" s="386"/>
      <c r="BD458" s="386"/>
      <c r="BE458" s="386"/>
      <c r="BF458" s="386"/>
      <c r="BG458" s="386"/>
      <c r="BH458" s="386"/>
      <c r="BI458" s="386"/>
      <c r="BJ458" s="386"/>
      <c r="BK458" s="386"/>
      <c r="BL458" s="386"/>
      <c r="BM458" s="386"/>
      <c r="BN458" s="386"/>
      <c r="BO458" s="386"/>
      <c r="BP458" s="386"/>
      <c r="BQ458" s="386"/>
      <c r="BR458" s="386"/>
      <c r="BS458" s="386"/>
      <c r="BT458" s="386"/>
      <c r="BU458" s="386"/>
      <c r="BV458" s="386"/>
      <c r="BW458" s="386"/>
      <c r="BX458" s="386"/>
      <c r="BY458" s="386"/>
      <c r="BZ458" s="386"/>
      <c r="CA458" s="386"/>
      <c r="CB458" s="386"/>
      <c r="CC458" s="386"/>
      <c r="CD458" s="386"/>
      <c r="CE458" s="386"/>
      <c r="CF458" s="386"/>
      <c r="CG458" s="386"/>
      <c r="CH458" s="386"/>
      <c r="CI458" s="386"/>
      <c r="CJ458" s="386"/>
      <c r="CK458" s="386"/>
      <c r="CL458" s="386"/>
    </row>
    <row r="459" spans="2:90" ht="12.75" customHeight="1" x14ac:dyDescent="0.15">
      <c r="B459" s="57"/>
      <c r="C459" s="57"/>
      <c r="D459" s="58"/>
      <c r="E459" s="59"/>
      <c r="F459" s="63"/>
      <c r="G459" s="63"/>
      <c r="H459" s="63"/>
      <c r="I459" s="63"/>
      <c r="J459" s="65"/>
      <c r="K459" s="392"/>
      <c r="L459" s="65"/>
      <c r="M459" s="65"/>
      <c r="N459" s="65"/>
      <c r="O459" s="386"/>
      <c r="P459" s="386"/>
      <c r="Q459" s="386"/>
      <c r="R459" s="386"/>
      <c r="S459" s="386"/>
      <c r="T459" s="386"/>
      <c r="U459" s="386"/>
      <c r="V459" s="386"/>
      <c r="W459" s="386"/>
      <c r="X459" s="386"/>
      <c r="Y459" s="386"/>
      <c r="Z459" s="386"/>
      <c r="AA459" s="386"/>
      <c r="AB459" s="386"/>
      <c r="AC459" s="386"/>
      <c r="AD459" s="386"/>
      <c r="AE459" s="386"/>
      <c r="AF459" s="386"/>
      <c r="AG459" s="386"/>
      <c r="AH459" s="386"/>
      <c r="AI459" s="386"/>
      <c r="AJ459" s="386"/>
      <c r="AK459" s="386"/>
      <c r="AL459" s="386"/>
      <c r="AM459" s="386"/>
      <c r="AN459" s="386"/>
      <c r="AO459" s="386"/>
      <c r="AP459" s="386"/>
      <c r="AQ459" s="386"/>
      <c r="AR459" s="386"/>
      <c r="AS459" s="386"/>
      <c r="AT459" s="386"/>
      <c r="AU459" s="386"/>
      <c r="AV459" s="386"/>
      <c r="AW459" s="386"/>
      <c r="AX459" s="386"/>
      <c r="AY459" s="386"/>
      <c r="AZ459" s="386"/>
      <c r="BA459" s="386"/>
      <c r="BB459" s="386"/>
      <c r="BC459" s="386"/>
      <c r="BD459" s="386"/>
      <c r="BE459" s="386"/>
      <c r="BF459" s="386"/>
      <c r="BG459" s="386"/>
      <c r="BH459" s="386"/>
      <c r="BI459" s="386"/>
      <c r="BJ459" s="386"/>
      <c r="BK459" s="386"/>
      <c r="BL459" s="386"/>
      <c r="BM459" s="386"/>
      <c r="BN459" s="386"/>
      <c r="BO459" s="386"/>
      <c r="BP459" s="386"/>
      <c r="BQ459" s="386"/>
      <c r="BR459" s="386"/>
      <c r="BS459" s="386"/>
      <c r="BT459" s="386"/>
      <c r="BU459" s="386"/>
      <c r="BV459" s="386"/>
      <c r="BW459" s="386"/>
      <c r="BX459" s="386"/>
      <c r="BY459" s="386"/>
      <c r="BZ459" s="386"/>
      <c r="CA459" s="386"/>
      <c r="CB459" s="386"/>
      <c r="CC459" s="386"/>
      <c r="CD459" s="386"/>
      <c r="CE459" s="386"/>
      <c r="CF459" s="386"/>
      <c r="CG459" s="386"/>
      <c r="CH459" s="386"/>
      <c r="CI459" s="386"/>
      <c r="CJ459" s="386"/>
      <c r="CK459" s="386"/>
      <c r="CL459" s="386"/>
    </row>
    <row r="460" spans="2:90" ht="12.75" customHeight="1" x14ac:dyDescent="0.15">
      <c r="B460" s="57"/>
      <c r="C460" s="57"/>
      <c r="D460" s="58"/>
      <c r="E460" s="59"/>
      <c r="F460" s="63"/>
      <c r="G460" s="63"/>
      <c r="H460" s="63"/>
      <c r="I460" s="63"/>
      <c r="J460" s="65"/>
      <c r="K460" s="392"/>
      <c r="L460" s="65"/>
      <c r="M460" s="65"/>
      <c r="N460" s="65"/>
      <c r="O460" s="386"/>
      <c r="P460" s="386"/>
      <c r="Q460" s="386"/>
      <c r="R460" s="386"/>
      <c r="S460" s="386"/>
      <c r="T460" s="386"/>
      <c r="U460" s="386"/>
      <c r="V460" s="386"/>
      <c r="W460" s="386"/>
      <c r="X460" s="386"/>
      <c r="Y460" s="386"/>
      <c r="Z460" s="386"/>
      <c r="AA460" s="386"/>
      <c r="AB460" s="386"/>
      <c r="AC460" s="386"/>
      <c r="AD460" s="386"/>
      <c r="AE460" s="386"/>
      <c r="AF460" s="386"/>
      <c r="AG460" s="386"/>
      <c r="AH460" s="386"/>
      <c r="AI460" s="386"/>
      <c r="AJ460" s="386"/>
      <c r="AK460" s="386"/>
      <c r="AL460" s="386"/>
      <c r="AM460" s="386"/>
      <c r="AN460" s="386"/>
      <c r="AO460" s="386"/>
      <c r="AP460" s="386"/>
      <c r="AQ460" s="386"/>
      <c r="AR460" s="386"/>
      <c r="AS460" s="386"/>
      <c r="AT460" s="386"/>
      <c r="AU460" s="386"/>
      <c r="AV460" s="386"/>
      <c r="AW460" s="386"/>
      <c r="AX460" s="386"/>
      <c r="AY460" s="386"/>
      <c r="AZ460" s="386"/>
      <c r="BA460" s="386"/>
      <c r="BB460" s="386"/>
      <c r="BC460" s="386"/>
      <c r="BD460" s="386"/>
      <c r="BE460" s="386"/>
      <c r="BF460" s="386"/>
      <c r="BG460" s="386"/>
      <c r="BH460" s="386"/>
      <c r="BI460" s="386"/>
      <c r="BJ460" s="386"/>
      <c r="BK460" s="386"/>
      <c r="BL460" s="386"/>
      <c r="BM460" s="386"/>
      <c r="BN460" s="386"/>
      <c r="BO460" s="386"/>
      <c r="BP460" s="386"/>
      <c r="BQ460" s="386"/>
      <c r="BR460" s="386"/>
      <c r="BS460" s="386"/>
      <c r="BT460" s="386"/>
      <c r="BU460" s="386"/>
      <c r="BV460" s="386"/>
      <c r="BW460" s="386"/>
      <c r="BX460" s="386"/>
      <c r="BY460" s="386"/>
      <c r="BZ460" s="386"/>
      <c r="CA460" s="386"/>
      <c r="CB460" s="386"/>
      <c r="CC460" s="386"/>
      <c r="CD460" s="386"/>
      <c r="CE460" s="386"/>
      <c r="CF460" s="386"/>
      <c r="CG460" s="386"/>
      <c r="CH460" s="386"/>
      <c r="CI460" s="386"/>
      <c r="CJ460" s="386"/>
      <c r="CK460" s="386"/>
      <c r="CL460" s="386"/>
    </row>
    <row r="461" spans="2:90" ht="12.75" customHeight="1" x14ac:dyDescent="0.15">
      <c r="B461" s="57"/>
      <c r="C461" s="57"/>
      <c r="D461" s="58"/>
      <c r="E461" s="59"/>
      <c r="F461" s="63"/>
      <c r="G461" s="63"/>
      <c r="H461" s="63"/>
      <c r="I461" s="63"/>
      <c r="J461" s="65"/>
      <c r="K461" s="392"/>
      <c r="L461" s="65"/>
      <c r="M461" s="65"/>
      <c r="N461" s="65"/>
      <c r="O461" s="386"/>
      <c r="P461" s="386"/>
      <c r="Q461" s="386"/>
      <c r="R461" s="386"/>
      <c r="S461" s="386"/>
      <c r="T461" s="386"/>
      <c r="U461" s="386"/>
      <c r="V461" s="386"/>
      <c r="W461" s="386"/>
      <c r="X461" s="386"/>
      <c r="Y461" s="386"/>
      <c r="Z461" s="386"/>
      <c r="AA461" s="386"/>
      <c r="AB461" s="386"/>
      <c r="AC461" s="386"/>
      <c r="AD461" s="386"/>
      <c r="AE461" s="386"/>
      <c r="AF461" s="386"/>
      <c r="AG461" s="386"/>
      <c r="AH461" s="386"/>
      <c r="AI461" s="386"/>
      <c r="AJ461" s="386"/>
      <c r="AK461" s="386"/>
      <c r="AL461" s="386"/>
      <c r="AM461" s="386"/>
      <c r="AN461" s="386"/>
      <c r="AO461" s="386"/>
      <c r="AP461" s="386"/>
      <c r="AQ461" s="386"/>
      <c r="AR461" s="386"/>
      <c r="AS461" s="386"/>
      <c r="AT461" s="386"/>
      <c r="AU461" s="386"/>
      <c r="AV461" s="386"/>
      <c r="AW461" s="386"/>
      <c r="AX461" s="386"/>
      <c r="AY461" s="386"/>
      <c r="AZ461" s="386"/>
      <c r="BA461" s="386"/>
      <c r="BB461" s="386"/>
      <c r="BC461" s="386"/>
      <c r="BD461" s="386"/>
      <c r="BE461" s="386"/>
      <c r="BF461" s="386"/>
      <c r="BG461" s="386"/>
      <c r="BH461" s="386"/>
      <c r="BI461" s="386"/>
      <c r="BJ461" s="386"/>
      <c r="BK461" s="386"/>
      <c r="BL461" s="386"/>
      <c r="BM461" s="386"/>
      <c r="BN461" s="386"/>
      <c r="BO461" s="386"/>
      <c r="BP461" s="386"/>
      <c r="BQ461" s="386"/>
      <c r="BR461" s="386"/>
      <c r="BS461" s="386"/>
      <c r="BT461" s="386"/>
      <c r="BU461" s="386"/>
      <c r="BV461" s="386"/>
      <c r="BW461" s="386"/>
      <c r="BX461" s="386"/>
      <c r="BY461" s="386"/>
      <c r="BZ461" s="386"/>
      <c r="CA461" s="386"/>
      <c r="CB461" s="386"/>
      <c r="CC461" s="386"/>
      <c r="CD461" s="386"/>
      <c r="CE461" s="386"/>
      <c r="CF461" s="386"/>
      <c r="CG461" s="386"/>
      <c r="CH461" s="386"/>
      <c r="CI461" s="386"/>
      <c r="CJ461" s="386"/>
      <c r="CK461" s="386"/>
      <c r="CL461" s="386"/>
    </row>
    <row r="462" spans="2:90" ht="12.75" customHeight="1" x14ac:dyDescent="0.15">
      <c r="B462" s="57"/>
      <c r="C462" s="57"/>
      <c r="D462" s="58"/>
      <c r="E462" s="59"/>
      <c r="F462" s="63"/>
      <c r="G462" s="63"/>
      <c r="H462" s="63"/>
      <c r="I462" s="63"/>
      <c r="J462" s="65"/>
      <c r="K462" s="392"/>
      <c r="L462" s="65"/>
      <c r="M462" s="65"/>
      <c r="N462" s="65"/>
      <c r="O462" s="386"/>
      <c r="P462" s="386"/>
      <c r="Q462" s="386"/>
      <c r="R462" s="386"/>
      <c r="S462" s="386"/>
      <c r="T462" s="386"/>
      <c r="U462" s="386"/>
      <c r="V462" s="386"/>
      <c r="W462" s="386"/>
      <c r="X462" s="386"/>
      <c r="Y462" s="386"/>
      <c r="Z462" s="386"/>
      <c r="AA462" s="386"/>
      <c r="AB462" s="386"/>
      <c r="AC462" s="386"/>
      <c r="AD462" s="386"/>
      <c r="AE462" s="386"/>
      <c r="AF462" s="386"/>
      <c r="AG462" s="386"/>
      <c r="AH462" s="386"/>
      <c r="AI462" s="386"/>
      <c r="AJ462" s="386"/>
      <c r="AK462" s="386"/>
      <c r="AL462" s="386"/>
      <c r="AM462" s="386"/>
      <c r="AN462" s="386"/>
      <c r="AO462" s="386"/>
      <c r="AP462" s="386"/>
      <c r="AQ462" s="386"/>
      <c r="AR462" s="386"/>
      <c r="AS462" s="386"/>
      <c r="AT462" s="386"/>
      <c r="AU462" s="386"/>
      <c r="AV462" s="386"/>
      <c r="AW462" s="386"/>
      <c r="AX462" s="386"/>
      <c r="AY462" s="386"/>
      <c r="AZ462" s="386"/>
      <c r="BA462" s="386"/>
      <c r="BB462" s="386"/>
      <c r="BC462" s="386"/>
      <c r="BD462" s="386"/>
      <c r="BE462" s="386"/>
      <c r="BF462" s="386"/>
      <c r="BG462" s="386"/>
      <c r="BH462" s="386"/>
      <c r="BI462" s="386"/>
      <c r="BJ462" s="386"/>
      <c r="BK462" s="386"/>
      <c r="BL462" s="386"/>
      <c r="BM462" s="386"/>
      <c r="BN462" s="386"/>
      <c r="BO462" s="386"/>
      <c r="BP462" s="386"/>
      <c r="BQ462" s="386"/>
      <c r="BR462" s="386"/>
      <c r="BS462" s="386"/>
      <c r="BT462" s="386"/>
      <c r="BU462" s="386"/>
      <c r="BV462" s="386"/>
      <c r="BW462" s="386"/>
      <c r="BX462" s="386"/>
      <c r="BY462" s="386"/>
      <c r="BZ462" s="386"/>
      <c r="CA462" s="386"/>
      <c r="CB462" s="386"/>
      <c r="CC462" s="386"/>
      <c r="CD462" s="386"/>
      <c r="CE462" s="386"/>
      <c r="CF462" s="386"/>
      <c r="CG462" s="386"/>
      <c r="CH462" s="386"/>
      <c r="CI462" s="386"/>
      <c r="CJ462" s="386"/>
      <c r="CK462" s="386"/>
      <c r="CL462" s="386"/>
    </row>
    <row r="463" spans="2:90" ht="12.75" customHeight="1" x14ac:dyDescent="0.15">
      <c r="B463" s="57"/>
      <c r="C463" s="57"/>
      <c r="D463" s="58"/>
      <c r="E463" s="59"/>
      <c r="F463" s="63"/>
      <c r="G463" s="63"/>
      <c r="H463" s="63"/>
      <c r="I463" s="63"/>
      <c r="J463" s="65"/>
      <c r="K463" s="392"/>
      <c r="L463" s="65"/>
      <c r="M463" s="65"/>
      <c r="N463" s="65"/>
      <c r="O463" s="386"/>
      <c r="P463" s="386"/>
      <c r="Q463" s="386"/>
      <c r="R463" s="386"/>
      <c r="S463" s="386"/>
      <c r="T463" s="386"/>
      <c r="U463" s="386"/>
      <c r="V463" s="386"/>
      <c r="W463" s="386"/>
      <c r="X463" s="386"/>
      <c r="Y463" s="386"/>
      <c r="Z463" s="386"/>
      <c r="AA463" s="386"/>
      <c r="AB463" s="386"/>
      <c r="AC463" s="386"/>
      <c r="AD463" s="386"/>
      <c r="AE463" s="386"/>
      <c r="AF463" s="386"/>
      <c r="AG463" s="386"/>
      <c r="AH463" s="386"/>
      <c r="AI463" s="386"/>
      <c r="AJ463" s="386"/>
      <c r="AK463" s="386"/>
      <c r="AL463" s="386"/>
      <c r="AM463" s="386"/>
      <c r="AN463" s="386"/>
      <c r="AO463" s="386"/>
      <c r="AP463" s="386"/>
      <c r="AQ463" s="386"/>
      <c r="AR463" s="386"/>
      <c r="AS463" s="386"/>
      <c r="AT463" s="386"/>
      <c r="AU463" s="386"/>
      <c r="AV463" s="386"/>
      <c r="AW463" s="386"/>
      <c r="AX463" s="386"/>
      <c r="AY463" s="386"/>
      <c r="AZ463" s="386"/>
      <c r="BA463" s="386"/>
      <c r="BB463" s="386"/>
      <c r="BC463" s="386"/>
      <c r="BD463" s="386"/>
      <c r="BE463" s="386"/>
      <c r="BF463" s="386"/>
      <c r="BG463" s="386"/>
      <c r="BH463" s="386"/>
      <c r="BI463" s="386"/>
      <c r="BJ463" s="386"/>
      <c r="BK463" s="386"/>
      <c r="BL463" s="386"/>
      <c r="BM463" s="386"/>
      <c r="BN463" s="386"/>
      <c r="BO463" s="386"/>
      <c r="BP463" s="386"/>
      <c r="BQ463" s="386"/>
      <c r="BR463" s="386"/>
      <c r="BS463" s="386"/>
      <c r="BT463" s="386"/>
      <c r="BU463" s="386"/>
      <c r="BV463" s="386"/>
      <c r="BW463" s="386"/>
      <c r="BX463" s="386"/>
      <c r="BY463" s="386"/>
      <c r="BZ463" s="386"/>
      <c r="CA463" s="386"/>
      <c r="CB463" s="386"/>
      <c r="CC463" s="386"/>
      <c r="CD463" s="386"/>
      <c r="CE463" s="386"/>
      <c r="CF463" s="386"/>
      <c r="CG463" s="386"/>
      <c r="CH463" s="386"/>
      <c r="CI463" s="386"/>
      <c r="CJ463" s="386"/>
      <c r="CK463" s="386"/>
      <c r="CL463" s="386"/>
    </row>
    <row r="464" spans="2:90" ht="12.75" customHeight="1" x14ac:dyDescent="0.15">
      <c r="B464" s="57"/>
      <c r="C464" s="57"/>
      <c r="D464" s="58"/>
      <c r="E464" s="59"/>
      <c r="F464" s="63"/>
      <c r="G464" s="63"/>
      <c r="H464" s="63"/>
      <c r="I464" s="63"/>
      <c r="J464" s="65"/>
      <c r="K464" s="392"/>
      <c r="L464" s="65"/>
      <c r="M464" s="65"/>
      <c r="N464" s="65"/>
      <c r="O464" s="386"/>
      <c r="P464" s="386"/>
      <c r="Q464" s="386"/>
      <c r="R464" s="386"/>
      <c r="S464" s="386"/>
      <c r="T464" s="386"/>
      <c r="U464" s="386"/>
      <c r="V464" s="386"/>
      <c r="W464" s="386"/>
      <c r="X464" s="386"/>
      <c r="Y464" s="386"/>
      <c r="Z464" s="386"/>
      <c r="AA464" s="386"/>
      <c r="AB464" s="386"/>
      <c r="AC464" s="386"/>
      <c r="AD464" s="386"/>
      <c r="AE464" s="386"/>
      <c r="AF464" s="386"/>
      <c r="AG464" s="386"/>
      <c r="AH464" s="386"/>
      <c r="AI464" s="386"/>
      <c r="AJ464" s="386"/>
      <c r="AK464" s="386"/>
      <c r="AL464" s="386"/>
      <c r="AM464" s="386"/>
      <c r="AN464" s="386"/>
      <c r="AO464" s="386"/>
      <c r="AP464" s="386"/>
      <c r="AQ464" s="386"/>
      <c r="AR464" s="386"/>
      <c r="AS464" s="386"/>
      <c r="AT464" s="386"/>
      <c r="AU464" s="386"/>
      <c r="AV464" s="386"/>
      <c r="AW464" s="386"/>
      <c r="AX464" s="386"/>
      <c r="AY464" s="386"/>
      <c r="AZ464" s="386"/>
      <c r="BA464" s="386"/>
      <c r="BB464" s="386"/>
      <c r="BC464" s="386"/>
      <c r="BD464" s="386"/>
      <c r="BE464" s="386"/>
      <c r="BF464" s="386"/>
      <c r="BG464" s="386"/>
      <c r="BH464" s="386"/>
      <c r="BI464" s="386"/>
      <c r="BJ464" s="386"/>
      <c r="BK464" s="386"/>
      <c r="BL464" s="386"/>
      <c r="BM464" s="386"/>
      <c r="BN464" s="386"/>
      <c r="BO464" s="386"/>
      <c r="BP464" s="386"/>
      <c r="BQ464" s="386"/>
      <c r="BR464" s="386"/>
      <c r="BS464" s="386"/>
      <c r="BT464" s="386"/>
      <c r="BU464" s="386"/>
      <c r="BV464" s="386"/>
      <c r="BW464" s="386"/>
      <c r="BX464" s="386"/>
      <c r="BY464" s="386"/>
      <c r="BZ464" s="386"/>
      <c r="CA464" s="386"/>
      <c r="CB464" s="386"/>
      <c r="CC464" s="386"/>
      <c r="CD464" s="386"/>
      <c r="CE464" s="386"/>
      <c r="CF464" s="386"/>
      <c r="CG464" s="386"/>
      <c r="CH464" s="386"/>
      <c r="CI464" s="386"/>
      <c r="CJ464" s="386"/>
      <c r="CK464" s="386"/>
      <c r="CL464" s="386"/>
    </row>
    <row r="465" spans="2:90" ht="12.75" customHeight="1" x14ac:dyDescent="0.15">
      <c r="B465" s="57"/>
      <c r="C465" s="57"/>
      <c r="D465" s="58"/>
      <c r="E465" s="59"/>
      <c r="F465" s="63"/>
      <c r="G465" s="63"/>
      <c r="H465" s="63"/>
      <c r="I465" s="63"/>
      <c r="J465" s="65"/>
      <c r="K465" s="392"/>
      <c r="L465" s="65"/>
      <c r="M465" s="65"/>
      <c r="N465" s="65"/>
      <c r="O465" s="386"/>
      <c r="P465" s="386"/>
      <c r="Q465" s="386"/>
      <c r="R465" s="386"/>
      <c r="S465" s="386"/>
      <c r="T465" s="386"/>
      <c r="U465" s="386"/>
      <c r="V465" s="386"/>
      <c r="W465" s="386"/>
      <c r="X465" s="386"/>
      <c r="Y465" s="386"/>
      <c r="Z465" s="386"/>
      <c r="AA465" s="386"/>
      <c r="AB465" s="386"/>
      <c r="AC465" s="386"/>
      <c r="AD465" s="386"/>
      <c r="AE465" s="386"/>
      <c r="AF465" s="386"/>
      <c r="AG465" s="386"/>
      <c r="AH465" s="386"/>
      <c r="AI465" s="386"/>
      <c r="AJ465" s="386"/>
      <c r="AK465" s="386"/>
      <c r="AL465" s="386"/>
      <c r="AM465" s="386"/>
      <c r="AN465" s="386"/>
      <c r="AO465" s="386"/>
      <c r="AP465" s="386"/>
      <c r="AQ465" s="386"/>
      <c r="AR465" s="386"/>
      <c r="AS465" s="386"/>
      <c r="AT465" s="386"/>
      <c r="AU465" s="386"/>
      <c r="AV465" s="386"/>
      <c r="AW465" s="386"/>
      <c r="AX465" s="386"/>
      <c r="AY465" s="386"/>
      <c r="AZ465" s="386"/>
      <c r="BA465" s="386"/>
      <c r="BB465" s="386"/>
      <c r="BC465" s="386"/>
      <c r="BD465" s="386"/>
      <c r="BE465" s="386"/>
      <c r="BF465" s="386"/>
      <c r="BG465" s="386"/>
      <c r="BH465" s="386"/>
      <c r="BI465" s="386"/>
      <c r="BJ465" s="386"/>
      <c r="BK465" s="386"/>
      <c r="BL465" s="386"/>
      <c r="BM465" s="386"/>
      <c r="BN465" s="386"/>
      <c r="BO465" s="386"/>
      <c r="BP465" s="386"/>
      <c r="BQ465" s="386"/>
      <c r="BR465" s="386"/>
      <c r="BS465" s="386"/>
      <c r="BT465" s="386"/>
      <c r="BU465" s="386"/>
      <c r="BV465" s="386"/>
      <c r="BW465" s="386"/>
      <c r="BX465" s="386"/>
      <c r="BY465" s="386"/>
      <c r="BZ465" s="386"/>
      <c r="CA465" s="386"/>
      <c r="CB465" s="386"/>
      <c r="CC465" s="386"/>
      <c r="CD465" s="386"/>
      <c r="CE465" s="386"/>
      <c r="CF465" s="386"/>
      <c r="CG465" s="386"/>
      <c r="CH465" s="386"/>
      <c r="CI465" s="386"/>
      <c r="CJ465" s="386"/>
      <c r="CK465" s="386"/>
      <c r="CL465" s="386"/>
    </row>
    <row r="466" spans="2:90" ht="12.75" customHeight="1" x14ac:dyDescent="0.15">
      <c r="B466" s="57"/>
      <c r="C466" s="57"/>
      <c r="D466" s="58"/>
      <c r="E466" s="59"/>
      <c r="F466" s="63"/>
      <c r="G466" s="63"/>
      <c r="H466" s="63"/>
      <c r="I466" s="63"/>
      <c r="J466" s="65"/>
      <c r="K466" s="392"/>
      <c r="L466" s="65"/>
      <c r="M466" s="65"/>
      <c r="N466" s="65"/>
      <c r="O466" s="386"/>
      <c r="P466" s="386"/>
      <c r="Q466" s="386"/>
      <c r="R466" s="386"/>
      <c r="S466" s="386"/>
      <c r="T466" s="386"/>
      <c r="U466" s="386"/>
      <c r="V466" s="386"/>
      <c r="W466" s="386"/>
      <c r="X466" s="386"/>
      <c r="Y466" s="386"/>
      <c r="Z466" s="386"/>
      <c r="AA466" s="386"/>
      <c r="AB466" s="386"/>
      <c r="AC466" s="386"/>
      <c r="AD466" s="386"/>
      <c r="AE466" s="386"/>
      <c r="AF466" s="386"/>
      <c r="AG466" s="386"/>
      <c r="AH466" s="386"/>
      <c r="AI466" s="386"/>
      <c r="AJ466" s="386"/>
      <c r="AK466" s="386"/>
      <c r="AL466" s="386"/>
      <c r="AM466" s="386"/>
      <c r="AN466" s="386"/>
      <c r="AO466" s="386"/>
      <c r="AP466" s="386"/>
      <c r="AQ466" s="386"/>
      <c r="AR466" s="386"/>
      <c r="AS466" s="386"/>
      <c r="AT466" s="386"/>
      <c r="AU466" s="386"/>
      <c r="AV466" s="386"/>
      <c r="AW466" s="386"/>
      <c r="AX466" s="386"/>
      <c r="AY466" s="386"/>
      <c r="AZ466" s="386"/>
      <c r="BA466" s="386"/>
      <c r="BB466" s="386"/>
      <c r="BC466" s="386"/>
      <c r="BD466" s="386"/>
      <c r="BE466" s="386"/>
      <c r="BF466" s="386"/>
      <c r="BG466" s="386"/>
      <c r="BH466" s="386"/>
      <c r="BI466" s="386"/>
      <c r="BJ466" s="386"/>
      <c r="BK466" s="386"/>
      <c r="BL466" s="386"/>
      <c r="BM466" s="386"/>
      <c r="BN466" s="386"/>
      <c r="BO466" s="386"/>
      <c r="BP466" s="386"/>
      <c r="BQ466" s="386"/>
      <c r="BR466" s="386"/>
      <c r="BS466" s="386"/>
      <c r="BT466" s="386"/>
      <c r="BU466" s="386"/>
      <c r="BV466" s="386"/>
      <c r="BW466" s="386"/>
      <c r="BX466" s="386"/>
      <c r="BY466" s="386"/>
      <c r="BZ466" s="386"/>
      <c r="CA466" s="386"/>
      <c r="CB466" s="386"/>
      <c r="CC466" s="386"/>
      <c r="CD466" s="386"/>
      <c r="CE466" s="386"/>
      <c r="CF466" s="386"/>
      <c r="CG466" s="386"/>
      <c r="CH466" s="386"/>
      <c r="CI466" s="386"/>
      <c r="CJ466" s="386"/>
      <c r="CK466" s="386"/>
      <c r="CL466" s="386"/>
    </row>
    <row r="467" spans="2:90" ht="12.75" customHeight="1" x14ac:dyDescent="0.15">
      <c r="B467" s="57"/>
      <c r="C467" s="57"/>
      <c r="D467" s="58"/>
      <c r="E467" s="59"/>
      <c r="F467" s="63"/>
      <c r="G467" s="63"/>
      <c r="H467" s="63"/>
      <c r="I467" s="63"/>
      <c r="J467" s="65"/>
      <c r="K467" s="392"/>
      <c r="L467" s="65"/>
      <c r="M467" s="65"/>
      <c r="N467" s="65"/>
      <c r="O467" s="386"/>
      <c r="P467" s="386"/>
      <c r="Q467" s="386"/>
      <c r="R467" s="386"/>
      <c r="S467" s="386"/>
      <c r="T467" s="386"/>
      <c r="U467" s="386"/>
      <c r="V467" s="386"/>
      <c r="W467" s="386"/>
      <c r="X467" s="386"/>
      <c r="Y467" s="386"/>
      <c r="Z467" s="386"/>
      <c r="AA467" s="386"/>
      <c r="AB467" s="386"/>
      <c r="AC467" s="386"/>
      <c r="AD467" s="386"/>
      <c r="AE467" s="386"/>
      <c r="AF467" s="386"/>
      <c r="AG467" s="386"/>
      <c r="AH467" s="386"/>
      <c r="AI467" s="386"/>
      <c r="AJ467" s="386"/>
      <c r="AK467" s="386"/>
      <c r="AL467" s="386"/>
      <c r="AM467" s="386"/>
      <c r="AN467" s="386"/>
      <c r="AO467" s="386"/>
      <c r="AP467" s="386"/>
      <c r="AQ467" s="386"/>
      <c r="AR467" s="386"/>
      <c r="AS467" s="386"/>
      <c r="AT467" s="386"/>
      <c r="AU467" s="386"/>
      <c r="AV467" s="386"/>
      <c r="AW467" s="386"/>
      <c r="AX467" s="386"/>
      <c r="AY467" s="386"/>
      <c r="AZ467" s="386"/>
      <c r="BA467" s="386"/>
      <c r="BB467" s="386"/>
      <c r="BC467" s="386"/>
      <c r="BD467" s="386"/>
      <c r="BE467" s="386"/>
      <c r="BF467" s="386"/>
      <c r="BG467" s="386"/>
      <c r="BH467" s="386"/>
      <c r="BI467" s="386"/>
      <c r="BJ467" s="386"/>
      <c r="BK467" s="386"/>
      <c r="BL467" s="386"/>
      <c r="BM467" s="386"/>
      <c r="BN467" s="386"/>
      <c r="BO467" s="386"/>
      <c r="BP467" s="386"/>
      <c r="BQ467" s="386"/>
      <c r="BR467" s="386"/>
      <c r="BS467" s="386"/>
      <c r="BT467" s="386"/>
      <c r="BU467" s="386"/>
      <c r="BV467" s="386"/>
      <c r="BW467" s="386"/>
      <c r="BX467" s="386"/>
      <c r="BY467" s="386"/>
      <c r="BZ467" s="386"/>
      <c r="CA467" s="386"/>
      <c r="CB467" s="386"/>
      <c r="CC467" s="386"/>
      <c r="CD467" s="386"/>
      <c r="CE467" s="386"/>
      <c r="CF467" s="386"/>
      <c r="CG467" s="386"/>
      <c r="CH467" s="386"/>
      <c r="CI467" s="386"/>
      <c r="CJ467" s="386"/>
      <c r="CK467" s="386"/>
      <c r="CL467" s="386"/>
    </row>
    <row r="468" spans="2:90" ht="12.75" customHeight="1" x14ac:dyDescent="0.15">
      <c r="B468" s="57"/>
      <c r="C468" s="57"/>
      <c r="D468" s="58"/>
      <c r="E468" s="59"/>
      <c r="F468" s="63"/>
      <c r="G468" s="63"/>
      <c r="H468" s="63"/>
      <c r="I468" s="63"/>
      <c r="J468" s="65"/>
      <c r="K468" s="392"/>
      <c r="L468" s="65"/>
      <c r="M468" s="65"/>
      <c r="N468" s="65"/>
      <c r="O468" s="386"/>
      <c r="P468" s="386"/>
      <c r="Q468" s="386"/>
      <c r="R468" s="386"/>
      <c r="S468" s="386"/>
      <c r="T468" s="386"/>
      <c r="U468" s="386"/>
      <c r="V468" s="386"/>
      <c r="W468" s="386"/>
      <c r="X468" s="386"/>
      <c r="Y468" s="386"/>
      <c r="Z468" s="386"/>
      <c r="AA468" s="386"/>
      <c r="AB468" s="386"/>
      <c r="AC468" s="386"/>
      <c r="AD468" s="386"/>
      <c r="AE468" s="386"/>
      <c r="AF468" s="386"/>
      <c r="AG468" s="386"/>
      <c r="AH468" s="386"/>
      <c r="AI468" s="386"/>
      <c r="AJ468" s="386"/>
      <c r="AK468" s="386"/>
      <c r="AL468" s="386"/>
      <c r="AM468" s="386"/>
      <c r="AN468" s="386"/>
      <c r="AO468" s="386"/>
      <c r="AP468" s="386"/>
      <c r="AQ468" s="386"/>
      <c r="AR468" s="386"/>
      <c r="AS468" s="386"/>
      <c r="AT468" s="386"/>
      <c r="AU468" s="386"/>
      <c r="AV468" s="386"/>
      <c r="AW468" s="386"/>
      <c r="AX468" s="386"/>
      <c r="AY468" s="386"/>
      <c r="AZ468" s="386"/>
      <c r="BA468" s="386"/>
      <c r="BB468" s="386"/>
      <c r="BC468" s="386"/>
      <c r="BD468" s="386"/>
      <c r="BE468" s="386"/>
      <c r="BF468" s="386"/>
      <c r="BG468" s="386"/>
      <c r="BH468" s="386"/>
      <c r="BI468" s="386"/>
      <c r="BJ468" s="386"/>
      <c r="BK468" s="386"/>
      <c r="BL468" s="386"/>
      <c r="BM468" s="386"/>
      <c r="BN468" s="386"/>
      <c r="BO468" s="386"/>
      <c r="BP468" s="386"/>
      <c r="BQ468" s="386"/>
      <c r="BR468" s="386"/>
      <c r="BS468" s="386"/>
      <c r="BT468" s="386"/>
      <c r="BU468" s="386"/>
      <c r="BV468" s="386"/>
      <c r="BW468" s="386"/>
      <c r="BX468" s="386"/>
      <c r="BY468" s="386"/>
      <c r="BZ468" s="386"/>
      <c r="CA468" s="386"/>
      <c r="CB468" s="386"/>
      <c r="CC468" s="386"/>
      <c r="CD468" s="386"/>
      <c r="CE468" s="386"/>
      <c r="CF468" s="386"/>
      <c r="CG468" s="386"/>
      <c r="CH468" s="386"/>
      <c r="CI468" s="386"/>
      <c r="CJ468" s="386"/>
      <c r="CK468" s="386"/>
      <c r="CL468" s="386"/>
    </row>
    <row r="469" spans="2:90" ht="12.75" customHeight="1" x14ac:dyDescent="0.15">
      <c r="B469" s="57"/>
      <c r="C469" s="57"/>
      <c r="D469" s="58"/>
      <c r="E469" s="59"/>
      <c r="F469" s="63"/>
      <c r="G469" s="63"/>
      <c r="H469" s="63"/>
      <c r="I469" s="63"/>
      <c r="J469" s="65"/>
      <c r="K469" s="392"/>
      <c r="L469" s="65"/>
      <c r="M469" s="65"/>
      <c r="N469" s="65"/>
      <c r="O469" s="386"/>
      <c r="P469" s="386"/>
      <c r="Q469" s="386"/>
      <c r="R469" s="386"/>
      <c r="S469" s="386"/>
      <c r="T469" s="386"/>
      <c r="U469" s="386"/>
      <c r="V469" s="386"/>
      <c r="W469" s="386"/>
      <c r="X469" s="386"/>
      <c r="Y469" s="386"/>
      <c r="Z469" s="386"/>
      <c r="AA469" s="386"/>
      <c r="AB469" s="386"/>
      <c r="AC469" s="386"/>
      <c r="AD469" s="386"/>
      <c r="AE469" s="386"/>
      <c r="AF469" s="386"/>
      <c r="AG469" s="386"/>
      <c r="AH469" s="386"/>
      <c r="AI469" s="386"/>
      <c r="AJ469" s="386"/>
      <c r="AK469" s="386"/>
      <c r="AL469" s="386"/>
      <c r="AM469" s="386"/>
      <c r="AN469" s="386"/>
      <c r="AO469" s="386"/>
      <c r="AP469" s="386"/>
      <c r="AQ469" s="386"/>
      <c r="AR469" s="386"/>
      <c r="AS469" s="386"/>
      <c r="AT469" s="386"/>
      <c r="AU469" s="386"/>
      <c r="AV469" s="386"/>
      <c r="AW469" s="386"/>
      <c r="AX469" s="386"/>
      <c r="AY469" s="386"/>
      <c r="AZ469" s="386"/>
      <c r="BA469" s="386"/>
      <c r="BB469" s="386"/>
      <c r="BC469" s="386"/>
      <c r="BD469" s="386"/>
      <c r="BE469" s="386"/>
      <c r="BF469" s="386"/>
      <c r="BG469" s="386"/>
      <c r="BH469" s="386"/>
      <c r="BI469" s="386"/>
      <c r="BJ469" s="386"/>
      <c r="BK469" s="386"/>
      <c r="BL469" s="386"/>
      <c r="BM469" s="386"/>
      <c r="BN469" s="386"/>
      <c r="BO469" s="386"/>
      <c r="BP469" s="386"/>
      <c r="BQ469" s="386"/>
      <c r="BR469" s="386"/>
      <c r="BS469" s="386"/>
      <c r="BT469" s="386"/>
      <c r="BU469" s="386"/>
      <c r="BV469" s="386"/>
      <c r="BW469" s="386"/>
      <c r="BX469" s="386"/>
      <c r="BY469" s="386"/>
      <c r="BZ469" s="386"/>
      <c r="CA469" s="386"/>
      <c r="CB469" s="386"/>
      <c r="CC469" s="386"/>
      <c r="CD469" s="386"/>
      <c r="CE469" s="386"/>
      <c r="CF469" s="386"/>
      <c r="CG469" s="386"/>
      <c r="CH469" s="386"/>
      <c r="CI469" s="386"/>
      <c r="CJ469" s="386"/>
      <c r="CK469" s="386"/>
      <c r="CL469" s="386"/>
    </row>
    <row r="470" spans="2:90" ht="12.75" customHeight="1" x14ac:dyDescent="0.15">
      <c r="B470" s="57"/>
      <c r="C470" s="57"/>
      <c r="D470" s="58"/>
      <c r="E470" s="59"/>
      <c r="F470" s="63"/>
      <c r="G470" s="63"/>
      <c r="H470" s="63"/>
      <c r="I470" s="63"/>
      <c r="J470" s="65"/>
      <c r="K470" s="392"/>
      <c r="L470" s="65"/>
      <c r="M470" s="65"/>
      <c r="N470" s="65"/>
      <c r="O470" s="386"/>
      <c r="P470" s="386"/>
      <c r="Q470" s="386"/>
      <c r="R470" s="386"/>
      <c r="S470" s="386"/>
      <c r="T470" s="386"/>
      <c r="U470" s="386"/>
      <c r="V470" s="386"/>
      <c r="W470" s="386"/>
      <c r="X470" s="386"/>
      <c r="Y470" s="386"/>
      <c r="Z470" s="386"/>
      <c r="AA470" s="386"/>
      <c r="AB470" s="386"/>
      <c r="AC470" s="386"/>
      <c r="AD470" s="386"/>
      <c r="AE470" s="386"/>
      <c r="AF470" s="386"/>
      <c r="AG470" s="386"/>
      <c r="AH470" s="386"/>
      <c r="AI470" s="386"/>
      <c r="AJ470" s="386"/>
      <c r="AK470" s="386"/>
      <c r="AL470" s="386"/>
      <c r="AM470" s="386"/>
      <c r="AN470" s="386"/>
      <c r="AO470" s="386"/>
      <c r="AP470" s="386"/>
      <c r="AQ470" s="386"/>
      <c r="AR470" s="386"/>
      <c r="AS470" s="386"/>
      <c r="AT470" s="386"/>
      <c r="AU470" s="386"/>
      <c r="AV470" s="386"/>
      <c r="AW470" s="386"/>
      <c r="AX470" s="386"/>
      <c r="AY470" s="386"/>
      <c r="AZ470" s="386"/>
      <c r="BA470" s="386"/>
      <c r="BB470" s="386"/>
      <c r="BC470" s="386"/>
      <c r="BD470" s="386"/>
      <c r="BE470" s="386"/>
      <c r="BF470" s="386"/>
      <c r="BG470" s="386"/>
      <c r="BH470" s="386"/>
      <c r="BI470" s="386"/>
      <c r="BJ470" s="386"/>
      <c r="BK470" s="386"/>
      <c r="BL470" s="386"/>
      <c r="BM470" s="386"/>
      <c r="BN470" s="386"/>
      <c r="BO470" s="386"/>
      <c r="BP470" s="386"/>
      <c r="BQ470" s="386"/>
      <c r="BR470" s="386"/>
      <c r="BS470" s="386"/>
      <c r="BT470" s="386"/>
      <c r="BU470" s="386"/>
      <c r="BV470" s="386"/>
      <c r="BW470" s="386"/>
      <c r="BX470" s="386"/>
      <c r="BY470" s="386"/>
      <c r="BZ470" s="386"/>
      <c r="CA470" s="386"/>
      <c r="CB470" s="386"/>
      <c r="CC470" s="386"/>
      <c r="CD470" s="386"/>
      <c r="CE470" s="386"/>
      <c r="CF470" s="386"/>
      <c r="CG470" s="386"/>
      <c r="CH470" s="386"/>
      <c r="CI470" s="386"/>
      <c r="CJ470" s="386"/>
      <c r="CK470" s="386"/>
      <c r="CL470" s="386"/>
    </row>
    <row r="471" spans="2:90" ht="12.75" customHeight="1" x14ac:dyDescent="0.15">
      <c r="B471" s="57"/>
      <c r="C471" s="57"/>
      <c r="D471" s="58"/>
      <c r="E471" s="59"/>
      <c r="F471" s="63"/>
      <c r="G471" s="63"/>
      <c r="H471" s="63"/>
      <c r="I471" s="63"/>
      <c r="J471" s="65"/>
      <c r="K471" s="392"/>
      <c r="L471" s="65"/>
      <c r="M471" s="65"/>
      <c r="N471" s="65"/>
      <c r="O471" s="386"/>
      <c r="P471" s="386"/>
      <c r="Q471" s="386"/>
      <c r="R471" s="386"/>
      <c r="S471" s="386"/>
      <c r="T471" s="386"/>
      <c r="U471" s="386"/>
      <c r="V471" s="386"/>
      <c r="W471" s="386"/>
      <c r="X471" s="386"/>
      <c r="Y471" s="386"/>
      <c r="Z471" s="386"/>
      <c r="AA471" s="386"/>
      <c r="AB471" s="386"/>
      <c r="AC471" s="386"/>
      <c r="AD471" s="386"/>
      <c r="AE471" s="386"/>
      <c r="AF471" s="386"/>
      <c r="AG471" s="386"/>
      <c r="AH471" s="386"/>
      <c r="AI471" s="386"/>
      <c r="AJ471" s="386"/>
      <c r="AK471" s="386"/>
      <c r="AL471" s="386"/>
      <c r="AM471" s="386"/>
      <c r="AN471" s="386"/>
      <c r="AO471" s="386"/>
      <c r="AP471" s="386"/>
      <c r="AQ471" s="386"/>
      <c r="AR471" s="386"/>
      <c r="AS471" s="386"/>
      <c r="AT471" s="386"/>
      <c r="AU471" s="386"/>
      <c r="AV471" s="386"/>
      <c r="AW471" s="386"/>
      <c r="AX471" s="386"/>
      <c r="AY471" s="386"/>
      <c r="AZ471" s="386"/>
      <c r="BA471" s="386"/>
      <c r="BB471" s="386"/>
      <c r="BC471" s="386"/>
      <c r="BD471" s="386"/>
      <c r="BE471" s="386"/>
      <c r="BF471" s="386"/>
      <c r="BG471" s="386"/>
      <c r="BH471" s="386"/>
      <c r="BI471" s="386"/>
      <c r="BJ471" s="386"/>
      <c r="BK471" s="386"/>
      <c r="BL471" s="386"/>
      <c r="BM471" s="386"/>
      <c r="BN471" s="386"/>
      <c r="BO471" s="386"/>
      <c r="BP471" s="386"/>
      <c r="BQ471" s="386"/>
      <c r="BR471" s="386"/>
      <c r="BS471" s="386"/>
      <c r="BT471" s="386"/>
      <c r="BU471" s="386"/>
      <c r="BV471" s="386"/>
      <c r="BW471" s="386"/>
      <c r="BX471" s="386"/>
      <c r="BY471" s="386"/>
      <c r="BZ471" s="386"/>
      <c r="CA471" s="386"/>
      <c r="CB471" s="386"/>
      <c r="CC471" s="386"/>
      <c r="CD471" s="386"/>
      <c r="CE471" s="386"/>
      <c r="CF471" s="386"/>
      <c r="CG471" s="386"/>
      <c r="CH471" s="386"/>
      <c r="CI471" s="386"/>
      <c r="CJ471" s="386"/>
      <c r="CK471" s="386"/>
      <c r="CL471" s="386"/>
    </row>
    <row r="472" spans="2:90" ht="12.75" customHeight="1" x14ac:dyDescent="0.15">
      <c r="B472" s="57"/>
      <c r="C472" s="57"/>
      <c r="D472" s="58"/>
      <c r="E472" s="59"/>
      <c r="F472" s="63"/>
      <c r="G472" s="63"/>
      <c r="H472" s="63"/>
      <c r="I472" s="63"/>
      <c r="J472" s="65"/>
      <c r="K472" s="392"/>
      <c r="L472" s="65"/>
      <c r="M472" s="65"/>
      <c r="N472" s="65"/>
      <c r="O472" s="386"/>
      <c r="P472" s="386"/>
      <c r="Q472" s="386"/>
      <c r="R472" s="386"/>
      <c r="S472" s="386"/>
      <c r="T472" s="386"/>
      <c r="U472" s="386"/>
      <c r="V472" s="386"/>
      <c r="W472" s="386"/>
      <c r="X472" s="386"/>
      <c r="Y472" s="386"/>
      <c r="Z472" s="386"/>
      <c r="AA472" s="386"/>
      <c r="AB472" s="386"/>
      <c r="AC472" s="386"/>
      <c r="AD472" s="386"/>
      <c r="AE472" s="386"/>
      <c r="AF472" s="386"/>
      <c r="AG472" s="386"/>
      <c r="AH472" s="386"/>
      <c r="AI472" s="386"/>
      <c r="AJ472" s="386"/>
      <c r="AK472" s="386"/>
      <c r="AL472" s="386"/>
      <c r="AM472" s="386"/>
      <c r="AN472" s="386"/>
      <c r="AO472" s="386"/>
      <c r="AP472" s="386"/>
      <c r="AQ472" s="386"/>
      <c r="AR472" s="386"/>
      <c r="AS472" s="386"/>
      <c r="AT472" s="386"/>
      <c r="AU472" s="386"/>
      <c r="AV472" s="386"/>
      <c r="AW472" s="386"/>
      <c r="AX472" s="386"/>
      <c r="AY472" s="386"/>
      <c r="AZ472" s="386"/>
      <c r="BA472" s="386"/>
      <c r="BB472" s="386"/>
      <c r="BC472" s="386"/>
      <c r="BD472" s="386"/>
      <c r="BE472" s="386"/>
      <c r="BF472" s="386"/>
      <c r="BG472" s="386"/>
      <c r="BH472" s="386"/>
      <c r="BI472" s="386"/>
      <c r="BJ472" s="386"/>
      <c r="BK472" s="386"/>
      <c r="BL472" s="386"/>
      <c r="BM472" s="386"/>
      <c r="BN472" s="386"/>
      <c r="BO472" s="386"/>
      <c r="BP472" s="386"/>
      <c r="BQ472" s="386"/>
      <c r="BR472" s="386"/>
      <c r="BS472" s="386"/>
      <c r="BT472" s="386"/>
      <c r="BU472" s="386"/>
      <c r="BV472" s="386"/>
      <c r="BW472" s="386"/>
      <c r="BX472" s="386"/>
      <c r="BY472" s="386"/>
      <c r="BZ472" s="386"/>
      <c r="CA472" s="386"/>
      <c r="CB472" s="386"/>
      <c r="CC472" s="386"/>
      <c r="CD472" s="386"/>
      <c r="CE472" s="386"/>
      <c r="CF472" s="386"/>
      <c r="CG472" s="386"/>
      <c r="CH472" s="386"/>
      <c r="CI472" s="386"/>
      <c r="CJ472" s="386"/>
      <c r="CK472" s="386"/>
      <c r="CL472" s="386"/>
    </row>
    <row r="473" spans="2:90" ht="12.75" customHeight="1" x14ac:dyDescent="0.15">
      <c r="B473" s="57"/>
      <c r="C473" s="57"/>
      <c r="D473" s="58"/>
      <c r="E473" s="59"/>
      <c r="F473" s="63"/>
      <c r="G473" s="63"/>
      <c r="H473" s="63"/>
      <c r="I473" s="63"/>
      <c r="J473" s="65"/>
      <c r="K473" s="392"/>
      <c r="L473" s="65"/>
      <c r="M473" s="65"/>
      <c r="N473" s="65"/>
      <c r="O473" s="386"/>
      <c r="P473" s="386"/>
      <c r="Q473" s="386"/>
      <c r="R473" s="386"/>
      <c r="S473" s="386"/>
      <c r="T473" s="386"/>
      <c r="U473" s="386"/>
      <c r="V473" s="386"/>
      <c r="W473" s="386"/>
      <c r="X473" s="386"/>
      <c r="Y473" s="386"/>
      <c r="Z473" s="386"/>
      <c r="AA473" s="386"/>
      <c r="AB473" s="386"/>
      <c r="AC473" s="386"/>
      <c r="AD473" s="386"/>
      <c r="AE473" s="386"/>
      <c r="AF473" s="386"/>
      <c r="AG473" s="386"/>
      <c r="AH473" s="386"/>
      <c r="AI473" s="386"/>
      <c r="AJ473" s="386"/>
      <c r="AK473" s="386"/>
      <c r="AL473" s="386"/>
      <c r="AM473" s="386"/>
      <c r="AN473" s="386"/>
      <c r="AO473" s="386"/>
      <c r="AP473" s="386"/>
      <c r="AQ473" s="386"/>
      <c r="AR473" s="386"/>
      <c r="AS473" s="386"/>
      <c r="AT473" s="386"/>
      <c r="AU473" s="386"/>
      <c r="AV473" s="386"/>
      <c r="AW473" s="386"/>
      <c r="AX473" s="386"/>
      <c r="AY473" s="386"/>
      <c r="AZ473" s="386"/>
      <c r="BA473" s="386"/>
      <c r="BB473" s="386"/>
      <c r="BC473" s="386"/>
      <c r="BD473" s="386"/>
      <c r="BE473" s="386"/>
      <c r="BF473" s="386"/>
      <c r="BG473" s="386"/>
      <c r="BH473" s="386"/>
      <c r="BI473" s="386"/>
      <c r="BJ473" s="386"/>
      <c r="BK473" s="386"/>
      <c r="BL473" s="386"/>
      <c r="BM473" s="386"/>
      <c r="BN473" s="386"/>
      <c r="BO473" s="386"/>
      <c r="BP473" s="386"/>
      <c r="BQ473" s="386"/>
      <c r="BR473" s="386"/>
      <c r="BS473" s="386"/>
      <c r="BT473" s="386"/>
      <c r="BU473" s="386"/>
      <c r="BV473" s="386"/>
      <c r="BW473" s="386"/>
      <c r="BX473" s="386"/>
      <c r="BY473" s="386"/>
      <c r="BZ473" s="386"/>
      <c r="CA473" s="386"/>
      <c r="CB473" s="386"/>
      <c r="CC473" s="386"/>
      <c r="CD473" s="386"/>
      <c r="CE473" s="386"/>
      <c r="CF473" s="386"/>
      <c r="CG473" s="386"/>
      <c r="CH473" s="386"/>
      <c r="CI473" s="386"/>
      <c r="CJ473" s="386"/>
      <c r="CK473" s="386"/>
      <c r="CL473" s="386"/>
    </row>
    <row r="474" spans="2:90" ht="12.75" customHeight="1" x14ac:dyDescent="0.15">
      <c r="B474" s="57"/>
      <c r="C474" s="57"/>
      <c r="D474" s="58"/>
      <c r="E474" s="59"/>
      <c r="F474" s="63"/>
      <c r="G474" s="63"/>
      <c r="H474" s="63"/>
      <c r="I474" s="63"/>
      <c r="J474" s="65"/>
      <c r="K474" s="392"/>
      <c r="L474" s="65"/>
      <c r="M474" s="65"/>
      <c r="N474" s="65"/>
      <c r="O474" s="386"/>
      <c r="P474" s="386"/>
      <c r="Q474" s="386"/>
      <c r="R474" s="386"/>
      <c r="S474" s="386"/>
      <c r="T474" s="386"/>
      <c r="U474" s="386"/>
      <c r="V474" s="386"/>
      <c r="W474" s="386"/>
      <c r="X474" s="386"/>
      <c r="Y474" s="386"/>
      <c r="Z474" s="386"/>
      <c r="AA474" s="386"/>
      <c r="AB474" s="386"/>
      <c r="AC474" s="386"/>
      <c r="AD474" s="386"/>
      <c r="AE474" s="386"/>
      <c r="AF474" s="386"/>
      <c r="AG474" s="386"/>
      <c r="AH474" s="386"/>
      <c r="AI474" s="386"/>
      <c r="AJ474" s="386"/>
      <c r="AK474" s="386"/>
      <c r="AL474" s="386"/>
      <c r="AM474" s="386"/>
      <c r="AN474" s="386"/>
      <c r="AO474" s="386"/>
      <c r="AP474" s="386"/>
      <c r="AQ474" s="386"/>
      <c r="AR474" s="386"/>
      <c r="AS474" s="386"/>
      <c r="AT474" s="386"/>
      <c r="AU474" s="386"/>
      <c r="AV474" s="386"/>
      <c r="AW474" s="386"/>
      <c r="AX474" s="386"/>
      <c r="AY474" s="386"/>
      <c r="AZ474" s="386"/>
      <c r="BA474" s="386"/>
      <c r="BB474" s="386"/>
      <c r="BC474" s="386"/>
      <c r="BD474" s="386"/>
      <c r="BE474" s="386"/>
      <c r="BF474" s="386"/>
      <c r="BG474" s="386"/>
      <c r="BH474" s="386"/>
      <c r="BI474" s="386"/>
      <c r="BJ474" s="386"/>
      <c r="BK474" s="386"/>
      <c r="BL474" s="386"/>
      <c r="BM474" s="386"/>
      <c r="BN474" s="386"/>
      <c r="BO474" s="386"/>
      <c r="BP474" s="386"/>
      <c r="BQ474" s="386"/>
      <c r="BR474" s="386"/>
      <c r="BS474" s="386"/>
      <c r="BT474" s="386"/>
      <c r="BU474" s="386"/>
      <c r="BV474" s="386"/>
      <c r="BW474" s="386"/>
      <c r="BX474" s="386"/>
      <c r="BY474" s="386"/>
      <c r="BZ474" s="386"/>
      <c r="CA474" s="386"/>
      <c r="CB474" s="386"/>
      <c r="CC474" s="386"/>
      <c r="CD474" s="386"/>
      <c r="CE474" s="386"/>
      <c r="CF474" s="386"/>
      <c r="CG474" s="386"/>
      <c r="CH474" s="386"/>
      <c r="CI474" s="386"/>
      <c r="CJ474" s="386"/>
      <c r="CK474" s="386"/>
      <c r="CL474" s="386"/>
    </row>
    <row r="475" spans="2:90" ht="12.75" customHeight="1" x14ac:dyDescent="0.15">
      <c r="B475" s="57"/>
      <c r="C475" s="57"/>
      <c r="D475" s="58"/>
      <c r="E475" s="59"/>
      <c r="F475" s="63"/>
      <c r="G475" s="63"/>
      <c r="H475" s="63"/>
      <c r="I475" s="63"/>
      <c r="J475" s="65"/>
      <c r="K475" s="392"/>
      <c r="L475" s="65"/>
      <c r="M475" s="65"/>
      <c r="N475" s="65"/>
      <c r="O475" s="386"/>
      <c r="P475" s="386"/>
      <c r="Q475" s="386"/>
      <c r="R475" s="386"/>
      <c r="S475" s="386"/>
      <c r="T475" s="386"/>
      <c r="U475" s="386"/>
      <c r="V475" s="386"/>
      <c r="W475" s="386"/>
      <c r="X475" s="386"/>
      <c r="Y475" s="386"/>
      <c r="Z475" s="386"/>
      <c r="AA475" s="386"/>
      <c r="AB475" s="386"/>
      <c r="AC475" s="386"/>
      <c r="AD475" s="386"/>
      <c r="AE475" s="386"/>
      <c r="AF475" s="386"/>
      <c r="AG475" s="386"/>
      <c r="AH475" s="386"/>
      <c r="AI475" s="386"/>
      <c r="AJ475" s="386"/>
      <c r="AK475" s="386"/>
      <c r="AL475" s="386"/>
      <c r="AM475" s="386"/>
      <c r="AN475" s="386"/>
      <c r="AO475" s="386"/>
      <c r="AP475" s="386"/>
      <c r="AQ475" s="386"/>
      <c r="AR475" s="386"/>
      <c r="AS475" s="386"/>
      <c r="AT475" s="386"/>
      <c r="AU475" s="386"/>
      <c r="AV475" s="386"/>
      <c r="AW475" s="386"/>
      <c r="AX475" s="386"/>
      <c r="AY475" s="386"/>
      <c r="AZ475" s="386"/>
      <c r="BA475" s="386"/>
      <c r="BB475" s="386"/>
      <c r="BC475" s="386"/>
      <c r="BD475" s="386"/>
      <c r="BE475" s="386"/>
      <c r="BF475" s="386"/>
      <c r="BG475" s="386"/>
      <c r="BH475" s="386"/>
      <c r="BI475" s="386"/>
      <c r="BJ475" s="386"/>
      <c r="BK475" s="386"/>
      <c r="BL475" s="386"/>
      <c r="BM475" s="386"/>
      <c r="BN475" s="386"/>
      <c r="BO475" s="386"/>
      <c r="BP475" s="386"/>
      <c r="BQ475" s="386"/>
      <c r="BR475" s="386"/>
      <c r="BS475" s="386"/>
      <c r="BT475" s="386"/>
      <c r="BU475" s="386"/>
      <c r="BV475" s="386"/>
      <c r="BW475" s="386"/>
      <c r="BX475" s="386"/>
      <c r="BY475" s="386"/>
      <c r="BZ475" s="386"/>
      <c r="CA475" s="386"/>
      <c r="CB475" s="386"/>
      <c r="CC475" s="386"/>
      <c r="CD475" s="386"/>
      <c r="CE475" s="386"/>
      <c r="CF475" s="386"/>
      <c r="CG475" s="386"/>
      <c r="CH475" s="386"/>
      <c r="CI475" s="386"/>
      <c r="CJ475" s="386"/>
      <c r="CK475" s="386"/>
      <c r="CL475" s="386"/>
    </row>
    <row r="476" spans="2:90" ht="12.75" customHeight="1" x14ac:dyDescent="0.15">
      <c r="B476" s="57"/>
      <c r="C476" s="57"/>
      <c r="D476" s="58"/>
      <c r="E476" s="59"/>
      <c r="F476" s="63"/>
      <c r="G476" s="63"/>
      <c r="H476" s="63"/>
      <c r="I476" s="63"/>
      <c r="J476" s="65"/>
      <c r="K476" s="392"/>
      <c r="L476" s="65"/>
      <c r="M476" s="65"/>
      <c r="N476" s="65"/>
      <c r="O476" s="386"/>
      <c r="P476" s="386"/>
      <c r="Q476" s="386"/>
      <c r="R476" s="386"/>
      <c r="S476" s="386"/>
      <c r="T476" s="386"/>
      <c r="U476" s="386"/>
      <c r="V476" s="386"/>
      <c r="W476" s="386"/>
      <c r="X476" s="386"/>
      <c r="Y476" s="386"/>
      <c r="Z476" s="386"/>
      <c r="AA476" s="386"/>
      <c r="AB476" s="386"/>
      <c r="AC476" s="386"/>
      <c r="AD476" s="386"/>
      <c r="AE476" s="386"/>
      <c r="AF476" s="386"/>
      <c r="AG476" s="386"/>
      <c r="AH476" s="386"/>
      <c r="AI476" s="386"/>
      <c r="AJ476" s="386"/>
      <c r="AK476" s="386"/>
      <c r="AL476" s="386"/>
      <c r="AM476" s="386"/>
      <c r="AN476" s="386"/>
      <c r="AO476" s="386"/>
      <c r="AP476" s="386"/>
      <c r="AQ476" s="386"/>
      <c r="AR476" s="386"/>
      <c r="AS476" s="386"/>
      <c r="AT476" s="386"/>
      <c r="AU476" s="386"/>
      <c r="AV476" s="386"/>
      <c r="AW476" s="386"/>
      <c r="AX476" s="386"/>
      <c r="AY476" s="386"/>
      <c r="AZ476" s="386"/>
      <c r="BA476" s="386"/>
      <c r="BB476" s="386"/>
      <c r="BC476" s="386"/>
      <c r="BD476" s="386"/>
      <c r="BE476" s="386"/>
      <c r="BF476" s="386"/>
      <c r="BG476" s="386"/>
      <c r="BH476" s="386"/>
      <c r="BI476" s="386"/>
      <c r="BJ476" s="386"/>
      <c r="BK476" s="386"/>
      <c r="BL476" s="386"/>
      <c r="BM476" s="386"/>
      <c r="BN476" s="386"/>
      <c r="BO476" s="386"/>
      <c r="BP476" s="386"/>
      <c r="BQ476" s="386"/>
      <c r="BR476" s="386"/>
      <c r="BS476" s="386"/>
      <c r="BT476" s="386"/>
      <c r="BU476" s="386"/>
      <c r="BV476" s="386"/>
      <c r="BW476" s="386"/>
      <c r="BX476" s="386"/>
      <c r="BY476" s="386"/>
      <c r="BZ476" s="386"/>
      <c r="CA476" s="386"/>
      <c r="CB476" s="386"/>
      <c r="CC476" s="386"/>
      <c r="CD476" s="386"/>
      <c r="CE476" s="386"/>
      <c r="CF476" s="386"/>
      <c r="CG476" s="386"/>
      <c r="CH476" s="386"/>
      <c r="CI476" s="386"/>
      <c r="CJ476" s="386"/>
      <c r="CK476" s="386"/>
      <c r="CL476" s="386"/>
    </row>
    <row r="477" spans="2:90" ht="12.75" customHeight="1" x14ac:dyDescent="0.15">
      <c r="B477" s="57"/>
      <c r="C477" s="57"/>
      <c r="D477" s="58"/>
      <c r="E477" s="59"/>
      <c r="F477" s="63"/>
      <c r="G477" s="63"/>
      <c r="H477" s="63"/>
      <c r="I477" s="63"/>
      <c r="J477" s="65"/>
      <c r="K477" s="392"/>
      <c r="L477" s="65"/>
      <c r="M477" s="65"/>
      <c r="N477" s="65"/>
      <c r="O477" s="386"/>
      <c r="P477" s="386"/>
      <c r="Q477" s="386"/>
      <c r="R477" s="386"/>
      <c r="S477" s="386"/>
      <c r="T477" s="386"/>
      <c r="U477" s="386"/>
      <c r="V477" s="386"/>
      <c r="W477" s="386"/>
      <c r="X477" s="386"/>
      <c r="Y477" s="386"/>
      <c r="Z477" s="386"/>
      <c r="AA477" s="386"/>
      <c r="AB477" s="386"/>
      <c r="AC477" s="386"/>
      <c r="AD477" s="386"/>
      <c r="AE477" s="386"/>
      <c r="AF477" s="386"/>
      <c r="AG477" s="386"/>
      <c r="AH477" s="386"/>
      <c r="AI477" s="386"/>
      <c r="AJ477" s="386"/>
      <c r="AK477" s="386"/>
      <c r="AL477" s="386"/>
      <c r="AM477" s="386"/>
      <c r="AN477" s="386"/>
      <c r="AO477" s="386"/>
      <c r="AP477" s="386"/>
      <c r="AQ477" s="386"/>
      <c r="AR477" s="386"/>
      <c r="AS477" s="386"/>
      <c r="AT477" s="386"/>
      <c r="AU477" s="386"/>
      <c r="AV477" s="386"/>
      <c r="AW477" s="386"/>
      <c r="AX477" s="386"/>
      <c r="AY477" s="386"/>
      <c r="AZ477" s="386"/>
      <c r="BA477" s="386"/>
      <c r="BB477" s="386"/>
      <c r="BC477" s="386"/>
      <c r="BD477" s="386"/>
      <c r="BE477" s="386"/>
      <c r="BF477" s="386"/>
      <c r="BG477" s="386"/>
      <c r="BH477" s="386"/>
      <c r="BI477" s="386"/>
      <c r="BJ477" s="386"/>
      <c r="BK477" s="386"/>
      <c r="BL477" s="386"/>
      <c r="BM477" s="386"/>
      <c r="BN477" s="386"/>
      <c r="BO477" s="386"/>
      <c r="BP477" s="386"/>
      <c r="BQ477" s="386"/>
      <c r="BR477" s="386"/>
      <c r="BS477" s="386"/>
      <c r="BT477" s="386"/>
      <c r="BU477" s="386"/>
      <c r="BV477" s="386"/>
      <c r="BW477" s="386"/>
      <c r="BX477" s="386"/>
      <c r="BY477" s="386"/>
      <c r="BZ477" s="386"/>
      <c r="CA477" s="386"/>
      <c r="CB477" s="386"/>
      <c r="CC477" s="386"/>
      <c r="CD477" s="386"/>
      <c r="CE477" s="386"/>
      <c r="CF477" s="386"/>
      <c r="CG477" s="386"/>
      <c r="CH477" s="386"/>
      <c r="CI477" s="386"/>
      <c r="CJ477" s="386"/>
      <c r="CK477" s="386"/>
      <c r="CL477" s="386"/>
    </row>
    <row r="478" spans="2:90" ht="12.75" customHeight="1" x14ac:dyDescent="0.15">
      <c r="B478" s="57"/>
      <c r="C478" s="57"/>
      <c r="D478" s="58"/>
      <c r="E478" s="59"/>
      <c r="F478" s="63"/>
      <c r="G478" s="63"/>
      <c r="H478" s="63"/>
      <c r="I478" s="63"/>
      <c r="J478" s="65"/>
      <c r="K478" s="392"/>
      <c r="L478" s="65"/>
      <c r="M478" s="65"/>
      <c r="N478" s="65"/>
      <c r="O478" s="386"/>
      <c r="P478" s="386"/>
      <c r="Q478" s="386"/>
      <c r="R478" s="386"/>
      <c r="S478" s="386"/>
      <c r="T478" s="386"/>
      <c r="U478" s="386"/>
      <c r="V478" s="386"/>
      <c r="W478" s="386"/>
      <c r="X478" s="386"/>
      <c r="Y478" s="386"/>
      <c r="Z478" s="386"/>
      <c r="AA478" s="386"/>
      <c r="AB478" s="386"/>
      <c r="AC478" s="386"/>
      <c r="AD478" s="386"/>
      <c r="AE478" s="386"/>
      <c r="AF478" s="386"/>
      <c r="AG478" s="386"/>
      <c r="AH478" s="386"/>
      <c r="AI478" s="386"/>
      <c r="AJ478" s="386"/>
      <c r="AK478" s="386"/>
      <c r="AL478" s="386"/>
      <c r="AM478" s="386"/>
      <c r="AN478" s="386"/>
      <c r="AO478" s="386"/>
      <c r="AP478" s="386"/>
      <c r="AQ478" s="386"/>
      <c r="AR478" s="386"/>
      <c r="AS478" s="386"/>
      <c r="AT478" s="386"/>
      <c r="AU478" s="386"/>
      <c r="AV478" s="386"/>
      <c r="AW478" s="386"/>
      <c r="AX478" s="386"/>
      <c r="AY478" s="386"/>
      <c r="AZ478" s="386"/>
      <c r="BA478" s="386"/>
      <c r="BB478" s="386"/>
      <c r="BC478" s="386"/>
      <c r="BD478" s="386"/>
      <c r="BE478" s="386"/>
      <c r="BF478" s="386"/>
      <c r="BG478" s="386"/>
      <c r="BH478" s="386"/>
      <c r="BI478" s="386"/>
      <c r="BJ478" s="386"/>
      <c r="BK478" s="386"/>
      <c r="BL478" s="386"/>
      <c r="BM478" s="386"/>
      <c r="BN478" s="386"/>
      <c r="BO478" s="386"/>
      <c r="BP478" s="386"/>
      <c r="BQ478" s="386"/>
      <c r="BR478" s="386"/>
      <c r="BS478" s="386"/>
      <c r="BT478" s="386"/>
      <c r="BU478" s="386"/>
      <c r="BV478" s="386"/>
      <c r="BW478" s="386"/>
      <c r="BX478" s="386"/>
      <c r="BY478" s="386"/>
      <c r="BZ478" s="386"/>
      <c r="CA478" s="386"/>
      <c r="CB478" s="386"/>
      <c r="CC478" s="386"/>
      <c r="CD478" s="386"/>
      <c r="CE478" s="386"/>
      <c r="CF478" s="386"/>
      <c r="CG478" s="386"/>
      <c r="CH478" s="386"/>
      <c r="CI478" s="386"/>
      <c r="CJ478" s="386"/>
      <c r="CK478" s="386"/>
      <c r="CL478" s="386"/>
    </row>
    <row r="479" spans="2:90" ht="12.75" customHeight="1" x14ac:dyDescent="0.15">
      <c r="B479" s="57"/>
      <c r="C479" s="57"/>
      <c r="D479" s="58"/>
      <c r="E479" s="59"/>
      <c r="F479" s="63"/>
      <c r="G479" s="63"/>
      <c r="H479" s="63"/>
      <c r="I479" s="63"/>
      <c r="J479" s="65"/>
      <c r="K479" s="392"/>
      <c r="L479" s="65"/>
      <c r="M479" s="65"/>
      <c r="N479" s="65"/>
      <c r="O479" s="386"/>
      <c r="P479" s="386"/>
      <c r="Q479" s="386"/>
      <c r="R479" s="386"/>
      <c r="S479" s="386"/>
      <c r="T479" s="386"/>
      <c r="U479" s="386"/>
      <c r="V479" s="386"/>
      <c r="W479" s="386"/>
      <c r="X479" s="386"/>
      <c r="Y479" s="386"/>
      <c r="Z479" s="386"/>
      <c r="AA479" s="386"/>
      <c r="AB479" s="386"/>
      <c r="AC479" s="386"/>
      <c r="AD479" s="386"/>
      <c r="AE479" s="386"/>
      <c r="AF479" s="386"/>
      <c r="AG479" s="386"/>
      <c r="AH479" s="386"/>
      <c r="AI479" s="386"/>
      <c r="AJ479" s="386"/>
      <c r="AK479" s="386"/>
      <c r="AL479" s="386"/>
      <c r="AM479" s="386"/>
      <c r="AN479" s="386"/>
      <c r="AO479" s="386"/>
      <c r="AP479" s="386"/>
      <c r="AQ479" s="386"/>
      <c r="AR479" s="386"/>
      <c r="AS479" s="386"/>
      <c r="AT479" s="386"/>
      <c r="AU479" s="386"/>
      <c r="AV479" s="386"/>
      <c r="AW479" s="386"/>
      <c r="AX479" s="386"/>
      <c r="AY479" s="386"/>
      <c r="AZ479" s="386"/>
      <c r="BA479" s="386"/>
      <c r="BB479" s="386"/>
      <c r="BC479" s="386"/>
      <c r="BD479" s="386"/>
      <c r="BE479" s="386"/>
      <c r="BF479" s="386"/>
      <c r="BG479" s="386"/>
      <c r="BH479" s="386"/>
      <c r="BI479" s="386"/>
      <c r="BJ479" s="386"/>
      <c r="BK479" s="386"/>
      <c r="BL479" s="386"/>
      <c r="BM479" s="386"/>
      <c r="BN479" s="386"/>
      <c r="BO479" s="386"/>
      <c r="BP479" s="386"/>
      <c r="BQ479" s="386"/>
      <c r="BR479" s="386"/>
      <c r="BS479" s="386"/>
      <c r="BT479" s="386"/>
      <c r="BU479" s="386"/>
      <c r="BV479" s="386"/>
      <c r="BW479" s="386"/>
      <c r="BX479" s="386"/>
      <c r="BY479" s="386"/>
      <c r="BZ479" s="386"/>
      <c r="CA479" s="386"/>
      <c r="CB479" s="386"/>
      <c r="CC479" s="386"/>
      <c r="CD479" s="386"/>
      <c r="CE479" s="386"/>
      <c r="CF479" s="386"/>
      <c r="CG479" s="386"/>
      <c r="CH479" s="386"/>
      <c r="CI479" s="386"/>
      <c r="CJ479" s="386"/>
      <c r="CK479" s="386"/>
      <c r="CL479" s="386"/>
    </row>
    <row r="480" spans="2:90" ht="12.75" customHeight="1" x14ac:dyDescent="0.15">
      <c r="B480" s="57"/>
      <c r="C480" s="57"/>
      <c r="D480" s="58"/>
      <c r="E480" s="59"/>
      <c r="F480" s="63"/>
      <c r="G480" s="63"/>
      <c r="H480" s="63"/>
      <c r="I480" s="63"/>
      <c r="J480" s="65"/>
      <c r="K480" s="392"/>
      <c r="L480" s="65"/>
      <c r="M480" s="65"/>
      <c r="N480" s="65"/>
      <c r="O480" s="386"/>
      <c r="P480" s="386"/>
      <c r="Q480" s="386"/>
      <c r="R480" s="386"/>
      <c r="S480" s="386"/>
      <c r="T480" s="386"/>
      <c r="U480" s="386"/>
      <c r="V480" s="386"/>
      <c r="W480" s="386"/>
      <c r="X480" s="386"/>
      <c r="Y480" s="386"/>
      <c r="Z480" s="386"/>
      <c r="AA480" s="386"/>
      <c r="AB480" s="386"/>
      <c r="AC480" s="386"/>
      <c r="AD480" s="386"/>
      <c r="AE480" s="386"/>
      <c r="AF480" s="386"/>
      <c r="AG480" s="386"/>
      <c r="AH480" s="386"/>
      <c r="AI480" s="386"/>
      <c r="AJ480" s="386"/>
      <c r="AK480" s="386"/>
      <c r="AL480" s="386"/>
      <c r="AM480" s="386"/>
      <c r="AN480" s="386"/>
      <c r="AO480" s="386"/>
      <c r="AP480" s="386"/>
      <c r="AQ480" s="386"/>
      <c r="AR480" s="386"/>
      <c r="AS480" s="386"/>
      <c r="AT480" s="386"/>
      <c r="AU480" s="386"/>
      <c r="AV480" s="386"/>
      <c r="AW480" s="386"/>
      <c r="AX480" s="386"/>
      <c r="AY480" s="386"/>
      <c r="AZ480" s="386"/>
      <c r="BA480" s="386"/>
      <c r="BB480" s="386"/>
      <c r="BC480" s="386"/>
      <c r="BD480" s="386"/>
      <c r="BE480" s="386"/>
      <c r="BF480" s="386"/>
      <c r="BG480" s="386"/>
      <c r="BH480" s="386"/>
      <c r="BI480" s="386"/>
      <c r="BJ480" s="386"/>
      <c r="BK480" s="386"/>
      <c r="BL480" s="386"/>
      <c r="BM480" s="386"/>
      <c r="BN480" s="386"/>
      <c r="BO480" s="386"/>
      <c r="BP480" s="386"/>
      <c r="BQ480" s="386"/>
      <c r="BR480" s="386"/>
      <c r="BS480" s="386"/>
      <c r="BT480" s="386"/>
      <c r="BU480" s="386"/>
      <c r="BV480" s="386"/>
      <c r="BW480" s="386"/>
      <c r="BX480" s="386"/>
      <c r="BY480" s="386"/>
      <c r="BZ480" s="386"/>
      <c r="CA480" s="386"/>
      <c r="CB480" s="386"/>
      <c r="CC480" s="386"/>
      <c r="CD480" s="386"/>
      <c r="CE480" s="386"/>
      <c r="CF480" s="386"/>
      <c r="CG480" s="386"/>
      <c r="CH480" s="386"/>
      <c r="CI480" s="386"/>
      <c r="CJ480" s="386"/>
      <c r="CK480" s="386"/>
      <c r="CL480" s="386"/>
    </row>
    <row r="481" spans="2:90" ht="12.75" customHeight="1" x14ac:dyDescent="0.15">
      <c r="B481" s="57"/>
      <c r="C481" s="57"/>
      <c r="D481" s="58"/>
      <c r="E481" s="59"/>
      <c r="F481" s="63"/>
      <c r="G481" s="63"/>
      <c r="H481" s="63"/>
      <c r="I481" s="63"/>
      <c r="J481" s="65"/>
      <c r="K481" s="392"/>
      <c r="L481" s="65"/>
      <c r="M481" s="65"/>
      <c r="N481" s="65"/>
      <c r="O481" s="386"/>
      <c r="P481" s="386"/>
      <c r="Q481" s="386"/>
      <c r="R481" s="386"/>
      <c r="S481" s="386"/>
      <c r="T481" s="386"/>
      <c r="U481" s="386"/>
      <c r="V481" s="386"/>
      <c r="W481" s="386"/>
      <c r="X481" s="386"/>
      <c r="Y481" s="386"/>
      <c r="Z481" s="386"/>
      <c r="AA481" s="386"/>
      <c r="AB481" s="386"/>
      <c r="AC481" s="386"/>
      <c r="AD481" s="386"/>
      <c r="AE481" s="386"/>
      <c r="AF481" s="386"/>
      <c r="AG481" s="386"/>
      <c r="AH481" s="386"/>
      <c r="AI481" s="386"/>
      <c r="AJ481" s="386"/>
      <c r="AK481" s="386"/>
      <c r="AL481" s="386"/>
      <c r="AM481" s="386"/>
      <c r="AN481" s="386"/>
      <c r="AO481" s="386"/>
      <c r="AP481" s="386"/>
      <c r="AQ481" s="386"/>
      <c r="AR481" s="386"/>
      <c r="AS481" s="386"/>
      <c r="AT481" s="386"/>
      <c r="AU481" s="386"/>
      <c r="AV481" s="386"/>
      <c r="AW481" s="386"/>
      <c r="AX481" s="386"/>
      <c r="AY481" s="386"/>
      <c r="AZ481" s="386"/>
      <c r="BA481" s="386"/>
      <c r="BB481" s="386"/>
      <c r="BC481" s="386"/>
      <c r="BD481" s="386"/>
      <c r="BE481" s="386"/>
      <c r="BF481" s="386"/>
      <c r="BG481" s="386"/>
      <c r="BH481" s="386"/>
      <c r="BI481" s="386"/>
      <c r="BJ481" s="386"/>
      <c r="BK481" s="386"/>
      <c r="BL481" s="386"/>
      <c r="BM481" s="386"/>
      <c r="BN481" s="386"/>
      <c r="BO481" s="386"/>
      <c r="BP481" s="386"/>
      <c r="BQ481" s="386"/>
      <c r="BR481" s="386"/>
      <c r="BS481" s="386"/>
      <c r="BT481" s="386"/>
      <c r="BU481" s="386"/>
      <c r="BV481" s="386"/>
      <c r="BW481" s="386"/>
      <c r="BX481" s="386"/>
      <c r="BY481" s="386"/>
      <c r="BZ481" s="386"/>
      <c r="CA481" s="386"/>
      <c r="CB481" s="386"/>
      <c r="CC481" s="386"/>
      <c r="CD481" s="386"/>
      <c r="CE481" s="386"/>
      <c r="CF481" s="386"/>
      <c r="CG481" s="386"/>
      <c r="CH481" s="386"/>
      <c r="CI481" s="386"/>
      <c r="CJ481" s="386"/>
      <c r="CK481" s="386"/>
      <c r="CL481" s="386"/>
    </row>
    <row r="482" spans="2:90" ht="12.75" customHeight="1" x14ac:dyDescent="0.15">
      <c r="B482" s="57"/>
      <c r="C482" s="57"/>
      <c r="D482" s="58"/>
      <c r="E482" s="59"/>
      <c r="F482" s="63"/>
      <c r="G482" s="63"/>
      <c r="H482" s="63"/>
      <c r="I482" s="63"/>
      <c r="J482" s="65"/>
      <c r="K482" s="392"/>
      <c r="L482" s="65"/>
      <c r="M482" s="65"/>
      <c r="N482" s="65"/>
      <c r="O482" s="386"/>
      <c r="P482" s="386"/>
      <c r="Q482" s="386"/>
      <c r="R482" s="386"/>
      <c r="S482" s="386"/>
      <c r="T482" s="386"/>
      <c r="U482" s="386"/>
      <c r="V482" s="386"/>
      <c r="W482" s="386"/>
      <c r="X482" s="386"/>
      <c r="Y482" s="386"/>
      <c r="Z482" s="386"/>
      <c r="AA482" s="386"/>
      <c r="AB482" s="386"/>
      <c r="AC482" s="386"/>
      <c r="AD482" s="386"/>
      <c r="AE482" s="386"/>
      <c r="AF482" s="386"/>
      <c r="AG482" s="386"/>
      <c r="AH482" s="386"/>
      <c r="AI482" s="386"/>
      <c r="AJ482" s="386"/>
      <c r="AK482" s="386"/>
      <c r="AL482" s="386"/>
      <c r="AM482" s="386"/>
      <c r="AN482" s="386"/>
      <c r="AO482" s="386"/>
      <c r="AP482" s="386"/>
      <c r="AQ482" s="386"/>
      <c r="AR482" s="386"/>
      <c r="AS482" s="386"/>
      <c r="AT482" s="386"/>
      <c r="AU482" s="386"/>
      <c r="AV482" s="386"/>
      <c r="AW482" s="386"/>
      <c r="AX482" s="386"/>
      <c r="AY482" s="386"/>
      <c r="AZ482" s="386"/>
      <c r="BA482" s="386"/>
      <c r="BB482" s="386"/>
      <c r="BC482" s="386"/>
      <c r="BD482" s="386"/>
      <c r="BE482" s="386"/>
      <c r="BF482" s="386"/>
      <c r="BG482" s="386"/>
      <c r="BH482" s="386"/>
      <c r="BI482" s="386"/>
      <c r="BJ482" s="386"/>
      <c r="BK482" s="386"/>
      <c r="BL482" s="386"/>
      <c r="BM482" s="386"/>
      <c r="BN482" s="386"/>
      <c r="BO482" s="386"/>
      <c r="BP482" s="386"/>
      <c r="BQ482" s="386"/>
      <c r="BR482" s="386"/>
      <c r="BS482" s="386"/>
      <c r="BT482" s="386"/>
      <c r="BU482" s="386"/>
      <c r="BV482" s="386"/>
      <c r="BW482" s="386"/>
      <c r="BX482" s="386"/>
      <c r="BY482" s="386"/>
      <c r="BZ482" s="386"/>
      <c r="CA482" s="386"/>
      <c r="CB482" s="386"/>
      <c r="CC482" s="386"/>
      <c r="CD482" s="386"/>
      <c r="CE482" s="386"/>
      <c r="CF482" s="386"/>
      <c r="CG482" s="386"/>
      <c r="CH482" s="386"/>
      <c r="CI482" s="386"/>
      <c r="CJ482" s="386"/>
      <c r="CK482" s="386"/>
      <c r="CL482" s="386"/>
    </row>
    <row r="483" spans="2:90" ht="12.75" customHeight="1" x14ac:dyDescent="0.15">
      <c r="B483" s="57"/>
      <c r="C483" s="57"/>
      <c r="D483" s="58"/>
      <c r="E483" s="59"/>
      <c r="F483" s="63"/>
      <c r="G483" s="63"/>
      <c r="H483" s="63"/>
      <c r="I483" s="63"/>
      <c r="J483" s="65"/>
      <c r="K483" s="392"/>
      <c r="L483" s="65"/>
      <c r="M483" s="65"/>
      <c r="N483" s="65"/>
      <c r="O483" s="386"/>
      <c r="P483" s="386"/>
      <c r="Q483" s="386"/>
      <c r="R483" s="386"/>
      <c r="S483" s="386"/>
      <c r="T483" s="386"/>
      <c r="U483" s="386"/>
      <c r="V483" s="386"/>
      <c r="W483" s="386"/>
      <c r="X483" s="386"/>
      <c r="Y483" s="386"/>
      <c r="Z483" s="386"/>
      <c r="AA483" s="386"/>
      <c r="AB483" s="386"/>
      <c r="AC483" s="386"/>
      <c r="AD483" s="386"/>
      <c r="AE483" s="386"/>
      <c r="AF483" s="386"/>
      <c r="AG483" s="386"/>
      <c r="AH483" s="386"/>
      <c r="AI483" s="386"/>
      <c r="AJ483" s="386"/>
      <c r="AK483" s="386"/>
      <c r="AL483" s="386"/>
      <c r="AM483" s="386"/>
      <c r="AN483" s="386"/>
      <c r="AO483" s="386"/>
      <c r="AP483" s="386"/>
      <c r="AQ483" s="386"/>
      <c r="AR483" s="386"/>
      <c r="AS483" s="386"/>
      <c r="AT483" s="386"/>
      <c r="AU483" s="386"/>
      <c r="AV483" s="386"/>
      <c r="AW483" s="386"/>
      <c r="AX483" s="386"/>
      <c r="AY483" s="386"/>
      <c r="AZ483" s="386"/>
      <c r="BA483" s="386"/>
      <c r="BB483" s="386"/>
      <c r="BC483" s="386"/>
      <c r="BD483" s="386"/>
      <c r="BE483" s="386"/>
      <c r="BF483" s="386"/>
      <c r="BG483" s="386"/>
      <c r="BH483" s="386"/>
      <c r="BI483" s="386"/>
      <c r="BJ483" s="386"/>
      <c r="BK483" s="386"/>
      <c r="BL483" s="386"/>
      <c r="BM483" s="386"/>
      <c r="BN483" s="386"/>
      <c r="BO483" s="386"/>
      <c r="BP483" s="386"/>
      <c r="BQ483" s="386"/>
      <c r="BR483" s="386"/>
      <c r="BS483" s="386"/>
      <c r="BT483" s="386"/>
      <c r="BU483" s="386"/>
      <c r="BV483" s="386"/>
      <c r="BW483" s="386"/>
      <c r="BX483" s="386"/>
      <c r="BY483" s="386"/>
      <c r="BZ483" s="386"/>
      <c r="CA483" s="386"/>
      <c r="CB483" s="386"/>
      <c r="CC483" s="386"/>
      <c r="CD483" s="386"/>
      <c r="CE483" s="386"/>
      <c r="CF483" s="386"/>
      <c r="CG483" s="386"/>
      <c r="CH483" s="386"/>
      <c r="CI483" s="386"/>
      <c r="CJ483" s="386"/>
      <c r="CK483" s="386"/>
      <c r="CL483" s="386"/>
    </row>
    <row r="484" spans="2:90" ht="12.75" customHeight="1" x14ac:dyDescent="0.15">
      <c r="B484" s="57"/>
      <c r="C484" s="57"/>
      <c r="D484" s="58"/>
      <c r="E484" s="59"/>
      <c r="F484" s="63"/>
      <c r="G484" s="63"/>
      <c r="H484" s="63"/>
      <c r="I484" s="63"/>
      <c r="J484" s="65"/>
      <c r="K484" s="392"/>
      <c r="L484" s="65"/>
      <c r="M484" s="65"/>
      <c r="N484" s="65"/>
      <c r="O484" s="386"/>
      <c r="P484" s="386"/>
      <c r="Q484" s="386"/>
      <c r="R484" s="386"/>
      <c r="S484" s="386"/>
      <c r="T484" s="386"/>
      <c r="U484" s="386"/>
      <c r="V484" s="386"/>
      <c r="W484" s="386"/>
      <c r="X484" s="386"/>
      <c r="Y484" s="386"/>
      <c r="Z484" s="386"/>
      <c r="AA484" s="386"/>
      <c r="AB484" s="386"/>
      <c r="AC484" s="386"/>
      <c r="AD484" s="386"/>
      <c r="AE484" s="386"/>
      <c r="AF484" s="386"/>
      <c r="AG484" s="386"/>
      <c r="AH484" s="386"/>
      <c r="AI484" s="386"/>
      <c r="AJ484" s="386"/>
      <c r="AK484" s="386"/>
      <c r="AL484" s="386"/>
      <c r="AM484" s="386"/>
      <c r="AN484" s="386"/>
      <c r="AO484" s="386"/>
      <c r="AP484" s="386"/>
      <c r="AQ484" s="386"/>
      <c r="AR484" s="386"/>
      <c r="AS484" s="386"/>
      <c r="AT484" s="386"/>
      <c r="AU484" s="386"/>
      <c r="AV484" s="386"/>
      <c r="AW484" s="386"/>
      <c r="AX484" s="386"/>
      <c r="AY484" s="386"/>
      <c r="AZ484" s="386"/>
      <c r="BA484" s="386"/>
      <c r="BB484" s="386"/>
      <c r="BC484" s="386"/>
      <c r="BD484" s="386"/>
      <c r="BE484" s="386"/>
      <c r="BF484" s="386"/>
      <c r="BG484" s="386"/>
      <c r="BH484" s="386"/>
      <c r="BI484" s="386"/>
      <c r="BJ484" s="386"/>
      <c r="BK484" s="386"/>
      <c r="BL484" s="386"/>
      <c r="BM484" s="386"/>
      <c r="BN484" s="386"/>
      <c r="BO484" s="386"/>
      <c r="BP484" s="386"/>
      <c r="BQ484" s="386"/>
      <c r="BR484" s="386"/>
      <c r="BS484" s="386"/>
      <c r="BT484" s="386"/>
      <c r="BU484" s="386"/>
      <c r="BV484" s="386"/>
      <c r="BW484" s="386"/>
      <c r="BX484" s="386"/>
      <c r="BY484" s="386"/>
      <c r="BZ484" s="386"/>
      <c r="CA484" s="386"/>
      <c r="CB484" s="386"/>
      <c r="CC484" s="386"/>
      <c r="CD484" s="386"/>
      <c r="CE484" s="386"/>
      <c r="CF484" s="386"/>
      <c r="CG484" s="386"/>
      <c r="CH484" s="386"/>
      <c r="CI484" s="386"/>
      <c r="CJ484" s="386"/>
      <c r="CK484" s="386"/>
      <c r="CL484" s="386"/>
    </row>
    <row r="485" spans="2:90" ht="12.75" customHeight="1" x14ac:dyDescent="0.15">
      <c r="B485" s="57"/>
      <c r="C485" s="57"/>
      <c r="D485" s="58"/>
      <c r="E485" s="59"/>
      <c r="F485" s="63"/>
      <c r="G485" s="63"/>
      <c r="H485" s="63"/>
      <c r="I485" s="63"/>
      <c r="J485" s="65"/>
      <c r="K485" s="392"/>
      <c r="L485" s="65"/>
      <c r="M485" s="65"/>
      <c r="N485" s="65"/>
      <c r="O485" s="386"/>
      <c r="P485" s="386"/>
      <c r="Q485" s="386"/>
      <c r="R485" s="386"/>
      <c r="S485" s="386"/>
      <c r="T485" s="386"/>
      <c r="U485" s="386"/>
      <c r="V485" s="386"/>
      <c r="W485" s="386"/>
      <c r="X485" s="386"/>
      <c r="Y485" s="386"/>
      <c r="Z485" s="386"/>
      <c r="AA485" s="386"/>
      <c r="AB485" s="386"/>
      <c r="AC485" s="386"/>
      <c r="AD485" s="386"/>
      <c r="AE485" s="386"/>
      <c r="AF485" s="386"/>
      <c r="AG485" s="386"/>
      <c r="AH485" s="386"/>
      <c r="AI485" s="386"/>
      <c r="AJ485" s="386"/>
      <c r="AK485" s="386"/>
      <c r="AL485" s="386"/>
      <c r="AM485" s="386"/>
      <c r="AN485" s="386"/>
      <c r="AO485" s="386"/>
      <c r="AP485" s="386"/>
      <c r="AQ485" s="386"/>
      <c r="AR485" s="386"/>
      <c r="AS485" s="386"/>
      <c r="AT485" s="386"/>
      <c r="AU485" s="386"/>
      <c r="AV485" s="386"/>
      <c r="AW485" s="386"/>
      <c r="AX485" s="386"/>
      <c r="AY485" s="386"/>
      <c r="AZ485" s="386"/>
      <c r="BA485" s="386"/>
      <c r="BB485" s="386"/>
      <c r="BC485" s="386"/>
      <c r="BD485" s="386"/>
      <c r="BE485" s="386"/>
      <c r="BF485" s="386"/>
      <c r="BG485" s="386"/>
      <c r="BH485" s="386"/>
      <c r="BI485" s="386"/>
      <c r="BJ485" s="386"/>
      <c r="BK485" s="386"/>
      <c r="BL485" s="386"/>
      <c r="BM485" s="386"/>
      <c r="BN485" s="386"/>
      <c r="BO485" s="386"/>
      <c r="BP485" s="386"/>
      <c r="BQ485" s="386"/>
      <c r="BR485" s="386"/>
      <c r="BS485" s="386"/>
      <c r="BT485" s="386"/>
      <c r="BU485" s="386"/>
      <c r="BV485" s="386"/>
      <c r="BW485" s="386"/>
      <c r="BX485" s="386"/>
      <c r="BY485" s="386"/>
      <c r="BZ485" s="386"/>
      <c r="CA485" s="386"/>
      <c r="CB485" s="386"/>
      <c r="CC485" s="386"/>
      <c r="CD485" s="386"/>
      <c r="CE485" s="386"/>
      <c r="CF485" s="386"/>
      <c r="CG485" s="386"/>
      <c r="CH485" s="386"/>
      <c r="CI485" s="386"/>
      <c r="CJ485" s="386"/>
      <c r="CK485" s="386"/>
      <c r="CL485" s="386"/>
    </row>
    <row r="486" spans="2:90" ht="12.75" customHeight="1" x14ac:dyDescent="0.15">
      <c r="B486" s="57"/>
      <c r="C486" s="57"/>
      <c r="D486" s="58"/>
      <c r="E486" s="59"/>
      <c r="F486" s="63"/>
      <c r="G486" s="63"/>
      <c r="H486" s="63"/>
      <c r="I486" s="63"/>
      <c r="J486" s="65"/>
      <c r="K486" s="392"/>
      <c r="L486" s="65"/>
      <c r="M486" s="65"/>
      <c r="N486" s="65"/>
      <c r="O486" s="386"/>
      <c r="P486" s="386"/>
      <c r="Q486" s="386"/>
      <c r="R486" s="386"/>
      <c r="S486" s="386"/>
      <c r="T486" s="386"/>
      <c r="U486" s="386"/>
      <c r="V486" s="386"/>
      <c r="W486" s="386"/>
      <c r="X486" s="386"/>
      <c r="Y486" s="386"/>
      <c r="Z486" s="386"/>
      <c r="AA486" s="386"/>
      <c r="AB486" s="386"/>
      <c r="AC486" s="386"/>
      <c r="AD486" s="386"/>
      <c r="AE486" s="386"/>
      <c r="AF486" s="386"/>
      <c r="AG486" s="386"/>
      <c r="AH486" s="386"/>
      <c r="AI486" s="386"/>
      <c r="AJ486" s="386"/>
      <c r="AK486" s="386"/>
      <c r="AL486" s="386"/>
      <c r="AM486" s="386"/>
      <c r="AN486" s="386"/>
      <c r="AO486" s="386"/>
      <c r="AP486" s="386"/>
      <c r="AQ486" s="386"/>
      <c r="AR486" s="386"/>
      <c r="AS486" s="386"/>
      <c r="AT486" s="386"/>
      <c r="AU486" s="386"/>
      <c r="AV486" s="386"/>
      <c r="AW486" s="386"/>
      <c r="AX486" s="386"/>
      <c r="AY486" s="386"/>
      <c r="AZ486" s="386"/>
      <c r="BA486" s="386"/>
      <c r="BB486" s="386"/>
      <c r="BC486" s="386"/>
      <c r="BD486" s="386"/>
      <c r="BE486" s="386"/>
      <c r="BF486" s="386"/>
      <c r="BG486" s="386"/>
      <c r="BH486" s="386"/>
      <c r="BI486" s="386"/>
      <c r="BJ486" s="386"/>
      <c r="BK486" s="386"/>
      <c r="BL486" s="386"/>
      <c r="BM486" s="386"/>
      <c r="BN486" s="386"/>
      <c r="BO486" s="386"/>
      <c r="BP486" s="386"/>
      <c r="BQ486" s="386"/>
      <c r="BR486" s="386"/>
      <c r="BS486" s="386"/>
      <c r="BT486" s="386"/>
      <c r="BU486" s="386"/>
      <c r="BV486" s="386"/>
      <c r="BW486" s="386"/>
      <c r="BX486" s="386"/>
      <c r="BY486" s="386"/>
      <c r="BZ486" s="386"/>
      <c r="CA486" s="386"/>
      <c r="CB486" s="386"/>
      <c r="CC486" s="386"/>
      <c r="CD486" s="386"/>
      <c r="CE486" s="386"/>
      <c r="CF486" s="386"/>
      <c r="CG486" s="386"/>
      <c r="CH486" s="386"/>
      <c r="CI486" s="386"/>
      <c r="CJ486" s="386"/>
      <c r="CK486" s="386"/>
      <c r="CL486" s="386"/>
    </row>
    <row r="487" spans="2:90" ht="12.75" customHeight="1" x14ac:dyDescent="0.15">
      <c r="B487" s="57"/>
      <c r="C487" s="57"/>
      <c r="D487" s="58"/>
      <c r="E487" s="59"/>
      <c r="F487" s="63"/>
      <c r="G487" s="63"/>
      <c r="H487" s="63"/>
      <c r="I487" s="63"/>
      <c r="J487" s="65"/>
      <c r="K487" s="392"/>
      <c r="L487" s="65"/>
      <c r="M487" s="65"/>
      <c r="N487" s="65"/>
      <c r="O487" s="386"/>
      <c r="P487" s="386"/>
      <c r="Q487" s="386"/>
      <c r="R487" s="386"/>
      <c r="S487" s="386"/>
      <c r="T487" s="386"/>
      <c r="U487" s="386"/>
      <c r="V487" s="386"/>
      <c r="W487" s="386"/>
      <c r="X487" s="386"/>
      <c r="Y487" s="386"/>
      <c r="Z487" s="386"/>
      <c r="AA487" s="386"/>
      <c r="AB487" s="386"/>
      <c r="AC487" s="386"/>
      <c r="AD487" s="386"/>
      <c r="AE487" s="386"/>
      <c r="AF487" s="386"/>
      <c r="AG487" s="386"/>
      <c r="AH487" s="386"/>
      <c r="AI487" s="386"/>
      <c r="AJ487" s="386"/>
      <c r="AK487" s="386"/>
      <c r="AL487" s="386"/>
      <c r="AM487" s="386"/>
      <c r="AN487" s="386"/>
      <c r="AO487" s="386"/>
      <c r="AP487" s="386"/>
      <c r="AQ487" s="386"/>
      <c r="AR487" s="386"/>
      <c r="AS487" s="386"/>
      <c r="AT487" s="386"/>
      <c r="AU487" s="386"/>
      <c r="AV487" s="386"/>
      <c r="AW487" s="386"/>
      <c r="AX487" s="386"/>
      <c r="AY487" s="386"/>
      <c r="AZ487" s="386"/>
      <c r="BA487" s="386"/>
      <c r="BB487" s="386"/>
      <c r="BC487" s="386"/>
      <c r="BD487" s="386"/>
      <c r="BE487" s="386"/>
      <c r="BF487" s="386"/>
      <c r="BG487" s="386"/>
      <c r="BH487" s="386"/>
      <c r="BI487" s="386"/>
      <c r="BJ487" s="386"/>
      <c r="BK487" s="386"/>
      <c r="BL487" s="386"/>
      <c r="BM487" s="386"/>
      <c r="BN487" s="386"/>
      <c r="BO487" s="386"/>
      <c r="BP487" s="386"/>
      <c r="BQ487" s="386"/>
      <c r="BR487" s="386"/>
      <c r="BS487" s="386"/>
      <c r="BT487" s="386"/>
      <c r="BU487" s="386"/>
      <c r="BV487" s="386"/>
      <c r="BW487" s="386"/>
      <c r="BX487" s="386"/>
      <c r="BY487" s="386"/>
      <c r="BZ487" s="386"/>
      <c r="CA487" s="386"/>
      <c r="CB487" s="386"/>
      <c r="CC487" s="386"/>
      <c r="CD487" s="386"/>
      <c r="CE487" s="386"/>
      <c r="CF487" s="386"/>
      <c r="CG487" s="386"/>
      <c r="CH487" s="386"/>
      <c r="CI487" s="386"/>
      <c r="CJ487" s="386"/>
      <c r="CK487" s="386"/>
      <c r="CL487" s="386"/>
    </row>
    <row r="488" spans="2:90" ht="12.75" customHeight="1" x14ac:dyDescent="0.15">
      <c r="B488" s="57"/>
      <c r="C488" s="57"/>
      <c r="D488" s="58"/>
      <c r="E488" s="59"/>
      <c r="F488" s="63"/>
      <c r="G488" s="63"/>
      <c r="H488" s="63"/>
      <c r="I488" s="63"/>
      <c r="J488" s="65"/>
      <c r="K488" s="392"/>
      <c r="L488" s="65"/>
      <c r="M488" s="65"/>
      <c r="N488" s="65"/>
      <c r="O488" s="386"/>
      <c r="P488" s="386"/>
      <c r="Q488" s="386"/>
      <c r="R488" s="386"/>
      <c r="S488" s="386"/>
      <c r="T488" s="386"/>
      <c r="U488" s="386"/>
      <c r="V488" s="386"/>
      <c r="W488" s="386"/>
      <c r="X488" s="386"/>
      <c r="Y488" s="386"/>
      <c r="Z488" s="386"/>
      <c r="AA488" s="386"/>
      <c r="AB488" s="386"/>
      <c r="AC488" s="386"/>
      <c r="AD488" s="386"/>
      <c r="AE488" s="386"/>
      <c r="AF488" s="386"/>
      <c r="AG488" s="386"/>
      <c r="AH488" s="386"/>
      <c r="AI488" s="386"/>
      <c r="AJ488" s="386"/>
      <c r="AK488" s="386"/>
      <c r="AL488" s="386"/>
      <c r="AM488" s="386"/>
      <c r="AN488" s="386"/>
      <c r="AO488" s="386"/>
      <c r="AP488" s="386"/>
      <c r="AQ488" s="386"/>
      <c r="AR488" s="386"/>
      <c r="AS488" s="386"/>
      <c r="AT488" s="386"/>
      <c r="AU488" s="386"/>
      <c r="AV488" s="386"/>
      <c r="AW488" s="386"/>
      <c r="AX488" s="386"/>
      <c r="AY488" s="386"/>
      <c r="AZ488" s="386"/>
      <c r="BA488" s="386"/>
      <c r="BB488" s="386"/>
      <c r="BC488" s="386"/>
      <c r="BD488" s="386"/>
      <c r="BE488" s="386"/>
      <c r="BF488" s="386"/>
      <c r="BG488" s="386"/>
      <c r="BH488" s="386"/>
      <c r="BI488" s="386"/>
      <c r="BJ488" s="386"/>
      <c r="BK488" s="386"/>
      <c r="BL488" s="386"/>
      <c r="BM488" s="386"/>
      <c r="BN488" s="386"/>
      <c r="BO488" s="386"/>
      <c r="BP488" s="386"/>
      <c r="BQ488" s="386"/>
      <c r="BR488" s="386"/>
      <c r="BS488" s="386"/>
      <c r="BT488" s="386"/>
      <c r="BU488" s="386"/>
      <c r="BV488" s="386"/>
      <c r="BW488" s="386"/>
      <c r="BX488" s="386"/>
      <c r="BY488" s="386"/>
      <c r="BZ488" s="386"/>
      <c r="CA488" s="386"/>
      <c r="CB488" s="386"/>
      <c r="CC488" s="386"/>
      <c r="CD488" s="386"/>
      <c r="CE488" s="386"/>
      <c r="CF488" s="386"/>
      <c r="CG488" s="386"/>
      <c r="CH488" s="386"/>
      <c r="CI488" s="386"/>
      <c r="CJ488" s="386"/>
      <c r="CK488" s="386"/>
      <c r="CL488" s="386"/>
    </row>
    <row r="489" spans="2:90" ht="12.75" customHeight="1" x14ac:dyDescent="0.15">
      <c r="B489" s="57"/>
      <c r="C489" s="57"/>
      <c r="D489" s="58"/>
      <c r="E489" s="59"/>
      <c r="F489" s="63"/>
      <c r="G489" s="63"/>
      <c r="H489" s="63"/>
      <c r="I489" s="63"/>
      <c r="J489" s="65"/>
      <c r="K489" s="392"/>
      <c r="L489" s="65"/>
      <c r="M489" s="65"/>
      <c r="N489" s="65"/>
      <c r="O489" s="386"/>
      <c r="P489" s="386"/>
      <c r="Q489" s="386"/>
      <c r="R489" s="386"/>
      <c r="S489" s="386"/>
      <c r="T489" s="386"/>
      <c r="U489" s="386"/>
      <c r="V489" s="386"/>
      <c r="W489" s="386"/>
      <c r="X489" s="386"/>
      <c r="Y489" s="386"/>
      <c r="Z489" s="386"/>
      <c r="AA489" s="386"/>
      <c r="AB489" s="386"/>
      <c r="AC489" s="386"/>
      <c r="AD489" s="386"/>
      <c r="AE489" s="386"/>
      <c r="AF489" s="386"/>
      <c r="AG489" s="386"/>
      <c r="AH489" s="386"/>
      <c r="AI489" s="386"/>
      <c r="AJ489" s="386"/>
      <c r="AK489" s="386"/>
      <c r="AL489" s="386"/>
      <c r="AM489" s="386"/>
      <c r="AN489" s="386"/>
      <c r="AO489" s="386"/>
      <c r="AP489" s="386"/>
      <c r="AQ489" s="386"/>
      <c r="AR489" s="386"/>
      <c r="AS489" s="386"/>
      <c r="AT489" s="386"/>
      <c r="AU489" s="386"/>
      <c r="AV489" s="386"/>
      <c r="AW489" s="386"/>
      <c r="AX489" s="386"/>
      <c r="AY489" s="386"/>
      <c r="AZ489" s="386"/>
      <c r="BA489" s="386"/>
      <c r="BB489" s="386"/>
      <c r="BC489" s="386"/>
      <c r="BD489" s="386"/>
      <c r="BE489" s="386"/>
      <c r="BF489" s="386"/>
      <c r="BG489" s="386"/>
      <c r="BH489" s="386"/>
      <c r="BI489" s="386"/>
      <c r="BJ489" s="386"/>
      <c r="BK489" s="386"/>
      <c r="BL489" s="386"/>
      <c r="BM489" s="386"/>
      <c r="BN489" s="386"/>
      <c r="BO489" s="386"/>
      <c r="BP489" s="386"/>
      <c r="BQ489" s="386"/>
      <c r="BR489" s="386"/>
      <c r="BS489" s="386"/>
      <c r="BT489" s="386"/>
      <c r="BU489" s="386"/>
      <c r="BV489" s="386"/>
      <c r="BW489" s="386"/>
      <c r="BX489" s="386"/>
      <c r="BY489" s="386"/>
      <c r="BZ489" s="386"/>
      <c r="CA489" s="386"/>
      <c r="CB489" s="386"/>
      <c r="CC489" s="386"/>
      <c r="CD489" s="386"/>
      <c r="CE489" s="386"/>
      <c r="CF489" s="386"/>
      <c r="CG489" s="386"/>
      <c r="CH489" s="386"/>
      <c r="CI489" s="386"/>
      <c r="CJ489" s="386"/>
      <c r="CK489" s="386"/>
      <c r="CL489" s="386"/>
    </row>
    <row r="490" spans="2:90" ht="12.75" customHeight="1" x14ac:dyDescent="0.15">
      <c r="B490" s="57"/>
      <c r="C490" s="57"/>
      <c r="D490" s="58"/>
      <c r="E490" s="59"/>
      <c r="F490" s="63"/>
      <c r="G490" s="63"/>
      <c r="H490" s="63"/>
      <c r="I490" s="63"/>
      <c r="J490" s="65"/>
      <c r="K490" s="392"/>
      <c r="L490" s="65"/>
      <c r="M490" s="65"/>
      <c r="N490" s="65"/>
      <c r="O490" s="386"/>
      <c r="P490" s="386"/>
      <c r="Q490" s="386"/>
      <c r="R490" s="386"/>
      <c r="S490" s="386"/>
      <c r="T490" s="386"/>
      <c r="U490" s="386"/>
      <c r="V490" s="386"/>
      <c r="W490" s="386"/>
      <c r="X490" s="386"/>
      <c r="Y490" s="386"/>
      <c r="Z490" s="386"/>
      <c r="AA490" s="386"/>
      <c r="AB490" s="386"/>
      <c r="AC490" s="386"/>
      <c r="AD490" s="386"/>
      <c r="AE490" s="386"/>
      <c r="AF490" s="386"/>
      <c r="AG490" s="386"/>
      <c r="AH490" s="386"/>
      <c r="AI490" s="386"/>
      <c r="AJ490" s="386"/>
      <c r="AK490" s="386"/>
      <c r="AL490" s="386"/>
      <c r="AM490" s="386"/>
      <c r="AN490" s="386"/>
      <c r="AO490" s="386"/>
      <c r="AP490" s="386"/>
      <c r="AQ490" s="386"/>
      <c r="AR490" s="386"/>
      <c r="AS490" s="386"/>
      <c r="AT490" s="386"/>
      <c r="AU490" s="386"/>
      <c r="AV490" s="386"/>
      <c r="AW490" s="386"/>
      <c r="AX490" s="386"/>
      <c r="AY490" s="386"/>
      <c r="AZ490" s="386"/>
      <c r="BA490" s="386"/>
      <c r="BB490" s="386"/>
      <c r="BC490" s="386"/>
      <c r="BD490" s="386"/>
      <c r="BE490" s="386"/>
      <c r="BF490" s="386"/>
      <c r="BG490" s="386"/>
      <c r="BH490" s="386"/>
      <c r="BI490" s="386"/>
      <c r="BJ490" s="386"/>
      <c r="BK490" s="386"/>
      <c r="BL490" s="386"/>
      <c r="BM490" s="386"/>
      <c r="BN490" s="386"/>
      <c r="BO490" s="386"/>
      <c r="BP490" s="386"/>
      <c r="BQ490" s="386"/>
      <c r="BR490" s="386"/>
      <c r="BS490" s="386"/>
      <c r="BT490" s="386"/>
      <c r="BU490" s="386"/>
      <c r="BV490" s="386"/>
      <c r="BW490" s="386"/>
      <c r="BX490" s="386"/>
      <c r="BY490" s="386"/>
      <c r="BZ490" s="386"/>
      <c r="CA490" s="386"/>
      <c r="CB490" s="386"/>
      <c r="CC490" s="386"/>
      <c r="CD490" s="386"/>
      <c r="CE490" s="386"/>
      <c r="CF490" s="386"/>
      <c r="CG490" s="386"/>
      <c r="CH490" s="386"/>
      <c r="CI490" s="386"/>
      <c r="CJ490" s="386"/>
      <c r="CK490" s="386"/>
      <c r="CL490" s="386"/>
    </row>
    <row r="491" spans="2:90" ht="12.75" customHeight="1" x14ac:dyDescent="0.15">
      <c r="B491" s="57"/>
      <c r="C491" s="57"/>
      <c r="D491" s="58"/>
      <c r="E491" s="59"/>
      <c r="F491" s="63"/>
      <c r="G491" s="63"/>
      <c r="H491" s="63"/>
      <c r="I491" s="63"/>
      <c r="J491" s="65"/>
      <c r="K491" s="392"/>
      <c r="L491" s="65"/>
      <c r="M491" s="65"/>
      <c r="N491" s="65"/>
      <c r="O491" s="386"/>
      <c r="P491" s="386"/>
      <c r="Q491" s="386"/>
      <c r="R491" s="386"/>
      <c r="S491" s="386"/>
      <c r="T491" s="386"/>
      <c r="U491" s="386"/>
      <c r="V491" s="386"/>
      <c r="W491" s="386"/>
      <c r="X491" s="386"/>
      <c r="Y491" s="386"/>
      <c r="Z491" s="386"/>
      <c r="AA491" s="386"/>
      <c r="AB491" s="386"/>
      <c r="AC491" s="386"/>
      <c r="AD491" s="386"/>
      <c r="AE491" s="386"/>
      <c r="AF491" s="386"/>
      <c r="AG491" s="386"/>
      <c r="AH491" s="386"/>
      <c r="AI491" s="386"/>
      <c r="AJ491" s="386"/>
      <c r="AK491" s="386"/>
      <c r="AL491" s="386"/>
      <c r="AM491" s="386"/>
      <c r="AN491" s="386"/>
      <c r="AO491" s="386"/>
      <c r="AP491" s="386"/>
      <c r="AQ491" s="386"/>
      <c r="AR491" s="386"/>
      <c r="AS491" s="386"/>
      <c r="AT491" s="386"/>
      <c r="AU491" s="386"/>
      <c r="AV491" s="386"/>
      <c r="AW491" s="386"/>
      <c r="AX491" s="386"/>
      <c r="AY491" s="386"/>
      <c r="AZ491" s="386"/>
      <c r="BA491" s="386"/>
      <c r="BB491" s="386"/>
      <c r="BC491" s="386"/>
      <c r="BD491" s="386"/>
      <c r="BE491" s="386"/>
      <c r="BF491" s="386"/>
      <c r="BG491" s="386"/>
      <c r="BH491" s="386"/>
      <c r="BI491" s="386"/>
      <c r="BJ491" s="386"/>
      <c r="BK491" s="386"/>
      <c r="BL491" s="386"/>
      <c r="BM491" s="386"/>
      <c r="BN491" s="386"/>
      <c r="BO491" s="386"/>
      <c r="BP491" s="386"/>
      <c r="BQ491" s="386"/>
      <c r="BR491" s="386"/>
      <c r="BS491" s="386"/>
      <c r="BT491" s="386"/>
      <c r="BU491" s="386"/>
      <c r="BV491" s="386"/>
      <c r="BW491" s="386"/>
      <c r="BX491" s="386"/>
      <c r="BY491" s="386"/>
      <c r="BZ491" s="386"/>
      <c r="CA491" s="386"/>
      <c r="CB491" s="386"/>
      <c r="CC491" s="386"/>
      <c r="CD491" s="386"/>
      <c r="CE491" s="386"/>
      <c r="CF491" s="386"/>
      <c r="CG491" s="386"/>
      <c r="CH491" s="386"/>
      <c r="CI491" s="386"/>
      <c r="CJ491" s="386"/>
      <c r="CK491" s="386"/>
      <c r="CL491" s="386"/>
    </row>
    <row r="492" spans="2:90" ht="12.75" customHeight="1" x14ac:dyDescent="0.15">
      <c r="B492" s="57"/>
      <c r="C492" s="57"/>
      <c r="D492" s="58"/>
      <c r="E492" s="59"/>
      <c r="F492" s="63"/>
      <c r="G492" s="63"/>
      <c r="H492" s="63"/>
      <c r="I492" s="63"/>
      <c r="J492" s="65"/>
      <c r="K492" s="392"/>
      <c r="L492" s="65"/>
      <c r="M492" s="65"/>
      <c r="N492" s="65"/>
      <c r="O492" s="386"/>
      <c r="P492" s="386"/>
      <c r="Q492" s="386"/>
      <c r="R492" s="386"/>
      <c r="S492" s="386"/>
      <c r="T492" s="386"/>
      <c r="U492" s="386"/>
      <c r="V492" s="386"/>
      <c r="W492" s="386"/>
      <c r="X492" s="386"/>
      <c r="Y492" s="386"/>
      <c r="Z492" s="386"/>
      <c r="AA492" s="386"/>
      <c r="AB492" s="386"/>
      <c r="AC492" s="386"/>
      <c r="AD492" s="386"/>
      <c r="AE492" s="386"/>
      <c r="AF492" s="386"/>
      <c r="AG492" s="386"/>
      <c r="AH492" s="386"/>
      <c r="AI492" s="386"/>
      <c r="AJ492" s="386"/>
      <c r="AK492" s="386"/>
      <c r="AL492" s="386"/>
      <c r="AM492" s="386"/>
      <c r="AN492" s="386"/>
      <c r="AO492" s="386"/>
      <c r="AP492" s="386"/>
      <c r="AQ492" s="386"/>
      <c r="AR492" s="386"/>
      <c r="AS492" s="386"/>
      <c r="AT492" s="386"/>
      <c r="AU492" s="386"/>
      <c r="AV492" s="386"/>
      <c r="AW492" s="386"/>
      <c r="AX492" s="386"/>
      <c r="AY492" s="386"/>
      <c r="AZ492" s="386"/>
      <c r="BA492" s="386"/>
      <c r="BB492" s="386"/>
      <c r="BC492" s="386"/>
      <c r="BD492" s="386"/>
      <c r="BE492" s="386"/>
      <c r="BF492" s="386"/>
      <c r="BG492" s="386"/>
      <c r="BH492" s="386"/>
      <c r="BI492" s="386"/>
      <c r="BJ492" s="386"/>
      <c r="BK492" s="386"/>
      <c r="BL492" s="386"/>
      <c r="BM492" s="386"/>
      <c r="BN492" s="386"/>
      <c r="BO492" s="386"/>
      <c r="BP492" s="386"/>
      <c r="BQ492" s="386"/>
      <c r="BR492" s="386"/>
      <c r="BS492" s="386"/>
      <c r="BT492" s="386"/>
      <c r="BU492" s="386"/>
      <c r="BV492" s="386"/>
      <c r="BW492" s="386"/>
      <c r="BX492" s="386"/>
      <c r="BY492" s="386"/>
      <c r="BZ492" s="386"/>
      <c r="CA492" s="386"/>
      <c r="CB492" s="386"/>
      <c r="CC492" s="386"/>
      <c r="CD492" s="386"/>
      <c r="CE492" s="386"/>
      <c r="CF492" s="386"/>
      <c r="CG492" s="386"/>
      <c r="CH492" s="386"/>
      <c r="CI492" s="386"/>
      <c r="CJ492" s="386"/>
      <c r="CK492" s="386"/>
      <c r="CL492" s="386"/>
    </row>
    <row r="493" spans="2:90" ht="12.75" customHeight="1" x14ac:dyDescent="0.15">
      <c r="B493" s="57"/>
      <c r="C493" s="57"/>
      <c r="D493" s="58"/>
      <c r="E493" s="59"/>
      <c r="F493" s="63"/>
      <c r="G493" s="63"/>
      <c r="H493" s="63"/>
      <c r="I493" s="63"/>
      <c r="J493" s="65"/>
      <c r="K493" s="392"/>
      <c r="L493" s="65"/>
      <c r="M493" s="65"/>
      <c r="N493" s="65"/>
      <c r="O493" s="386"/>
      <c r="P493" s="386"/>
      <c r="Q493" s="386"/>
      <c r="R493" s="386"/>
      <c r="S493" s="386"/>
      <c r="T493" s="386"/>
      <c r="U493" s="386"/>
      <c r="V493" s="386"/>
      <c r="W493" s="386"/>
      <c r="X493" s="386"/>
      <c r="Y493" s="386"/>
      <c r="Z493" s="386"/>
      <c r="AA493" s="386"/>
      <c r="AB493" s="386"/>
      <c r="AC493" s="386"/>
      <c r="AD493" s="386"/>
      <c r="AE493" s="386"/>
      <c r="AF493" s="386"/>
      <c r="AG493" s="386"/>
      <c r="AH493" s="386"/>
      <c r="AI493" s="386"/>
      <c r="AJ493" s="386"/>
      <c r="AK493" s="386"/>
      <c r="AL493" s="386"/>
      <c r="AM493" s="386"/>
      <c r="AN493" s="386"/>
      <c r="AO493" s="386"/>
      <c r="AP493" s="386"/>
      <c r="AQ493" s="386"/>
      <c r="AR493" s="386"/>
      <c r="AS493" s="386"/>
      <c r="AT493" s="386"/>
      <c r="AU493" s="386"/>
      <c r="AV493" s="386"/>
      <c r="AW493" s="386"/>
      <c r="AX493" s="386"/>
      <c r="AY493" s="386"/>
      <c r="AZ493" s="386"/>
      <c r="BA493" s="386"/>
      <c r="BB493" s="386"/>
      <c r="BC493" s="386"/>
      <c r="BD493" s="386"/>
      <c r="BE493" s="386"/>
      <c r="BF493" s="386"/>
      <c r="BG493" s="386"/>
      <c r="BH493" s="386"/>
      <c r="BI493" s="386"/>
      <c r="BJ493" s="386"/>
      <c r="BK493" s="386"/>
      <c r="BL493" s="386"/>
      <c r="BM493" s="386"/>
      <c r="BN493" s="386"/>
      <c r="BO493" s="386"/>
      <c r="BP493" s="386"/>
      <c r="BQ493" s="386"/>
      <c r="BR493" s="386"/>
      <c r="BS493" s="386"/>
      <c r="BT493" s="386"/>
      <c r="BU493" s="386"/>
      <c r="BV493" s="386"/>
      <c r="BW493" s="386"/>
      <c r="BX493" s="386"/>
      <c r="BY493" s="386"/>
      <c r="BZ493" s="386"/>
      <c r="CA493" s="386"/>
      <c r="CB493" s="386"/>
      <c r="CC493" s="386"/>
      <c r="CD493" s="386"/>
      <c r="CE493" s="386"/>
      <c r="CF493" s="386"/>
      <c r="CG493" s="386"/>
      <c r="CH493" s="386"/>
      <c r="CI493" s="386"/>
      <c r="CJ493" s="386"/>
      <c r="CK493" s="386"/>
      <c r="CL493" s="386"/>
    </row>
    <row r="494" spans="2:90" ht="12.75" customHeight="1" x14ac:dyDescent="0.15">
      <c r="B494" s="57"/>
      <c r="C494" s="57"/>
      <c r="D494" s="58"/>
      <c r="E494" s="59"/>
      <c r="F494" s="63"/>
      <c r="G494" s="63"/>
      <c r="H494" s="63"/>
      <c r="I494" s="63"/>
      <c r="J494" s="65"/>
      <c r="K494" s="392"/>
      <c r="L494" s="65"/>
      <c r="M494" s="65"/>
      <c r="N494" s="65"/>
      <c r="O494" s="386"/>
      <c r="P494" s="386"/>
      <c r="Q494" s="386"/>
      <c r="R494" s="386"/>
      <c r="S494" s="386"/>
      <c r="T494" s="386"/>
      <c r="U494" s="386"/>
      <c r="V494" s="386"/>
      <c r="W494" s="386"/>
      <c r="X494" s="386"/>
      <c r="Y494" s="386"/>
      <c r="Z494" s="386"/>
      <c r="AA494" s="386"/>
      <c r="AB494" s="386"/>
      <c r="AC494" s="386"/>
      <c r="AD494" s="386"/>
      <c r="AE494" s="386"/>
      <c r="AF494" s="386"/>
      <c r="AG494" s="386"/>
      <c r="AH494" s="386"/>
      <c r="AI494" s="386"/>
      <c r="AJ494" s="386"/>
      <c r="AK494" s="386"/>
      <c r="AL494" s="386"/>
      <c r="AM494" s="386"/>
      <c r="AN494" s="386"/>
      <c r="AO494" s="386"/>
      <c r="AP494" s="386"/>
      <c r="AQ494" s="386"/>
      <c r="AR494" s="386"/>
      <c r="AS494" s="386"/>
      <c r="AT494" s="386"/>
      <c r="AU494" s="386"/>
      <c r="AV494" s="386"/>
      <c r="AW494" s="386"/>
      <c r="AX494" s="386"/>
      <c r="AY494" s="386"/>
      <c r="AZ494" s="386"/>
      <c r="BA494" s="386"/>
      <c r="BB494" s="386"/>
      <c r="BC494" s="386"/>
      <c r="BD494" s="386"/>
      <c r="BE494" s="386"/>
      <c r="BF494" s="386"/>
      <c r="BG494" s="386"/>
      <c r="BH494" s="386"/>
      <c r="BI494" s="386"/>
      <c r="BJ494" s="386"/>
      <c r="BK494" s="386"/>
      <c r="BL494" s="386"/>
      <c r="BM494" s="386"/>
      <c r="BN494" s="386"/>
      <c r="BO494" s="386"/>
      <c r="BP494" s="386"/>
      <c r="BQ494" s="386"/>
      <c r="BR494" s="386"/>
      <c r="BS494" s="386"/>
      <c r="BT494" s="386"/>
      <c r="BU494" s="386"/>
      <c r="BV494" s="386"/>
      <c r="BW494" s="386"/>
      <c r="BX494" s="386"/>
      <c r="BY494" s="386"/>
      <c r="BZ494" s="386"/>
      <c r="CA494" s="386"/>
      <c r="CB494" s="386"/>
      <c r="CC494" s="386"/>
      <c r="CD494" s="386"/>
      <c r="CE494" s="386"/>
      <c r="CF494" s="386"/>
      <c r="CG494" s="386"/>
      <c r="CH494" s="386"/>
      <c r="CI494" s="386"/>
      <c r="CJ494" s="386"/>
      <c r="CK494" s="386"/>
      <c r="CL494" s="386"/>
    </row>
    <row r="495" spans="2:90" ht="12.75" customHeight="1" x14ac:dyDescent="0.15">
      <c r="B495" s="57"/>
      <c r="C495" s="57"/>
      <c r="D495" s="58"/>
      <c r="E495" s="59"/>
      <c r="F495" s="63"/>
      <c r="G495" s="63"/>
      <c r="H495" s="63"/>
      <c r="I495" s="63"/>
      <c r="J495" s="65"/>
      <c r="K495" s="392"/>
      <c r="L495" s="65"/>
      <c r="M495" s="65"/>
      <c r="N495" s="65"/>
      <c r="O495" s="386"/>
      <c r="P495" s="386"/>
      <c r="Q495" s="386"/>
      <c r="R495" s="386"/>
      <c r="S495" s="386"/>
      <c r="T495" s="386"/>
      <c r="U495" s="386"/>
      <c r="V495" s="386"/>
      <c r="W495" s="386"/>
      <c r="X495" s="386"/>
      <c r="Y495" s="386"/>
      <c r="Z495" s="386"/>
      <c r="AA495" s="386"/>
      <c r="AB495" s="386"/>
      <c r="AC495" s="386"/>
      <c r="AD495" s="386"/>
      <c r="AE495" s="386"/>
      <c r="AF495" s="386"/>
      <c r="AG495" s="386"/>
      <c r="AH495" s="386"/>
      <c r="AI495" s="386"/>
      <c r="AJ495" s="386"/>
      <c r="AK495" s="386"/>
      <c r="AL495" s="386"/>
      <c r="AM495" s="386"/>
      <c r="AN495" s="386"/>
      <c r="AO495" s="386"/>
      <c r="AP495" s="386"/>
      <c r="AQ495" s="386"/>
      <c r="AR495" s="386"/>
      <c r="AS495" s="386"/>
      <c r="AT495" s="386"/>
      <c r="AU495" s="386"/>
      <c r="AV495" s="386"/>
      <c r="AW495" s="386"/>
      <c r="AX495" s="386"/>
      <c r="AY495" s="386"/>
      <c r="AZ495" s="386"/>
      <c r="BA495" s="386"/>
      <c r="BB495" s="386"/>
      <c r="BC495" s="386"/>
      <c r="BD495" s="386"/>
      <c r="BE495" s="386"/>
      <c r="BF495" s="386"/>
      <c r="BG495" s="386"/>
      <c r="BH495" s="386"/>
      <c r="BI495" s="386"/>
      <c r="BJ495" s="386"/>
      <c r="BK495" s="386"/>
      <c r="BL495" s="386"/>
      <c r="BM495" s="386"/>
      <c r="BN495" s="386"/>
      <c r="BO495" s="386"/>
      <c r="BP495" s="386"/>
      <c r="BQ495" s="386"/>
      <c r="BR495" s="386"/>
      <c r="BS495" s="386"/>
      <c r="BT495" s="386"/>
      <c r="BU495" s="386"/>
      <c r="BV495" s="386"/>
      <c r="BW495" s="386"/>
      <c r="BX495" s="386"/>
      <c r="BY495" s="386"/>
      <c r="BZ495" s="386"/>
      <c r="CA495" s="386"/>
      <c r="CB495" s="386"/>
      <c r="CC495" s="386"/>
      <c r="CD495" s="386"/>
      <c r="CE495" s="386"/>
      <c r="CF495" s="386"/>
      <c r="CG495" s="386"/>
      <c r="CH495" s="386"/>
      <c r="CI495" s="386"/>
      <c r="CJ495" s="386"/>
      <c r="CK495" s="386"/>
      <c r="CL495" s="386"/>
    </row>
    <row r="496" spans="2:90" ht="12.75" customHeight="1" x14ac:dyDescent="0.15">
      <c r="B496" s="57"/>
      <c r="C496" s="57"/>
      <c r="D496" s="58"/>
      <c r="E496" s="59"/>
      <c r="F496" s="63"/>
      <c r="G496" s="63"/>
      <c r="H496" s="63"/>
      <c r="I496" s="63"/>
      <c r="J496" s="65"/>
      <c r="K496" s="392"/>
      <c r="L496" s="65"/>
      <c r="M496" s="65"/>
      <c r="N496" s="65"/>
      <c r="O496" s="386"/>
      <c r="P496" s="386"/>
      <c r="Q496" s="386"/>
      <c r="R496" s="386"/>
      <c r="S496" s="386"/>
      <c r="T496" s="386"/>
      <c r="U496" s="386"/>
      <c r="V496" s="386"/>
      <c r="W496" s="386"/>
      <c r="X496" s="386"/>
      <c r="Y496" s="386"/>
      <c r="Z496" s="386"/>
      <c r="AA496" s="386"/>
      <c r="AB496" s="386"/>
      <c r="AC496" s="386"/>
      <c r="AD496" s="386"/>
      <c r="AE496" s="386"/>
      <c r="AF496" s="386"/>
      <c r="AG496" s="386"/>
      <c r="AH496" s="386"/>
      <c r="AI496" s="386"/>
      <c r="AJ496" s="386"/>
      <c r="AK496" s="386"/>
      <c r="AL496" s="386"/>
      <c r="AM496" s="386"/>
      <c r="AN496" s="386"/>
      <c r="AO496" s="386"/>
      <c r="AP496" s="386"/>
      <c r="AQ496" s="386"/>
      <c r="AR496" s="386"/>
      <c r="AS496" s="386"/>
      <c r="AT496" s="386"/>
      <c r="AU496" s="386"/>
      <c r="AV496" s="386"/>
      <c r="AW496" s="386"/>
      <c r="AX496" s="386"/>
      <c r="AY496" s="386"/>
      <c r="AZ496" s="386"/>
      <c r="BA496" s="386"/>
      <c r="BB496" s="386"/>
      <c r="BC496" s="386"/>
      <c r="BD496" s="386"/>
      <c r="BE496" s="386"/>
      <c r="BF496" s="386"/>
      <c r="BG496" s="386"/>
      <c r="BH496" s="386"/>
      <c r="BI496" s="386"/>
      <c r="BJ496" s="386"/>
      <c r="BK496" s="386"/>
      <c r="BL496" s="386"/>
      <c r="BM496" s="386"/>
      <c r="BN496" s="386"/>
      <c r="BO496" s="386"/>
      <c r="BP496" s="386"/>
      <c r="BQ496" s="386"/>
      <c r="BR496" s="386"/>
      <c r="BS496" s="386"/>
      <c r="BT496" s="386"/>
      <c r="BU496" s="386"/>
      <c r="BV496" s="386"/>
      <c r="BW496" s="386"/>
      <c r="BX496" s="386"/>
      <c r="BY496" s="386"/>
      <c r="BZ496" s="386"/>
      <c r="CA496" s="386"/>
      <c r="CB496" s="386"/>
      <c r="CC496" s="386"/>
      <c r="CD496" s="386"/>
      <c r="CE496" s="386"/>
      <c r="CF496" s="386"/>
      <c r="CG496" s="386"/>
      <c r="CH496" s="386"/>
      <c r="CI496" s="386"/>
      <c r="CJ496" s="386"/>
      <c r="CK496" s="386"/>
      <c r="CL496" s="386"/>
    </row>
    <row r="497" spans="2:90" ht="12.75" customHeight="1" x14ac:dyDescent="0.15">
      <c r="B497" s="57"/>
      <c r="C497" s="57"/>
      <c r="D497" s="58"/>
      <c r="E497" s="59"/>
      <c r="F497" s="63"/>
      <c r="G497" s="63"/>
      <c r="H497" s="63"/>
      <c r="I497" s="63"/>
      <c r="J497" s="65"/>
      <c r="K497" s="392"/>
      <c r="L497" s="65"/>
      <c r="M497" s="65"/>
      <c r="N497" s="65"/>
      <c r="O497" s="386"/>
      <c r="P497" s="386"/>
      <c r="Q497" s="386"/>
      <c r="R497" s="386"/>
      <c r="S497" s="386"/>
      <c r="T497" s="386"/>
      <c r="U497" s="386"/>
      <c r="V497" s="386"/>
      <c r="W497" s="386"/>
      <c r="X497" s="386"/>
      <c r="Y497" s="386"/>
      <c r="Z497" s="386"/>
      <c r="AA497" s="386"/>
      <c r="AB497" s="386"/>
      <c r="AC497" s="386"/>
      <c r="AD497" s="386"/>
      <c r="AE497" s="386"/>
      <c r="AF497" s="386"/>
      <c r="AG497" s="386"/>
      <c r="AH497" s="386"/>
      <c r="AI497" s="386"/>
      <c r="AJ497" s="386"/>
      <c r="AK497" s="386"/>
      <c r="AL497" s="386"/>
      <c r="AM497" s="386"/>
      <c r="AN497" s="386"/>
      <c r="AO497" s="386"/>
      <c r="AP497" s="386"/>
      <c r="AQ497" s="386"/>
      <c r="AR497" s="386"/>
      <c r="AS497" s="386"/>
      <c r="AT497" s="386"/>
      <c r="AU497" s="386"/>
      <c r="AV497" s="386"/>
      <c r="AW497" s="386"/>
      <c r="AX497" s="386"/>
      <c r="AY497" s="386"/>
      <c r="AZ497" s="386"/>
      <c r="BA497" s="386"/>
      <c r="BB497" s="386"/>
      <c r="BC497" s="386"/>
      <c r="BD497" s="386"/>
      <c r="BE497" s="386"/>
      <c r="BF497" s="386"/>
      <c r="BG497" s="386"/>
      <c r="BH497" s="386"/>
      <c r="BI497" s="386"/>
      <c r="BJ497" s="386"/>
      <c r="BK497" s="386"/>
      <c r="BL497" s="386"/>
      <c r="BM497" s="386"/>
      <c r="BN497" s="386"/>
      <c r="BO497" s="386"/>
      <c r="BP497" s="386"/>
      <c r="BQ497" s="386"/>
      <c r="BR497" s="386"/>
      <c r="BS497" s="386"/>
      <c r="BT497" s="386"/>
      <c r="BU497" s="386"/>
      <c r="BV497" s="386"/>
      <c r="BW497" s="386"/>
      <c r="BX497" s="386"/>
      <c r="BY497" s="386"/>
      <c r="BZ497" s="386"/>
      <c r="CA497" s="386"/>
      <c r="CB497" s="386"/>
      <c r="CC497" s="386"/>
      <c r="CD497" s="386"/>
      <c r="CE497" s="386"/>
      <c r="CF497" s="386"/>
      <c r="CG497" s="386"/>
      <c r="CH497" s="386"/>
      <c r="CI497" s="386"/>
      <c r="CJ497" s="386"/>
      <c r="CK497" s="386"/>
      <c r="CL497" s="386"/>
    </row>
    <row r="498" spans="2:90" ht="12.75" customHeight="1" x14ac:dyDescent="0.15">
      <c r="B498" s="57"/>
      <c r="C498" s="57"/>
      <c r="D498" s="58"/>
      <c r="E498" s="59"/>
      <c r="F498" s="63"/>
      <c r="G498" s="63"/>
      <c r="H498" s="63"/>
      <c r="I498" s="63"/>
      <c r="J498" s="65"/>
      <c r="K498" s="392"/>
      <c r="L498" s="65"/>
      <c r="M498" s="65"/>
      <c r="N498" s="65"/>
      <c r="O498" s="386"/>
      <c r="P498" s="386"/>
      <c r="Q498" s="386"/>
      <c r="R498" s="386"/>
      <c r="S498" s="386"/>
      <c r="T498" s="386"/>
      <c r="U498" s="386"/>
      <c r="V498" s="386"/>
      <c r="W498" s="386"/>
      <c r="X498" s="386"/>
      <c r="Y498" s="386"/>
      <c r="Z498" s="386"/>
      <c r="AA498" s="386"/>
      <c r="AB498" s="386"/>
      <c r="AC498" s="386"/>
      <c r="AD498" s="386"/>
      <c r="AE498" s="386"/>
      <c r="AF498" s="386"/>
      <c r="AG498" s="386"/>
      <c r="AH498" s="386"/>
      <c r="AI498" s="386"/>
      <c r="AJ498" s="386"/>
      <c r="AK498" s="386"/>
      <c r="AL498" s="386"/>
      <c r="AM498" s="386"/>
      <c r="AN498" s="386"/>
      <c r="AO498" s="386"/>
      <c r="AP498" s="386"/>
      <c r="AQ498" s="386"/>
      <c r="AR498" s="386"/>
      <c r="AS498" s="386"/>
      <c r="AT498" s="386"/>
      <c r="AU498" s="386"/>
      <c r="AV498" s="386"/>
      <c r="AW498" s="386"/>
      <c r="AX498" s="386"/>
      <c r="AY498" s="386"/>
      <c r="AZ498" s="386"/>
      <c r="BA498" s="386"/>
      <c r="BB498" s="386"/>
      <c r="BC498" s="386"/>
      <c r="BD498" s="386"/>
      <c r="BE498" s="386"/>
      <c r="BF498" s="386"/>
      <c r="BG498" s="386"/>
      <c r="BH498" s="386"/>
      <c r="BI498" s="386"/>
      <c r="BJ498" s="386"/>
      <c r="BK498" s="386"/>
      <c r="BL498" s="386"/>
      <c r="BM498" s="386"/>
      <c r="BN498" s="386"/>
      <c r="BO498" s="386"/>
      <c r="BP498" s="386"/>
      <c r="BQ498" s="386"/>
      <c r="BR498" s="386"/>
      <c r="BS498" s="386"/>
      <c r="BT498" s="386"/>
      <c r="BU498" s="386"/>
      <c r="BV498" s="386"/>
      <c r="BW498" s="386"/>
      <c r="BX498" s="386"/>
      <c r="BY498" s="386"/>
      <c r="BZ498" s="386"/>
      <c r="CA498" s="386"/>
      <c r="CB498" s="386"/>
      <c r="CC498" s="386"/>
      <c r="CD498" s="386"/>
      <c r="CE498" s="386"/>
      <c r="CF498" s="386"/>
      <c r="CG498" s="386"/>
      <c r="CH498" s="386"/>
      <c r="CI498" s="386"/>
      <c r="CJ498" s="386"/>
      <c r="CK498" s="386"/>
      <c r="CL498" s="386"/>
    </row>
    <row r="499" spans="2:90" ht="12.75" customHeight="1" x14ac:dyDescent="0.15">
      <c r="B499" s="57"/>
      <c r="C499" s="57"/>
      <c r="D499" s="58"/>
      <c r="E499" s="59"/>
      <c r="F499" s="63"/>
      <c r="G499" s="63"/>
      <c r="H499" s="63"/>
      <c r="I499" s="63"/>
      <c r="J499" s="65"/>
      <c r="K499" s="392"/>
      <c r="L499" s="65"/>
      <c r="M499" s="65"/>
      <c r="N499" s="65"/>
      <c r="O499" s="386"/>
      <c r="P499" s="386"/>
      <c r="Q499" s="386"/>
      <c r="R499" s="386"/>
      <c r="S499" s="386"/>
      <c r="T499" s="386"/>
      <c r="U499" s="386"/>
      <c r="V499" s="386"/>
      <c r="W499" s="386"/>
      <c r="X499" s="386"/>
      <c r="Y499" s="386"/>
      <c r="Z499" s="386"/>
      <c r="AA499" s="386"/>
      <c r="AB499" s="386"/>
      <c r="AC499" s="386"/>
      <c r="AD499" s="386"/>
      <c r="AE499" s="386"/>
      <c r="AF499" s="386"/>
      <c r="AG499" s="386"/>
      <c r="AH499" s="386"/>
      <c r="AI499" s="386"/>
      <c r="AJ499" s="386"/>
      <c r="AK499" s="386"/>
      <c r="AL499" s="386"/>
      <c r="AM499" s="386"/>
      <c r="AN499" s="386"/>
      <c r="AO499" s="386"/>
      <c r="AP499" s="386"/>
      <c r="AQ499" s="386"/>
      <c r="AR499" s="386"/>
      <c r="AS499" s="386"/>
      <c r="AT499" s="386"/>
      <c r="AU499" s="386"/>
      <c r="AV499" s="386"/>
      <c r="AW499" s="386"/>
      <c r="AX499" s="386"/>
      <c r="AY499" s="386"/>
      <c r="AZ499" s="386"/>
      <c r="BA499" s="386"/>
      <c r="BB499" s="386"/>
      <c r="BC499" s="386"/>
      <c r="BD499" s="386"/>
      <c r="BE499" s="386"/>
      <c r="BF499" s="386"/>
      <c r="BG499" s="386"/>
      <c r="BH499" s="386"/>
      <c r="BI499" s="386"/>
      <c r="BJ499" s="386"/>
      <c r="BK499" s="386"/>
      <c r="BL499" s="386"/>
      <c r="BM499" s="386"/>
      <c r="BN499" s="386"/>
      <c r="BO499" s="386"/>
      <c r="BP499" s="386"/>
      <c r="BQ499" s="386"/>
      <c r="BR499" s="386"/>
      <c r="BS499" s="386"/>
      <c r="BT499" s="386"/>
      <c r="BU499" s="386"/>
      <c r="BV499" s="386"/>
      <c r="BW499" s="386"/>
      <c r="BX499" s="386"/>
      <c r="BY499" s="386"/>
      <c r="BZ499" s="386"/>
      <c r="CA499" s="386"/>
      <c r="CB499" s="386"/>
      <c r="CC499" s="386"/>
      <c r="CD499" s="386"/>
      <c r="CE499" s="386"/>
      <c r="CF499" s="386"/>
      <c r="CG499" s="386"/>
      <c r="CH499" s="386"/>
      <c r="CI499" s="386"/>
      <c r="CJ499" s="386"/>
      <c r="CK499" s="386"/>
      <c r="CL499" s="386"/>
    </row>
    <row r="500" spans="2:90" ht="12.75" customHeight="1" x14ac:dyDescent="0.15">
      <c r="B500" s="57"/>
      <c r="C500" s="57"/>
      <c r="D500" s="58"/>
      <c r="E500" s="59"/>
      <c r="F500" s="63"/>
      <c r="G500" s="63"/>
      <c r="H500" s="63"/>
      <c r="I500" s="63"/>
      <c r="J500" s="65"/>
      <c r="K500" s="392"/>
      <c r="L500" s="65"/>
      <c r="M500" s="65"/>
      <c r="N500" s="65"/>
      <c r="O500" s="386"/>
      <c r="P500" s="386"/>
      <c r="Q500" s="386"/>
      <c r="R500" s="386"/>
      <c r="S500" s="386"/>
      <c r="T500" s="386"/>
      <c r="U500" s="386"/>
      <c r="V500" s="386"/>
      <c r="W500" s="386"/>
      <c r="X500" s="386"/>
      <c r="Y500" s="386"/>
      <c r="Z500" s="386"/>
      <c r="AA500" s="386"/>
      <c r="AB500" s="386"/>
      <c r="AC500" s="386"/>
      <c r="AD500" s="386"/>
      <c r="AE500" s="386"/>
      <c r="AF500" s="386"/>
      <c r="AG500" s="386"/>
      <c r="AH500" s="386"/>
      <c r="AI500" s="386"/>
      <c r="AJ500" s="386"/>
      <c r="AK500" s="386"/>
      <c r="AL500" s="386"/>
      <c r="AM500" s="386"/>
      <c r="AN500" s="386"/>
      <c r="AO500" s="386"/>
      <c r="AP500" s="386"/>
      <c r="AQ500" s="386"/>
      <c r="AR500" s="386"/>
      <c r="AS500" s="386"/>
      <c r="AT500" s="386"/>
      <c r="AU500" s="386"/>
      <c r="AV500" s="386"/>
      <c r="AW500" s="386"/>
      <c r="AX500" s="386"/>
      <c r="AY500" s="386"/>
      <c r="AZ500" s="386"/>
      <c r="BA500" s="386"/>
      <c r="BB500" s="386"/>
      <c r="BC500" s="386"/>
      <c r="BD500" s="386"/>
      <c r="BE500" s="386"/>
      <c r="BF500" s="386"/>
      <c r="BG500" s="386"/>
      <c r="BH500" s="386"/>
      <c r="BI500" s="386"/>
      <c r="BJ500" s="386"/>
      <c r="BK500" s="386"/>
      <c r="BL500" s="386"/>
      <c r="BM500" s="386"/>
      <c r="BN500" s="386"/>
      <c r="BO500" s="386"/>
      <c r="BP500" s="386"/>
      <c r="BQ500" s="386"/>
      <c r="BR500" s="386"/>
      <c r="BS500" s="386"/>
      <c r="BT500" s="386"/>
      <c r="BU500" s="386"/>
      <c r="BV500" s="386"/>
      <c r="BW500" s="386"/>
      <c r="BX500" s="386"/>
      <c r="BY500" s="386"/>
      <c r="BZ500" s="386"/>
      <c r="CA500" s="386"/>
      <c r="CB500" s="386"/>
      <c r="CC500" s="386"/>
      <c r="CD500" s="386"/>
      <c r="CE500" s="386"/>
      <c r="CF500" s="386"/>
      <c r="CG500" s="386"/>
      <c r="CH500" s="386"/>
      <c r="CI500" s="386"/>
      <c r="CJ500" s="386"/>
      <c r="CK500" s="386"/>
      <c r="CL500" s="386"/>
    </row>
  </sheetData>
  <mergeCells count="21">
    <mergeCell ref="CA9:CD9"/>
    <mergeCell ref="CE9:CH9"/>
    <mergeCell ref="CI9:CL9"/>
    <mergeCell ref="BC9:BF9"/>
    <mergeCell ref="BG9:BJ9"/>
    <mergeCell ref="BK9:BN9"/>
    <mergeCell ref="BO9:BR9"/>
    <mergeCell ref="BS9:BV9"/>
    <mergeCell ref="BW9:BZ9"/>
    <mergeCell ref="AY9:BB9"/>
    <mergeCell ref="F9:I9"/>
    <mergeCell ref="J9:N9"/>
    <mergeCell ref="O9:R9"/>
    <mergeCell ref="S9:V9"/>
    <mergeCell ref="W9:Z9"/>
    <mergeCell ref="AA9:AD9"/>
    <mergeCell ref="AE9:AH9"/>
    <mergeCell ref="AI9:AL9"/>
    <mergeCell ref="AM9:AP9"/>
    <mergeCell ref="AQ9:AT9"/>
    <mergeCell ref="AU9:AX9"/>
  </mergeCells>
  <hyperlinks>
    <hyperlink ref="E2" location="Forside!A1" display="Gå til forside" xr:uid="{EFF0A10E-DAF7-42AB-A32B-8C4404690BED}"/>
  </hyperlinks>
  <pageMargins left="0.7" right="0.7" top="0.75" bottom="0.75" header="0.3" footer="0.3"/>
  <pageSetup paperSize="9" orientation="portrait" r:id="rId1"/>
  <headerFooter>
    <oddHeader>&amp;R&amp;"Calibri"&amp;10&amp;K000000 INTERNAL&amp;1#_x000D_</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00849-41C8-4DF4-A6FA-F9306837B030}">
  <dimension ref="A1:CL500"/>
  <sheetViews>
    <sheetView zoomScaleNormal="100" workbookViewId="0"/>
  </sheetViews>
  <sheetFormatPr baseColWidth="10" defaultColWidth="10.5" defaultRowHeight="12" x14ac:dyDescent="0.15"/>
  <cols>
    <col min="1" max="1" width="4.83203125" style="1" customWidth="1"/>
    <col min="2" max="2" width="31.5" style="1" customWidth="1"/>
    <col min="3" max="4" width="34.5" style="1" customWidth="1"/>
    <col min="5" max="5" width="31.5" style="1" customWidth="1"/>
    <col min="6" max="6" width="23.5" style="1" customWidth="1"/>
    <col min="7" max="7" width="20.6640625" style="1" customWidth="1"/>
    <col min="8" max="50" width="20.6640625" style="42" customWidth="1"/>
    <col min="51" max="52" width="14" style="42" customWidth="1"/>
    <col min="53" max="16384" width="10.5" style="1"/>
  </cols>
  <sheetData>
    <row r="1" spans="1:90" s="32" customFormat="1" ht="15" customHeight="1" x14ac:dyDescent="0.2"/>
    <row r="2" spans="1:90" s="32" customFormat="1" ht="21" customHeight="1" x14ac:dyDescent="0.2">
      <c r="B2" s="26" t="str">
        <f>Tekstnøgler!C500</f>
        <v>Emissionsfaktorer for fremskrivning</v>
      </c>
      <c r="C2" s="27"/>
      <c r="D2" s="27"/>
      <c r="E2" s="27"/>
      <c r="F2" s="290" t="str">
        <f>Tekstnøgler!$C$2</f>
        <v>&lt;-- Gå til forsiden</v>
      </c>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7"/>
      <c r="AV2" s="27"/>
      <c r="AW2" s="27"/>
      <c r="AX2" s="27"/>
    </row>
    <row r="3" spans="1:90" s="32" customFormat="1" ht="15" customHeight="1" x14ac:dyDescent="0.2"/>
    <row r="4" spans="1:90" s="32" customFormat="1" ht="15" customHeight="1" x14ac:dyDescent="0.2">
      <c r="B4" s="335" t="str">
        <f>Tekstnøgler!C501</f>
        <v>Basisår</v>
      </c>
      <c r="C4" s="110" t="str">
        <f>Tekstnøgler!C502</f>
        <v>Slutår</v>
      </c>
      <c r="D4" s="110" t="str">
        <f>Tekstnøgler!C590</f>
        <v>Emissionsfaktorår for basisår</v>
      </c>
    </row>
    <row r="5" spans="1:90" s="32" customFormat="1" ht="15" customHeight="1" x14ac:dyDescent="0.2">
      <c r="A5" s="33"/>
      <c r="B5" s="109">
        <f>'Fremskrivning - Hovedresultater'!C11</f>
        <v>2015</v>
      </c>
      <c r="C5" s="108">
        <f>'Fremskrivning - Hovedresultater'!D11</f>
        <v>2030</v>
      </c>
      <c r="D5" s="108">
        <f>Emissionsfaktorer!B5</f>
        <v>2021</v>
      </c>
    </row>
    <row r="6" spans="1:90" s="32" customFormat="1" ht="15" customHeight="1" x14ac:dyDescent="0.2"/>
    <row r="8" spans="1:90" s="32" customFormat="1" ht="17.5" customHeight="1" x14ac:dyDescent="0.2">
      <c r="B8" s="2" t="str">
        <f>Tekstnøgler!C503</f>
        <v xml:space="preserve">Tabel med emissionsfaktorer
</v>
      </c>
    </row>
    <row r="9" spans="1:90" ht="13.5" customHeight="1" x14ac:dyDescent="0.15">
      <c r="B9" s="43"/>
      <c r="G9" s="526">
        <v>2015</v>
      </c>
      <c r="H9" s="527"/>
      <c r="I9" s="527"/>
      <c r="J9" s="528"/>
      <c r="K9" s="529">
        <v>2016</v>
      </c>
      <c r="L9" s="530"/>
      <c r="M9" s="530"/>
      <c r="N9" s="531"/>
      <c r="O9" s="526">
        <v>2017</v>
      </c>
      <c r="P9" s="527"/>
      <c r="Q9" s="527"/>
      <c r="R9" s="528"/>
      <c r="S9" s="529">
        <v>2018</v>
      </c>
      <c r="T9" s="530"/>
      <c r="U9" s="530"/>
      <c r="V9" s="531"/>
      <c r="W9" s="526">
        <v>2019</v>
      </c>
      <c r="X9" s="527"/>
      <c r="Y9" s="527"/>
      <c r="Z9" s="528"/>
      <c r="AA9" s="529">
        <v>2020</v>
      </c>
      <c r="AB9" s="530"/>
      <c r="AC9" s="530"/>
      <c r="AD9" s="531"/>
      <c r="AE9" s="526">
        <v>2021</v>
      </c>
      <c r="AF9" s="527"/>
      <c r="AG9" s="527"/>
      <c r="AH9" s="528"/>
      <c r="AI9" s="529">
        <v>2022</v>
      </c>
      <c r="AJ9" s="530"/>
      <c r="AK9" s="530"/>
      <c r="AL9" s="531"/>
      <c r="AM9" s="526">
        <v>2023</v>
      </c>
      <c r="AN9" s="527"/>
      <c r="AO9" s="527"/>
      <c r="AP9" s="528"/>
      <c r="AQ9" s="529">
        <v>2024</v>
      </c>
      <c r="AR9" s="530"/>
      <c r="AS9" s="530"/>
      <c r="AT9" s="531"/>
      <c r="AU9" s="526">
        <v>2025</v>
      </c>
      <c r="AV9" s="527"/>
      <c r="AW9" s="527"/>
      <c r="AX9" s="528"/>
      <c r="AY9" s="529">
        <v>2026</v>
      </c>
      <c r="AZ9" s="530"/>
      <c r="BA9" s="530"/>
      <c r="BB9" s="531"/>
      <c r="BC9" s="526">
        <v>2027</v>
      </c>
      <c r="BD9" s="527"/>
      <c r="BE9" s="527"/>
      <c r="BF9" s="528"/>
      <c r="BG9" s="529">
        <v>2028</v>
      </c>
      <c r="BH9" s="530"/>
      <c r="BI9" s="530"/>
      <c r="BJ9" s="531"/>
      <c r="BK9" s="526">
        <v>2029</v>
      </c>
      <c r="BL9" s="527"/>
      <c r="BM9" s="527"/>
      <c r="BN9" s="528"/>
      <c r="BO9" s="529">
        <v>2030</v>
      </c>
      <c r="BP9" s="530"/>
      <c r="BQ9" s="530"/>
      <c r="BR9" s="531"/>
      <c r="BS9" s="526">
        <v>2031</v>
      </c>
      <c r="BT9" s="527"/>
      <c r="BU9" s="527"/>
      <c r="BV9" s="528"/>
      <c r="BW9" s="529">
        <v>2032</v>
      </c>
      <c r="BX9" s="530"/>
      <c r="BY9" s="530"/>
      <c r="BZ9" s="531"/>
      <c r="CA9" s="526">
        <v>2033</v>
      </c>
      <c r="CB9" s="527"/>
      <c r="CC9" s="527"/>
      <c r="CD9" s="528"/>
      <c r="CE9" s="529">
        <v>2034</v>
      </c>
      <c r="CF9" s="530"/>
      <c r="CG9" s="530"/>
      <c r="CH9" s="531"/>
      <c r="CI9" s="526">
        <v>2035</v>
      </c>
      <c r="CJ9" s="527"/>
      <c r="CK9" s="527"/>
      <c r="CL9" s="528"/>
    </row>
    <row r="10" spans="1:90" s="318" customFormat="1" ht="18.75" customHeight="1" x14ac:dyDescent="0.2">
      <c r="B10" s="319" t="str">
        <f>Tekstnøgler!$C$476</f>
        <v xml:space="preserve">Hovedkategori
</v>
      </c>
      <c r="C10" s="320" t="str">
        <f>Tekstnøgler!$C$491</f>
        <v xml:space="preserve">Kategori
</v>
      </c>
      <c r="D10" s="319" t="str">
        <f>Tekstnøgler!$C$477</f>
        <v>Parameter</v>
      </c>
      <c r="E10" s="319" t="str">
        <f>Tekstnøgler!$C$478</f>
        <v>Parameter 2</v>
      </c>
      <c r="F10" s="319" t="str">
        <f>Tekstnøgler!$C$479</f>
        <v>Enhed</v>
      </c>
      <c r="G10" s="336" t="str">
        <f>Tekstnøgler!$C$494</f>
        <v>Scope 1 - faktor</v>
      </c>
      <c r="H10" s="336" t="str">
        <f>Tekstnøgler!$C$495</f>
        <v>Scope 2 - faktor</v>
      </c>
      <c r="I10" s="336" t="str">
        <f>Tekstnøgler!$C$496</f>
        <v>Scope 3 - faktor</v>
      </c>
      <c r="J10" s="336" t="str">
        <f>Tekstnøgler!$C$497</f>
        <v>Udenfor scope - faktor</v>
      </c>
      <c r="K10" s="337" t="str">
        <f>Tekstnøgler!$C$494</f>
        <v>Scope 1 - faktor</v>
      </c>
      <c r="L10" s="337" t="str">
        <f>Tekstnøgler!$C$495</f>
        <v>Scope 2 - faktor</v>
      </c>
      <c r="M10" s="337" t="str">
        <f>Tekstnøgler!$C$496</f>
        <v>Scope 3 - faktor</v>
      </c>
      <c r="N10" s="337" t="str">
        <f>Tekstnøgler!$C$497</f>
        <v>Udenfor scope - faktor</v>
      </c>
      <c r="O10" s="336" t="str">
        <f>Tekstnøgler!$C$494</f>
        <v>Scope 1 - faktor</v>
      </c>
      <c r="P10" s="336" t="str">
        <f>Tekstnøgler!$C$495</f>
        <v>Scope 2 - faktor</v>
      </c>
      <c r="Q10" s="336" t="str">
        <f>Tekstnøgler!$C$496</f>
        <v>Scope 3 - faktor</v>
      </c>
      <c r="R10" s="336" t="str">
        <f>Tekstnøgler!$C$497</f>
        <v>Udenfor scope - faktor</v>
      </c>
      <c r="S10" s="337" t="str">
        <f>Tekstnøgler!$C$494</f>
        <v>Scope 1 - faktor</v>
      </c>
      <c r="T10" s="337" t="str">
        <f>Tekstnøgler!$C$495</f>
        <v>Scope 2 - faktor</v>
      </c>
      <c r="U10" s="337" t="str">
        <f>Tekstnøgler!$C$496</f>
        <v>Scope 3 - faktor</v>
      </c>
      <c r="V10" s="337" t="str">
        <f>Tekstnøgler!$C$497</f>
        <v>Udenfor scope - faktor</v>
      </c>
      <c r="W10" s="336" t="str">
        <f>Tekstnøgler!$C$494</f>
        <v>Scope 1 - faktor</v>
      </c>
      <c r="X10" s="336" t="str">
        <f>Tekstnøgler!$C$495</f>
        <v>Scope 2 - faktor</v>
      </c>
      <c r="Y10" s="336" t="str">
        <f>Tekstnøgler!$C$496</f>
        <v>Scope 3 - faktor</v>
      </c>
      <c r="Z10" s="336" t="str">
        <f>Tekstnøgler!$C$497</f>
        <v>Udenfor scope - faktor</v>
      </c>
      <c r="AA10" s="337" t="str">
        <f>Tekstnøgler!$C$494</f>
        <v>Scope 1 - faktor</v>
      </c>
      <c r="AB10" s="337" t="str">
        <f>Tekstnøgler!$C$495</f>
        <v>Scope 2 - faktor</v>
      </c>
      <c r="AC10" s="337" t="str">
        <f>Tekstnøgler!$C$496</f>
        <v>Scope 3 - faktor</v>
      </c>
      <c r="AD10" s="337" t="str">
        <f>Tekstnøgler!$C$497</f>
        <v>Udenfor scope - faktor</v>
      </c>
      <c r="AE10" s="336" t="str">
        <f>Tekstnøgler!$C$494</f>
        <v>Scope 1 - faktor</v>
      </c>
      <c r="AF10" s="336" t="str">
        <f>Tekstnøgler!$C$495</f>
        <v>Scope 2 - faktor</v>
      </c>
      <c r="AG10" s="336" t="str">
        <f>Tekstnøgler!$C$496</f>
        <v>Scope 3 - faktor</v>
      </c>
      <c r="AH10" s="336" t="str">
        <f>Tekstnøgler!$C$497</f>
        <v>Udenfor scope - faktor</v>
      </c>
      <c r="AI10" s="337" t="str">
        <f>Tekstnøgler!$C$494</f>
        <v>Scope 1 - faktor</v>
      </c>
      <c r="AJ10" s="337" t="str">
        <f>Tekstnøgler!$C$495</f>
        <v>Scope 2 - faktor</v>
      </c>
      <c r="AK10" s="337" t="str">
        <f>Tekstnøgler!$C$496</f>
        <v>Scope 3 - faktor</v>
      </c>
      <c r="AL10" s="337" t="str">
        <f>Tekstnøgler!$C$497</f>
        <v>Udenfor scope - faktor</v>
      </c>
      <c r="AM10" s="336" t="str">
        <f>Tekstnøgler!$C$494</f>
        <v>Scope 1 - faktor</v>
      </c>
      <c r="AN10" s="336" t="str">
        <f>Tekstnøgler!$C$495</f>
        <v>Scope 2 - faktor</v>
      </c>
      <c r="AO10" s="336" t="str">
        <f>Tekstnøgler!$C$496</f>
        <v>Scope 3 - faktor</v>
      </c>
      <c r="AP10" s="336" t="str">
        <f>Tekstnøgler!$C$497</f>
        <v>Udenfor scope - faktor</v>
      </c>
      <c r="AQ10" s="337" t="str">
        <f>Tekstnøgler!$C$494</f>
        <v>Scope 1 - faktor</v>
      </c>
      <c r="AR10" s="337" t="str">
        <f>Tekstnøgler!$C$495</f>
        <v>Scope 2 - faktor</v>
      </c>
      <c r="AS10" s="337" t="str">
        <f>Tekstnøgler!$C$496</f>
        <v>Scope 3 - faktor</v>
      </c>
      <c r="AT10" s="337" t="str">
        <f>Tekstnøgler!$C$497</f>
        <v>Udenfor scope - faktor</v>
      </c>
      <c r="AU10" s="336" t="str">
        <f>Tekstnøgler!$C$494</f>
        <v>Scope 1 - faktor</v>
      </c>
      <c r="AV10" s="336" t="str">
        <f>Tekstnøgler!$C$495</f>
        <v>Scope 2 - faktor</v>
      </c>
      <c r="AW10" s="336" t="str">
        <f>Tekstnøgler!$C$496</f>
        <v>Scope 3 - faktor</v>
      </c>
      <c r="AX10" s="336" t="str">
        <f>Tekstnøgler!$C$497</f>
        <v>Udenfor scope - faktor</v>
      </c>
      <c r="AY10" s="337" t="str">
        <f>Tekstnøgler!$C$494</f>
        <v>Scope 1 - faktor</v>
      </c>
      <c r="AZ10" s="337" t="str">
        <f>Tekstnøgler!$C$495</f>
        <v>Scope 2 - faktor</v>
      </c>
      <c r="BA10" s="337" t="str">
        <f>Tekstnøgler!$C$496</f>
        <v>Scope 3 - faktor</v>
      </c>
      <c r="BB10" s="337" t="str">
        <f>Tekstnøgler!$C$497</f>
        <v>Udenfor scope - faktor</v>
      </c>
      <c r="BC10" s="336" t="str">
        <f>Tekstnøgler!$C$494</f>
        <v>Scope 1 - faktor</v>
      </c>
      <c r="BD10" s="336" t="str">
        <f>Tekstnøgler!$C$495</f>
        <v>Scope 2 - faktor</v>
      </c>
      <c r="BE10" s="336" t="str">
        <f>Tekstnøgler!$C$496</f>
        <v>Scope 3 - faktor</v>
      </c>
      <c r="BF10" s="336" t="str">
        <f>Tekstnøgler!$C$497</f>
        <v>Udenfor scope - faktor</v>
      </c>
      <c r="BG10" s="337" t="str">
        <f>Tekstnøgler!$C$494</f>
        <v>Scope 1 - faktor</v>
      </c>
      <c r="BH10" s="337" t="str">
        <f>Tekstnøgler!$C$495</f>
        <v>Scope 2 - faktor</v>
      </c>
      <c r="BI10" s="337" t="str">
        <f>Tekstnøgler!$C$496</f>
        <v>Scope 3 - faktor</v>
      </c>
      <c r="BJ10" s="337" t="str">
        <f>Tekstnøgler!$C$497</f>
        <v>Udenfor scope - faktor</v>
      </c>
      <c r="BK10" s="336" t="str">
        <f>Tekstnøgler!$C$494</f>
        <v>Scope 1 - faktor</v>
      </c>
      <c r="BL10" s="336" t="str">
        <f>Tekstnøgler!$C$495</f>
        <v>Scope 2 - faktor</v>
      </c>
      <c r="BM10" s="336" t="str">
        <f>Tekstnøgler!$C$496</f>
        <v>Scope 3 - faktor</v>
      </c>
      <c r="BN10" s="336" t="str">
        <f>Tekstnøgler!$C$497</f>
        <v>Udenfor scope - faktor</v>
      </c>
      <c r="BO10" s="337" t="str">
        <f>Tekstnøgler!$C$494</f>
        <v>Scope 1 - faktor</v>
      </c>
      <c r="BP10" s="337" t="str">
        <f>Tekstnøgler!$C$495</f>
        <v>Scope 2 - faktor</v>
      </c>
      <c r="BQ10" s="337" t="str">
        <f>Tekstnøgler!$C$496</f>
        <v>Scope 3 - faktor</v>
      </c>
      <c r="BR10" s="337" t="str">
        <f>Tekstnøgler!$C$497</f>
        <v>Udenfor scope - faktor</v>
      </c>
      <c r="BS10" s="336" t="str">
        <f>Tekstnøgler!$C$494</f>
        <v>Scope 1 - faktor</v>
      </c>
      <c r="BT10" s="336" t="str">
        <f>Tekstnøgler!$C$495</f>
        <v>Scope 2 - faktor</v>
      </c>
      <c r="BU10" s="336" t="str">
        <f>Tekstnøgler!$C$496</f>
        <v>Scope 3 - faktor</v>
      </c>
      <c r="BV10" s="336" t="str">
        <f>Tekstnøgler!$C$497</f>
        <v>Udenfor scope - faktor</v>
      </c>
      <c r="BW10" s="337" t="str">
        <f>Tekstnøgler!$C$494</f>
        <v>Scope 1 - faktor</v>
      </c>
      <c r="BX10" s="337" t="str">
        <f>Tekstnøgler!$C$495</f>
        <v>Scope 2 - faktor</v>
      </c>
      <c r="BY10" s="337" t="str">
        <f>Tekstnøgler!$C$496</f>
        <v>Scope 3 - faktor</v>
      </c>
      <c r="BZ10" s="337" t="str">
        <f>Tekstnøgler!$C$497</f>
        <v>Udenfor scope - faktor</v>
      </c>
      <c r="CA10" s="336" t="str">
        <f>Tekstnøgler!$C$494</f>
        <v>Scope 1 - faktor</v>
      </c>
      <c r="CB10" s="336" t="str">
        <f>Tekstnøgler!$C$495</f>
        <v>Scope 2 - faktor</v>
      </c>
      <c r="CC10" s="336" t="str">
        <f>Tekstnøgler!$C$496</f>
        <v>Scope 3 - faktor</v>
      </c>
      <c r="CD10" s="336" t="str">
        <f>Tekstnøgler!$C$497</f>
        <v>Udenfor scope - faktor</v>
      </c>
      <c r="CE10" s="337" t="str">
        <f>Tekstnøgler!$C$494</f>
        <v>Scope 1 - faktor</v>
      </c>
      <c r="CF10" s="337" t="str">
        <f>Tekstnøgler!$C$495</f>
        <v>Scope 2 - faktor</v>
      </c>
      <c r="CG10" s="337" t="str">
        <f>Tekstnøgler!$C$496</f>
        <v>Scope 3 - faktor</v>
      </c>
      <c r="CH10" s="337" t="str">
        <f>Tekstnøgler!$C$497</f>
        <v>Udenfor scope - faktor</v>
      </c>
      <c r="CI10" s="336" t="str">
        <f>Tekstnøgler!$C$494</f>
        <v>Scope 1 - faktor</v>
      </c>
      <c r="CJ10" s="336" t="str">
        <f>Tekstnøgler!$C$495</f>
        <v>Scope 2 - faktor</v>
      </c>
      <c r="CK10" s="336" t="str">
        <f>Tekstnøgler!$C$496</f>
        <v>Scope 3 - faktor</v>
      </c>
      <c r="CL10" s="336" t="str">
        <f>Tekstnøgler!$C$497</f>
        <v>Udenfor scope - faktor</v>
      </c>
    </row>
    <row r="11" spans="1:90" ht="13" x14ac:dyDescent="0.15">
      <c r="B11" s="65"/>
      <c r="C11" s="65"/>
      <c r="D11" s="65"/>
      <c r="E11" s="65"/>
      <c r="F11" s="65"/>
      <c r="G11" s="104"/>
      <c r="H11" s="104"/>
      <c r="I11" s="104"/>
      <c r="J11" s="104"/>
      <c r="K11" s="65"/>
      <c r="L11" s="65"/>
      <c r="M11" s="65"/>
      <c r="N11" s="65"/>
      <c r="O11" s="104"/>
      <c r="P11" s="104"/>
      <c r="Q11" s="104"/>
      <c r="R11" s="104"/>
      <c r="S11" s="65"/>
      <c r="T11" s="65"/>
      <c r="U11" s="65"/>
      <c r="V11" s="65"/>
      <c r="W11" s="104"/>
      <c r="X11" s="104"/>
      <c r="Y11" s="104"/>
      <c r="Z11" s="104"/>
      <c r="AA11" s="65"/>
      <c r="AB11" s="65"/>
      <c r="AC11" s="65"/>
      <c r="AD11" s="65"/>
      <c r="AE11" s="104"/>
      <c r="AF11" s="104"/>
      <c r="AG11" s="104"/>
      <c r="AH11" s="104"/>
      <c r="AI11" s="65"/>
      <c r="AJ11" s="65"/>
      <c r="AK11" s="65"/>
      <c r="AL11" s="65"/>
      <c r="AM11" s="104"/>
      <c r="AN11" s="104"/>
      <c r="AO11" s="104"/>
      <c r="AP11" s="104"/>
      <c r="AQ11" s="65"/>
      <c r="AR11" s="65"/>
      <c r="AS11" s="65"/>
      <c r="AT11" s="65"/>
      <c r="AU11" s="104"/>
      <c r="AV11" s="104"/>
      <c r="AW11" s="104"/>
      <c r="AX11" s="104"/>
      <c r="AY11" s="65"/>
      <c r="AZ11" s="65"/>
      <c r="BA11" s="65"/>
      <c r="BB11" s="65"/>
      <c r="BC11" s="104"/>
      <c r="BD11" s="104"/>
      <c r="BE11" s="104"/>
      <c r="BF11" s="104"/>
      <c r="BG11" s="65"/>
      <c r="BH11" s="65"/>
      <c r="BI11" s="65"/>
      <c r="BJ11" s="65"/>
      <c r="BK11" s="104"/>
      <c r="BL11" s="104"/>
      <c r="BM11" s="104"/>
      <c r="BN11" s="104"/>
      <c r="BO11" s="65"/>
      <c r="BP11" s="65"/>
      <c r="BQ11" s="65"/>
      <c r="BR11" s="65"/>
      <c r="BS11" s="104"/>
      <c r="BT11" s="104"/>
      <c r="BU11" s="104"/>
      <c r="BV11" s="104"/>
      <c r="BW11" s="65"/>
      <c r="BX11" s="65"/>
      <c r="BY11" s="65"/>
      <c r="BZ11" s="65"/>
      <c r="CA11" s="104"/>
      <c r="CB11" s="104"/>
      <c r="CC11" s="104"/>
      <c r="CD11" s="104"/>
      <c r="CE11" s="65"/>
      <c r="CF11" s="65"/>
      <c r="CG11" s="65"/>
      <c r="CH11" s="65"/>
      <c r="CI11" s="104"/>
      <c r="CJ11" s="104"/>
      <c r="CK11" s="104"/>
      <c r="CL11" s="104"/>
    </row>
    <row r="12" spans="1:90" ht="13" x14ac:dyDescent="0.15">
      <c r="B12" s="65"/>
      <c r="C12" s="65"/>
      <c r="D12" s="65"/>
      <c r="E12" s="65"/>
      <c r="F12" s="65"/>
      <c r="G12" s="104"/>
      <c r="H12" s="104"/>
      <c r="I12" s="104"/>
      <c r="J12" s="104"/>
      <c r="K12" s="65"/>
      <c r="L12" s="65"/>
      <c r="M12" s="65"/>
      <c r="N12" s="65"/>
      <c r="O12" s="104"/>
      <c r="P12" s="104"/>
      <c r="Q12" s="104"/>
      <c r="R12" s="104"/>
      <c r="S12" s="65"/>
      <c r="T12" s="65"/>
      <c r="U12" s="65"/>
      <c r="V12" s="65"/>
      <c r="W12" s="104"/>
      <c r="X12" s="104"/>
      <c r="Y12" s="104"/>
      <c r="Z12" s="104"/>
      <c r="AA12" s="65"/>
      <c r="AB12" s="65"/>
      <c r="AC12" s="65"/>
      <c r="AD12" s="65"/>
      <c r="AE12" s="104"/>
      <c r="AF12" s="104"/>
      <c r="AG12" s="104"/>
      <c r="AH12" s="104"/>
      <c r="AI12" s="65"/>
      <c r="AJ12" s="65"/>
      <c r="AK12" s="65"/>
      <c r="AL12" s="65"/>
      <c r="AM12" s="104"/>
      <c r="AN12" s="104"/>
      <c r="AO12" s="104"/>
      <c r="AP12" s="104"/>
      <c r="AQ12" s="65"/>
      <c r="AR12" s="65"/>
      <c r="AS12" s="65"/>
      <c r="AT12" s="65"/>
      <c r="AU12" s="104"/>
      <c r="AV12" s="104"/>
      <c r="AW12" s="104"/>
      <c r="AX12" s="104"/>
      <c r="AY12" s="65"/>
      <c r="AZ12" s="65"/>
      <c r="BA12" s="65"/>
      <c r="BB12" s="65"/>
      <c r="BC12" s="104"/>
      <c r="BD12" s="104"/>
      <c r="BE12" s="104"/>
      <c r="BF12" s="104"/>
      <c r="BG12" s="65"/>
      <c r="BH12" s="65"/>
      <c r="BI12" s="65"/>
      <c r="BJ12" s="65"/>
      <c r="BK12" s="104"/>
      <c r="BL12" s="104"/>
      <c r="BM12" s="104"/>
      <c r="BN12" s="104"/>
      <c r="BO12" s="65"/>
      <c r="BP12" s="65"/>
      <c r="BQ12" s="65"/>
      <c r="BR12" s="65"/>
      <c r="BS12" s="104"/>
      <c r="BT12" s="104"/>
      <c r="BU12" s="104"/>
      <c r="BV12" s="104"/>
      <c r="BW12" s="65"/>
      <c r="BX12" s="65"/>
      <c r="BY12" s="65"/>
      <c r="BZ12" s="65"/>
      <c r="CA12" s="104"/>
      <c r="CB12" s="104"/>
      <c r="CC12" s="104"/>
      <c r="CD12" s="104"/>
      <c r="CE12" s="65"/>
      <c r="CF12" s="65"/>
      <c r="CG12" s="65"/>
      <c r="CH12" s="65"/>
      <c r="CI12" s="104"/>
      <c r="CJ12" s="104"/>
      <c r="CK12" s="104"/>
      <c r="CL12" s="104"/>
    </row>
    <row r="13" spans="1:90" ht="13" x14ac:dyDescent="0.15">
      <c r="B13" s="65"/>
      <c r="C13" s="65"/>
      <c r="D13" s="65"/>
      <c r="E13" s="65"/>
      <c r="F13" s="65"/>
      <c r="G13" s="104"/>
      <c r="H13" s="104"/>
      <c r="I13" s="104"/>
      <c r="J13" s="104"/>
      <c r="K13" s="65"/>
      <c r="L13" s="65"/>
      <c r="M13" s="65"/>
      <c r="N13" s="65"/>
      <c r="O13" s="104"/>
      <c r="P13" s="104"/>
      <c r="Q13" s="104"/>
      <c r="R13" s="104"/>
      <c r="S13" s="65"/>
      <c r="T13" s="65"/>
      <c r="U13" s="65"/>
      <c r="V13" s="65"/>
      <c r="W13" s="104"/>
      <c r="X13" s="104"/>
      <c r="Y13" s="104"/>
      <c r="Z13" s="104"/>
      <c r="AA13" s="65"/>
      <c r="AB13" s="65"/>
      <c r="AC13" s="65"/>
      <c r="AD13" s="65"/>
      <c r="AE13" s="104"/>
      <c r="AF13" s="104"/>
      <c r="AG13" s="104"/>
      <c r="AH13" s="104"/>
      <c r="AI13" s="65"/>
      <c r="AJ13" s="65"/>
      <c r="AK13" s="65"/>
      <c r="AL13" s="65"/>
      <c r="AM13" s="104"/>
      <c r="AN13" s="104"/>
      <c r="AO13" s="104"/>
      <c r="AP13" s="104"/>
      <c r="AQ13" s="65"/>
      <c r="AR13" s="65"/>
      <c r="AS13" s="65"/>
      <c r="AT13" s="65"/>
      <c r="AU13" s="104"/>
      <c r="AV13" s="104"/>
      <c r="AW13" s="104"/>
      <c r="AX13" s="104"/>
      <c r="AY13" s="65"/>
      <c r="AZ13" s="65"/>
      <c r="BA13" s="65"/>
      <c r="BB13" s="65"/>
      <c r="BC13" s="104"/>
      <c r="BD13" s="104"/>
      <c r="BE13" s="104"/>
      <c r="BF13" s="104"/>
      <c r="BG13" s="65"/>
      <c r="BH13" s="65"/>
      <c r="BI13" s="65"/>
      <c r="BJ13" s="65"/>
      <c r="BK13" s="104"/>
      <c r="BL13" s="104"/>
      <c r="BM13" s="104"/>
      <c r="BN13" s="104"/>
      <c r="BO13" s="65"/>
      <c r="BP13" s="65"/>
      <c r="BQ13" s="65"/>
      <c r="BR13" s="65"/>
      <c r="BS13" s="104"/>
      <c r="BT13" s="104"/>
      <c r="BU13" s="104"/>
      <c r="BV13" s="104"/>
      <c r="BW13" s="65"/>
      <c r="BX13" s="65"/>
      <c r="BY13" s="65"/>
      <c r="BZ13" s="65"/>
      <c r="CA13" s="104"/>
      <c r="CB13" s="104"/>
      <c r="CC13" s="104"/>
      <c r="CD13" s="104"/>
      <c r="CE13" s="65"/>
      <c r="CF13" s="65"/>
      <c r="CG13" s="65"/>
      <c r="CH13" s="65"/>
      <c r="CI13" s="104"/>
      <c r="CJ13" s="104"/>
      <c r="CK13" s="104"/>
      <c r="CL13" s="104"/>
    </row>
    <row r="14" spans="1:90" ht="13" x14ac:dyDescent="0.15">
      <c r="B14" s="65"/>
      <c r="C14" s="65"/>
      <c r="D14" s="65"/>
      <c r="E14" s="65"/>
      <c r="F14" s="65"/>
      <c r="G14" s="104"/>
      <c r="H14" s="104"/>
      <c r="I14" s="104"/>
      <c r="J14" s="104"/>
      <c r="K14" s="65"/>
      <c r="L14" s="65"/>
      <c r="M14" s="65"/>
      <c r="N14" s="65"/>
      <c r="O14" s="104"/>
      <c r="P14" s="104"/>
      <c r="Q14" s="104"/>
      <c r="R14" s="104"/>
      <c r="S14" s="65"/>
      <c r="T14" s="65"/>
      <c r="U14" s="65"/>
      <c r="V14" s="65"/>
      <c r="W14" s="104"/>
      <c r="X14" s="104"/>
      <c r="Y14" s="104"/>
      <c r="Z14" s="104"/>
      <c r="AA14" s="65"/>
      <c r="AB14" s="65"/>
      <c r="AC14" s="65"/>
      <c r="AD14" s="65"/>
      <c r="AE14" s="104"/>
      <c r="AF14" s="104"/>
      <c r="AG14" s="104"/>
      <c r="AH14" s="104"/>
      <c r="AI14" s="65"/>
      <c r="AJ14" s="65"/>
      <c r="AK14" s="65"/>
      <c r="AL14" s="65"/>
      <c r="AM14" s="104"/>
      <c r="AN14" s="104"/>
      <c r="AO14" s="104"/>
      <c r="AP14" s="104"/>
      <c r="AQ14" s="65"/>
      <c r="AR14" s="65"/>
      <c r="AS14" s="65"/>
      <c r="AT14" s="65"/>
      <c r="AU14" s="104"/>
      <c r="AV14" s="104"/>
      <c r="AW14" s="104"/>
      <c r="AX14" s="104"/>
      <c r="AY14" s="65"/>
      <c r="AZ14" s="65"/>
      <c r="BA14" s="65"/>
      <c r="BB14" s="65"/>
      <c r="BC14" s="104"/>
      <c r="BD14" s="104"/>
      <c r="BE14" s="104"/>
      <c r="BF14" s="104"/>
      <c r="BG14" s="65"/>
      <c r="BH14" s="65"/>
      <c r="BI14" s="65"/>
      <c r="BJ14" s="65"/>
      <c r="BK14" s="104"/>
      <c r="BL14" s="104"/>
      <c r="BM14" s="104"/>
      <c r="BN14" s="104"/>
      <c r="BO14" s="65"/>
      <c r="BP14" s="65"/>
      <c r="BQ14" s="65"/>
      <c r="BR14" s="65"/>
      <c r="BS14" s="104"/>
      <c r="BT14" s="104"/>
      <c r="BU14" s="104"/>
      <c r="BV14" s="104"/>
      <c r="BW14" s="65"/>
      <c r="BX14" s="65"/>
      <c r="BY14" s="65"/>
      <c r="BZ14" s="65"/>
      <c r="CA14" s="104"/>
      <c r="CB14" s="104"/>
      <c r="CC14" s="104"/>
      <c r="CD14" s="104"/>
      <c r="CE14" s="65"/>
      <c r="CF14" s="65"/>
      <c r="CG14" s="65"/>
      <c r="CH14" s="65"/>
      <c r="CI14" s="104"/>
      <c r="CJ14" s="104"/>
      <c r="CK14" s="104"/>
      <c r="CL14" s="104"/>
    </row>
    <row r="15" spans="1:90" ht="13" x14ac:dyDescent="0.15">
      <c r="B15" s="65"/>
      <c r="C15" s="65"/>
      <c r="D15" s="65"/>
      <c r="E15" s="65"/>
      <c r="F15" s="65"/>
      <c r="G15" s="104"/>
      <c r="H15" s="104"/>
      <c r="I15" s="104"/>
      <c r="J15" s="104"/>
      <c r="K15" s="65"/>
      <c r="L15" s="65"/>
      <c r="M15" s="65"/>
      <c r="N15" s="65"/>
      <c r="O15" s="104"/>
      <c r="P15" s="104"/>
      <c r="Q15" s="104"/>
      <c r="R15" s="104"/>
      <c r="S15" s="65"/>
      <c r="T15" s="65"/>
      <c r="U15" s="65"/>
      <c r="V15" s="65"/>
      <c r="W15" s="104"/>
      <c r="X15" s="104"/>
      <c r="Y15" s="104"/>
      <c r="Z15" s="104"/>
      <c r="AA15" s="65"/>
      <c r="AB15" s="65"/>
      <c r="AC15" s="65"/>
      <c r="AD15" s="65"/>
      <c r="AE15" s="104"/>
      <c r="AF15" s="104"/>
      <c r="AG15" s="104"/>
      <c r="AH15" s="104"/>
      <c r="AI15" s="65"/>
      <c r="AJ15" s="65"/>
      <c r="AK15" s="65"/>
      <c r="AL15" s="65"/>
      <c r="AM15" s="104"/>
      <c r="AN15" s="104"/>
      <c r="AO15" s="104"/>
      <c r="AP15" s="104"/>
      <c r="AQ15" s="65"/>
      <c r="AR15" s="65"/>
      <c r="AS15" s="65"/>
      <c r="AT15" s="65"/>
      <c r="AU15" s="104"/>
      <c r="AV15" s="104"/>
      <c r="AW15" s="104"/>
      <c r="AX15" s="104"/>
      <c r="AY15" s="65"/>
      <c r="AZ15" s="65"/>
      <c r="BA15" s="65"/>
      <c r="BB15" s="65"/>
      <c r="BC15" s="104"/>
      <c r="BD15" s="104"/>
      <c r="BE15" s="104"/>
      <c r="BF15" s="104"/>
      <c r="BG15" s="65"/>
      <c r="BH15" s="65"/>
      <c r="BI15" s="65"/>
      <c r="BJ15" s="65"/>
      <c r="BK15" s="104"/>
      <c r="BL15" s="104"/>
      <c r="BM15" s="104"/>
      <c r="BN15" s="104"/>
      <c r="BO15" s="65"/>
      <c r="BP15" s="65"/>
      <c r="BQ15" s="65"/>
      <c r="BR15" s="65"/>
      <c r="BS15" s="104"/>
      <c r="BT15" s="104"/>
      <c r="BU15" s="104"/>
      <c r="BV15" s="104"/>
      <c r="BW15" s="65"/>
      <c r="BX15" s="65"/>
      <c r="BY15" s="65"/>
      <c r="BZ15" s="65"/>
      <c r="CA15" s="104"/>
      <c r="CB15" s="104"/>
      <c r="CC15" s="104"/>
      <c r="CD15" s="104"/>
      <c r="CE15" s="65"/>
      <c r="CF15" s="65"/>
      <c r="CG15" s="65"/>
      <c r="CH15" s="65"/>
      <c r="CI15" s="104"/>
      <c r="CJ15" s="104"/>
      <c r="CK15" s="104"/>
      <c r="CL15" s="104"/>
    </row>
    <row r="16" spans="1:90" ht="13" x14ac:dyDescent="0.15">
      <c r="B16" s="65"/>
      <c r="C16" s="65"/>
      <c r="D16" s="65"/>
      <c r="E16" s="65"/>
      <c r="F16" s="65"/>
      <c r="G16" s="104"/>
      <c r="H16" s="104"/>
      <c r="I16" s="104"/>
      <c r="J16" s="104"/>
      <c r="K16" s="65"/>
      <c r="L16" s="65"/>
      <c r="M16" s="65"/>
      <c r="N16" s="65"/>
      <c r="O16" s="104"/>
      <c r="P16" s="104"/>
      <c r="Q16" s="104"/>
      <c r="R16" s="104"/>
      <c r="S16" s="65"/>
      <c r="T16" s="65"/>
      <c r="U16" s="65"/>
      <c r="V16" s="65"/>
      <c r="W16" s="104"/>
      <c r="X16" s="104"/>
      <c r="Y16" s="104"/>
      <c r="Z16" s="104"/>
      <c r="AA16" s="65"/>
      <c r="AB16" s="65"/>
      <c r="AC16" s="65"/>
      <c r="AD16" s="65"/>
      <c r="AE16" s="104"/>
      <c r="AF16" s="104"/>
      <c r="AG16" s="104"/>
      <c r="AH16" s="104"/>
      <c r="AI16" s="65"/>
      <c r="AJ16" s="65"/>
      <c r="AK16" s="65"/>
      <c r="AL16" s="65"/>
      <c r="AM16" s="104"/>
      <c r="AN16" s="104"/>
      <c r="AO16" s="104"/>
      <c r="AP16" s="104"/>
      <c r="AQ16" s="65"/>
      <c r="AR16" s="65"/>
      <c r="AS16" s="65"/>
      <c r="AT16" s="65"/>
      <c r="AU16" s="104"/>
      <c r="AV16" s="104"/>
      <c r="AW16" s="104"/>
      <c r="AX16" s="104"/>
      <c r="AY16" s="65"/>
      <c r="AZ16" s="65"/>
      <c r="BA16" s="65"/>
      <c r="BB16" s="65"/>
      <c r="BC16" s="104"/>
      <c r="BD16" s="104"/>
      <c r="BE16" s="104"/>
      <c r="BF16" s="104"/>
      <c r="BG16" s="65"/>
      <c r="BH16" s="65"/>
      <c r="BI16" s="65"/>
      <c r="BJ16" s="65"/>
      <c r="BK16" s="104"/>
      <c r="BL16" s="104"/>
      <c r="BM16" s="104"/>
      <c r="BN16" s="104"/>
      <c r="BO16" s="65"/>
      <c r="BP16" s="65"/>
      <c r="BQ16" s="65"/>
      <c r="BR16" s="65"/>
      <c r="BS16" s="104"/>
      <c r="BT16" s="104"/>
      <c r="BU16" s="104"/>
      <c r="BV16" s="104"/>
      <c r="BW16" s="65"/>
      <c r="BX16" s="65"/>
      <c r="BY16" s="65"/>
      <c r="BZ16" s="65"/>
      <c r="CA16" s="104"/>
      <c r="CB16" s="104"/>
      <c r="CC16" s="104"/>
      <c r="CD16" s="104"/>
      <c r="CE16" s="65"/>
      <c r="CF16" s="65"/>
      <c r="CG16" s="65"/>
      <c r="CH16" s="65"/>
      <c r="CI16" s="104"/>
      <c r="CJ16" s="104"/>
      <c r="CK16" s="104"/>
      <c r="CL16" s="104"/>
    </row>
    <row r="17" spans="2:90" ht="13" x14ac:dyDescent="0.15">
      <c r="B17" s="65"/>
      <c r="C17" s="65"/>
      <c r="D17" s="65"/>
      <c r="E17" s="65"/>
      <c r="F17" s="65"/>
      <c r="G17" s="104"/>
      <c r="H17" s="104"/>
      <c r="I17" s="104"/>
      <c r="J17" s="104"/>
      <c r="K17" s="65"/>
      <c r="L17" s="65"/>
      <c r="M17" s="65"/>
      <c r="N17" s="65"/>
      <c r="O17" s="104"/>
      <c r="P17" s="104"/>
      <c r="Q17" s="104"/>
      <c r="R17" s="104"/>
      <c r="S17" s="65"/>
      <c r="T17" s="65"/>
      <c r="U17" s="65"/>
      <c r="V17" s="65"/>
      <c r="W17" s="104"/>
      <c r="X17" s="104"/>
      <c r="Y17" s="104"/>
      <c r="Z17" s="104"/>
      <c r="AA17" s="65"/>
      <c r="AB17" s="65"/>
      <c r="AC17" s="65"/>
      <c r="AD17" s="65"/>
      <c r="AE17" s="104"/>
      <c r="AF17" s="104"/>
      <c r="AG17" s="104"/>
      <c r="AH17" s="104"/>
      <c r="AI17" s="65"/>
      <c r="AJ17" s="65"/>
      <c r="AK17" s="65"/>
      <c r="AL17" s="65"/>
      <c r="AM17" s="104"/>
      <c r="AN17" s="104"/>
      <c r="AO17" s="104"/>
      <c r="AP17" s="104"/>
      <c r="AQ17" s="65"/>
      <c r="AR17" s="65"/>
      <c r="AS17" s="65"/>
      <c r="AT17" s="65"/>
      <c r="AU17" s="104"/>
      <c r="AV17" s="104"/>
      <c r="AW17" s="104"/>
      <c r="AX17" s="104"/>
      <c r="AY17" s="65"/>
      <c r="AZ17" s="65"/>
      <c r="BA17" s="65"/>
      <c r="BB17" s="65"/>
      <c r="BC17" s="104"/>
      <c r="BD17" s="104"/>
      <c r="BE17" s="104"/>
      <c r="BF17" s="104"/>
      <c r="BG17" s="65"/>
      <c r="BH17" s="65"/>
      <c r="BI17" s="65"/>
      <c r="BJ17" s="65"/>
      <c r="BK17" s="104"/>
      <c r="BL17" s="104"/>
      <c r="BM17" s="104"/>
      <c r="BN17" s="104"/>
      <c r="BO17" s="65"/>
      <c r="BP17" s="65"/>
      <c r="BQ17" s="65"/>
      <c r="BR17" s="65"/>
      <c r="BS17" s="104"/>
      <c r="BT17" s="104"/>
      <c r="BU17" s="104"/>
      <c r="BV17" s="104"/>
      <c r="BW17" s="65"/>
      <c r="BX17" s="65"/>
      <c r="BY17" s="65"/>
      <c r="BZ17" s="65"/>
      <c r="CA17" s="104"/>
      <c r="CB17" s="104"/>
      <c r="CC17" s="104"/>
      <c r="CD17" s="104"/>
      <c r="CE17" s="65"/>
      <c r="CF17" s="65"/>
      <c r="CG17" s="65"/>
      <c r="CH17" s="65"/>
      <c r="CI17" s="104"/>
      <c r="CJ17" s="104"/>
      <c r="CK17" s="104"/>
      <c r="CL17" s="104"/>
    </row>
    <row r="18" spans="2:90" ht="13" x14ac:dyDescent="0.15">
      <c r="B18" s="107"/>
      <c r="C18" s="107"/>
      <c r="D18" s="107"/>
      <c r="E18" s="107"/>
      <c r="F18" s="107"/>
      <c r="G18" s="105"/>
      <c r="H18" s="105"/>
      <c r="I18" s="105"/>
      <c r="J18" s="105"/>
      <c r="K18" s="106"/>
      <c r="L18" s="106"/>
      <c r="M18" s="106"/>
      <c r="N18" s="106"/>
      <c r="O18" s="105"/>
      <c r="P18" s="105"/>
      <c r="Q18" s="105"/>
      <c r="R18" s="105"/>
      <c r="S18" s="106"/>
      <c r="T18" s="106"/>
      <c r="U18" s="106"/>
      <c r="V18" s="106"/>
      <c r="W18" s="105"/>
      <c r="X18" s="105"/>
      <c r="Y18" s="105"/>
      <c r="Z18" s="105"/>
      <c r="AA18" s="106"/>
      <c r="AB18" s="106"/>
      <c r="AC18" s="106"/>
      <c r="AD18" s="106"/>
      <c r="AE18" s="105"/>
      <c r="AF18" s="105"/>
      <c r="AG18" s="105"/>
      <c r="AH18" s="105"/>
      <c r="AI18" s="106"/>
      <c r="AJ18" s="106"/>
      <c r="AK18" s="106"/>
      <c r="AL18" s="106"/>
      <c r="AM18" s="105"/>
      <c r="AN18" s="105"/>
      <c r="AO18" s="105"/>
      <c r="AP18" s="105"/>
      <c r="AQ18" s="106"/>
      <c r="AR18" s="106"/>
      <c r="AS18" s="106"/>
      <c r="AT18" s="106"/>
      <c r="AU18" s="105"/>
      <c r="AV18" s="105"/>
      <c r="AW18" s="105"/>
      <c r="AX18" s="105"/>
      <c r="AY18" s="106"/>
      <c r="AZ18" s="106"/>
      <c r="BA18" s="106"/>
      <c r="BB18" s="106"/>
      <c r="BC18" s="105"/>
      <c r="BD18" s="105"/>
      <c r="BE18" s="105"/>
      <c r="BF18" s="105"/>
      <c r="BG18" s="106"/>
      <c r="BH18" s="106"/>
      <c r="BI18" s="106"/>
      <c r="BJ18" s="106"/>
      <c r="BK18" s="105"/>
      <c r="BL18" s="105"/>
      <c r="BM18" s="105"/>
      <c r="BN18" s="105"/>
      <c r="BO18" s="106"/>
      <c r="BP18" s="106"/>
      <c r="BQ18" s="106"/>
      <c r="BR18" s="106"/>
      <c r="BS18" s="105"/>
      <c r="BT18" s="105"/>
      <c r="BU18" s="105"/>
      <c r="BV18" s="105"/>
      <c r="BW18" s="106"/>
      <c r="BX18" s="106"/>
      <c r="BY18" s="106"/>
      <c r="BZ18" s="106"/>
      <c r="CA18" s="105"/>
      <c r="CB18" s="105"/>
      <c r="CC18" s="105"/>
      <c r="CD18" s="105"/>
      <c r="CE18" s="106"/>
      <c r="CF18" s="106"/>
      <c r="CG18" s="106"/>
      <c r="CH18" s="106"/>
      <c r="CI18" s="105"/>
      <c r="CJ18" s="105"/>
      <c r="CK18" s="105"/>
      <c r="CL18" s="105"/>
    </row>
    <row r="19" spans="2:90" ht="13" x14ac:dyDescent="0.15">
      <c r="B19" s="13"/>
      <c r="C19" s="13"/>
      <c r="D19" s="13"/>
      <c r="E19" s="13"/>
      <c r="F19" s="13"/>
      <c r="G19" s="103"/>
      <c r="H19" s="103"/>
      <c r="I19" s="103"/>
      <c r="J19" s="103"/>
      <c r="K19" s="63"/>
      <c r="L19" s="63"/>
      <c r="M19" s="63"/>
      <c r="N19" s="63"/>
      <c r="O19" s="103"/>
      <c r="P19" s="103"/>
      <c r="Q19" s="103"/>
      <c r="R19" s="103"/>
      <c r="S19" s="63"/>
      <c r="T19" s="63"/>
      <c r="U19" s="63"/>
      <c r="V19" s="63"/>
      <c r="W19" s="103"/>
      <c r="X19" s="103"/>
      <c r="Y19" s="103"/>
      <c r="Z19" s="103"/>
      <c r="AA19" s="63"/>
      <c r="AB19" s="63"/>
      <c r="AC19" s="63"/>
      <c r="AD19" s="63"/>
      <c r="AE19" s="103"/>
      <c r="AF19" s="103"/>
      <c r="AG19" s="103"/>
      <c r="AH19" s="103"/>
      <c r="AI19" s="63"/>
      <c r="AJ19" s="63"/>
      <c r="AK19" s="63"/>
      <c r="AL19" s="63"/>
      <c r="AM19" s="103"/>
      <c r="AN19" s="103"/>
      <c r="AO19" s="103"/>
      <c r="AP19" s="103"/>
      <c r="AQ19" s="63"/>
      <c r="AR19" s="63"/>
      <c r="AS19" s="63"/>
      <c r="AT19" s="63"/>
      <c r="AU19" s="103"/>
      <c r="AV19" s="103"/>
      <c r="AW19" s="103"/>
      <c r="AX19" s="103"/>
      <c r="AY19" s="63"/>
      <c r="AZ19" s="63"/>
      <c r="BA19" s="63"/>
      <c r="BB19" s="63"/>
      <c r="BC19" s="103"/>
      <c r="BD19" s="103"/>
      <c r="BE19" s="103"/>
      <c r="BF19" s="103"/>
      <c r="BG19" s="63"/>
      <c r="BH19" s="63"/>
      <c r="BI19" s="63"/>
      <c r="BJ19" s="63"/>
      <c r="BK19" s="103"/>
      <c r="BL19" s="103"/>
      <c r="BM19" s="103"/>
      <c r="BN19" s="103"/>
      <c r="BO19" s="63"/>
      <c r="BP19" s="63"/>
      <c r="BQ19" s="63"/>
      <c r="BR19" s="63"/>
      <c r="BS19" s="103"/>
      <c r="BT19" s="103"/>
      <c r="BU19" s="103"/>
      <c r="BV19" s="103"/>
      <c r="BW19" s="63"/>
      <c r="BX19" s="63"/>
      <c r="BY19" s="63"/>
      <c r="BZ19" s="63"/>
      <c r="CA19" s="103"/>
      <c r="CB19" s="103"/>
      <c r="CC19" s="103"/>
      <c r="CD19" s="103"/>
      <c r="CE19" s="63"/>
      <c r="CF19" s="63"/>
      <c r="CG19" s="63"/>
      <c r="CH19" s="63"/>
      <c r="CI19" s="103"/>
      <c r="CJ19" s="103"/>
      <c r="CK19" s="103"/>
      <c r="CL19" s="103"/>
    </row>
    <row r="20" spans="2:90" ht="13" x14ac:dyDescent="0.15">
      <c r="B20" s="13"/>
      <c r="C20" s="13"/>
      <c r="D20" s="13"/>
      <c r="E20" s="13"/>
      <c r="F20" s="13"/>
      <c r="G20" s="104"/>
      <c r="H20" s="104"/>
      <c r="I20" s="104"/>
      <c r="J20" s="104"/>
      <c r="K20" s="65"/>
      <c r="L20" s="65"/>
      <c r="M20" s="65"/>
      <c r="N20" s="65"/>
      <c r="O20" s="104"/>
      <c r="P20" s="104"/>
      <c r="Q20" s="104"/>
      <c r="R20" s="104"/>
      <c r="S20" s="65"/>
      <c r="T20" s="65"/>
      <c r="U20" s="65"/>
      <c r="V20" s="65"/>
      <c r="W20" s="104"/>
      <c r="X20" s="104"/>
      <c r="Y20" s="104"/>
      <c r="Z20" s="104"/>
      <c r="AA20" s="65"/>
      <c r="AB20" s="65"/>
      <c r="AC20" s="65"/>
      <c r="AD20" s="65"/>
      <c r="AE20" s="104"/>
      <c r="AF20" s="104"/>
      <c r="AG20" s="104"/>
      <c r="AH20" s="104"/>
      <c r="AI20" s="65"/>
      <c r="AJ20" s="65"/>
      <c r="AK20" s="65"/>
      <c r="AL20" s="65"/>
      <c r="AM20" s="104"/>
      <c r="AN20" s="104"/>
      <c r="AO20" s="104"/>
      <c r="AP20" s="104"/>
      <c r="AQ20" s="65"/>
      <c r="AR20" s="65"/>
      <c r="AS20" s="65"/>
      <c r="AT20" s="65"/>
      <c r="AU20" s="104"/>
      <c r="AV20" s="104"/>
      <c r="AW20" s="104"/>
      <c r="AX20" s="104"/>
      <c r="AY20" s="65"/>
      <c r="AZ20" s="65"/>
      <c r="BA20" s="65"/>
      <c r="BB20" s="65"/>
      <c r="BC20" s="104"/>
      <c r="BD20" s="104"/>
      <c r="BE20" s="104"/>
      <c r="BF20" s="104"/>
      <c r="BG20" s="65"/>
      <c r="BH20" s="65"/>
      <c r="BI20" s="65"/>
      <c r="BJ20" s="65"/>
      <c r="BK20" s="104"/>
      <c r="BL20" s="104"/>
      <c r="BM20" s="104"/>
      <c r="BN20" s="104"/>
      <c r="BO20" s="65"/>
      <c r="BP20" s="65"/>
      <c r="BQ20" s="65"/>
      <c r="BR20" s="65"/>
      <c r="BS20" s="104"/>
      <c r="BT20" s="104"/>
      <c r="BU20" s="104"/>
      <c r="BV20" s="104"/>
      <c r="BW20" s="65"/>
      <c r="BX20" s="65"/>
      <c r="BY20" s="65"/>
      <c r="BZ20" s="65"/>
      <c r="CA20" s="104"/>
      <c r="CB20" s="104"/>
      <c r="CC20" s="104"/>
      <c r="CD20" s="104"/>
      <c r="CE20" s="65"/>
      <c r="CF20" s="65"/>
      <c r="CG20" s="65"/>
      <c r="CH20" s="65"/>
      <c r="CI20" s="104"/>
      <c r="CJ20" s="104"/>
      <c r="CK20" s="104"/>
      <c r="CL20" s="104"/>
    </row>
    <row r="21" spans="2:90" ht="13" x14ac:dyDescent="0.15">
      <c r="B21" s="13"/>
      <c r="C21" s="13"/>
      <c r="D21" s="13"/>
      <c r="E21" s="13"/>
      <c r="F21" s="13"/>
      <c r="G21" s="104"/>
      <c r="H21" s="104"/>
      <c r="I21" s="104"/>
      <c r="J21" s="104"/>
      <c r="K21" s="65"/>
      <c r="L21" s="65"/>
      <c r="M21" s="65"/>
      <c r="N21" s="65"/>
      <c r="O21" s="104"/>
      <c r="P21" s="104"/>
      <c r="Q21" s="104"/>
      <c r="R21" s="104"/>
      <c r="S21" s="65"/>
      <c r="T21" s="65"/>
      <c r="U21" s="65"/>
      <c r="V21" s="65"/>
      <c r="W21" s="104"/>
      <c r="X21" s="104"/>
      <c r="Y21" s="104"/>
      <c r="Z21" s="104"/>
      <c r="AA21" s="65"/>
      <c r="AB21" s="65"/>
      <c r="AC21" s="65"/>
      <c r="AD21" s="65"/>
      <c r="AE21" s="104"/>
      <c r="AF21" s="104"/>
      <c r="AG21" s="104"/>
      <c r="AH21" s="104"/>
      <c r="AI21" s="65"/>
      <c r="AJ21" s="65"/>
      <c r="AK21" s="65"/>
      <c r="AL21" s="65"/>
      <c r="AM21" s="104"/>
      <c r="AN21" s="104"/>
      <c r="AO21" s="104"/>
      <c r="AP21" s="104"/>
      <c r="AQ21" s="65"/>
      <c r="AR21" s="65"/>
      <c r="AS21" s="65"/>
      <c r="AT21" s="65"/>
      <c r="AU21" s="104"/>
      <c r="AV21" s="104"/>
      <c r="AW21" s="104"/>
      <c r="AX21" s="104"/>
      <c r="AY21" s="65"/>
      <c r="AZ21" s="65"/>
      <c r="BA21" s="65"/>
      <c r="BB21" s="65"/>
      <c r="BC21" s="104"/>
      <c r="BD21" s="104"/>
      <c r="BE21" s="104"/>
      <c r="BF21" s="104"/>
      <c r="BG21" s="65"/>
      <c r="BH21" s="65"/>
      <c r="BI21" s="65"/>
      <c r="BJ21" s="65"/>
      <c r="BK21" s="104"/>
      <c r="BL21" s="104"/>
      <c r="BM21" s="104"/>
      <c r="BN21" s="104"/>
      <c r="BO21" s="65"/>
      <c r="BP21" s="65"/>
      <c r="BQ21" s="65"/>
      <c r="BR21" s="65"/>
      <c r="BS21" s="104"/>
      <c r="BT21" s="104"/>
      <c r="BU21" s="104"/>
      <c r="BV21" s="104"/>
      <c r="BW21" s="65"/>
      <c r="BX21" s="65"/>
      <c r="BY21" s="65"/>
      <c r="BZ21" s="65"/>
      <c r="CA21" s="104"/>
      <c r="CB21" s="104"/>
      <c r="CC21" s="104"/>
      <c r="CD21" s="104"/>
      <c r="CE21" s="65"/>
      <c r="CF21" s="65"/>
      <c r="CG21" s="65"/>
      <c r="CH21" s="65"/>
      <c r="CI21" s="104"/>
      <c r="CJ21" s="104"/>
      <c r="CK21" s="104"/>
      <c r="CL21" s="104"/>
    </row>
    <row r="22" spans="2:90" ht="13" x14ac:dyDescent="0.15">
      <c r="B22" s="13"/>
      <c r="C22" s="13"/>
      <c r="D22" s="13"/>
      <c r="E22" s="13"/>
      <c r="F22" s="13"/>
      <c r="G22" s="103"/>
      <c r="H22" s="103"/>
      <c r="I22" s="103"/>
      <c r="J22" s="103"/>
      <c r="K22" s="63"/>
      <c r="L22" s="63"/>
      <c r="M22" s="63"/>
      <c r="N22" s="63"/>
      <c r="O22" s="103"/>
      <c r="P22" s="103"/>
      <c r="Q22" s="103"/>
      <c r="R22" s="103"/>
      <c r="S22" s="63"/>
      <c r="T22" s="63"/>
      <c r="U22" s="63"/>
      <c r="V22" s="63"/>
      <c r="W22" s="103"/>
      <c r="X22" s="103"/>
      <c r="Y22" s="103"/>
      <c r="Z22" s="103"/>
      <c r="AA22" s="63"/>
      <c r="AB22" s="63"/>
      <c r="AC22" s="63"/>
      <c r="AD22" s="63"/>
      <c r="AE22" s="103"/>
      <c r="AF22" s="103"/>
      <c r="AG22" s="103"/>
      <c r="AH22" s="103"/>
      <c r="AI22" s="63"/>
      <c r="AJ22" s="63"/>
      <c r="AK22" s="63"/>
      <c r="AL22" s="63"/>
      <c r="AM22" s="103"/>
      <c r="AN22" s="103"/>
      <c r="AO22" s="103"/>
      <c r="AP22" s="103"/>
      <c r="AQ22" s="63"/>
      <c r="AR22" s="63"/>
      <c r="AS22" s="63"/>
      <c r="AT22" s="63"/>
      <c r="AU22" s="103"/>
      <c r="AV22" s="103"/>
      <c r="AW22" s="103"/>
      <c r="AX22" s="103"/>
      <c r="AY22" s="63"/>
      <c r="AZ22" s="63"/>
      <c r="BA22" s="63"/>
      <c r="BB22" s="63"/>
      <c r="BC22" s="103"/>
      <c r="BD22" s="103"/>
      <c r="BE22" s="103"/>
      <c r="BF22" s="103"/>
      <c r="BG22" s="63"/>
      <c r="BH22" s="63"/>
      <c r="BI22" s="63"/>
      <c r="BJ22" s="63"/>
      <c r="BK22" s="103"/>
      <c r="BL22" s="103"/>
      <c r="BM22" s="103"/>
      <c r="BN22" s="103"/>
      <c r="BO22" s="63"/>
      <c r="BP22" s="63"/>
      <c r="BQ22" s="63"/>
      <c r="BR22" s="63"/>
      <c r="BS22" s="103"/>
      <c r="BT22" s="103"/>
      <c r="BU22" s="103"/>
      <c r="BV22" s="103"/>
      <c r="BW22" s="63"/>
      <c r="BX22" s="63"/>
      <c r="BY22" s="63"/>
      <c r="BZ22" s="63"/>
      <c r="CA22" s="103"/>
      <c r="CB22" s="103"/>
      <c r="CC22" s="103"/>
      <c r="CD22" s="103"/>
      <c r="CE22" s="63"/>
      <c r="CF22" s="63"/>
      <c r="CG22" s="63"/>
      <c r="CH22" s="63"/>
      <c r="CI22" s="103"/>
      <c r="CJ22" s="103"/>
      <c r="CK22" s="103"/>
      <c r="CL22" s="103"/>
    </row>
    <row r="23" spans="2:90" ht="13" x14ac:dyDescent="0.15">
      <c r="B23" s="13"/>
      <c r="C23" s="13"/>
      <c r="D23" s="13"/>
      <c r="E23" s="13"/>
      <c r="F23" s="13"/>
      <c r="G23" s="103"/>
      <c r="H23" s="103"/>
      <c r="I23" s="103"/>
      <c r="J23" s="103"/>
      <c r="K23" s="63"/>
      <c r="L23" s="63"/>
      <c r="M23" s="63"/>
      <c r="N23" s="63"/>
      <c r="O23" s="103"/>
      <c r="P23" s="103"/>
      <c r="Q23" s="103"/>
      <c r="R23" s="103"/>
      <c r="S23" s="63"/>
      <c r="T23" s="63"/>
      <c r="U23" s="63"/>
      <c r="V23" s="63"/>
      <c r="W23" s="103"/>
      <c r="X23" s="103"/>
      <c r="Y23" s="103"/>
      <c r="Z23" s="103"/>
      <c r="AA23" s="63"/>
      <c r="AB23" s="63"/>
      <c r="AC23" s="63"/>
      <c r="AD23" s="63"/>
      <c r="AE23" s="103"/>
      <c r="AF23" s="103"/>
      <c r="AG23" s="103"/>
      <c r="AH23" s="103"/>
      <c r="AI23" s="63"/>
      <c r="AJ23" s="63"/>
      <c r="AK23" s="63"/>
      <c r="AL23" s="63"/>
      <c r="AM23" s="103"/>
      <c r="AN23" s="103"/>
      <c r="AO23" s="103"/>
      <c r="AP23" s="103"/>
      <c r="AQ23" s="63"/>
      <c r="AR23" s="63"/>
      <c r="AS23" s="63"/>
      <c r="AT23" s="63"/>
      <c r="AU23" s="103"/>
      <c r="AV23" s="103"/>
      <c r="AW23" s="103"/>
      <c r="AX23" s="103"/>
      <c r="AY23" s="63"/>
      <c r="AZ23" s="63"/>
      <c r="BA23" s="63"/>
      <c r="BB23" s="63"/>
      <c r="BC23" s="103"/>
      <c r="BD23" s="103"/>
      <c r="BE23" s="103"/>
      <c r="BF23" s="103"/>
      <c r="BG23" s="63"/>
      <c r="BH23" s="63"/>
      <c r="BI23" s="63"/>
      <c r="BJ23" s="63"/>
      <c r="BK23" s="103"/>
      <c r="BL23" s="103"/>
      <c r="BM23" s="103"/>
      <c r="BN23" s="103"/>
      <c r="BO23" s="63"/>
      <c r="BP23" s="63"/>
      <c r="BQ23" s="63"/>
      <c r="BR23" s="63"/>
      <c r="BS23" s="103"/>
      <c r="BT23" s="103"/>
      <c r="BU23" s="103"/>
      <c r="BV23" s="103"/>
      <c r="BW23" s="63"/>
      <c r="BX23" s="63"/>
      <c r="BY23" s="63"/>
      <c r="BZ23" s="63"/>
      <c r="CA23" s="103"/>
      <c r="CB23" s="103"/>
      <c r="CC23" s="103"/>
      <c r="CD23" s="103"/>
      <c r="CE23" s="63"/>
      <c r="CF23" s="63"/>
      <c r="CG23" s="63"/>
      <c r="CH23" s="63"/>
      <c r="CI23" s="103"/>
      <c r="CJ23" s="103"/>
      <c r="CK23" s="103"/>
      <c r="CL23" s="103"/>
    </row>
    <row r="24" spans="2:90" ht="13" x14ac:dyDescent="0.15">
      <c r="B24" s="13"/>
      <c r="C24" s="13"/>
      <c r="D24" s="13"/>
      <c r="E24" s="13"/>
      <c r="F24" s="13"/>
      <c r="G24" s="103"/>
      <c r="H24" s="103"/>
      <c r="I24" s="103"/>
      <c r="J24" s="103"/>
      <c r="K24" s="63"/>
      <c r="L24" s="63"/>
      <c r="M24" s="63"/>
      <c r="N24" s="63"/>
      <c r="O24" s="103"/>
      <c r="P24" s="103"/>
      <c r="Q24" s="103"/>
      <c r="R24" s="103"/>
      <c r="S24" s="63"/>
      <c r="T24" s="63"/>
      <c r="U24" s="63"/>
      <c r="V24" s="63"/>
      <c r="W24" s="103"/>
      <c r="X24" s="103"/>
      <c r="Y24" s="103"/>
      <c r="Z24" s="103"/>
      <c r="AA24" s="63"/>
      <c r="AB24" s="63"/>
      <c r="AC24" s="63"/>
      <c r="AD24" s="63"/>
      <c r="AE24" s="103"/>
      <c r="AF24" s="103"/>
      <c r="AG24" s="103"/>
      <c r="AH24" s="103"/>
      <c r="AI24" s="63"/>
      <c r="AJ24" s="63"/>
      <c r="AK24" s="63"/>
      <c r="AL24" s="63"/>
      <c r="AM24" s="103"/>
      <c r="AN24" s="103"/>
      <c r="AO24" s="103"/>
      <c r="AP24" s="103"/>
      <c r="AQ24" s="63"/>
      <c r="AR24" s="63"/>
      <c r="AS24" s="63"/>
      <c r="AT24" s="63"/>
      <c r="AU24" s="103"/>
      <c r="AV24" s="103"/>
      <c r="AW24" s="103"/>
      <c r="AX24" s="103"/>
      <c r="AY24" s="63"/>
      <c r="AZ24" s="63"/>
      <c r="BA24" s="63"/>
      <c r="BB24" s="63"/>
      <c r="BC24" s="103"/>
      <c r="BD24" s="103"/>
      <c r="BE24" s="103"/>
      <c r="BF24" s="103"/>
      <c r="BG24" s="63"/>
      <c r="BH24" s="63"/>
      <c r="BI24" s="63"/>
      <c r="BJ24" s="63"/>
      <c r="BK24" s="103"/>
      <c r="BL24" s="103"/>
      <c r="BM24" s="103"/>
      <c r="BN24" s="103"/>
      <c r="BO24" s="63"/>
      <c r="BP24" s="63"/>
      <c r="BQ24" s="63"/>
      <c r="BR24" s="63"/>
      <c r="BS24" s="103"/>
      <c r="BT24" s="103"/>
      <c r="BU24" s="103"/>
      <c r="BV24" s="103"/>
      <c r="BW24" s="63"/>
      <c r="BX24" s="63"/>
      <c r="BY24" s="63"/>
      <c r="BZ24" s="63"/>
      <c r="CA24" s="103"/>
      <c r="CB24" s="103"/>
      <c r="CC24" s="103"/>
      <c r="CD24" s="103"/>
      <c r="CE24" s="63"/>
      <c r="CF24" s="63"/>
      <c r="CG24" s="63"/>
      <c r="CH24" s="63"/>
      <c r="CI24" s="103"/>
      <c r="CJ24" s="103"/>
      <c r="CK24" s="103"/>
      <c r="CL24" s="103"/>
    </row>
    <row r="25" spans="2:90" ht="13" x14ac:dyDescent="0.15">
      <c r="B25" s="13"/>
      <c r="C25" s="13"/>
      <c r="D25" s="13"/>
      <c r="E25" s="13"/>
      <c r="F25" s="13"/>
      <c r="G25" s="103"/>
      <c r="H25" s="103"/>
      <c r="I25" s="103"/>
      <c r="J25" s="103"/>
      <c r="K25" s="63"/>
      <c r="L25" s="63"/>
      <c r="M25" s="63"/>
      <c r="N25" s="63"/>
      <c r="O25" s="103"/>
      <c r="P25" s="103"/>
      <c r="Q25" s="103"/>
      <c r="R25" s="103"/>
      <c r="S25" s="63"/>
      <c r="T25" s="63"/>
      <c r="U25" s="63"/>
      <c r="V25" s="63"/>
      <c r="W25" s="103"/>
      <c r="X25" s="103"/>
      <c r="Y25" s="103"/>
      <c r="Z25" s="103"/>
      <c r="AA25" s="63"/>
      <c r="AB25" s="63"/>
      <c r="AC25" s="63"/>
      <c r="AD25" s="63"/>
      <c r="AE25" s="103"/>
      <c r="AF25" s="103"/>
      <c r="AG25" s="103"/>
      <c r="AH25" s="103"/>
      <c r="AI25" s="63"/>
      <c r="AJ25" s="63"/>
      <c r="AK25" s="63"/>
      <c r="AL25" s="63"/>
      <c r="AM25" s="103"/>
      <c r="AN25" s="103"/>
      <c r="AO25" s="103"/>
      <c r="AP25" s="103"/>
      <c r="AQ25" s="63"/>
      <c r="AR25" s="63"/>
      <c r="AS25" s="63"/>
      <c r="AT25" s="63"/>
      <c r="AU25" s="103"/>
      <c r="AV25" s="103"/>
      <c r="AW25" s="103"/>
      <c r="AX25" s="103"/>
      <c r="AY25" s="63"/>
      <c r="AZ25" s="63"/>
      <c r="BA25" s="63"/>
      <c r="BB25" s="63"/>
      <c r="BC25" s="103"/>
      <c r="BD25" s="103"/>
      <c r="BE25" s="103"/>
      <c r="BF25" s="103"/>
      <c r="BG25" s="63"/>
      <c r="BH25" s="63"/>
      <c r="BI25" s="63"/>
      <c r="BJ25" s="63"/>
      <c r="BK25" s="103"/>
      <c r="BL25" s="103"/>
      <c r="BM25" s="103"/>
      <c r="BN25" s="103"/>
      <c r="BO25" s="63"/>
      <c r="BP25" s="63"/>
      <c r="BQ25" s="63"/>
      <c r="BR25" s="63"/>
      <c r="BS25" s="103"/>
      <c r="BT25" s="103"/>
      <c r="BU25" s="103"/>
      <c r="BV25" s="103"/>
      <c r="BW25" s="63"/>
      <c r="BX25" s="63"/>
      <c r="BY25" s="63"/>
      <c r="BZ25" s="63"/>
      <c r="CA25" s="103"/>
      <c r="CB25" s="103"/>
      <c r="CC25" s="103"/>
      <c r="CD25" s="103"/>
      <c r="CE25" s="63"/>
      <c r="CF25" s="63"/>
      <c r="CG25" s="63"/>
      <c r="CH25" s="63"/>
      <c r="CI25" s="103"/>
      <c r="CJ25" s="103"/>
      <c r="CK25" s="103"/>
      <c r="CL25" s="103"/>
    </row>
    <row r="26" spans="2:90" ht="13" x14ac:dyDescent="0.15">
      <c r="B26" s="13"/>
      <c r="C26" s="13"/>
      <c r="D26" s="13"/>
      <c r="E26" s="13"/>
      <c r="F26" s="13"/>
      <c r="G26" s="103"/>
      <c r="H26" s="103"/>
      <c r="I26" s="103"/>
      <c r="J26" s="103"/>
      <c r="K26" s="63"/>
      <c r="L26" s="63"/>
      <c r="M26" s="63"/>
      <c r="N26" s="63"/>
      <c r="O26" s="103"/>
      <c r="P26" s="103"/>
      <c r="Q26" s="103"/>
      <c r="R26" s="103"/>
      <c r="S26" s="63"/>
      <c r="T26" s="63"/>
      <c r="U26" s="63"/>
      <c r="V26" s="63"/>
      <c r="W26" s="103"/>
      <c r="X26" s="103"/>
      <c r="Y26" s="103"/>
      <c r="Z26" s="103"/>
      <c r="AA26" s="63"/>
      <c r="AB26" s="63"/>
      <c r="AC26" s="63"/>
      <c r="AD26" s="63"/>
      <c r="AE26" s="103"/>
      <c r="AF26" s="103"/>
      <c r="AG26" s="103"/>
      <c r="AH26" s="103"/>
      <c r="AI26" s="63"/>
      <c r="AJ26" s="63"/>
      <c r="AK26" s="63"/>
      <c r="AL26" s="63"/>
      <c r="AM26" s="103"/>
      <c r="AN26" s="103"/>
      <c r="AO26" s="103"/>
      <c r="AP26" s="103"/>
      <c r="AQ26" s="63"/>
      <c r="AR26" s="63"/>
      <c r="AS26" s="63"/>
      <c r="AT26" s="63"/>
      <c r="AU26" s="103"/>
      <c r="AV26" s="103"/>
      <c r="AW26" s="103"/>
      <c r="AX26" s="103"/>
      <c r="AY26" s="63"/>
      <c r="AZ26" s="63"/>
      <c r="BA26" s="63"/>
      <c r="BB26" s="63"/>
      <c r="BC26" s="103"/>
      <c r="BD26" s="103"/>
      <c r="BE26" s="103"/>
      <c r="BF26" s="103"/>
      <c r="BG26" s="63"/>
      <c r="BH26" s="63"/>
      <c r="BI26" s="63"/>
      <c r="BJ26" s="63"/>
      <c r="BK26" s="103"/>
      <c r="BL26" s="103"/>
      <c r="BM26" s="103"/>
      <c r="BN26" s="103"/>
      <c r="BO26" s="63"/>
      <c r="BP26" s="63"/>
      <c r="BQ26" s="63"/>
      <c r="BR26" s="63"/>
      <c r="BS26" s="103"/>
      <c r="BT26" s="103"/>
      <c r="BU26" s="103"/>
      <c r="BV26" s="103"/>
      <c r="BW26" s="63"/>
      <c r="BX26" s="63"/>
      <c r="BY26" s="63"/>
      <c r="BZ26" s="63"/>
      <c r="CA26" s="103"/>
      <c r="CB26" s="103"/>
      <c r="CC26" s="103"/>
      <c r="CD26" s="103"/>
      <c r="CE26" s="63"/>
      <c r="CF26" s="63"/>
      <c r="CG26" s="63"/>
      <c r="CH26" s="63"/>
      <c r="CI26" s="103"/>
      <c r="CJ26" s="103"/>
      <c r="CK26" s="103"/>
      <c r="CL26" s="103"/>
    </row>
    <row r="27" spans="2:90" ht="13" x14ac:dyDescent="0.15">
      <c r="B27" s="13"/>
      <c r="C27" s="13"/>
      <c r="D27" s="13"/>
      <c r="E27" s="13"/>
      <c r="F27" s="13"/>
      <c r="G27" s="103"/>
      <c r="H27" s="103"/>
      <c r="I27" s="103"/>
      <c r="J27" s="103"/>
      <c r="K27" s="63"/>
      <c r="L27" s="63"/>
      <c r="M27" s="63"/>
      <c r="N27" s="63"/>
      <c r="O27" s="103"/>
      <c r="P27" s="103"/>
      <c r="Q27" s="103"/>
      <c r="R27" s="103"/>
      <c r="S27" s="63"/>
      <c r="T27" s="63"/>
      <c r="U27" s="63"/>
      <c r="V27" s="63"/>
      <c r="W27" s="103"/>
      <c r="X27" s="103"/>
      <c r="Y27" s="103"/>
      <c r="Z27" s="103"/>
      <c r="AA27" s="63"/>
      <c r="AB27" s="63"/>
      <c r="AC27" s="63"/>
      <c r="AD27" s="63"/>
      <c r="AE27" s="103"/>
      <c r="AF27" s="103"/>
      <c r="AG27" s="103"/>
      <c r="AH27" s="103"/>
      <c r="AI27" s="63"/>
      <c r="AJ27" s="63"/>
      <c r="AK27" s="63"/>
      <c r="AL27" s="63"/>
      <c r="AM27" s="103"/>
      <c r="AN27" s="103"/>
      <c r="AO27" s="103"/>
      <c r="AP27" s="103"/>
      <c r="AQ27" s="63"/>
      <c r="AR27" s="63"/>
      <c r="AS27" s="63"/>
      <c r="AT27" s="63"/>
      <c r="AU27" s="103"/>
      <c r="AV27" s="103"/>
      <c r="AW27" s="103"/>
      <c r="AX27" s="103"/>
      <c r="AY27" s="63"/>
      <c r="AZ27" s="63"/>
      <c r="BA27" s="63"/>
      <c r="BB27" s="63"/>
      <c r="BC27" s="103"/>
      <c r="BD27" s="103"/>
      <c r="BE27" s="103"/>
      <c r="BF27" s="103"/>
      <c r="BG27" s="63"/>
      <c r="BH27" s="63"/>
      <c r="BI27" s="63"/>
      <c r="BJ27" s="63"/>
      <c r="BK27" s="103"/>
      <c r="BL27" s="103"/>
      <c r="BM27" s="103"/>
      <c r="BN27" s="103"/>
      <c r="BO27" s="63"/>
      <c r="BP27" s="63"/>
      <c r="BQ27" s="63"/>
      <c r="BR27" s="63"/>
      <c r="BS27" s="103"/>
      <c r="BT27" s="103"/>
      <c r="BU27" s="103"/>
      <c r="BV27" s="103"/>
      <c r="BW27" s="63"/>
      <c r="BX27" s="63"/>
      <c r="BY27" s="63"/>
      <c r="BZ27" s="63"/>
      <c r="CA27" s="103"/>
      <c r="CB27" s="103"/>
      <c r="CC27" s="103"/>
      <c r="CD27" s="103"/>
      <c r="CE27" s="63"/>
      <c r="CF27" s="63"/>
      <c r="CG27" s="63"/>
      <c r="CH27" s="63"/>
      <c r="CI27" s="103"/>
      <c r="CJ27" s="103"/>
      <c r="CK27" s="103"/>
      <c r="CL27" s="103"/>
    </row>
    <row r="28" spans="2:90" ht="13" x14ac:dyDescent="0.15">
      <c r="B28" s="13"/>
      <c r="C28" s="13"/>
      <c r="D28" s="13"/>
      <c r="E28" s="13"/>
      <c r="F28" s="13"/>
      <c r="G28" s="103"/>
      <c r="H28" s="103"/>
      <c r="I28" s="103"/>
      <c r="J28" s="103"/>
      <c r="K28" s="63"/>
      <c r="L28" s="63"/>
      <c r="M28" s="63"/>
      <c r="N28" s="63"/>
      <c r="O28" s="103"/>
      <c r="P28" s="103"/>
      <c r="Q28" s="103"/>
      <c r="R28" s="103"/>
      <c r="S28" s="63"/>
      <c r="T28" s="63"/>
      <c r="U28" s="63"/>
      <c r="V28" s="63"/>
      <c r="W28" s="103"/>
      <c r="X28" s="103"/>
      <c r="Y28" s="103"/>
      <c r="Z28" s="103"/>
      <c r="AA28" s="63"/>
      <c r="AB28" s="63"/>
      <c r="AC28" s="63"/>
      <c r="AD28" s="63"/>
      <c r="AE28" s="103"/>
      <c r="AF28" s="103"/>
      <c r="AG28" s="103"/>
      <c r="AH28" s="103"/>
      <c r="AI28" s="63"/>
      <c r="AJ28" s="63"/>
      <c r="AK28" s="63"/>
      <c r="AL28" s="63"/>
      <c r="AM28" s="103"/>
      <c r="AN28" s="103"/>
      <c r="AO28" s="103"/>
      <c r="AP28" s="103"/>
      <c r="AQ28" s="63"/>
      <c r="AR28" s="63"/>
      <c r="AS28" s="63"/>
      <c r="AT28" s="63"/>
      <c r="AU28" s="103"/>
      <c r="AV28" s="103"/>
      <c r="AW28" s="103"/>
      <c r="AX28" s="103"/>
      <c r="AY28" s="63"/>
      <c r="AZ28" s="63"/>
      <c r="BA28" s="63"/>
      <c r="BB28" s="63"/>
      <c r="BC28" s="103"/>
      <c r="BD28" s="103"/>
      <c r="BE28" s="103"/>
      <c r="BF28" s="103"/>
      <c r="BG28" s="63"/>
      <c r="BH28" s="63"/>
      <c r="BI28" s="63"/>
      <c r="BJ28" s="63"/>
      <c r="BK28" s="103"/>
      <c r="BL28" s="103"/>
      <c r="BM28" s="103"/>
      <c r="BN28" s="103"/>
      <c r="BO28" s="63"/>
      <c r="BP28" s="63"/>
      <c r="BQ28" s="63"/>
      <c r="BR28" s="63"/>
      <c r="BS28" s="103"/>
      <c r="BT28" s="103"/>
      <c r="BU28" s="103"/>
      <c r="BV28" s="103"/>
      <c r="BW28" s="63"/>
      <c r="BX28" s="63"/>
      <c r="BY28" s="63"/>
      <c r="BZ28" s="63"/>
      <c r="CA28" s="103"/>
      <c r="CB28" s="103"/>
      <c r="CC28" s="103"/>
      <c r="CD28" s="103"/>
      <c r="CE28" s="63"/>
      <c r="CF28" s="63"/>
      <c r="CG28" s="63"/>
      <c r="CH28" s="63"/>
      <c r="CI28" s="103"/>
      <c r="CJ28" s="103"/>
      <c r="CK28" s="103"/>
      <c r="CL28" s="103"/>
    </row>
    <row r="29" spans="2:90" ht="13" x14ac:dyDescent="0.15">
      <c r="B29" s="13"/>
      <c r="C29" s="13"/>
      <c r="D29" s="13"/>
      <c r="E29" s="13"/>
      <c r="F29" s="13"/>
      <c r="G29" s="103"/>
      <c r="H29" s="103"/>
      <c r="I29" s="103"/>
      <c r="J29" s="103"/>
      <c r="K29" s="63"/>
      <c r="L29" s="63"/>
      <c r="M29" s="63"/>
      <c r="N29" s="63"/>
      <c r="O29" s="103"/>
      <c r="P29" s="103"/>
      <c r="Q29" s="103"/>
      <c r="R29" s="103"/>
      <c r="S29" s="63"/>
      <c r="T29" s="63"/>
      <c r="U29" s="63"/>
      <c r="V29" s="63"/>
      <c r="W29" s="103"/>
      <c r="X29" s="103"/>
      <c r="Y29" s="103"/>
      <c r="Z29" s="103"/>
      <c r="AA29" s="63"/>
      <c r="AB29" s="63"/>
      <c r="AC29" s="63"/>
      <c r="AD29" s="63"/>
      <c r="AE29" s="103"/>
      <c r="AF29" s="103"/>
      <c r="AG29" s="103"/>
      <c r="AH29" s="103"/>
      <c r="AI29" s="63"/>
      <c r="AJ29" s="63"/>
      <c r="AK29" s="63"/>
      <c r="AL29" s="63"/>
      <c r="AM29" s="103"/>
      <c r="AN29" s="103"/>
      <c r="AO29" s="103"/>
      <c r="AP29" s="103"/>
      <c r="AQ29" s="63"/>
      <c r="AR29" s="63"/>
      <c r="AS29" s="63"/>
      <c r="AT29" s="63"/>
      <c r="AU29" s="103"/>
      <c r="AV29" s="103"/>
      <c r="AW29" s="103"/>
      <c r="AX29" s="103"/>
      <c r="AY29" s="63"/>
      <c r="AZ29" s="63"/>
      <c r="BA29" s="63"/>
      <c r="BB29" s="63"/>
      <c r="BC29" s="103"/>
      <c r="BD29" s="103"/>
      <c r="BE29" s="103"/>
      <c r="BF29" s="103"/>
      <c r="BG29" s="63"/>
      <c r="BH29" s="63"/>
      <c r="BI29" s="63"/>
      <c r="BJ29" s="63"/>
      <c r="BK29" s="103"/>
      <c r="BL29" s="103"/>
      <c r="BM29" s="103"/>
      <c r="BN29" s="103"/>
      <c r="BO29" s="63"/>
      <c r="BP29" s="63"/>
      <c r="BQ29" s="63"/>
      <c r="BR29" s="63"/>
      <c r="BS29" s="103"/>
      <c r="BT29" s="103"/>
      <c r="BU29" s="103"/>
      <c r="BV29" s="103"/>
      <c r="BW29" s="63"/>
      <c r="BX29" s="63"/>
      <c r="BY29" s="63"/>
      <c r="BZ29" s="63"/>
      <c r="CA29" s="103"/>
      <c r="CB29" s="103"/>
      <c r="CC29" s="103"/>
      <c r="CD29" s="103"/>
      <c r="CE29" s="63"/>
      <c r="CF29" s="63"/>
      <c r="CG29" s="63"/>
      <c r="CH29" s="63"/>
      <c r="CI29" s="103"/>
      <c r="CJ29" s="103"/>
      <c r="CK29" s="103"/>
      <c r="CL29" s="103"/>
    </row>
    <row r="30" spans="2:90" ht="13" x14ac:dyDescent="0.15">
      <c r="B30" s="13"/>
      <c r="C30" s="13"/>
      <c r="D30" s="13"/>
      <c r="E30" s="13"/>
      <c r="F30" s="13"/>
      <c r="G30" s="103"/>
      <c r="H30" s="103"/>
      <c r="I30" s="103"/>
      <c r="J30" s="103"/>
      <c r="K30" s="63"/>
      <c r="L30" s="63"/>
      <c r="M30" s="63"/>
      <c r="N30" s="63"/>
      <c r="O30" s="103"/>
      <c r="P30" s="103"/>
      <c r="Q30" s="103"/>
      <c r="R30" s="103"/>
      <c r="S30" s="63"/>
      <c r="T30" s="63"/>
      <c r="U30" s="63"/>
      <c r="V30" s="63"/>
      <c r="W30" s="103"/>
      <c r="X30" s="103"/>
      <c r="Y30" s="103"/>
      <c r="Z30" s="103"/>
      <c r="AA30" s="63"/>
      <c r="AB30" s="63"/>
      <c r="AC30" s="63"/>
      <c r="AD30" s="63"/>
      <c r="AE30" s="103"/>
      <c r="AF30" s="103"/>
      <c r="AG30" s="103"/>
      <c r="AH30" s="103"/>
      <c r="AI30" s="63"/>
      <c r="AJ30" s="63"/>
      <c r="AK30" s="63"/>
      <c r="AL30" s="63"/>
      <c r="AM30" s="103"/>
      <c r="AN30" s="103"/>
      <c r="AO30" s="103"/>
      <c r="AP30" s="103"/>
      <c r="AQ30" s="63"/>
      <c r="AR30" s="63"/>
      <c r="AS30" s="63"/>
      <c r="AT30" s="63"/>
      <c r="AU30" s="103"/>
      <c r="AV30" s="103"/>
      <c r="AW30" s="103"/>
      <c r="AX30" s="103"/>
      <c r="AY30" s="63"/>
      <c r="AZ30" s="63"/>
      <c r="BA30" s="63"/>
      <c r="BB30" s="63"/>
      <c r="BC30" s="103"/>
      <c r="BD30" s="103"/>
      <c r="BE30" s="103"/>
      <c r="BF30" s="103"/>
      <c r="BG30" s="63"/>
      <c r="BH30" s="63"/>
      <c r="BI30" s="63"/>
      <c r="BJ30" s="63"/>
      <c r="BK30" s="103"/>
      <c r="BL30" s="103"/>
      <c r="BM30" s="103"/>
      <c r="BN30" s="103"/>
      <c r="BO30" s="63"/>
      <c r="BP30" s="63"/>
      <c r="BQ30" s="63"/>
      <c r="BR30" s="63"/>
      <c r="BS30" s="103"/>
      <c r="BT30" s="103"/>
      <c r="BU30" s="103"/>
      <c r="BV30" s="103"/>
      <c r="BW30" s="63"/>
      <c r="BX30" s="63"/>
      <c r="BY30" s="63"/>
      <c r="BZ30" s="63"/>
      <c r="CA30" s="103"/>
      <c r="CB30" s="103"/>
      <c r="CC30" s="103"/>
      <c r="CD30" s="103"/>
      <c r="CE30" s="63"/>
      <c r="CF30" s="63"/>
      <c r="CG30" s="63"/>
      <c r="CH30" s="63"/>
      <c r="CI30" s="103"/>
      <c r="CJ30" s="103"/>
      <c r="CK30" s="103"/>
      <c r="CL30" s="103"/>
    </row>
    <row r="31" spans="2:90" ht="13" x14ac:dyDescent="0.15">
      <c r="B31" s="13"/>
      <c r="C31" s="13"/>
      <c r="D31" s="13"/>
      <c r="E31" s="13"/>
      <c r="F31" s="13"/>
      <c r="G31" s="103"/>
      <c r="H31" s="103"/>
      <c r="I31" s="103"/>
      <c r="J31" s="103"/>
      <c r="K31" s="63"/>
      <c r="L31" s="63"/>
      <c r="M31" s="63"/>
      <c r="N31" s="63"/>
      <c r="O31" s="103"/>
      <c r="P31" s="103"/>
      <c r="Q31" s="103"/>
      <c r="R31" s="103"/>
      <c r="S31" s="63"/>
      <c r="T31" s="63"/>
      <c r="U31" s="63"/>
      <c r="V31" s="63"/>
      <c r="W31" s="103"/>
      <c r="X31" s="103"/>
      <c r="Y31" s="103"/>
      <c r="Z31" s="103"/>
      <c r="AA31" s="63"/>
      <c r="AB31" s="63"/>
      <c r="AC31" s="63"/>
      <c r="AD31" s="63"/>
      <c r="AE31" s="103"/>
      <c r="AF31" s="103"/>
      <c r="AG31" s="103"/>
      <c r="AH31" s="103"/>
      <c r="AI31" s="63"/>
      <c r="AJ31" s="63"/>
      <c r="AK31" s="63"/>
      <c r="AL31" s="63"/>
      <c r="AM31" s="103"/>
      <c r="AN31" s="103"/>
      <c r="AO31" s="103"/>
      <c r="AP31" s="103"/>
      <c r="AQ31" s="63"/>
      <c r="AR31" s="63"/>
      <c r="AS31" s="63"/>
      <c r="AT31" s="63"/>
      <c r="AU31" s="103"/>
      <c r="AV31" s="103"/>
      <c r="AW31" s="103"/>
      <c r="AX31" s="103"/>
      <c r="AY31" s="63"/>
      <c r="AZ31" s="63"/>
      <c r="BA31" s="63"/>
      <c r="BB31" s="63"/>
      <c r="BC31" s="103"/>
      <c r="BD31" s="103"/>
      <c r="BE31" s="103"/>
      <c r="BF31" s="103"/>
      <c r="BG31" s="63"/>
      <c r="BH31" s="63"/>
      <c r="BI31" s="63"/>
      <c r="BJ31" s="63"/>
      <c r="BK31" s="103"/>
      <c r="BL31" s="103"/>
      <c r="BM31" s="103"/>
      <c r="BN31" s="103"/>
      <c r="BO31" s="63"/>
      <c r="BP31" s="63"/>
      <c r="BQ31" s="63"/>
      <c r="BR31" s="63"/>
      <c r="BS31" s="103"/>
      <c r="BT31" s="103"/>
      <c r="BU31" s="103"/>
      <c r="BV31" s="103"/>
      <c r="BW31" s="63"/>
      <c r="BX31" s="63"/>
      <c r="BY31" s="63"/>
      <c r="BZ31" s="63"/>
      <c r="CA31" s="103"/>
      <c r="CB31" s="103"/>
      <c r="CC31" s="103"/>
      <c r="CD31" s="103"/>
      <c r="CE31" s="63"/>
      <c r="CF31" s="63"/>
      <c r="CG31" s="63"/>
      <c r="CH31" s="63"/>
      <c r="CI31" s="103"/>
      <c r="CJ31" s="103"/>
      <c r="CK31" s="103"/>
      <c r="CL31" s="103"/>
    </row>
    <row r="32" spans="2:90" ht="13" x14ac:dyDescent="0.15">
      <c r="B32" s="13"/>
      <c r="C32" s="13"/>
      <c r="D32" s="13"/>
      <c r="E32" s="13"/>
      <c r="F32" s="13"/>
      <c r="G32" s="103"/>
      <c r="H32" s="103"/>
      <c r="I32" s="103"/>
      <c r="J32" s="103"/>
      <c r="K32" s="63"/>
      <c r="L32" s="63"/>
      <c r="M32" s="63"/>
      <c r="N32" s="63"/>
      <c r="O32" s="103"/>
      <c r="P32" s="103"/>
      <c r="Q32" s="103"/>
      <c r="R32" s="103"/>
      <c r="S32" s="63"/>
      <c r="T32" s="63"/>
      <c r="U32" s="63"/>
      <c r="V32" s="63"/>
      <c r="W32" s="103"/>
      <c r="X32" s="103"/>
      <c r="Y32" s="103"/>
      <c r="Z32" s="103"/>
      <c r="AA32" s="63"/>
      <c r="AB32" s="63"/>
      <c r="AC32" s="63"/>
      <c r="AD32" s="63"/>
      <c r="AE32" s="103"/>
      <c r="AF32" s="103"/>
      <c r="AG32" s="103"/>
      <c r="AH32" s="103"/>
      <c r="AI32" s="63"/>
      <c r="AJ32" s="63"/>
      <c r="AK32" s="63"/>
      <c r="AL32" s="63"/>
      <c r="AM32" s="103"/>
      <c r="AN32" s="103"/>
      <c r="AO32" s="103"/>
      <c r="AP32" s="103"/>
      <c r="AQ32" s="63"/>
      <c r="AR32" s="63"/>
      <c r="AS32" s="63"/>
      <c r="AT32" s="63"/>
      <c r="AU32" s="103"/>
      <c r="AV32" s="103"/>
      <c r="AW32" s="103"/>
      <c r="AX32" s="103"/>
      <c r="AY32" s="63"/>
      <c r="AZ32" s="63"/>
      <c r="BA32" s="63"/>
      <c r="BB32" s="63"/>
      <c r="BC32" s="103"/>
      <c r="BD32" s="103"/>
      <c r="BE32" s="103"/>
      <c r="BF32" s="103"/>
      <c r="BG32" s="63"/>
      <c r="BH32" s="63"/>
      <c r="BI32" s="63"/>
      <c r="BJ32" s="63"/>
      <c r="BK32" s="103"/>
      <c r="BL32" s="103"/>
      <c r="BM32" s="103"/>
      <c r="BN32" s="103"/>
      <c r="BO32" s="63"/>
      <c r="BP32" s="63"/>
      <c r="BQ32" s="63"/>
      <c r="BR32" s="63"/>
      <c r="BS32" s="103"/>
      <c r="BT32" s="103"/>
      <c r="BU32" s="103"/>
      <c r="BV32" s="103"/>
      <c r="BW32" s="63"/>
      <c r="BX32" s="63"/>
      <c r="BY32" s="63"/>
      <c r="BZ32" s="63"/>
      <c r="CA32" s="103"/>
      <c r="CB32" s="103"/>
      <c r="CC32" s="103"/>
      <c r="CD32" s="103"/>
      <c r="CE32" s="63"/>
      <c r="CF32" s="63"/>
      <c r="CG32" s="63"/>
      <c r="CH32" s="63"/>
      <c r="CI32" s="103"/>
      <c r="CJ32" s="103"/>
      <c r="CK32" s="103"/>
      <c r="CL32" s="103"/>
    </row>
    <row r="33" spans="2:90" ht="13" x14ac:dyDescent="0.15">
      <c r="B33" s="13"/>
      <c r="C33" s="13"/>
      <c r="D33" s="13"/>
      <c r="E33" s="13"/>
      <c r="F33" s="13"/>
      <c r="G33" s="103"/>
      <c r="H33" s="103"/>
      <c r="I33" s="103"/>
      <c r="J33" s="103"/>
      <c r="K33" s="63"/>
      <c r="L33" s="63"/>
      <c r="M33" s="63"/>
      <c r="N33" s="63"/>
      <c r="O33" s="103"/>
      <c r="P33" s="103"/>
      <c r="Q33" s="103"/>
      <c r="R33" s="103"/>
      <c r="S33" s="63"/>
      <c r="T33" s="63"/>
      <c r="U33" s="63"/>
      <c r="V33" s="63"/>
      <c r="W33" s="103"/>
      <c r="X33" s="103"/>
      <c r="Y33" s="103"/>
      <c r="Z33" s="103"/>
      <c r="AA33" s="63"/>
      <c r="AB33" s="63"/>
      <c r="AC33" s="63"/>
      <c r="AD33" s="63"/>
      <c r="AE33" s="103"/>
      <c r="AF33" s="103"/>
      <c r="AG33" s="103"/>
      <c r="AH33" s="103"/>
      <c r="AI33" s="63"/>
      <c r="AJ33" s="63"/>
      <c r="AK33" s="63"/>
      <c r="AL33" s="63"/>
      <c r="AM33" s="103"/>
      <c r="AN33" s="103"/>
      <c r="AO33" s="103"/>
      <c r="AP33" s="103"/>
      <c r="AQ33" s="63"/>
      <c r="AR33" s="63"/>
      <c r="AS33" s="63"/>
      <c r="AT33" s="63"/>
      <c r="AU33" s="103"/>
      <c r="AV33" s="103"/>
      <c r="AW33" s="103"/>
      <c r="AX33" s="103"/>
      <c r="AY33" s="63"/>
      <c r="AZ33" s="63"/>
      <c r="BA33" s="63"/>
      <c r="BB33" s="63"/>
      <c r="BC33" s="103"/>
      <c r="BD33" s="103"/>
      <c r="BE33" s="103"/>
      <c r="BF33" s="103"/>
      <c r="BG33" s="63"/>
      <c r="BH33" s="63"/>
      <c r="BI33" s="63"/>
      <c r="BJ33" s="63"/>
      <c r="BK33" s="103"/>
      <c r="BL33" s="103"/>
      <c r="BM33" s="103"/>
      <c r="BN33" s="103"/>
      <c r="BO33" s="63"/>
      <c r="BP33" s="63"/>
      <c r="BQ33" s="63"/>
      <c r="BR33" s="63"/>
      <c r="BS33" s="103"/>
      <c r="BT33" s="103"/>
      <c r="BU33" s="103"/>
      <c r="BV33" s="103"/>
      <c r="BW33" s="63"/>
      <c r="BX33" s="63"/>
      <c r="BY33" s="63"/>
      <c r="BZ33" s="63"/>
      <c r="CA33" s="103"/>
      <c r="CB33" s="103"/>
      <c r="CC33" s="103"/>
      <c r="CD33" s="103"/>
      <c r="CE33" s="63"/>
      <c r="CF33" s="63"/>
      <c r="CG33" s="63"/>
      <c r="CH33" s="63"/>
      <c r="CI33" s="103"/>
      <c r="CJ33" s="103"/>
      <c r="CK33" s="103"/>
      <c r="CL33" s="103"/>
    </row>
    <row r="34" spans="2:90" ht="13" x14ac:dyDescent="0.15">
      <c r="B34" s="13"/>
      <c r="C34" s="13"/>
      <c r="D34" s="13"/>
      <c r="E34" s="13"/>
      <c r="F34" s="13"/>
      <c r="G34" s="103"/>
      <c r="H34" s="103"/>
      <c r="I34" s="103"/>
      <c r="J34" s="103"/>
      <c r="K34" s="63"/>
      <c r="L34" s="63"/>
      <c r="M34" s="63"/>
      <c r="N34" s="63"/>
      <c r="O34" s="103"/>
      <c r="P34" s="103"/>
      <c r="Q34" s="103"/>
      <c r="R34" s="103"/>
      <c r="S34" s="63"/>
      <c r="T34" s="63"/>
      <c r="U34" s="63"/>
      <c r="V34" s="63"/>
      <c r="W34" s="103"/>
      <c r="X34" s="103"/>
      <c r="Y34" s="103"/>
      <c r="Z34" s="103"/>
      <c r="AA34" s="63"/>
      <c r="AB34" s="63"/>
      <c r="AC34" s="63"/>
      <c r="AD34" s="63"/>
      <c r="AE34" s="103"/>
      <c r="AF34" s="103"/>
      <c r="AG34" s="103"/>
      <c r="AH34" s="103"/>
      <c r="AI34" s="63"/>
      <c r="AJ34" s="63"/>
      <c r="AK34" s="63"/>
      <c r="AL34" s="63"/>
      <c r="AM34" s="103"/>
      <c r="AN34" s="103"/>
      <c r="AO34" s="103"/>
      <c r="AP34" s="103"/>
      <c r="AQ34" s="63"/>
      <c r="AR34" s="63"/>
      <c r="AS34" s="63"/>
      <c r="AT34" s="63"/>
      <c r="AU34" s="103"/>
      <c r="AV34" s="103"/>
      <c r="AW34" s="103"/>
      <c r="AX34" s="103"/>
      <c r="AY34" s="63"/>
      <c r="AZ34" s="63"/>
      <c r="BA34" s="63"/>
      <c r="BB34" s="63"/>
      <c r="BC34" s="103"/>
      <c r="BD34" s="103"/>
      <c r="BE34" s="103"/>
      <c r="BF34" s="103"/>
      <c r="BG34" s="63"/>
      <c r="BH34" s="63"/>
      <c r="BI34" s="63"/>
      <c r="BJ34" s="63"/>
      <c r="BK34" s="103"/>
      <c r="BL34" s="103"/>
      <c r="BM34" s="103"/>
      <c r="BN34" s="103"/>
      <c r="BO34" s="63"/>
      <c r="BP34" s="63"/>
      <c r="BQ34" s="63"/>
      <c r="BR34" s="63"/>
      <c r="BS34" s="103"/>
      <c r="BT34" s="103"/>
      <c r="BU34" s="103"/>
      <c r="BV34" s="103"/>
      <c r="BW34" s="63"/>
      <c r="BX34" s="63"/>
      <c r="BY34" s="63"/>
      <c r="BZ34" s="63"/>
      <c r="CA34" s="103"/>
      <c r="CB34" s="103"/>
      <c r="CC34" s="103"/>
      <c r="CD34" s="103"/>
      <c r="CE34" s="63"/>
      <c r="CF34" s="63"/>
      <c r="CG34" s="63"/>
      <c r="CH34" s="63"/>
      <c r="CI34" s="103"/>
      <c r="CJ34" s="103"/>
      <c r="CK34" s="103"/>
      <c r="CL34" s="103"/>
    </row>
    <row r="35" spans="2:90" ht="13" x14ac:dyDescent="0.15">
      <c r="B35" s="13"/>
      <c r="C35" s="13"/>
      <c r="D35" s="13"/>
      <c r="E35" s="13"/>
      <c r="F35" s="13"/>
      <c r="G35" s="103"/>
      <c r="H35" s="103"/>
      <c r="I35" s="103"/>
      <c r="J35" s="103"/>
      <c r="K35" s="63"/>
      <c r="L35" s="63"/>
      <c r="M35" s="63"/>
      <c r="N35" s="63"/>
      <c r="O35" s="103"/>
      <c r="P35" s="103"/>
      <c r="Q35" s="103"/>
      <c r="R35" s="103"/>
      <c r="S35" s="63"/>
      <c r="T35" s="63"/>
      <c r="U35" s="63"/>
      <c r="V35" s="63"/>
      <c r="W35" s="103"/>
      <c r="X35" s="103"/>
      <c r="Y35" s="103"/>
      <c r="Z35" s="103"/>
      <c r="AA35" s="63"/>
      <c r="AB35" s="63"/>
      <c r="AC35" s="63"/>
      <c r="AD35" s="63"/>
      <c r="AE35" s="103"/>
      <c r="AF35" s="103"/>
      <c r="AG35" s="103"/>
      <c r="AH35" s="103"/>
      <c r="AI35" s="63"/>
      <c r="AJ35" s="63"/>
      <c r="AK35" s="63"/>
      <c r="AL35" s="63"/>
      <c r="AM35" s="103"/>
      <c r="AN35" s="103"/>
      <c r="AO35" s="103"/>
      <c r="AP35" s="103"/>
      <c r="AQ35" s="63"/>
      <c r="AR35" s="63"/>
      <c r="AS35" s="63"/>
      <c r="AT35" s="63"/>
      <c r="AU35" s="103"/>
      <c r="AV35" s="103"/>
      <c r="AW35" s="103"/>
      <c r="AX35" s="103"/>
      <c r="AY35" s="63"/>
      <c r="AZ35" s="63"/>
      <c r="BA35" s="63"/>
      <c r="BB35" s="63"/>
      <c r="BC35" s="103"/>
      <c r="BD35" s="103"/>
      <c r="BE35" s="103"/>
      <c r="BF35" s="103"/>
      <c r="BG35" s="63"/>
      <c r="BH35" s="63"/>
      <c r="BI35" s="63"/>
      <c r="BJ35" s="63"/>
      <c r="BK35" s="103"/>
      <c r="BL35" s="103"/>
      <c r="BM35" s="103"/>
      <c r="BN35" s="103"/>
      <c r="BO35" s="63"/>
      <c r="BP35" s="63"/>
      <c r="BQ35" s="63"/>
      <c r="BR35" s="63"/>
      <c r="BS35" s="103"/>
      <c r="BT35" s="103"/>
      <c r="BU35" s="103"/>
      <c r="BV35" s="103"/>
      <c r="BW35" s="63"/>
      <c r="BX35" s="63"/>
      <c r="BY35" s="63"/>
      <c r="BZ35" s="63"/>
      <c r="CA35" s="103"/>
      <c r="CB35" s="103"/>
      <c r="CC35" s="103"/>
      <c r="CD35" s="103"/>
      <c r="CE35" s="63"/>
      <c r="CF35" s="63"/>
      <c r="CG35" s="63"/>
      <c r="CH35" s="63"/>
      <c r="CI35" s="103"/>
      <c r="CJ35" s="103"/>
      <c r="CK35" s="103"/>
      <c r="CL35" s="103"/>
    </row>
    <row r="36" spans="2:90" ht="13" x14ac:dyDescent="0.15">
      <c r="B36" s="13"/>
      <c r="C36" s="13"/>
      <c r="D36" s="13"/>
      <c r="E36" s="13"/>
      <c r="F36" s="13"/>
      <c r="G36" s="103"/>
      <c r="H36" s="103"/>
      <c r="I36" s="103"/>
      <c r="J36" s="103"/>
      <c r="K36" s="63"/>
      <c r="L36" s="63"/>
      <c r="M36" s="63"/>
      <c r="N36" s="63"/>
      <c r="O36" s="103"/>
      <c r="P36" s="103"/>
      <c r="Q36" s="103"/>
      <c r="R36" s="103"/>
      <c r="S36" s="63"/>
      <c r="T36" s="63"/>
      <c r="U36" s="63"/>
      <c r="V36" s="63"/>
      <c r="W36" s="103"/>
      <c r="X36" s="103"/>
      <c r="Y36" s="103"/>
      <c r="Z36" s="103"/>
      <c r="AA36" s="63"/>
      <c r="AB36" s="63"/>
      <c r="AC36" s="63"/>
      <c r="AD36" s="63"/>
      <c r="AE36" s="103"/>
      <c r="AF36" s="103"/>
      <c r="AG36" s="103"/>
      <c r="AH36" s="103"/>
      <c r="AI36" s="63"/>
      <c r="AJ36" s="63"/>
      <c r="AK36" s="63"/>
      <c r="AL36" s="63"/>
      <c r="AM36" s="103"/>
      <c r="AN36" s="103"/>
      <c r="AO36" s="103"/>
      <c r="AP36" s="103"/>
      <c r="AQ36" s="63"/>
      <c r="AR36" s="63"/>
      <c r="AS36" s="63"/>
      <c r="AT36" s="63"/>
      <c r="AU36" s="103"/>
      <c r="AV36" s="103"/>
      <c r="AW36" s="103"/>
      <c r="AX36" s="103"/>
      <c r="AY36" s="63"/>
      <c r="AZ36" s="63"/>
      <c r="BA36" s="63"/>
      <c r="BB36" s="63"/>
      <c r="BC36" s="103"/>
      <c r="BD36" s="103"/>
      <c r="BE36" s="103"/>
      <c r="BF36" s="103"/>
      <c r="BG36" s="63"/>
      <c r="BH36" s="63"/>
      <c r="BI36" s="63"/>
      <c r="BJ36" s="63"/>
      <c r="BK36" s="103"/>
      <c r="BL36" s="103"/>
      <c r="BM36" s="103"/>
      <c r="BN36" s="103"/>
      <c r="BO36" s="63"/>
      <c r="BP36" s="63"/>
      <c r="BQ36" s="63"/>
      <c r="BR36" s="63"/>
      <c r="BS36" s="103"/>
      <c r="BT36" s="103"/>
      <c r="BU36" s="103"/>
      <c r="BV36" s="103"/>
      <c r="BW36" s="63"/>
      <c r="BX36" s="63"/>
      <c r="BY36" s="63"/>
      <c r="BZ36" s="63"/>
      <c r="CA36" s="103"/>
      <c r="CB36" s="103"/>
      <c r="CC36" s="103"/>
      <c r="CD36" s="103"/>
      <c r="CE36" s="63"/>
      <c r="CF36" s="63"/>
      <c r="CG36" s="63"/>
      <c r="CH36" s="63"/>
      <c r="CI36" s="103"/>
      <c r="CJ36" s="103"/>
      <c r="CK36" s="103"/>
      <c r="CL36" s="103"/>
    </row>
    <row r="37" spans="2:90" ht="13" x14ac:dyDescent="0.15">
      <c r="B37" s="13"/>
      <c r="C37" s="13"/>
      <c r="D37" s="13"/>
      <c r="E37" s="13"/>
      <c r="F37" s="13"/>
      <c r="G37" s="103"/>
      <c r="H37" s="103"/>
      <c r="I37" s="103"/>
      <c r="J37" s="103"/>
      <c r="K37" s="63"/>
      <c r="L37" s="63"/>
      <c r="M37" s="63"/>
      <c r="N37" s="63"/>
      <c r="O37" s="103"/>
      <c r="P37" s="103"/>
      <c r="Q37" s="103"/>
      <c r="R37" s="103"/>
      <c r="S37" s="63"/>
      <c r="T37" s="63"/>
      <c r="U37" s="63"/>
      <c r="V37" s="63"/>
      <c r="W37" s="103"/>
      <c r="X37" s="103"/>
      <c r="Y37" s="103"/>
      <c r="Z37" s="103"/>
      <c r="AA37" s="63"/>
      <c r="AB37" s="63"/>
      <c r="AC37" s="63"/>
      <c r="AD37" s="63"/>
      <c r="AE37" s="103"/>
      <c r="AF37" s="103"/>
      <c r="AG37" s="103"/>
      <c r="AH37" s="103"/>
      <c r="AI37" s="63"/>
      <c r="AJ37" s="63"/>
      <c r="AK37" s="63"/>
      <c r="AL37" s="63"/>
      <c r="AM37" s="103"/>
      <c r="AN37" s="103"/>
      <c r="AO37" s="103"/>
      <c r="AP37" s="103"/>
      <c r="AQ37" s="63"/>
      <c r="AR37" s="63"/>
      <c r="AS37" s="63"/>
      <c r="AT37" s="63"/>
      <c r="AU37" s="103"/>
      <c r="AV37" s="103"/>
      <c r="AW37" s="103"/>
      <c r="AX37" s="103"/>
      <c r="AY37" s="63"/>
      <c r="AZ37" s="63"/>
      <c r="BA37" s="63"/>
      <c r="BB37" s="63"/>
      <c r="BC37" s="103"/>
      <c r="BD37" s="103"/>
      <c r="BE37" s="103"/>
      <c r="BF37" s="103"/>
      <c r="BG37" s="63"/>
      <c r="BH37" s="63"/>
      <c r="BI37" s="63"/>
      <c r="BJ37" s="63"/>
      <c r="BK37" s="103"/>
      <c r="BL37" s="103"/>
      <c r="BM37" s="103"/>
      <c r="BN37" s="103"/>
      <c r="BO37" s="63"/>
      <c r="BP37" s="63"/>
      <c r="BQ37" s="63"/>
      <c r="BR37" s="63"/>
      <c r="BS37" s="103"/>
      <c r="BT37" s="103"/>
      <c r="BU37" s="103"/>
      <c r="BV37" s="103"/>
      <c r="BW37" s="63"/>
      <c r="BX37" s="63"/>
      <c r="BY37" s="63"/>
      <c r="BZ37" s="63"/>
      <c r="CA37" s="103"/>
      <c r="CB37" s="103"/>
      <c r="CC37" s="103"/>
      <c r="CD37" s="103"/>
      <c r="CE37" s="63"/>
      <c r="CF37" s="63"/>
      <c r="CG37" s="63"/>
      <c r="CH37" s="63"/>
      <c r="CI37" s="103"/>
      <c r="CJ37" s="103"/>
      <c r="CK37" s="103"/>
      <c r="CL37" s="103"/>
    </row>
    <row r="38" spans="2:90" ht="13" x14ac:dyDescent="0.15">
      <c r="B38" s="13"/>
      <c r="C38" s="13"/>
      <c r="D38" s="13"/>
      <c r="E38" s="13"/>
      <c r="F38" s="13"/>
      <c r="G38" s="103"/>
      <c r="H38" s="103"/>
      <c r="I38" s="103"/>
      <c r="J38" s="103"/>
      <c r="K38" s="63"/>
      <c r="L38" s="63"/>
      <c r="M38" s="63"/>
      <c r="N38" s="63"/>
      <c r="O38" s="103"/>
      <c r="P38" s="103"/>
      <c r="Q38" s="103"/>
      <c r="R38" s="103"/>
      <c r="S38" s="63"/>
      <c r="T38" s="63"/>
      <c r="U38" s="63"/>
      <c r="V38" s="63"/>
      <c r="W38" s="103"/>
      <c r="X38" s="103"/>
      <c r="Y38" s="103"/>
      <c r="Z38" s="103"/>
      <c r="AA38" s="63"/>
      <c r="AB38" s="63"/>
      <c r="AC38" s="63"/>
      <c r="AD38" s="63"/>
      <c r="AE38" s="103"/>
      <c r="AF38" s="103"/>
      <c r="AG38" s="103"/>
      <c r="AH38" s="103"/>
      <c r="AI38" s="63"/>
      <c r="AJ38" s="63"/>
      <c r="AK38" s="63"/>
      <c r="AL38" s="63"/>
      <c r="AM38" s="103"/>
      <c r="AN38" s="103"/>
      <c r="AO38" s="103"/>
      <c r="AP38" s="103"/>
      <c r="AQ38" s="63"/>
      <c r="AR38" s="63"/>
      <c r="AS38" s="63"/>
      <c r="AT38" s="63"/>
      <c r="AU38" s="103"/>
      <c r="AV38" s="103"/>
      <c r="AW38" s="103"/>
      <c r="AX38" s="103"/>
      <c r="AY38" s="63"/>
      <c r="AZ38" s="63"/>
      <c r="BA38" s="63"/>
      <c r="BB38" s="63"/>
      <c r="BC38" s="103"/>
      <c r="BD38" s="103"/>
      <c r="BE38" s="103"/>
      <c r="BF38" s="103"/>
      <c r="BG38" s="63"/>
      <c r="BH38" s="63"/>
      <c r="BI38" s="63"/>
      <c r="BJ38" s="63"/>
      <c r="BK38" s="103"/>
      <c r="BL38" s="103"/>
      <c r="BM38" s="103"/>
      <c r="BN38" s="103"/>
      <c r="BO38" s="63"/>
      <c r="BP38" s="63"/>
      <c r="BQ38" s="63"/>
      <c r="BR38" s="63"/>
      <c r="BS38" s="103"/>
      <c r="BT38" s="103"/>
      <c r="BU38" s="103"/>
      <c r="BV38" s="103"/>
      <c r="BW38" s="63"/>
      <c r="BX38" s="63"/>
      <c r="BY38" s="63"/>
      <c r="BZ38" s="63"/>
      <c r="CA38" s="103"/>
      <c r="CB38" s="103"/>
      <c r="CC38" s="103"/>
      <c r="CD38" s="103"/>
      <c r="CE38" s="63"/>
      <c r="CF38" s="63"/>
      <c r="CG38" s="63"/>
      <c r="CH38" s="63"/>
      <c r="CI38" s="103"/>
      <c r="CJ38" s="103"/>
      <c r="CK38" s="103"/>
      <c r="CL38" s="103"/>
    </row>
    <row r="39" spans="2:90" ht="13" x14ac:dyDescent="0.15">
      <c r="B39" s="13"/>
      <c r="C39" s="13"/>
      <c r="D39" s="13"/>
      <c r="E39" s="13"/>
      <c r="F39" s="13"/>
      <c r="G39" s="103"/>
      <c r="H39" s="103"/>
      <c r="I39" s="103"/>
      <c r="J39" s="103"/>
      <c r="K39" s="63"/>
      <c r="L39" s="63"/>
      <c r="M39" s="63"/>
      <c r="N39" s="63"/>
      <c r="O39" s="103"/>
      <c r="P39" s="103"/>
      <c r="Q39" s="103"/>
      <c r="R39" s="103"/>
      <c r="S39" s="63"/>
      <c r="T39" s="63"/>
      <c r="U39" s="63"/>
      <c r="V39" s="63"/>
      <c r="W39" s="103"/>
      <c r="X39" s="103"/>
      <c r="Y39" s="103"/>
      <c r="Z39" s="103"/>
      <c r="AA39" s="63"/>
      <c r="AB39" s="63"/>
      <c r="AC39" s="63"/>
      <c r="AD39" s="63"/>
      <c r="AE39" s="103"/>
      <c r="AF39" s="103"/>
      <c r="AG39" s="103"/>
      <c r="AH39" s="103"/>
      <c r="AI39" s="63"/>
      <c r="AJ39" s="63"/>
      <c r="AK39" s="63"/>
      <c r="AL39" s="63"/>
      <c r="AM39" s="103"/>
      <c r="AN39" s="103"/>
      <c r="AO39" s="103"/>
      <c r="AP39" s="103"/>
      <c r="AQ39" s="63"/>
      <c r="AR39" s="63"/>
      <c r="AS39" s="63"/>
      <c r="AT39" s="63"/>
      <c r="AU39" s="103"/>
      <c r="AV39" s="103"/>
      <c r="AW39" s="103"/>
      <c r="AX39" s="103"/>
      <c r="AY39" s="63"/>
      <c r="AZ39" s="63"/>
      <c r="BA39" s="63"/>
      <c r="BB39" s="63"/>
      <c r="BC39" s="103"/>
      <c r="BD39" s="103"/>
      <c r="BE39" s="103"/>
      <c r="BF39" s="103"/>
      <c r="BG39" s="63"/>
      <c r="BH39" s="63"/>
      <c r="BI39" s="63"/>
      <c r="BJ39" s="63"/>
      <c r="BK39" s="103"/>
      <c r="BL39" s="103"/>
      <c r="BM39" s="103"/>
      <c r="BN39" s="103"/>
      <c r="BO39" s="63"/>
      <c r="BP39" s="63"/>
      <c r="BQ39" s="63"/>
      <c r="BR39" s="63"/>
      <c r="BS39" s="103"/>
      <c r="BT39" s="103"/>
      <c r="BU39" s="103"/>
      <c r="BV39" s="103"/>
      <c r="BW39" s="63"/>
      <c r="BX39" s="63"/>
      <c r="BY39" s="63"/>
      <c r="BZ39" s="63"/>
      <c r="CA39" s="103"/>
      <c r="CB39" s="103"/>
      <c r="CC39" s="103"/>
      <c r="CD39" s="103"/>
      <c r="CE39" s="63"/>
      <c r="CF39" s="63"/>
      <c r="CG39" s="63"/>
      <c r="CH39" s="63"/>
      <c r="CI39" s="103"/>
      <c r="CJ39" s="103"/>
      <c r="CK39" s="103"/>
      <c r="CL39" s="103"/>
    </row>
    <row r="40" spans="2:90" ht="13" x14ac:dyDescent="0.15">
      <c r="B40" s="13"/>
      <c r="C40" s="13"/>
      <c r="D40" s="13"/>
      <c r="E40" s="13"/>
      <c r="F40" s="13"/>
      <c r="G40" s="103"/>
      <c r="H40" s="103"/>
      <c r="I40" s="103"/>
      <c r="J40" s="103"/>
      <c r="K40" s="63"/>
      <c r="L40" s="63"/>
      <c r="M40" s="63"/>
      <c r="N40" s="63"/>
      <c r="O40" s="103"/>
      <c r="P40" s="103"/>
      <c r="Q40" s="103"/>
      <c r="R40" s="103"/>
      <c r="S40" s="63"/>
      <c r="T40" s="63"/>
      <c r="U40" s="63"/>
      <c r="V40" s="63"/>
      <c r="W40" s="103"/>
      <c r="X40" s="103"/>
      <c r="Y40" s="103"/>
      <c r="Z40" s="103"/>
      <c r="AA40" s="63"/>
      <c r="AB40" s="63"/>
      <c r="AC40" s="63"/>
      <c r="AD40" s="63"/>
      <c r="AE40" s="103"/>
      <c r="AF40" s="103"/>
      <c r="AG40" s="103"/>
      <c r="AH40" s="103"/>
      <c r="AI40" s="63"/>
      <c r="AJ40" s="63"/>
      <c r="AK40" s="63"/>
      <c r="AL40" s="63"/>
      <c r="AM40" s="103"/>
      <c r="AN40" s="103"/>
      <c r="AO40" s="103"/>
      <c r="AP40" s="103"/>
      <c r="AQ40" s="63"/>
      <c r="AR40" s="63"/>
      <c r="AS40" s="63"/>
      <c r="AT40" s="63"/>
      <c r="AU40" s="103"/>
      <c r="AV40" s="103"/>
      <c r="AW40" s="103"/>
      <c r="AX40" s="103"/>
      <c r="AY40" s="63"/>
      <c r="AZ40" s="63"/>
      <c r="BA40" s="63"/>
      <c r="BB40" s="63"/>
      <c r="BC40" s="103"/>
      <c r="BD40" s="103"/>
      <c r="BE40" s="103"/>
      <c r="BF40" s="103"/>
      <c r="BG40" s="63"/>
      <c r="BH40" s="63"/>
      <c r="BI40" s="63"/>
      <c r="BJ40" s="63"/>
      <c r="BK40" s="103"/>
      <c r="BL40" s="103"/>
      <c r="BM40" s="103"/>
      <c r="BN40" s="103"/>
      <c r="BO40" s="63"/>
      <c r="BP40" s="63"/>
      <c r="BQ40" s="63"/>
      <c r="BR40" s="63"/>
      <c r="BS40" s="103"/>
      <c r="BT40" s="103"/>
      <c r="BU40" s="103"/>
      <c r="BV40" s="103"/>
      <c r="BW40" s="63"/>
      <c r="BX40" s="63"/>
      <c r="BY40" s="63"/>
      <c r="BZ40" s="63"/>
      <c r="CA40" s="103"/>
      <c r="CB40" s="103"/>
      <c r="CC40" s="103"/>
      <c r="CD40" s="103"/>
      <c r="CE40" s="63"/>
      <c r="CF40" s="63"/>
      <c r="CG40" s="63"/>
      <c r="CH40" s="63"/>
      <c r="CI40" s="103"/>
      <c r="CJ40" s="103"/>
      <c r="CK40" s="103"/>
      <c r="CL40" s="103"/>
    </row>
    <row r="41" spans="2:90" ht="13" x14ac:dyDescent="0.15">
      <c r="B41" s="13"/>
      <c r="C41" s="13"/>
      <c r="D41" s="13"/>
      <c r="E41" s="13"/>
      <c r="F41" s="13"/>
      <c r="G41" s="103"/>
      <c r="H41" s="103"/>
      <c r="I41" s="103"/>
      <c r="J41" s="103"/>
      <c r="K41" s="63"/>
      <c r="L41" s="63"/>
      <c r="M41" s="63"/>
      <c r="N41" s="63"/>
      <c r="O41" s="103"/>
      <c r="P41" s="103"/>
      <c r="Q41" s="103"/>
      <c r="R41" s="103"/>
      <c r="S41" s="63"/>
      <c r="T41" s="63"/>
      <c r="U41" s="63"/>
      <c r="V41" s="63"/>
      <c r="W41" s="103"/>
      <c r="X41" s="103"/>
      <c r="Y41" s="103"/>
      <c r="Z41" s="103"/>
      <c r="AA41" s="63"/>
      <c r="AB41" s="63"/>
      <c r="AC41" s="63"/>
      <c r="AD41" s="63"/>
      <c r="AE41" s="103"/>
      <c r="AF41" s="103"/>
      <c r="AG41" s="103"/>
      <c r="AH41" s="103"/>
      <c r="AI41" s="63"/>
      <c r="AJ41" s="63"/>
      <c r="AK41" s="63"/>
      <c r="AL41" s="63"/>
      <c r="AM41" s="103"/>
      <c r="AN41" s="103"/>
      <c r="AO41" s="103"/>
      <c r="AP41" s="103"/>
      <c r="AQ41" s="63"/>
      <c r="AR41" s="63"/>
      <c r="AS41" s="63"/>
      <c r="AT41" s="63"/>
      <c r="AU41" s="103"/>
      <c r="AV41" s="103"/>
      <c r="AW41" s="103"/>
      <c r="AX41" s="103"/>
      <c r="AY41" s="63"/>
      <c r="AZ41" s="63"/>
      <c r="BA41" s="63"/>
      <c r="BB41" s="63"/>
      <c r="BC41" s="103"/>
      <c r="BD41" s="103"/>
      <c r="BE41" s="103"/>
      <c r="BF41" s="103"/>
      <c r="BG41" s="63"/>
      <c r="BH41" s="63"/>
      <c r="BI41" s="63"/>
      <c r="BJ41" s="63"/>
      <c r="BK41" s="103"/>
      <c r="BL41" s="103"/>
      <c r="BM41" s="103"/>
      <c r="BN41" s="103"/>
      <c r="BO41" s="63"/>
      <c r="BP41" s="63"/>
      <c r="BQ41" s="63"/>
      <c r="BR41" s="63"/>
      <c r="BS41" s="103"/>
      <c r="BT41" s="103"/>
      <c r="BU41" s="103"/>
      <c r="BV41" s="103"/>
      <c r="BW41" s="63"/>
      <c r="BX41" s="63"/>
      <c r="BY41" s="63"/>
      <c r="BZ41" s="63"/>
      <c r="CA41" s="103"/>
      <c r="CB41" s="103"/>
      <c r="CC41" s="103"/>
      <c r="CD41" s="103"/>
      <c r="CE41" s="63"/>
      <c r="CF41" s="63"/>
      <c r="CG41" s="63"/>
      <c r="CH41" s="63"/>
      <c r="CI41" s="103"/>
      <c r="CJ41" s="103"/>
      <c r="CK41" s="103"/>
      <c r="CL41" s="103"/>
    </row>
    <row r="42" spans="2:90" ht="13" x14ac:dyDescent="0.15">
      <c r="B42" s="13"/>
      <c r="C42" s="13"/>
      <c r="D42" s="13"/>
      <c r="E42" s="13"/>
      <c r="F42" s="13"/>
      <c r="G42" s="103"/>
      <c r="H42" s="103"/>
      <c r="I42" s="103"/>
      <c r="J42" s="103"/>
      <c r="K42" s="63"/>
      <c r="L42" s="63"/>
      <c r="M42" s="63"/>
      <c r="N42" s="63"/>
      <c r="O42" s="103"/>
      <c r="P42" s="103"/>
      <c r="Q42" s="103"/>
      <c r="R42" s="103"/>
      <c r="S42" s="63"/>
      <c r="T42" s="63"/>
      <c r="U42" s="63"/>
      <c r="V42" s="63"/>
      <c r="W42" s="103"/>
      <c r="X42" s="103"/>
      <c r="Y42" s="103"/>
      <c r="Z42" s="103"/>
      <c r="AA42" s="63"/>
      <c r="AB42" s="63"/>
      <c r="AC42" s="63"/>
      <c r="AD42" s="63"/>
      <c r="AE42" s="103"/>
      <c r="AF42" s="103"/>
      <c r="AG42" s="103"/>
      <c r="AH42" s="103"/>
      <c r="AI42" s="63"/>
      <c r="AJ42" s="63"/>
      <c r="AK42" s="63"/>
      <c r="AL42" s="63"/>
      <c r="AM42" s="103"/>
      <c r="AN42" s="103"/>
      <c r="AO42" s="103"/>
      <c r="AP42" s="103"/>
      <c r="AQ42" s="63"/>
      <c r="AR42" s="63"/>
      <c r="AS42" s="63"/>
      <c r="AT42" s="63"/>
      <c r="AU42" s="103"/>
      <c r="AV42" s="103"/>
      <c r="AW42" s="103"/>
      <c r="AX42" s="103"/>
      <c r="AY42" s="63"/>
      <c r="AZ42" s="63"/>
      <c r="BA42" s="63"/>
      <c r="BB42" s="63"/>
      <c r="BC42" s="103"/>
      <c r="BD42" s="103"/>
      <c r="BE42" s="103"/>
      <c r="BF42" s="103"/>
      <c r="BG42" s="63"/>
      <c r="BH42" s="63"/>
      <c r="BI42" s="63"/>
      <c r="BJ42" s="63"/>
      <c r="BK42" s="103"/>
      <c r="BL42" s="103"/>
      <c r="BM42" s="103"/>
      <c r="BN42" s="103"/>
      <c r="BO42" s="63"/>
      <c r="BP42" s="63"/>
      <c r="BQ42" s="63"/>
      <c r="BR42" s="63"/>
      <c r="BS42" s="103"/>
      <c r="BT42" s="103"/>
      <c r="BU42" s="103"/>
      <c r="BV42" s="103"/>
      <c r="BW42" s="63"/>
      <c r="BX42" s="63"/>
      <c r="BY42" s="63"/>
      <c r="BZ42" s="63"/>
      <c r="CA42" s="103"/>
      <c r="CB42" s="103"/>
      <c r="CC42" s="103"/>
      <c r="CD42" s="103"/>
      <c r="CE42" s="63"/>
      <c r="CF42" s="63"/>
      <c r="CG42" s="63"/>
      <c r="CH42" s="63"/>
      <c r="CI42" s="103"/>
      <c r="CJ42" s="103"/>
      <c r="CK42" s="103"/>
      <c r="CL42" s="103"/>
    </row>
    <row r="43" spans="2:90" ht="13" x14ac:dyDescent="0.15">
      <c r="B43" s="13"/>
      <c r="C43" s="13"/>
      <c r="D43" s="13"/>
      <c r="E43" s="13"/>
      <c r="F43" s="13"/>
      <c r="G43" s="103"/>
      <c r="H43" s="103"/>
      <c r="I43" s="103"/>
      <c r="J43" s="103"/>
      <c r="K43" s="63"/>
      <c r="L43" s="63"/>
      <c r="M43" s="63"/>
      <c r="N43" s="63"/>
      <c r="O43" s="103"/>
      <c r="P43" s="103"/>
      <c r="Q43" s="103"/>
      <c r="R43" s="103"/>
      <c r="S43" s="63"/>
      <c r="T43" s="63"/>
      <c r="U43" s="63"/>
      <c r="V43" s="63"/>
      <c r="W43" s="103"/>
      <c r="X43" s="103"/>
      <c r="Y43" s="103"/>
      <c r="Z43" s="103"/>
      <c r="AA43" s="63"/>
      <c r="AB43" s="63"/>
      <c r="AC43" s="63"/>
      <c r="AD43" s="63"/>
      <c r="AE43" s="103"/>
      <c r="AF43" s="103"/>
      <c r="AG43" s="103"/>
      <c r="AH43" s="103"/>
      <c r="AI43" s="63"/>
      <c r="AJ43" s="63"/>
      <c r="AK43" s="63"/>
      <c r="AL43" s="63"/>
      <c r="AM43" s="103"/>
      <c r="AN43" s="103"/>
      <c r="AO43" s="103"/>
      <c r="AP43" s="103"/>
      <c r="AQ43" s="63"/>
      <c r="AR43" s="63"/>
      <c r="AS43" s="63"/>
      <c r="AT43" s="63"/>
      <c r="AU43" s="103"/>
      <c r="AV43" s="103"/>
      <c r="AW43" s="103"/>
      <c r="AX43" s="103"/>
      <c r="AY43" s="63"/>
      <c r="AZ43" s="63"/>
      <c r="BA43" s="63"/>
      <c r="BB43" s="63"/>
      <c r="BC43" s="103"/>
      <c r="BD43" s="103"/>
      <c r="BE43" s="103"/>
      <c r="BF43" s="103"/>
      <c r="BG43" s="63"/>
      <c r="BH43" s="63"/>
      <c r="BI43" s="63"/>
      <c r="BJ43" s="63"/>
      <c r="BK43" s="103"/>
      <c r="BL43" s="103"/>
      <c r="BM43" s="103"/>
      <c r="BN43" s="103"/>
      <c r="BO43" s="63"/>
      <c r="BP43" s="63"/>
      <c r="BQ43" s="63"/>
      <c r="BR43" s="63"/>
      <c r="BS43" s="103"/>
      <c r="BT43" s="103"/>
      <c r="BU43" s="103"/>
      <c r="BV43" s="103"/>
      <c r="BW43" s="63"/>
      <c r="BX43" s="63"/>
      <c r="BY43" s="63"/>
      <c r="BZ43" s="63"/>
      <c r="CA43" s="103"/>
      <c r="CB43" s="103"/>
      <c r="CC43" s="103"/>
      <c r="CD43" s="103"/>
      <c r="CE43" s="63"/>
      <c r="CF43" s="63"/>
      <c r="CG43" s="63"/>
      <c r="CH43" s="63"/>
      <c r="CI43" s="103"/>
      <c r="CJ43" s="103"/>
      <c r="CK43" s="103"/>
      <c r="CL43" s="103"/>
    </row>
    <row r="44" spans="2:90" ht="13" x14ac:dyDescent="0.15">
      <c r="B44" s="13"/>
      <c r="C44" s="13"/>
      <c r="D44" s="13"/>
      <c r="E44" s="13"/>
      <c r="F44" s="13"/>
      <c r="G44" s="103"/>
      <c r="H44" s="103"/>
      <c r="I44" s="103"/>
      <c r="J44" s="103"/>
      <c r="K44" s="63"/>
      <c r="L44" s="63"/>
      <c r="M44" s="63"/>
      <c r="N44" s="63"/>
      <c r="O44" s="103"/>
      <c r="P44" s="103"/>
      <c r="Q44" s="103"/>
      <c r="R44" s="103"/>
      <c r="S44" s="63"/>
      <c r="T44" s="63"/>
      <c r="U44" s="63"/>
      <c r="V44" s="63"/>
      <c r="W44" s="103"/>
      <c r="X44" s="103"/>
      <c r="Y44" s="103"/>
      <c r="Z44" s="103"/>
      <c r="AA44" s="63"/>
      <c r="AB44" s="63"/>
      <c r="AC44" s="63"/>
      <c r="AD44" s="63"/>
      <c r="AE44" s="103"/>
      <c r="AF44" s="103"/>
      <c r="AG44" s="103"/>
      <c r="AH44" s="103"/>
      <c r="AI44" s="63"/>
      <c r="AJ44" s="63"/>
      <c r="AK44" s="63"/>
      <c r="AL44" s="63"/>
      <c r="AM44" s="103"/>
      <c r="AN44" s="103"/>
      <c r="AO44" s="103"/>
      <c r="AP44" s="103"/>
      <c r="AQ44" s="63"/>
      <c r="AR44" s="63"/>
      <c r="AS44" s="63"/>
      <c r="AT44" s="63"/>
      <c r="AU44" s="103"/>
      <c r="AV44" s="103"/>
      <c r="AW44" s="103"/>
      <c r="AX44" s="103"/>
      <c r="AY44" s="63"/>
      <c r="AZ44" s="63"/>
      <c r="BA44" s="63"/>
      <c r="BB44" s="63"/>
      <c r="BC44" s="103"/>
      <c r="BD44" s="103"/>
      <c r="BE44" s="103"/>
      <c r="BF44" s="103"/>
      <c r="BG44" s="63"/>
      <c r="BH44" s="63"/>
      <c r="BI44" s="63"/>
      <c r="BJ44" s="63"/>
      <c r="BK44" s="103"/>
      <c r="BL44" s="103"/>
      <c r="BM44" s="103"/>
      <c r="BN44" s="103"/>
      <c r="BO44" s="63"/>
      <c r="BP44" s="63"/>
      <c r="BQ44" s="63"/>
      <c r="BR44" s="63"/>
      <c r="BS44" s="103"/>
      <c r="BT44" s="103"/>
      <c r="BU44" s="103"/>
      <c r="BV44" s="103"/>
      <c r="BW44" s="63"/>
      <c r="BX44" s="63"/>
      <c r="BY44" s="63"/>
      <c r="BZ44" s="63"/>
      <c r="CA44" s="103"/>
      <c r="CB44" s="103"/>
      <c r="CC44" s="103"/>
      <c r="CD44" s="103"/>
      <c r="CE44" s="63"/>
      <c r="CF44" s="63"/>
      <c r="CG44" s="63"/>
      <c r="CH44" s="63"/>
      <c r="CI44" s="103"/>
      <c r="CJ44" s="103"/>
      <c r="CK44" s="103"/>
      <c r="CL44" s="103"/>
    </row>
    <row r="45" spans="2:90" ht="13" x14ac:dyDescent="0.15">
      <c r="B45" s="13"/>
      <c r="C45" s="13"/>
      <c r="D45" s="13"/>
      <c r="E45" s="13"/>
      <c r="F45" s="13"/>
      <c r="G45" s="103"/>
      <c r="H45" s="103"/>
      <c r="I45" s="103"/>
      <c r="J45" s="103"/>
      <c r="K45" s="63"/>
      <c r="L45" s="63"/>
      <c r="M45" s="63"/>
      <c r="N45" s="63"/>
      <c r="O45" s="103"/>
      <c r="P45" s="103"/>
      <c r="Q45" s="103"/>
      <c r="R45" s="103"/>
      <c r="S45" s="63"/>
      <c r="T45" s="63"/>
      <c r="U45" s="63"/>
      <c r="V45" s="63"/>
      <c r="W45" s="103"/>
      <c r="X45" s="103"/>
      <c r="Y45" s="103"/>
      <c r="Z45" s="103"/>
      <c r="AA45" s="63"/>
      <c r="AB45" s="63"/>
      <c r="AC45" s="63"/>
      <c r="AD45" s="63"/>
      <c r="AE45" s="103"/>
      <c r="AF45" s="103"/>
      <c r="AG45" s="103"/>
      <c r="AH45" s="103"/>
      <c r="AI45" s="63"/>
      <c r="AJ45" s="63"/>
      <c r="AK45" s="63"/>
      <c r="AL45" s="63"/>
      <c r="AM45" s="103"/>
      <c r="AN45" s="103"/>
      <c r="AO45" s="103"/>
      <c r="AP45" s="103"/>
      <c r="AQ45" s="63"/>
      <c r="AR45" s="63"/>
      <c r="AS45" s="63"/>
      <c r="AT45" s="63"/>
      <c r="AU45" s="103"/>
      <c r="AV45" s="103"/>
      <c r="AW45" s="103"/>
      <c r="AX45" s="103"/>
      <c r="AY45" s="63"/>
      <c r="AZ45" s="63"/>
      <c r="BA45" s="63"/>
      <c r="BB45" s="63"/>
      <c r="BC45" s="103"/>
      <c r="BD45" s="103"/>
      <c r="BE45" s="103"/>
      <c r="BF45" s="103"/>
      <c r="BG45" s="63"/>
      <c r="BH45" s="63"/>
      <c r="BI45" s="63"/>
      <c r="BJ45" s="63"/>
      <c r="BK45" s="103"/>
      <c r="BL45" s="103"/>
      <c r="BM45" s="103"/>
      <c r="BN45" s="103"/>
      <c r="BO45" s="63"/>
      <c r="BP45" s="63"/>
      <c r="BQ45" s="63"/>
      <c r="BR45" s="63"/>
      <c r="BS45" s="103"/>
      <c r="BT45" s="103"/>
      <c r="BU45" s="103"/>
      <c r="BV45" s="103"/>
      <c r="BW45" s="63"/>
      <c r="BX45" s="63"/>
      <c r="BY45" s="63"/>
      <c r="BZ45" s="63"/>
      <c r="CA45" s="103"/>
      <c r="CB45" s="103"/>
      <c r="CC45" s="103"/>
      <c r="CD45" s="103"/>
      <c r="CE45" s="63"/>
      <c r="CF45" s="63"/>
      <c r="CG45" s="63"/>
      <c r="CH45" s="63"/>
      <c r="CI45" s="103"/>
      <c r="CJ45" s="103"/>
      <c r="CK45" s="103"/>
      <c r="CL45" s="103"/>
    </row>
    <row r="46" spans="2:90" ht="13" x14ac:dyDescent="0.15">
      <c r="B46" s="13"/>
      <c r="C46" s="13"/>
      <c r="D46" s="13"/>
      <c r="E46" s="13"/>
      <c r="F46" s="13"/>
      <c r="G46" s="103"/>
      <c r="H46" s="103"/>
      <c r="I46" s="103"/>
      <c r="J46" s="103"/>
      <c r="K46" s="63"/>
      <c r="L46" s="63"/>
      <c r="M46" s="63"/>
      <c r="N46" s="63"/>
      <c r="O46" s="103"/>
      <c r="P46" s="103"/>
      <c r="Q46" s="103"/>
      <c r="R46" s="103"/>
      <c r="S46" s="63"/>
      <c r="T46" s="63"/>
      <c r="U46" s="63"/>
      <c r="V46" s="63"/>
      <c r="W46" s="103"/>
      <c r="X46" s="103"/>
      <c r="Y46" s="103"/>
      <c r="Z46" s="103"/>
      <c r="AA46" s="63"/>
      <c r="AB46" s="63"/>
      <c r="AC46" s="63"/>
      <c r="AD46" s="63"/>
      <c r="AE46" s="103"/>
      <c r="AF46" s="103"/>
      <c r="AG46" s="103"/>
      <c r="AH46" s="103"/>
      <c r="AI46" s="63"/>
      <c r="AJ46" s="63"/>
      <c r="AK46" s="63"/>
      <c r="AL46" s="63"/>
      <c r="AM46" s="103"/>
      <c r="AN46" s="103"/>
      <c r="AO46" s="103"/>
      <c r="AP46" s="103"/>
      <c r="AQ46" s="63"/>
      <c r="AR46" s="63"/>
      <c r="AS46" s="63"/>
      <c r="AT46" s="63"/>
      <c r="AU46" s="103"/>
      <c r="AV46" s="103"/>
      <c r="AW46" s="103"/>
      <c r="AX46" s="103"/>
      <c r="AY46" s="63"/>
      <c r="AZ46" s="63"/>
      <c r="BA46" s="63"/>
      <c r="BB46" s="63"/>
      <c r="BC46" s="103"/>
      <c r="BD46" s="103"/>
      <c r="BE46" s="103"/>
      <c r="BF46" s="103"/>
      <c r="BG46" s="63"/>
      <c r="BH46" s="63"/>
      <c r="BI46" s="63"/>
      <c r="BJ46" s="63"/>
      <c r="BK46" s="103"/>
      <c r="BL46" s="103"/>
      <c r="BM46" s="103"/>
      <c r="BN46" s="103"/>
      <c r="BO46" s="63"/>
      <c r="BP46" s="63"/>
      <c r="BQ46" s="63"/>
      <c r="BR46" s="63"/>
      <c r="BS46" s="103"/>
      <c r="BT46" s="103"/>
      <c r="BU46" s="103"/>
      <c r="BV46" s="103"/>
      <c r="BW46" s="63"/>
      <c r="BX46" s="63"/>
      <c r="BY46" s="63"/>
      <c r="BZ46" s="63"/>
      <c r="CA46" s="103"/>
      <c r="CB46" s="103"/>
      <c r="CC46" s="103"/>
      <c r="CD46" s="103"/>
      <c r="CE46" s="63"/>
      <c r="CF46" s="63"/>
      <c r="CG46" s="63"/>
      <c r="CH46" s="63"/>
      <c r="CI46" s="103"/>
      <c r="CJ46" s="103"/>
      <c r="CK46" s="103"/>
      <c r="CL46" s="103"/>
    </row>
    <row r="47" spans="2:90" ht="13" x14ac:dyDescent="0.15">
      <c r="B47" s="13"/>
      <c r="C47" s="13"/>
      <c r="D47" s="13"/>
      <c r="E47" s="13"/>
      <c r="F47" s="13"/>
      <c r="G47" s="103"/>
      <c r="H47" s="103"/>
      <c r="I47" s="103"/>
      <c r="J47" s="103"/>
      <c r="K47" s="63"/>
      <c r="L47" s="63"/>
      <c r="M47" s="63"/>
      <c r="N47" s="63"/>
      <c r="O47" s="103"/>
      <c r="P47" s="103"/>
      <c r="Q47" s="103"/>
      <c r="R47" s="103"/>
      <c r="S47" s="63"/>
      <c r="T47" s="63"/>
      <c r="U47" s="63"/>
      <c r="V47" s="63"/>
      <c r="W47" s="103"/>
      <c r="X47" s="103"/>
      <c r="Y47" s="103"/>
      <c r="Z47" s="103"/>
      <c r="AA47" s="63"/>
      <c r="AB47" s="63"/>
      <c r="AC47" s="63"/>
      <c r="AD47" s="63"/>
      <c r="AE47" s="103"/>
      <c r="AF47" s="103"/>
      <c r="AG47" s="103"/>
      <c r="AH47" s="103"/>
      <c r="AI47" s="63"/>
      <c r="AJ47" s="63"/>
      <c r="AK47" s="63"/>
      <c r="AL47" s="63"/>
      <c r="AM47" s="103"/>
      <c r="AN47" s="103"/>
      <c r="AO47" s="103"/>
      <c r="AP47" s="103"/>
      <c r="AQ47" s="63"/>
      <c r="AR47" s="63"/>
      <c r="AS47" s="63"/>
      <c r="AT47" s="63"/>
      <c r="AU47" s="103"/>
      <c r="AV47" s="103"/>
      <c r="AW47" s="103"/>
      <c r="AX47" s="103"/>
      <c r="AY47" s="63"/>
      <c r="AZ47" s="63"/>
      <c r="BA47" s="63"/>
      <c r="BB47" s="63"/>
      <c r="BC47" s="103"/>
      <c r="BD47" s="103"/>
      <c r="BE47" s="103"/>
      <c r="BF47" s="103"/>
      <c r="BG47" s="63"/>
      <c r="BH47" s="63"/>
      <c r="BI47" s="63"/>
      <c r="BJ47" s="63"/>
      <c r="BK47" s="103"/>
      <c r="BL47" s="103"/>
      <c r="BM47" s="103"/>
      <c r="BN47" s="103"/>
      <c r="BO47" s="63"/>
      <c r="BP47" s="63"/>
      <c r="BQ47" s="63"/>
      <c r="BR47" s="63"/>
      <c r="BS47" s="103"/>
      <c r="BT47" s="103"/>
      <c r="BU47" s="103"/>
      <c r="BV47" s="103"/>
      <c r="BW47" s="63"/>
      <c r="BX47" s="63"/>
      <c r="BY47" s="63"/>
      <c r="BZ47" s="63"/>
      <c r="CA47" s="103"/>
      <c r="CB47" s="103"/>
      <c r="CC47" s="103"/>
      <c r="CD47" s="103"/>
      <c r="CE47" s="63"/>
      <c r="CF47" s="63"/>
      <c r="CG47" s="63"/>
      <c r="CH47" s="63"/>
      <c r="CI47" s="103"/>
      <c r="CJ47" s="103"/>
      <c r="CK47" s="103"/>
      <c r="CL47" s="103"/>
    </row>
    <row r="48" spans="2:90" ht="13" x14ac:dyDescent="0.15">
      <c r="B48" s="13"/>
      <c r="C48" s="13"/>
      <c r="D48" s="13"/>
      <c r="E48" s="13"/>
      <c r="F48" s="13"/>
      <c r="G48" s="103"/>
      <c r="H48" s="103"/>
      <c r="I48" s="103"/>
      <c r="J48" s="103"/>
      <c r="K48" s="63"/>
      <c r="L48" s="63"/>
      <c r="M48" s="63"/>
      <c r="N48" s="63"/>
      <c r="O48" s="103"/>
      <c r="P48" s="103"/>
      <c r="Q48" s="103"/>
      <c r="R48" s="103"/>
      <c r="S48" s="63"/>
      <c r="T48" s="63"/>
      <c r="U48" s="63"/>
      <c r="V48" s="63"/>
      <c r="W48" s="103"/>
      <c r="X48" s="103"/>
      <c r="Y48" s="103"/>
      <c r="Z48" s="103"/>
      <c r="AA48" s="63"/>
      <c r="AB48" s="63"/>
      <c r="AC48" s="63"/>
      <c r="AD48" s="63"/>
      <c r="AE48" s="103"/>
      <c r="AF48" s="103"/>
      <c r="AG48" s="103"/>
      <c r="AH48" s="103"/>
      <c r="AI48" s="63"/>
      <c r="AJ48" s="63"/>
      <c r="AK48" s="63"/>
      <c r="AL48" s="63"/>
      <c r="AM48" s="103"/>
      <c r="AN48" s="103"/>
      <c r="AO48" s="103"/>
      <c r="AP48" s="103"/>
      <c r="AQ48" s="63"/>
      <c r="AR48" s="63"/>
      <c r="AS48" s="63"/>
      <c r="AT48" s="63"/>
      <c r="AU48" s="103"/>
      <c r="AV48" s="103"/>
      <c r="AW48" s="103"/>
      <c r="AX48" s="103"/>
      <c r="AY48" s="63"/>
      <c r="AZ48" s="63"/>
      <c r="BA48" s="63"/>
      <c r="BB48" s="63"/>
      <c r="BC48" s="103"/>
      <c r="BD48" s="103"/>
      <c r="BE48" s="103"/>
      <c r="BF48" s="103"/>
      <c r="BG48" s="63"/>
      <c r="BH48" s="63"/>
      <c r="BI48" s="63"/>
      <c r="BJ48" s="63"/>
      <c r="BK48" s="103"/>
      <c r="BL48" s="103"/>
      <c r="BM48" s="103"/>
      <c r="BN48" s="103"/>
      <c r="BO48" s="63"/>
      <c r="BP48" s="63"/>
      <c r="BQ48" s="63"/>
      <c r="BR48" s="63"/>
      <c r="BS48" s="103"/>
      <c r="BT48" s="103"/>
      <c r="BU48" s="103"/>
      <c r="BV48" s="103"/>
      <c r="BW48" s="63"/>
      <c r="BX48" s="63"/>
      <c r="BY48" s="63"/>
      <c r="BZ48" s="63"/>
      <c r="CA48" s="103"/>
      <c r="CB48" s="103"/>
      <c r="CC48" s="103"/>
      <c r="CD48" s="103"/>
      <c r="CE48" s="63"/>
      <c r="CF48" s="63"/>
      <c r="CG48" s="63"/>
      <c r="CH48" s="63"/>
      <c r="CI48" s="103"/>
      <c r="CJ48" s="103"/>
      <c r="CK48" s="103"/>
      <c r="CL48" s="103"/>
    </row>
    <row r="49" spans="2:90" ht="13" x14ac:dyDescent="0.15">
      <c r="B49" s="13"/>
      <c r="C49" s="13"/>
      <c r="D49" s="13"/>
      <c r="E49" s="13"/>
      <c r="F49" s="13"/>
      <c r="G49" s="103"/>
      <c r="H49" s="103"/>
      <c r="I49" s="103"/>
      <c r="J49" s="103"/>
      <c r="K49" s="63"/>
      <c r="L49" s="63"/>
      <c r="M49" s="63"/>
      <c r="N49" s="63"/>
      <c r="O49" s="103"/>
      <c r="P49" s="103"/>
      <c r="Q49" s="103"/>
      <c r="R49" s="103"/>
      <c r="S49" s="63"/>
      <c r="T49" s="63"/>
      <c r="U49" s="63"/>
      <c r="V49" s="63"/>
      <c r="W49" s="103"/>
      <c r="X49" s="103"/>
      <c r="Y49" s="103"/>
      <c r="Z49" s="103"/>
      <c r="AA49" s="63"/>
      <c r="AB49" s="63"/>
      <c r="AC49" s="63"/>
      <c r="AD49" s="63"/>
      <c r="AE49" s="103"/>
      <c r="AF49" s="103"/>
      <c r="AG49" s="103"/>
      <c r="AH49" s="103"/>
      <c r="AI49" s="63"/>
      <c r="AJ49" s="63"/>
      <c r="AK49" s="63"/>
      <c r="AL49" s="63"/>
      <c r="AM49" s="103"/>
      <c r="AN49" s="103"/>
      <c r="AO49" s="103"/>
      <c r="AP49" s="103"/>
      <c r="AQ49" s="63"/>
      <c r="AR49" s="63"/>
      <c r="AS49" s="63"/>
      <c r="AT49" s="63"/>
      <c r="AU49" s="103"/>
      <c r="AV49" s="103"/>
      <c r="AW49" s="103"/>
      <c r="AX49" s="103"/>
      <c r="AY49" s="63"/>
      <c r="AZ49" s="63"/>
      <c r="BA49" s="63"/>
      <c r="BB49" s="63"/>
      <c r="BC49" s="103"/>
      <c r="BD49" s="103"/>
      <c r="BE49" s="103"/>
      <c r="BF49" s="103"/>
      <c r="BG49" s="63"/>
      <c r="BH49" s="63"/>
      <c r="BI49" s="63"/>
      <c r="BJ49" s="63"/>
      <c r="BK49" s="103"/>
      <c r="BL49" s="103"/>
      <c r="BM49" s="103"/>
      <c r="BN49" s="103"/>
      <c r="BO49" s="63"/>
      <c r="BP49" s="63"/>
      <c r="BQ49" s="63"/>
      <c r="BR49" s="63"/>
      <c r="BS49" s="103"/>
      <c r="BT49" s="103"/>
      <c r="BU49" s="103"/>
      <c r="BV49" s="103"/>
      <c r="BW49" s="63"/>
      <c r="BX49" s="63"/>
      <c r="BY49" s="63"/>
      <c r="BZ49" s="63"/>
      <c r="CA49" s="103"/>
      <c r="CB49" s="103"/>
      <c r="CC49" s="103"/>
      <c r="CD49" s="103"/>
      <c r="CE49" s="63"/>
      <c r="CF49" s="63"/>
      <c r="CG49" s="63"/>
      <c r="CH49" s="63"/>
      <c r="CI49" s="103"/>
      <c r="CJ49" s="103"/>
      <c r="CK49" s="103"/>
      <c r="CL49" s="103"/>
    </row>
    <row r="50" spans="2:90" ht="13" x14ac:dyDescent="0.15">
      <c r="B50" s="13"/>
      <c r="C50" s="13"/>
      <c r="D50" s="13"/>
      <c r="E50" s="13"/>
      <c r="F50" s="13"/>
      <c r="G50" s="103"/>
      <c r="H50" s="103"/>
      <c r="I50" s="103"/>
      <c r="J50" s="103"/>
      <c r="K50" s="63"/>
      <c r="L50" s="63"/>
      <c r="M50" s="63"/>
      <c r="N50" s="63"/>
      <c r="O50" s="103"/>
      <c r="P50" s="103"/>
      <c r="Q50" s="103"/>
      <c r="R50" s="103"/>
      <c r="S50" s="63"/>
      <c r="T50" s="63"/>
      <c r="U50" s="63"/>
      <c r="V50" s="63"/>
      <c r="W50" s="103"/>
      <c r="X50" s="103"/>
      <c r="Y50" s="103"/>
      <c r="Z50" s="103"/>
      <c r="AA50" s="63"/>
      <c r="AB50" s="63"/>
      <c r="AC50" s="63"/>
      <c r="AD50" s="63"/>
      <c r="AE50" s="103"/>
      <c r="AF50" s="103"/>
      <c r="AG50" s="103"/>
      <c r="AH50" s="103"/>
      <c r="AI50" s="63"/>
      <c r="AJ50" s="63"/>
      <c r="AK50" s="63"/>
      <c r="AL50" s="63"/>
      <c r="AM50" s="103"/>
      <c r="AN50" s="103"/>
      <c r="AO50" s="103"/>
      <c r="AP50" s="103"/>
      <c r="AQ50" s="63"/>
      <c r="AR50" s="63"/>
      <c r="AS50" s="63"/>
      <c r="AT50" s="63"/>
      <c r="AU50" s="103"/>
      <c r="AV50" s="103"/>
      <c r="AW50" s="103"/>
      <c r="AX50" s="103"/>
      <c r="AY50" s="63"/>
      <c r="AZ50" s="63"/>
      <c r="BA50" s="63"/>
      <c r="BB50" s="63"/>
      <c r="BC50" s="103"/>
      <c r="BD50" s="103"/>
      <c r="BE50" s="103"/>
      <c r="BF50" s="103"/>
      <c r="BG50" s="63"/>
      <c r="BH50" s="63"/>
      <c r="BI50" s="63"/>
      <c r="BJ50" s="63"/>
      <c r="BK50" s="103"/>
      <c r="BL50" s="103"/>
      <c r="BM50" s="103"/>
      <c r="BN50" s="103"/>
      <c r="BO50" s="63"/>
      <c r="BP50" s="63"/>
      <c r="BQ50" s="63"/>
      <c r="BR50" s="63"/>
      <c r="BS50" s="103"/>
      <c r="BT50" s="103"/>
      <c r="BU50" s="103"/>
      <c r="BV50" s="103"/>
      <c r="BW50" s="63"/>
      <c r="BX50" s="63"/>
      <c r="BY50" s="63"/>
      <c r="BZ50" s="63"/>
      <c r="CA50" s="103"/>
      <c r="CB50" s="103"/>
      <c r="CC50" s="103"/>
      <c r="CD50" s="103"/>
      <c r="CE50" s="63"/>
      <c r="CF50" s="63"/>
      <c r="CG50" s="63"/>
      <c r="CH50" s="63"/>
      <c r="CI50" s="103"/>
      <c r="CJ50" s="103"/>
      <c r="CK50" s="103"/>
      <c r="CL50" s="103"/>
    </row>
    <row r="51" spans="2:90" ht="13" x14ac:dyDescent="0.15">
      <c r="B51" s="13"/>
      <c r="C51" s="13"/>
      <c r="D51" s="13"/>
      <c r="E51" s="13"/>
      <c r="F51" s="13"/>
      <c r="G51" s="103"/>
      <c r="H51" s="103"/>
      <c r="I51" s="103"/>
      <c r="J51" s="103"/>
      <c r="K51" s="63"/>
      <c r="L51" s="63"/>
      <c r="M51" s="63"/>
      <c r="N51" s="63"/>
      <c r="O51" s="103"/>
      <c r="P51" s="103"/>
      <c r="Q51" s="103"/>
      <c r="R51" s="103"/>
      <c r="S51" s="63"/>
      <c r="T51" s="63"/>
      <c r="U51" s="63"/>
      <c r="V51" s="63"/>
      <c r="W51" s="103"/>
      <c r="X51" s="103"/>
      <c r="Y51" s="103"/>
      <c r="Z51" s="103"/>
      <c r="AA51" s="63"/>
      <c r="AB51" s="63"/>
      <c r="AC51" s="63"/>
      <c r="AD51" s="63"/>
      <c r="AE51" s="103"/>
      <c r="AF51" s="103"/>
      <c r="AG51" s="103"/>
      <c r="AH51" s="103"/>
      <c r="AI51" s="63"/>
      <c r="AJ51" s="63"/>
      <c r="AK51" s="63"/>
      <c r="AL51" s="63"/>
      <c r="AM51" s="103"/>
      <c r="AN51" s="103"/>
      <c r="AO51" s="103"/>
      <c r="AP51" s="103"/>
      <c r="AQ51" s="63"/>
      <c r="AR51" s="63"/>
      <c r="AS51" s="63"/>
      <c r="AT51" s="63"/>
      <c r="AU51" s="103"/>
      <c r="AV51" s="103"/>
      <c r="AW51" s="103"/>
      <c r="AX51" s="103"/>
      <c r="AY51" s="63"/>
      <c r="AZ51" s="63"/>
      <c r="BA51" s="63"/>
      <c r="BB51" s="63"/>
      <c r="BC51" s="103"/>
      <c r="BD51" s="103"/>
      <c r="BE51" s="103"/>
      <c r="BF51" s="103"/>
      <c r="BG51" s="63"/>
      <c r="BH51" s="63"/>
      <c r="BI51" s="63"/>
      <c r="BJ51" s="63"/>
      <c r="BK51" s="103"/>
      <c r="BL51" s="103"/>
      <c r="BM51" s="103"/>
      <c r="BN51" s="103"/>
      <c r="BO51" s="63"/>
      <c r="BP51" s="63"/>
      <c r="BQ51" s="63"/>
      <c r="BR51" s="63"/>
      <c r="BS51" s="103"/>
      <c r="BT51" s="103"/>
      <c r="BU51" s="103"/>
      <c r="BV51" s="103"/>
      <c r="BW51" s="63"/>
      <c r="BX51" s="63"/>
      <c r="BY51" s="63"/>
      <c r="BZ51" s="63"/>
      <c r="CA51" s="103"/>
      <c r="CB51" s="103"/>
      <c r="CC51" s="103"/>
      <c r="CD51" s="103"/>
      <c r="CE51" s="63"/>
      <c r="CF51" s="63"/>
      <c r="CG51" s="63"/>
      <c r="CH51" s="63"/>
      <c r="CI51" s="103"/>
      <c r="CJ51" s="103"/>
      <c r="CK51" s="103"/>
      <c r="CL51" s="103"/>
    </row>
    <row r="52" spans="2:90" ht="13" x14ac:dyDescent="0.15">
      <c r="B52" s="13"/>
      <c r="C52" s="55"/>
      <c r="D52" s="55"/>
      <c r="E52" s="13"/>
      <c r="F52" s="13"/>
      <c r="G52" s="103"/>
      <c r="H52" s="103"/>
      <c r="I52" s="103"/>
      <c r="J52" s="103"/>
      <c r="K52" s="63"/>
      <c r="L52" s="63"/>
      <c r="M52" s="63"/>
      <c r="N52" s="63"/>
      <c r="O52" s="103"/>
      <c r="P52" s="103"/>
      <c r="Q52" s="103"/>
      <c r="R52" s="103"/>
      <c r="S52" s="63"/>
      <c r="T52" s="63"/>
      <c r="U52" s="63"/>
      <c r="V52" s="63"/>
      <c r="W52" s="103"/>
      <c r="X52" s="103"/>
      <c r="Y52" s="103"/>
      <c r="Z52" s="103"/>
      <c r="AA52" s="63"/>
      <c r="AB52" s="63"/>
      <c r="AC52" s="63"/>
      <c r="AD52" s="63"/>
      <c r="AE52" s="103"/>
      <c r="AF52" s="103"/>
      <c r="AG52" s="103"/>
      <c r="AH52" s="103"/>
      <c r="AI52" s="63"/>
      <c r="AJ52" s="63"/>
      <c r="AK52" s="63"/>
      <c r="AL52" s="63"/>
      <c r="AM52" s="103"/>
      <c r="AN52" s="103"/>
      <c r="AO52" s="103"/>
      <c r="AP52" s="103"/>
      <c r="AQ52" s="63"/>
      <c r="AR52" s="63"/>
      <c r="AS52" s="63"/>
      <c r="AT52" s="63"/>
      <c r="AU52" s="103"/>
      <c r="AV52" s="103"/>
      <c r="AW52" s="103"/>
      <c r="AX52" s="103"/>
      <c r="AY52" s="63"/>
      <c r="AZ52" s="63"/>
      <c r="BA52" s="63"/>
      <c r="BB52" s="63"/>
      <c r="BC52" s="103"/>
      <c r="BD52" s="103"/>
      <c r="BE52" s="103"/>
      <c r="BF52" s="103"/>
      <c r="BG52" s="63"/>
      <c r="BH52" s="63"/>
      <c r="BI52" s="63"/>
      <c r="BJ52" s="63"/>
      <c r="BK52" s="103"/>
      <c r="BL52" s="103"/>
      <c r="BM52" s="103"/>
      <c r="BN52" s="103"/>
      <c r="BO52" s="63"/>
      <c r="BP52" s="63"/>
      <c r="BQ52" s="63"/>
      <c r="BR52" s="63"/>
      <c r="BS52" s="103"/>
      <c r="BT52" s="103"/>
      <c r="BU52" s="103"/>
      <c r="BV52" s="103"/>
      <c r="BW52" s="63"/>
      <c r="BX52" s="63"/>
      <c r="BY52" s="63"/>
      <c r="BZ52" s="63"/>
      <c r="CA52" s="103"/>
      <c r="CB52" s="103"/>
      <c r="CC52" s="103"/>
      <c r="CD52" s="103"/>
      <c r="CE52" s="63"/>
      <c r="CF52" s="63"/>
      <c r="CG52" s="63"/>
      <c r="CH52" s="63"/>
      <c r="CI52" s="103"/>
      <c r="CJ52" s="103"/>
      <c r="CK52" s="103"/>
      <c r="CL52" s="103"/>
    </row>
    <row r="53" spans="2:90" ht="13" x14ac:dyDescent="0.15">
      <c r="B53" s="13"/>
      <c r="C53" s="55"/>
      <c r="D53" s="55"/>
      <c r="E53" s="13"/>
      <c r="F53" s="13"/>
      <c r="G53" s="103"/>
      <c r="H53" s="103"/>
      <c r="I53" s="103"/>
      <c r="J53" s="103"/>
      <c r="K53" s="63"/>
      <c r="L53" s="63"/>
      <c r="M53" s="63"/>
      <c r="N53" s="63"/>
      <c r="O53" s="103"/>
      <c r="P53" s="103"/>
      <c r="Q53" s="103"/>
      <c r="R53" s="103"/>
      <c r="S53" s="63"/>
      <c r="T53" s="63"/>
      <c r="U53" s="63"/>
      <c r="V53" s="63"/>
      <c r="W53" s="103"/>
      <c r="X53" s="103"/>
      <c r="Y53" s="103"/>
      <c r="Z53" s="103"/>
      <c r="AA53" s="63"/>
      <c r="AB53" s="63"/>
      <c r="AC53" s="63"/>
      <c r="AD53" s="63"/>
      <c r="AE53" s="103"/>
      <c r="AF53" s="103"/>
      <c r="AG53" s="103"/>
      <c r="AH53" s="103"/>
      <c r="AI53" s="63"/>
      <c r="AJ53" s="63"/>
      <c r="AK53" s="63"/>
      <c r="AL53" s="63"/>
      <c r="AM53" s="103"/>
      <c r="AN53" s="103"/>
      <c r="AO53" s="103"/>
      <c r="AP53" s="103"/>
      <c r="AQ53" s="63"/>
      <c r="AR53" s="63"/>
      <c r="AS53" s="63"/>
      <c r="AT53" s="63"/>
      <c r="AU53" s="103"/>
      <c r="AV53" s="103"/>
      <c r="AW53" s="103"/>
      <c r="AX53" s="103"/>
      <c r="AY53" s="63"/>
      <c r="AZ53" s="63"/>
      <c r="BA53" s="63"/>
      <c r="BB53" s="63"/>
      <c r="BC53" s="103"/>
      <c r="BD53" s="103"/>
      <c r="BE53" s="103"/>
      <c r="BF53" s="103"/>
      <c r="BG53" s="63"/>
      <c r="BH53" s="63"/>
      <c r="BI53" s="63"/>
      <c r="BJ53" s="63"/>
      <c r="BK53" s="103"/>
      <c r="BL53" s="103"/>
      <c r="BM53" s="103"/>
      <c r="BN53" s="103"/>
      <c r="BO53" s="63"/>
      <c r="BP53" s="63"/>
      <c r="BQ53" s="63"/>
      <c r="BR53" s="63"/>
      <c r="BS53" s="103"/>
      <c r="BT53" s="103"/>
      <c r="BU53" s="103"/>
      <c r="BV53" s="103"/>
      <c r="BW53" s="63"/>
      <c r="BX53" s="63"/>
      <c r="BY53" s="63"/>
      <c r="BZ53" s="63"/>
      <c r="CA53" s="103"/>
      <c r="CB53" s="103"/>
      <c r="CC53" s="103"/>
      <c r="CD53" s="103"/>
      <c r="CE53" s="63"/>
      <c r="CF53" s="63"/>
      <c r="CG53" s="63"/>
      <c r="CH53" s="63"/>
      <c r="CI53" s="103"/>
      <c r="CJ53" s="103"/>
      <c r="CK53" s="103"/>
      <c r="CL53" s="103"/>
    </row>
    <row r="54" spans="2:90" ht="13" x14ac:dyDescent="0.15">
      <c r="B54" s="13"/>
      <c r="C54" s="55"/>
      <c r="D54" s="55"/>
      <c r="E54" s="13"/>
      <c r="F54" s="13"/>
      <c r="G54" s="103"/>
      <c r="H54" s="103"/>
      <c r="I54" s="103"/>
      <c r="J54" s="103"/>
      <c r="K54" s="63"/>
      <c r="L54" s="63"/>
      <c r="M54" s="63"/>
      <c r="N54" s="63"/>
      <c r="O54" s="103"/>
      <c r="P54" s="103"/>
      <c r="Q54" s="103"/>
      <c r="R54" s="103"/>
      <c r="S54" s="63"/>
      <c r="T54" s="63"/>
      <c r="U54" s="63"/>
      <c r="V54" s="63"/>
      <c r="W54" s="103"/>
      <c r="X54" s="103"/>
      <c r="Y54" s="103"/>
      <c r="Z54" s="103"/>
      <c r="AA54" s="63"/>
      <c r="AB54" s="63"/>
      <c r="AC54" s="63"/>
      <c r="AD54" s="63"/>
      <c r="AE54" s="103"/>
      <c r="AF54" s="103"/>
      <c r="AG54" s="103"/>
      <c r="AH54" s="103"/>
      <c r="AI54" s="63"/>
      <c r="AJ54" s="63"/>
      <c r="AK54" s="63"/>
      <c r="AL54" s="63"/>
      <c r="AM54" s="103"/>
      <c r="AN54" s="103"/>
      <c r="AO54" s="103"/>
      <c r="AP54" s="103"/>
      <c r="AQ54" s="63"/>
      <c r="AR54" s="63"/>
      <c r="AS54" s="63"/>
      <c r="AT54" s="63"/>
      <c r="AU54" s="103"/>
      <c r="AV54" s="103"/>
      <c r="AW54" s="103"/>
      <c r="AX54" s="103"/>
      <c r="AY54" s="63"/>
      <c r="AZ54" s="63"/>
      <c r="BA54" s="63"/>
      <c r="BB54" s="63"/>
      <c r="BC54" s="103"/>
      <c r="BD54" s="103"/>
      <c r="BE54" s="103"/>
      <c r="BF54" s="103"/>
      <c r="BG54" s="63"/>
      <c r="BH54" s="63"/>
      <c r="BI54" s="63"/>
      <c r="BJ54" s="63"/>
      <c r="BK54" s="103"/>
      <c r="BL54" s="103"/>
      <c r="BM54" s="103"/>
      <c r="BN54" s="103"/>
      <c r="BO54" s="63"/>
      <c r="BP54" s="63"/>
      <c r="BQ54" s="63"/>
      <c r="BR54" s="63"/>
      <c r="BS54" s="103"/>
      <c r="BT54" s="103"/>
      <c r="BU54" s="103"/>
      <c r="BV54" s="103"/>
      <c r="BW54" s="63"/>
      <c r="BX54" s="63"/>
      <c r="BY54" s="63"/>
      <c r="BZ54" s="63"/>
      <c r="CA54" s="103"/>
      <c r="CB54" s="103"/>
      <c r="CC54" s="103"/>
      <c r="CD54" s="103"/>
      <c r="CE54" s="63"/>
      <c r="CF54" s="63"/>
      <c r="CG54" s="63"/>
      <c r="CH54" s="63"/>
      <c r="CI54" s="103"/>
      <c r="CJ54" s="103"/>
      <c r="CK54" s="103"/>
      <c r="CL54" s="103"/>
    </row>
    <row r="55" spans="2:90" ht="13" x14ac:dyDescent="0.15">
      <c r="B55" s="13"/>
      <c r="C55" s="55"/>
      <c r="D55" s="55"/>
      <c r="E55" s="13"/>
      <c r="F55" s="13"/>
      <c r="G55" s="103"/>
      <c r="H55" s="103"/>
      <c r="I55" s="103"/>
      <c r="J55" s="103"/>
      <c r="K55" s="63"/>
      <c r="L55" s="63"/>
      <c r="M55" s="63"/>
      <c r="N55" s="63"/>
      <c r="O55" s="103"/>
      <c r="P55" s="103"/>
      <c r="Q55" s="103"/>
      <c r="R55" s="103"/>
      <c r="S55" s="63"/>
      <c r="T55" s="63"/>
      <c r="U55" s="63"/>
      <c r="V55" s="63"/>
      <c r="W55" s="103"/>
      <c r="X55" s="103"/>
      <c r="Y55" s="103"/>
      <c r="Z55" s="103"/>
      <c r="AA55" s="63"/>
      <c r="AB55" s="63"/>
      <c r="AC55" s="63"/>
      <c r="AD55" s="63"/>
      <c r="AE55" s="103"/>
      <c r="AF55" s="103"/>
      <c r="AG55" s="103"/>
      <c r="AH55" s="103"/>
      <c r="AI55" s="63"/>
      <c r="AJ55" s="63"/>
      <c r="AK55" s="63"/>
      <c r="AL55" s="63"/>
      <c r="AM55" s="103"/>
      <c r="AN55" s="103"/>
      <c r="AO55" s="103"/>
      <c r="AP55" s="103"/>
      <c r="AQ55" s="63"/>
      <c r="AR55" s="63"/>
      <c r="AS55" s="63"/>
      <c r="AT55" s="63"/>
      <c r="AU55" s="103"/>
      <c r="AV55" s="103"/>
      <c r="AW55" s="103"/>
      <c r="AX55" s="103"/>
      <c r="AY55" s="63"/>
      <c r="AZ55" s="63"/>
      <c r="BA55" s="63"/>
      <c r="BB55" s="63"/>
      <c r="BC55" s="103"/>
      <c r="BD55" s="103"/>
      <c r="BE55" s="103"/>
      <c r="BF55" s="103"/>
      <c r="BG55" s="63"/>
      <c r="BH55" s="63"/>
      <c r="BI55" s="63"/>
      <c r="BJ55" s="63"/>
      <c r="BK55" s="103"/>
      <c r="BL55" s="103"/>
      <c r="BM55" s="103"/>
      <c r="BN55" s="103"/>
      <c r="BO55" s="63"/>
      <c r="BP55" s="63"/>
      <c r="BQ55" s="63"/>
      <c r="BR55" s="63"/>
      <c r="BS55" s="103"/>
      <c r="BT55" s="103"/>
      <c r="BU55" s="103"/>
      <c r="BV55" s="103"/>
      <c r="BW55" s="63"/>
      <c r="BX55" s="63"/>
      <c r="BY55" s="63"/>
      <c r="BZ55" s="63"/>
      <c r="CA55" s="103"/>
      <c r="CB55" s="103"/>
      <c r="CC55" s="103"/>
      <c r="CD55" s="103"/>
      <c r="CE55" s="63"/>
      <c r="CF55" s="63"/>
      <c r="CG55" s="63"/>
      <c r="CH55" s="63"/>
      <c r="CI55" s="103"/>
      <c r="CJ55" s="103"/>
      <c r="CK55" s="103"/>
      <c r="CL55" s="103"/>
    </row>
    <row r="56" spans="2:90" ht="13" x14ac:dyDescent="0.15">
      <c r="B56" s="13"/>
      <c r="C56" s="55"/>
      <c r="D56" s="55"/>
      <c r="E56" s="13"/>
      <c r="F56" s="13"/>
      <c r="G56" s="103"/>
      <c r="H56" s="103"/>
      <c r="I56" s="103"/>
      <c r="J56" s="103"/>
      <c r="K56" s="63"/>
      <c r="L56" s="63"/>
      <c r="M56" s="63"/>
      <c r="N56" s="63"/>
      <c r="O56" s="103"/>
      <c r="P56" s="103"/>
      <c r="Q56" s="103"/>
      <c r="R56" s="103"/>
      <c r="S56" s="63"/>
      <c r="T56" s="63"/>
      <c r="U56" s="63"/>
      <c r="V56" s="63"/>
      <c r="W56" s="103"/>
      <c r="X56" s="103"/>
      <c r="Y56" s="103"/>
      <c r="Z56" s="103"/>
      <c r="AA56" s="63"/>
      <c r="AB56" s="63"/>
      <c r="AC56" s="63"/>
      <c r="AD56" s="63"/>
      <c r="AE56" s="103"/>
      <c r="AF56" s="103"/>
      <c r="AG56" s="103"/>
      <c r="AH56" s="103"/>
      <c r="AI56" s="63"/>
      <c r="AJ56" s="63"/>
      <c r="AK56" s="63"/>
      <c r="AL56" s="63"/>
      <c r="AM56" s="103"/>
      <c r="AN56" s="103"/>
      <c r="AO56" s="103"/>
      <c r="AP56" s="103"/>
      <c r="AQ56" s="63"/>
      <c r="AR56" s="63"/>
      <c r="AS56" s="63"/>
      <c r="AT56" s="63"/>
      <c r="AU56" s="103"/>
      <c r="AV56" s="103"/>
      <c r="AW56" s="103"/>
      <c r="AX56" s="103"/>
      <c r="AY56" s="63"/>
      <c r="AZ56" s="63"/>
      <c r="BA56" s="63"/>
      <c r="BB56" s="63"/>
      <c r="BC56" s="103"/>
      <c r="BD56" s="103"/>
      <c r="BE56" s="103"/>
      <c r="BF56" s="103"/>
      <c r="BG56" s="63"/>
      <c r="BH56" s="63"/>
      <c r="BI56" s="63"/>
      <c r="BJ56" s="63"/>
      <c r="BK56" s="103"/>
      <c r="BL56" s="103"/>
      <c r="BM56" s="103"/>
      <c r="BN56" s="103"/>
      <c r="BO56" s="63"/>
      <c r="BP56" s="63"/>
      <c r="BQ56" s="63"/>
      <c r="BR56" s="63"/>
      <c r="BS56" s="103"/>
      <c r="BT56" s="103"/>
      <c r="BU56" s="103"/>
      <c r="BV56" s="103"/>
      <c r="BW56" s="63"/>
      <c r="BX56" s="63"/>
      <c r="BY56" s="63"/>
      <c r="BZ56" s="63"/>
      <c r="CA56" s="103"/>
      <c r="CB56" s="103"/>
      <c r="CC56" s="103"/>
      <c r="CD56" s="103"/>
      <c r="CE56" s="63"/>
      <c r="CF56" s="63"/>
      <c r="CG56" s="63"/>
      <c r="CH56" s="63"/>
      <c r="CI56" s="103"/>
      <c r="CJ56" s="103"/>
      <c r="CK56" s="103"/>
      <c r="CL56" s="103"/>
    </row>
    <row r="57" spans="2:90" ht="13" x14ac:dyDescent="0.15">
      <c r="B57" s="13"/>
      <c r="C57" s="55"/>
      <c r="D57" s="55"/>
      <c r="E57" s="13"/>
      <c r="F57" s="13"/>
      <c r="G57" s="103"/>
      <c r="H57" s="103"/>
      <c r="I57" s="103"/>
      <c r="J57" s="103"/>
      <c r="K57" s="63"/>
      <c r="L57" s="63"/>
      <c r="M57" s="63"/>
      <c r="N57" s="63"/>
      <c r="O57" s="103"/>
      <c r="P57" s="103"/>
      <c r="Q57" s="103"/>
      <c r="R57" s="103"/>
      <c r="S57" s="63"/>
      <c r="T57" s="63"/>
      <c r="U57" s="63"/>
      <c r="V57" s="63"/>
      <c r="W57" s="103"/>
      <c r="X57" s="103"/>
      <c r="Y57" s="103"/>
      <c r="Z57" s="103"/>
      <c r="AA57" s="63"/>
      <c r="AB57" s="63"/>
      <c r="AC57" s="63"/>
      <c r="AD57" s="63"/>
      <c r="AE57" s="103"/>
      <c r="AF57" s="103"/>
      <c r="AG57" s="103"/>
      <c r="AH57" s="103"/>
      <c r="AI57" s="63"/>
      <c r="AJ57" s="63"/>
      <c r="AK57" s="63"/>
      <c r="AL57" s="63"/>
      <c r="AM57" s="103"/>
      <c r="AN57" s="103"/>
      <c r="AO57" s="103"/>
      <c r="AP57" s="103"/>
      <c r="AQ57" s="63"/>
      <c r="AR57" s="63"/>
      <c r="AS57" s="63"/>
      <c r="AT57" s="63"/>
      <c r="AU57" s="103"/>
      <c r="AV57" s="103"/>
      <c r="AW57" s="103"/>
      <c r="AX57" s="103"/>
      <c r="AY57" s="63"/>
      <c r="AZ57" s="63"/>
      <c r="BA57" s="63"/>
      <c r="BB57" s="63"/>
      <c r="BC57" s="103"/>
      <c r="BD57" s="103"/>
      <c r="BE57" s="103"/>
      <c r="BF57" s="103"/>
      <c r="BG57" s="63"/>
      <c r="BH57" s="63"/>
      <c r="BI57" s="63"/>
      <c r="BJ57" s="63"/>
      <c r="BK57" s="103"/>
      <c r="BL57" s="103"/>
      <c r="BM57" s="103"/>
      <c r="BN57" s="103"/>
      <c r="BO57" s="63"/>
      <c r="BP57" s="63"/>
      <c r="BQ57" s="63"/>
      <c r="BR57" s="63"/>
      <c r="BS57" s="103"/>
      <c r="BT57" s="103"/>
      <c r="BU57" s="103"/>
      <c r="BV57" s="103"/>
      <c r="BW57" s="63"/>
      <c r="BX57" s="63"/>
      <c r="BY57" s="63"/>
      <c r="BZ57" s="63"/>
      <c r="CA57" s="103"/>
      <c r="CB57" s="103"/>
      <c r="CC57" s="103"/>
      <c r="CD57" s="103"/>
      <c r="CE57" s="63"/>
      <c r="CF57" s="63"/>
      <c r="CG57" s="63"/>
      <c r="CH57" s="63"/>
      <c r="CI57" s="103"/>
      <c r="CJ57" s="103"/>
      <c r="CK57" s="103"/>
      <c r="CL57" s="103"/>
    </row>
    <row r="58" spans="2:90" ht="13" x14ac:dyDescent="0.15">
      <c r="B58" s="13"/>
      <c r="C58" s="55"/>
      <c r="D58" s="55"/>
      <c r="E58" s="13"/>
      <c r="F58" s="13"/>
      <c r="G58" s="103"/>
      <c r="H58" s="103"/>
      <c r="I58" s="103"/>
      <c r="J58" s="103"/>
      <c r="K58" s="63"/>
      <c r="L58" s="63"/>
      <c r="M58" s="63"/>
      <c r="N58" s="63"/>
      <c r="O58" s="103"/>
      <c r="P58" s="103"/>
      <c r="Q58" s="103"/>
      <c r="R58" s="103"/>
      <c r="S58" s="63"/>
      <c r="T58" s="63"/>
      <c r="U58" s="63"/>
      <c r="V58" s="63"/>
      <c r="W58" s="103"/>
      <c r="X58" s="103"/>
      <c r="Y58" s="103"/>
      <c r="Z58" s="103"/>
      <c r="AA58" s="63"/>
      <c r="AB58" s="63"/>
      <c r="AC58" s="63"/>
      <c r="AD58" s="63"/>
      <c r="AE58" s="103"/>
      <c r="AF58" s="103"/>
      <c r="AG58" s="103"/>
      <c r="AH58" s="103"/>
      <c r="AI58" s="63"/>
      <c r="AJ58" s="63"/>
      <c r="AK58" s="63"/>
      <c r="AL58" s="63"/>
      <c r="AM58" s="103"/>
      <c r="AN58" s="103"/>
      <c r="AO58" s="103"/>
      <c r="AP58" s="103"/>
      <c r="AQ58" s="63"/>
      <c r="AR58" s="63"/>
      <c r="AS58" s="63"/>
      <c r="AT58" s="63"/>
      <c r="AU58" s="103"/>
      <c r="AV58" s="103"/>
      <c r="AW58" s="103"/>
      <c r="AX58" s="103"/>
      <c r="AY58" s="63"/>
      <c r="AZ58" s="63"/>
      <c r="BA58" s="63"/>
      <c r="BB58" s="63"/>
      <c r="BC58" s="103"/>
      <c r="BD58" s="103"/>
      <c r="BE58" s="103"/>
      <c r="BF58" s="103"/>
      <c r="BG58" s="63"/>
      <c r="BH58" s="63"/>
      <c r="BI58" s="63"/>
      <c r="BJ58" s="63"/>
      <c r="BK58" s="103"/>
      <c r="BL58" s="103"/>
      <c r="BM58" s="103"/>
      <c r="BN58" s="103"/>
      <c r="BO58" s="63"/>
      <c r="BP58" s="63"/>
      <c r="BQ58" s="63"/>
      <c r="BR58" s="63"/>
      <c r="BS58" s="103"/>
      <c r="BT58" s="103"/>
      <c r="BU58" s="103"/>
      <c r="BV58" s="103"/>
      <c r="BW58" s="63"/>
      <c r="BX58" s="63"/>
      <c r="BY58" s="63"/>
      <c r="BZ58" s="63"/>
      <c r="CA58" s="103"/>
      <c r="CB58" s="103"/>
      <c r="CC58" s="103"/>
      <c r="CD58" s="103"/>
      <c r="CE58" s="63"/>
      <c r="CF58" s="63"/>
      <c r="CG58" s="63"/>
      <c r="CH58" s="63"/>
      <c r="CI58" s="103"/>
      <c r="CJ58" s="103"/>
      <c r="CK58" s="103"/>
      <c r="CL58" s="103"/>
    </row>
    <row r="59" spans="2:90" ht="13" x14ac:dyDescent="0.15">
      <c r="B59" s="13"/>
      <c r="C59" s="55"/>
      <c r="D59" s="55"/>
      <c r="E59" s="13"/>
      <c r="F59" s="13"/>
      <c r="G59" s="103"/>
      <c r="H59" s="103"/>
      <c r="I59" s="103"/>
      <c r="J59" s="103"/>
      <c r="K59" s="63"/>
      <c r="L59" s="63"/>
      <c r="M59" s="63"/>
      <c r="N59" s="63"/>
      <c r="O59" s="103"/>
      <c r="P59" s="103"/>
      <c r="Q59" s="103"/>
      <c r="R59" s="103"/>
      <c r="S59" s="63"/>
      <c r="T59" s="63"/>
      <c r="U59" s="63"/>
      <c r="V59" s="63"/>
      <c r="W59" s="103"/>
      <c r="X59" s="103"/>
      <c r="Y59" s="103"/>
      <c r="Z59" s="103"/>
      <c r="AA59" s="63"/>
      <c r="AB59" s="63"/>
      <c r="AC59" s="63"/>
      <c r="AD59" s="63"/>
      <c r="AE59" s="103"/>
      <c r="AF59" s="103"/>
      <c r="AG59" s="103"/>
      <c r="AH59" s="103"/>
      <c r="AI59" s="63"/>
      <c r="AJ59" s="63"/>
      <c r="AK59" s="63"/>
      <c r="AL59" s="63"/>
      <c r="AM59" s="103"/>
      <c r="AN59" s="103"/>
      <c r="AO59" s="103"/>
      <c r="AP59" s="103"/>
      <c r="AQ59" s="63"/>
      <c r="AR59" s="63"/>
      <c r="AS59" s="63"/>
      <c r="AT59" s="63"/>
      <c r="AU59" s="103"/>
      <c r="AV59" s="103"/>
      <c r="AW59" s="103"/>
      <c r="AX59" s="103"/>
      <c r="AY59" s="63"/>
      <c r="AZ59" s="63"/>
      <c r="BA59" s="63"/>
      <c r="BB59" s="63"/>
      <c r="BC59" s="103"/>
      <c r="BD59" s="103"/>
      <c r="BE59" s="103"/>
      <c r="BF59" s="103"/>
      <c r="BG59" s="63"/>
      <c r="BH59" s="63"/>
      <c r="BI59" s="63"/>
      <c r="BJ59" s="63"/>
      <c r="BK59" s="103"/>
      <c r="BL59" s="103"/>
      <c r="BM59" s="103"/>
      <c r="BN59" s="103"/>
      <c r="BO59" s="63"/>
      <c r="BP59" s="63"/>
      <c r="BQ59" s="63"/>
      <c r="BR59" s="63"/>
      <c r="BS59" s="103"/>
      <c r="BT59" s="103"/>
      <c r="BU59" s="103"/>
      <c r="BV59" s="103"/>
      <c r="BW59" s="63"/>
      <c r="BX59" s="63"/>
      <c r="BY59" s="63"/>
      <c r="BZ59" s="63"/>
      <c r="CA59" s="103"/>
      <c r="CB59" s="103"/>
      <c r="CC59" s="103"/>
      <c r="CD59" s="103"/>
      <c r="CE59" s="63"/>
      <c r="CF59" s="63"/>
      <c r="CG59" s="63"/>
      <c r="CH59" s="63"/>
      <c r="CI59" s="103"/>
      <c r="CJ59" s="103"/>
      <c r="CK59" s="103"/>
      <c r="CL59" s="103"/>
    </row>
    <row r="60" spans="2:90" ht="13" x14ac:dyDescent="0.15">
      <c r="B60" s="13"/>
      <c r="C60" s="55"/>
      <c r="D60" s="55"/>
      <c r="E60" s="13"/>
      <c r="F60" s="13"/>
      <c r="G60" s="103"/>
      <c r="H60" s="103"/>
      <c r="I60" s="103"/>
      <c r="J60" s="103"/>
      <c r="K60" s="63"/>
      <c r="L60" s="63"/>
      <c r="M60" s="63"/>
      <c r="N60" s="63"/>
      <c r="O60" s="103"/>
      <c r="P60" s="103"/>
      <c r="Q60" s="103"/>
      <c r="R60" s="103"/>
      <c r="S60" s="63"/>
      <c r="T60" s="63"/>
      <c r="U60" s="63"/>
      <c r="V60" s="63"/>
      <c r="W60" s="103"/>
      <c r="X60" s="103"/>
      <c r="Y60" s="103"/>
      <c r="Z60" s="103"/>
      <c r="AA60" s="63"/>
      <c r="AB60" s="63"/>
      <c r="AC60" s="63"/>
      <c r="AD60" s="63"/>
      <c r="AE60" s="103"/>
      <c r="AF60" s="103"/>
      <c r="AG60" s="103"/>
      <c r="AH60" s="103"/>
      <c r="AI60" s="63"/>
      <c r="AJ60" s="63"/>
      <c r="AK60" s="63"/>
      <c r="AL60" s="63"/>
      <c r="AM60" s="103"/>
      <c r="AN60" s="103"/>
      <c r="AO60" s="103"/>
      <c r="AP60" s="103"/>
      <c r="AQ60" s="63"/>
      <c r="AR60" s="63"/>
      <c r="AS60" s="63"/>
      <c r="AT60" s="63"/>
      <c r="AU60" s="103"/>
      <c r="AV60" s="103"/>
      <c r="AW60" s="103"/>
      <c r="AX60" s="103"/>
      <c r="AY60" s="63"/>
      <c r="AZ60" s="63"/>
      <c r="BA60" s="63"/>
      <c r="BB60" s="63"/>
      <c r="BC60" s="103"/>
      <c r="BD60" s="103"/>
      <c r="BE60" s="103"/>
      <c r="BF60" s="103"/>
      <c r="BG60" s="63"/>
      <c r="BH60" s="63"/>
      <c r="BI60" s="63"/>
      <c r="BJ60" s="63"/>
      <c r="BK60" s="103"/>
      <c r="BL60" s="103"/>
      <c r="BM60" s="103"/>
      <c r="BN60" s="103"/>
      <c r="BO60" s="63"/>
      <c r="BP60" s="63"/>
      <c r="BQ60" s="63"/>
      <c r="BR60" s="63"/>
      <c r="BS60" s="103"/>
      <c r="BT60" s="103"/>
      <c r="BU60" s="103"/>
      <c r="BV60" s="103"/>
      <c r="BW60" s="63"/>
      <c r="BX60" s="63"/>
      <c r="BY60" s="63"/>
      <c r="BZ60" s="63"/>
      <c r="CA60" s="103"/>
      <c r="CB60" s="103"/>
      <c r="CC60" s="103"/>
      <c r="CD60" s="103"/>
      <c r="CE60" s="63"/>
      <c r="CF60" s="63"/>
      <c r="CG60" s="63"/>
      <c r="CH60" s="63"/>
      <c r="CI60" s="103"/>
      <c r="CJ60" s="103"/>
      <c r="CK60" s="103"/>
      <c r="CL60" s="103"/>
    </row>
    <row r="61" spans="2:90" ht="13" x14ac:dyDescent="0.15">
      <c r="B61" s="13"/>
      <c r="C61" s="55"/>
      <c r="D61" s="55"/>
      <c r="E61" s="13"/>
      <c r="F61" s="13"/>
      <c r="G61" s="103"/>
      <c r="H61" s="103"/>
      <c r="I61" s="103"/>
      <c r="J61" s="103"/>
      <c r="K61" s="63"/>
      <c r="L61" s="63"/>
      <c r="M61" s="63"/>
      <c r="N61" s="63"/>
      <c r="O61" s="103"/>
      <c r="P61" s="103"/>
      <c r="Q61" s="103"/>
      <c r="R61" s="103"/>
      <c r="S61" s="63"/>
      <c r="T61" s="63"/>
      <c r="U61" s="63"/>
      <c r="V61" s="63"/>
      <c r="W61" s="103"/>
      <c r="X61" s="103"/>
      <c r="Y61" s="103"/>
      <c r="Z61" s="103"/>
      <c r="AA61" s="63"/>
      <c r="AB61" s="63"/>
      <c r="AC61" s="63"/>
      <c r="AD61" s="63"/>
      <c r="AE61" s="103"/>
      <c r="AF61" s="103"/>
      <c r="AG61" s="103"/>
      <c r="AH61" s="103"/>
      <c r="AI61" s="63"/>
      <c r="AJ61" s="63"/>
      <c r="AK61" s="63"/>
      <c r="AL61" s="63"/>
      <c r="AM61" s="103"/>
      <c r="AN61" s="103"/>
      <c r="AO61" s="103"/>
      <c r="AP61" s="103"/>
      <c r="AQ61" s="63"/>
      <c r="AR61" s="63"/>
      <c r="AS61" s="63"/>
      <c r="AT61" s="63"/>
      <c r="AU61" s="103"/>
      <c r="AV61" s="103"/>
      <c r="AW61" s="103"/>
      <c r="AX61" s="103"/>
      <c r="AY61" s="63"/>
      <c r="AZ61" s="63"/>
      <c r="BA61" s="63"/>
      <c r="BB61" s="63"/>
      <c r="BC61" s="103"/>
      <c r="BD61" s="103"/>
      <c r="BE61" s="103"/>
      <c r="BF61" s="103"/>
      <c r="BG61" s="63"/>
      <c r="BH61" s="63"/>
      <c r="BI61" s="63"/>
      <c r="BJ61" s="63"/>
      <c r="BK61" s="103"/>
      <c r="BL61" s="103"/>
      <c r="BM61" s="103"/>
      <c r="BN61" s="103"/>
      <c r="BO61" s="63"/>
      <c r="BP61" s="63"/>
      <c r="BQ61" s="63"/>
      <c r="BR61" s="63"/>
      <c r="BS61" s="103"/>
      <c r="BT61" s="103"/>
      <c r="BU61" s="103"/>
      <c r="BV61" s="103"/>
      <c r="BW61" s="63"/>
      <c r="BX61" s="63"/>
      <c r="BY61" s="63"/>
      <c r="BZ61" s="63"/>
      <c r="CA61" s="103"/>
      <c r="CB61" s="103"/>
      <c r="CC61" s="103"/>
      <c r="CD61" s="103"/>
      <c r="CE61" s="63"/>
      <c r="CF61" s="63"/>
      <c r="CG61" s="63"/>
      <c r="CH61" s="63"/>
      <c r="CI61" s="103"/>
      <c r="CJ61" s="103"/>
      <c r="CK61" s="103"/>
      <c r="CL61" s="103"/>
    </row>
    <row r="62" spans="2:90" ht="13" x14ac:dyDescent="0.15">
      <c r="B62" s="13"/>
      <c r="C62" s="55"/>
      <c r="D62" s="55"/>
      <c r="E62" s="13"/>
      <c r="F62" s="13"/>
      <c r="G62" s="103"/>
      <c r="H62" s="103"/>
      <c r="I62" s="103"/>
      <c r="J62" s="103"/>
      <c r="K62" s="63"/>
      <c r="L62" s="63"/>
      <c r="M62" s="63"/>
      <c r="N62" s="63"/>
      <c r="O62" s="103"/>
      <c r="P62" s="103"/>
      <c r="Q62" s="103"/>
      <c r="R62" s="103"/>
      <c r="S62" s="63"/>
      <c r="T62" s="63"/>
      <c r="U62" s="63"/>
      <c r="V62" s="63"/>
      <c r="W62" s="103"/>
      <c r="X62" s="103"/>
      <c r="Y62" s="103"/>
      <c r="Z62" s="103"/>
      <c r="AA62" s="63"/>
      <c r="AB62" s="63"/>
      <c r="AC62" s="63"/>
      <c r="AD62" s="63"/>
      <c r="AE62" s="103"/>
      <c r="AF62" s="103"/>
      <c r="AG62" s="103"/>
      <c r="AH62" s="103"/>
      <c r="AI62" s="63"/>
      <c r="AJ62" s="63"/>
      <c r="AK62" s="63"/>
      <c r="AL62" s="63"/>
      <c r="AM62" s="103"/>
      <c r="AN62" s="103"/>
      <c r="AO62" s="103"/>
      <c r="AP62" s="103"/>
      <c r="AQ62" s="63"/>
      <c r="AR62" s="63"/>
      <c r="AS62" s="63"/>
      <c r="AT62" s="63"/>
      <c r="AU62" s="103"/>
      <c r="AV62" s="103"/>
      <c r="AW62" s="103"/>
      <c r="AX62" s="103"/>
      <c r="AY62" s="63"/>
      <c r="AZ62" s="63"/>
      <c r="BA62" s="63"/>
      <c r="BB62" s="63"/>
      <c r="BC62" s="103"/>
      <c r="BD62" s="103"/>
      <c r="BE62" s="103"/>
      <c r="BF62" s="103"/>
      <c r="BG62" s="63"/>
      <c r="BH62" s="63"/>
      <c r="BI62" s="63"/>
      <c r="BJ62" s="63"/>
      <c r="BK62" s="103"/>
      <c r="BL62" s="103"/>
      <c r="BM62" s="103"/>
      <c r="BN62" s="103"/>
      <c r="BO62" s="63"/>
      <c r="BP62" s="63"/>
      <c r="BQ62" s="63"/>
      <c r="BR62" s="63"/>
      <c r="BS62" s="103"/>
      <c r="BT62" s="103"/>
      <c r="BU62" s="103"/>
      <c r="BV62" s="103"/>
      <c r="BW62" s="63"/>
      <c r="BX62" s="63"/>
      <c r="BY62" s="63"/>
      <c r="BZ62" s="63"/>
      <c r="CA62" s="103"/>
      <c r="CB62" s="103"/>
      <c r="CC62" s="103"/>
      <c r="CD62" s="103"/>
      <c r="CE62" s="63"/>
      <c r="CF62" s="63"/>
      <c r="CG62" s="63"/>
      <c r="CH62" s="63"/>
      <c r="CI62" s="103"/>
      <c r="CJ62" s="103"/>
      <c r="CK62" s="103"/>
      <c r="CL62" s="103"/>
    </row>
    <row r="63" spans="2:90" ht="13" x14ac:dyDescent="0.15">
      <c r="B63" s="13"/>
      <c r="C63" s="55"/>
      <c r="D63" s="55"/>
      <c r="E63" s="13"/>
      <c r="F63" s="13"/>
      <c r="G63" s="103"/>
      <c r="H63" s="103"/>
      <c r="I63" s="103"/>
      <c r="J63" s="103"/>
      <c r="K63" s="63"/>
      <c r="L63" s="63"/>
      <c r="M63" s="63"/>
      <c r="N63" s="63"/>
      <c r="O63" s="103"/>
      <c r="P63" s="103"/>
      <c r="Q63" s="103"/>
      <c r="R63" s="103"/>
      <c r="S63" s="63"/>
      <c r="T63" s="63"/>
      <c r="U63" s="63"/>
      <c r="V63" s="63"/>
      <c r="W63" s="103"/>
      <c r="X63" s="103"/>
      <c r="Y63" s="103"/>
      <c r="Z63" s="103"/>
      <c r="AA63" s="63"/>
      <c r="AB63" s="63"/>
      <c r="AC63" s="63"/>
      <c r="AD63" s="63"/>
      <c r="AE63" s="103"/>
      <c r="AF63" s="103"/>
      <c r="AG63" s="103"/>
      <c r="AH63" s="103"/>
      <c r="AI63" s="63"/>
      <c r="AJ63" s="63"/>
      <c r="AK63" s="63"/>
      <c r="AL63" s="63"/>
      <c r="AM63" s="103"/>
      <c r="AN63" s="103"/>
      <c r="AO63" s="103"/>
      <c r="AP63" s="103"/>
      <c r="AQ63" s="63"/>
      <c r="AR63" s="63"/>
      <c r="AS63" s="63"/>
      <c r="AT63" s="63"/>
      <c r="AU63" s="103"/>
      <c r="AV63" s="103"/>
      <c r="AW63" s="103"/>
      <c r="AX63" s="103"/>
      <c r="AY63" s="63"/>
      <c r="AZ63" s="63"/>
      <c r="BA63" s="63"/>
      <c r="BB63" s="63"/>
      <c r="BC63" s="103"/>
      <c r="BD63" s="103"/>
      <c r="BE63" s="103"/>
      <c r="BF63" s="103"/>
      <c r="BG63" s="63"/>
      <c r="BH63" s="63"/>
      <c r="BI63" s="63"/>
      <c r="BJ63" s="63"/>
      <c r="BK63" s="103"/>
      <c r="BL63" s="103"/>
      <c r="BM63" s="103"/>
      <c r="BN63" s="103"/>
      <c r="BO63" s="63"/>
      <c r="BP63" s="63"/>
      <c r="BQ63" s="63"/>
      <c r="BR63" s="63"/>
      <c r="BS63" s="103"/>
      <c r="BT63" s="103"/>
      <c r="BU63" s="103"/>
      <c r="BV63" s="103"/>
      <c r="BW63" s="63"/>
      <c r="BX63" s="63"/>
      <c r="BY63" s="63"/>
      <c r="BZ63" s="63"/>
      <c r="CA63" s="103"/>
      <c r="CB63" s="103"/>
      <c r="CC63" s="103"/>
      <c r="CD63" s="103"/>
      <c r="CE63" s="63"/>
      <c r="CF63" s="63"/>
      <c r="CG63" s="63"/>
      <c r="CH63" s="63"/>
      <c r="CI63" s="103"/>
      <c r="CJ63" s="103"/>
      <c r="CK63" s="103"/>
      <c r="CL63" s="103"/>
    </row>
    <row r="64" spans="2:90" ht="13" x14ac:dyDescent="0.15">
      <c r="B64" s="13"/>
      <c r="C64" s="55"/>
      <c r="D64" s="55"/>
      <c r="E64" s="13"/>
      <c r="F64" s="13"/>
      <c r="G64" s="103"/>
      <c r="H64" s="103"/>
      <c r="I64" s="103"/>
      <c r="J64" s="103"/>
      <c r="K64" s="63"/>
      <c r="L64" s="63"/>
      <c r="M64" s="63"/>
      <c r="N64" s="63"/>
      <c r="O64" s="103"/>
      <c r="P64" s="103"/>
      <c r="Q64" s="103"/>
      <c r="R64" s="103"/>
      <c r="S64" s="63"/>
      <c r="T64" s="63"/>
      <c r="U64" s="63"/>
      <c r="V64" s="63"/>
      <c r="W64" s="103"/>
      <c r="X64" s="103"/>
      <c r="Y64" s="103"/>
      <c r="Z64" s="103"/>
      <c r="AA64" s="63"/>
      <c r="AB64" s="63"/>
      <c r="AC64" s="63"/>
      <c r="AD64" s="63"/>
      <c r="AE64" s="103"/>
      <c r="AF64" s="103"/>
      <c r="AG64" s="103"/>
      <c r="AH64" s="103"/>
      <c r="AI64" s="63"/>
      <c r="AJ64" s="63"/>
      <c r="AK64" s="63"/>
      <c r="AL64" s="63"/>
      <c r="AM64" s="103"/>
      <c r="AN64" s="103"/>
      <c r="AO64" s="103"/>
      <c r="AP64" s="103"/>
      <c r="AQ64" s="63"/>
      <c r="AR64" s="63"/>
      <c r="AS64" s="63"/>
      <c r="AT64" s="63"/>
      <c r="AU64" s="103"/>
      <c r="AV64" s="103"/>
      <c r="AW64" s="103"/>
      <c r="AX64" s="103"/>
      <c r="AY64" s="63"/>
      <c r="AZ64" s="63"/>
      <c r="BA64" s="63"/>
      <c r="BB64" s="63"/>
      <c r="BC64" s="103"/>
      <c r="BD64" s="103"/>
      <c r="BE64" s="103"/>
      <c r="BF64" s="103"/>
      <c r="BG64" s="63"/>
      <c r="BH64" s="63"/>
      <c r="BI64" s="63"/>
      <c r="BJ64" s="63"/>
      <c r="BK64" s="103"/>
      <c r="BL64" s="103"/>
      <c r="BM64" s="103"/>
      <c r="BN64" s="103"/>
      <c r="BO64" s="63"/>
      <c r="BP64" s="63"/>
      <c r="BQ64" s="63"/>
      <c r="BR64" s="63"/>
      <c r="BS64" s="103"/>
      <c r="BT64" s="103"/>
      <c r="BU64" s="103"/>
      <c r="BV64" s="103"/>
      <c r="BW64" s="63"/>
      <c r="BX64" s="63"/>
      <c r="BY64" s="63"/>
      <c r="BZ64" s="63"/>
      <c r="CA64" s="103"/>
      <c r="CB64" s="103"/>
      <c r="CC64" s="103"/>
      <c r="CD64" s="103"/>
      <c r="CE64" s="63"/>
      <c r="CF64" s="63"/>
      <c r="CG64" s="63"/>
      <c r="CH64" s="63"/>
      <c r="CI64" s="103"/>
      <c r="CJ64" s="103"/>
      <c r="CK64" s="103"/>
      <c r="CL64" s="103"/>
    </row>
    <row r="65" spans="2:90" ht="13" x14ac:dyDescent="0.15">
      <c r="B65" s="13"/>
      <c r="C65" s="55"/>
      <c r="D65" s="55"/>
      <c r="E65" s="13"/>
      <c r="F65" s="13"/>
      <c r="G65" s="103"/>
      <c r="H65" s="103"/>
      <c r="I65" s="103"/>
      <c r="J65" s="103"/>
      <c r="K65" s="63"/>
      <c r="L65" s="63"/>
      <c r="M65" s="63"/>
      <c r="N65" s="63"/>
      <c r="O65" s="103"/>
      <c r="P65" s="103"/>
      <c r="Q65" s="103"/>
      <c r="R65" s="103"/>
      <c r="S65" s="63"/>
      <c r="T65" s="63"/>
      <c r="U65" s="63"/>
      <c r="V65" s="63"/>
      <c r="W65" s="103"/>
      <c r="X65" s="103"/>
      <c r="Y65" s="103"/>
      <c r="Z65" s="103"/>
      <c r="AA65" s="63"/>
      <c r="AB65" s="63"/>
      <c r="AC65" s="63"/>
      <c r="AD65" s="63"/>
      <c r="AE65" s="103"/>
      <c r="AF65" s="103"/>
      <c r="AG65" s="103"/>
      <c r="AH65" s="103"/>
      <c r="AI65" s="63"/>
      <c r="AJ65" s="63"/>
      <c r="AK65" s="63"/>
      <c r="AL65" s="63"/>
      <c r="AM65" s="103"/>
      <c r="AN65" s="103"/>
      <c r="AO65" s="103"/>
      <c r="AP65" s="103"/>
      <c r="AQ65" s="63"/>
      <c r="AR65" s="63"/>
      <c r="AS65" s="63"/>
      <c r="AT65" s="63"/>
      <c r="AU65" s="103"/>
      <c r="AV65" s="103"/>
      <c r="AW65" s="103"/>
      <c r="AX65" s="103"/>
      <c r="AY65" s="63"/>
      <c r="AZ65" s="63"/>
      <c r="BA65" s="63"/>
      <c r="BB65" s="63"/>
      <c r="BC65" s="103"/>
      <c r="BD65" s="103"/>
      <c r="BE65" s="103"/>
      <c r="BF65" s="103"/>
      <c r="BG65" s="63"/>
      <c r="BH65" s="63"/>
      <c r="BI65" s="63"/>
      <c r="BJ65" s="63"/>
      <c r="BK65" s="103"/>
      <c r="BL65" s="103"/>
      <c r="BM65" s="103"/>
      <c r="BN65" s="103"/>
      <c r="BO65" s="63"/>
      <c r="BP65" s="63"/>
      <c r="BQ65" s="63"/>
      <c r="BR65" s="63"/>
      <c r="BS65" s="103"/>
      <c r="BT65" s="103"/>
      <c r="BU65" s="103"/>
      <c r="BV65" s="103"/>
      <c r="BW65" s="63"/>
      <c r="BX65" s="63"/>
      <c r="BY65" s="63"/>
      <c r="BZ65" s="63"/>
      <c r="CA65" s="103"/>
      <c r="CB65" s="103"/>
      <c r="CC65" s="103"/>
      <c r="CD65" s="103"/>
      <c r="CE65" s="63"/>
      <c r="CF65" s="63"/>
      <c r="CG65" s="63"/>
      <c r="CH65" s="63"/>
      <c r="CI65" s="103"/>
      <c r="CJ65" s="103"/>
      <c r="CK65" s="103"/>
      <c r="CL65" s="103"/>
    </row>
    <row r="66" spans="2:90" ht="13" x14ac:dyDescent="0.15">
      <c r="B66" s="13"/>
      <c r="C66" s="55"/>
      <c r="D66" s="55"/>
      <c r="E66" s="13"/>
      <c r="F66" s="13"/>
      <c r="G66" s="103"/>
      <c r="H66" s="103"/>
      <c r="I66" s="103"/>
      <c r="J66" s="103"/>
      <c r="K66" s="63"/>
      <c r="L66" s="63"/>
      <c r="M66" s="63"/>
      <c r="N66" s="63"/>
      <c r="O66" s="103"/>
      <c r="P66" s="103"/>
      <c r="Q66" s="103"/>
      <c r="R66" s="103"/>
      <c r="S66" s="63"/>
      <c r="T66" s="63"/>
      <c r="U66" s="63"/>
      <c r="V66" s="63"/>
      <c r="W66" s="103"/>
      <c r="X66" s="103"/>
      <c r="Y66" s="103"/>
      <c r="Z66" s="103"/>
      <c r="AA66" s="63"/>
      <c r="AB66" s="63"/>
      <c r="AC66" s="63"/>
      <c r="AD66" s="63"/>
      <c r="AE66" s="103"/>
      <c r="AF66" s="103"/>
      <c r="AG66" s="103"/>
      <c r="AH66" s="103"/>
      <c r="AI66" s="63"/>
      <c r="AJ66" s="63"/>
      <c r="AK66" s="63"/>
      <c r="AL66" s="63"/>
      <c r="AM66" s="103"/>
      <c r="AN66" s="103"/>
      <c r="AO66" s="103"/>
      <c r="AP66" s="103"/>
      <c r="AQ66" s="63"/>
      <c r="AR66" s="63"/>
      <c r="AS66" s="63"/>
      <c r="AT66" s="63"/>
      <c r="AU66" s="103"/>
      <c r="AV66" s="103"/>
      <c r="AW66" s="103"/>
      <c r="AX66" s="103"/>
      <c r="AY66" s="63"/>
      <c r="AZ66" s="63"/>
      <c r="BA66" s="63"/>
      <c r="BB66" s="63"/>
      <c r="BC66" s="103"/>
      <c r="BD66" s="103"/>
      <c r="BE66" s="103"/>
      <c r="BF66" s="103"/>
      <c r="BG66" s="63"/>
      <c r="BH66" s="63"/>
      <c r="BI66" s="63"/>
      <c r="BJ66" s="63"/>
      <c r="BK66" s="103"/>
      <c r="BL66" s="103"/>
      <c r="BM66" s="103"/>
      <c r="BN66" s="103"/>
      <c r="BO66" s="63"/>
      <c r="BP66" s="63"/>
      <c r="BQ66" s="63"/>
      <c r="BR66" s="63"/>
      <c r="BS66" s="103"/>
      <c r="BT66" s="103"/>
      <c r="BU66" s="103"/>
      <c r="BV66" s="103"/>
      <c r="BW66" s="63"/>
      <c r="BX66" s="63"/>
      <c r="BY66" s="63"/>
      <c r="BZ66" s="63"/>
      <c r="CA66" s="103"/>
      <c r="CB66" s="103"/>
      <c r="CC66" s="103"/>
      <c r="CD66" s="103"/>
      <c r="CE66" s="63"/>
      <c r="CF66" s="63"/>
      <c r="CG66" s="63"/>
      <c r="CH66" s="63"/>
      <c r="CI66" s="103"/>
      <c r="CJ66" s="103"/>
      <c r="CK66" s="103"/>
      <c r="CL66" s="103"/>
    </row>
    <row r="67" spans="2:90" ht="13" x14ac:dyDescent="0.15">
      <c r="B67" s="13"/>
      <c r="C67" s="55"/>
      <c r="D67" s="55"/>
      <c r="E67" s="13"/>
      <c r="F67" s="13"/>
      <c r="G67" s="103"/>
      <c r="H67" s="103"/>
      <c r="I67" s="103"/>
      <c r="J67" s="103"/>
      <c r="K67" s="63"/>
      <c r="L67" s="63"/>
      <c r="M67" s="63"/>
      <c r="N67" s="63"/>
      <c r="O67" s="103"/>
      <c r="P67" s="103"/>
      <c r="Q67" s="103"/>
      <c r="R67" s="103"/>
      <c r="S67" s="63"/>
      <c r="T67" s="63"/>
      <c r="U67" s="63"/>
      <c r="V67" s="63"/>
      <c r="W67" s="103"/>
      <c r="X67" s="103"/>
      <c r="Y67" s="103"/>
      <c r="Z67" s="103"/>
      <c r="AA67" s="63"/>
      <c r="AB67" s="63"/>
      <c r="AC67" s="63"/>
      <c r="AD67" s="63"/>
      <c r="AE67" s="103"/>
      <c r="AF67" s="103"/>
      <c r="AG67" s="103"/>
      <c r="AH67" s="103"/>
      <c r="AI67" s="63"/>
      <c r="AJ67" s="63"/>
      <c r="AK67" s="63"/>
      <c r="AL67" s="63"/>
      <c r="AM67" s="103"/>
      <c r="AN67" s="103"/>
      <c r="AO67" s="103"/>
      <c r="AP67" s="103"/>
      <c r="AQ67" s="63"/>
      <c r="AR67" s="63"/>
      <c r="AS67" s="63"/>
      <c r="AT67" s="63"/>
      <c r="AU67" s="103"/>
      <c r="AV67" s="103"/>
      <c r="AW67" s="103"/>
      <c r="AX67" s="103"/>
      <c r="AY67" s="63"/>
      <c r="AZ67" s="63"/>
      <c r="BA67" s="63"/>
      <c r="BB67" s="63"/>
      <c r="BC67" s="103"/>
      <c r="BD67" s="103"/>
      <c r="BE67" s="103"/>
      <c r="BF67" s="103"/>
      <c r="BG67" s="63"/>
      <c r="BH67" s="63"/>
      <c r="BI67" s="63"/>
      <c r="BJ67" s="63"/>
      <c r="BK67" s="103"/>
      <c r="BL67" s="103"/>
      <c r="BM67" s="103"/>
      <c r="BN67" s="103"/>
      <c r="BO67" s="63"/>
      <c r="BP67" s="63"/>
      <c r="BQ67" s="63"/>
      <c r="BR67" s="63"/>
      <c r="BS67" s="103"/>
      <c r="BT67" s="103"/>
      <c r="BU67" s="103"/>
      <c r="BV67" s="103"/>
      <c r="BW67" s="63"/>
      <c r="BX67" s="63"/>
      <c r="BY67" s="63"/>
      <c r="BZ67" s="63"/>
      <c r="CA67" s="103"/>
      <c r="CB67" s="103"/>
      <c r="CC67" s="103"/>
      <c r="CD67" s="103"/>
      <c r="CE67" s="63"/>
      <c r="CF67" s="63"/>
      <c r="CG67" s="63"/>
      <c r="CH67" s="63"/>
      <c r="CI67" s="103"/>
      <c r="CJ67" s="103"/>
      <c r="CK67" s="103"/>
      <c r="CL67" s="103"/>
    </row>
    <row r="68" spans="2:90" ht="13" x14ac:dyDescent="0.15">
      <c r="B68" s="13"/>
      <c r="C68" s="55"/>
      <c r="D68" s="55"/>
      <c r="E68" s="13"/>
      <c r="F68" s="13"/>
      <c r="G68" s="103"/>
      <c r="H68" s="103"/>
      <c r="I68" s="103"/>
      <c r="J68" s="103"/>
      <c r="K68" s="63"/>
      <c r="L68" s="63"/>
      <c r="M68" s="63"/>
      <c r="N68" s="63"/>
      <c r="O68" s="103"/>
      <c r="P68" s="103"/>
      <c r="Q68" s="103"/>
      <c r="R68" s="103"/>
      <c r="S68" s="63"/>
      <c r="T68" s="63"/>
      <c r="U68" s="63"/>
      <c r="V68" s="63"/>
      <c r="W68" s="103"/>
      <c r="X68" s="103"/>
      <c r="Y68" s="103"/>
      <c r="Z68" s="103"/>
      <c r="AA68" s="63"/>
      <c r="AB68" s="63"/>
      <c r="AC68" s="63"/>
      <c r="AD68" s="63"/>
      <c r="AE68" s="103"/>
      <c r="AF68" s="103"/>
      <c r="AG68" s="103"/>
      <c r="AH68" s="103"/>
      <c r="AI68" s="63"/>
      <c r="AJ68" s="63"/>
      <c r="AK68" s="63"/>
      <c r="AL68" s="63"/>
      <c r="AM68" s="103"/>
      <c r="AN68" s="103"/>
      <c r="AO68" s="103"/>
      <c r="AP68" s="103"/>
      <c r="AQ68" s="63"/>
      <c r="AR68" s="63"/>
      <c r="AS68" s="63"/>
      <c r="AT68" s="63"/>
      <c r="AU68" s="103"/>
      <c r="AV68" s="103"/>
      <c r="AW68" s="103"/>
      <c r="AX68" s="103"/>
      <c r="AY68" s="63"/>
      <c r="AZ68" s="63"/>
      <c r="BA68" s="63"/>
      <c r="BB68" s="63"/>
      <c r="BC68" s="103"/>
      <c r="BD68" s="103"/>
      <c r="BE68" s="103"/>
      <c r="BF68" s="103"/>
      <c r="BG68" s="63"/>
      <c r="BH68" s="63"/>
      <c r="BI68" s="63"/>
      <c r="BJ68" s="63"/>
      <c r="BK68" s="103"/>
      <c r="BL68" s="103"/>
      <c r="BM68" s="103"/>
      <c r="BN68" s="103"/>
      <c r="BO68" s="63"/>
      <c r="BP68" s="63"/>
      <c r="BQ68" s="63"/>
      <c r="BR68" s="63"/>
      <c r="BS68" s="103"/>
      <c r="BT68" s="103"/>
      <c r="BU68" s="103"/>
      <c r="BV68" s="103"/>
      <c r="BW68" s="63"/>
      <c r="BX68" s="63"/>
      <c r="BY68" s="63"/>
      <c r="BZ68" s="63"/>
      <c r="CA68" s="103"/>
      <c r="CB68" s="103"/>
      <c r="CC68" s="103"/>
      <c r="CD68" s="103"/>
      <c r="CE68" s="63"/>
      <c r="CF68" s="63"/>
      <c r="CG68" s="63"/>
      <c r="CH68" s="63"/>
      <c r="CI68" s="103"/>
      <c r="CJ68" s="103"/>
      <c r="CK68" s="103"/>
      <c r="CL68" s="103"/>
    </row>
    <row r="69" spans="2:90" ht="13" x14ac:dyDescent="0.15">
      <c r="B69" s="13"/>
      <c r="C69" s="55"/>
      <c r="D69" s="55"/>
      <c r="E69" s="13"/>
      <c r="F69" s="13"/>
      <c r="G69" s="103"/>
      <c r="H69" s="103"/>
      <c r="I69" s="103"/>
      <c r="J69" s="103"/>
      <c r="K69" s="63"/>
      <c r="L69" s="63"/>
      <c r="M69" s="63"/>
      <c r="N69" s="63"/>
      <c r="O69" s="103"/>
      <c r="P69" s="103"/>
      <c r="Q69" s="103"/>
      <c r="R69" s="103"/>
      <c r="S69" s="63"/>
      <c r="T69" s="63"/>
      <c r="U69" s="63"/>
      <c r="V69" s="63"/>
      <c r="W69" s="103"/>
      <c r="X69" s="103"/>
      <c r="Y69" s="103"/>
      <c r="Z69" s="103"/>
      <c r="AA69" s="63"/>
      <c r="AB69" s="63"/>
      <c r="AC69" s="63"/>
      <c r="AD69" s="63"/>
      <c r="AE69" s="103"/>
      <c r="AF69" s="103"/>
      <c r="AG69" s="103"/>
      <c r="AH69" s="103"/>
      <c r="AI69" s="63"/>
      <c r="AJ69" s="63"/>
      <c r="AK69" s="63"/>
      <c r="AL69" s="63"/>
      <c r="AM69" s="103"/>
      <c r="AN69" s="103"/>
      <c r="AO69" s="103"/>
      <c r="AP69" s="103"/>
      <c r="AQ69" s="63"/>
      <c r="AR69" s="63"/>
      <c r="AS69" s="63"/>
      <c r="AT69" s="63"/>
      <c r="AU69" s="103"/>
      <c r="AV69" s="103"/>
      <c r="AW69" s="103"/>
      <c r="AX69" s="103"/>
      <c r="AY69" s="63"/>
      <c r="AZ69" s="63"/>
      <c r="BA69" s="63"/>
      <c r="BB69" s="63"/>
      <c r="BC69" s="103"/>
      <c r="BD69" s="103"/>
      <c r="BE69" s="103"/>
      <c r="BF69" s="103"/>
      <c r="BG69" s="63"/>
      <c r="BH69" s="63"/>
      <c r="BI69" s="63"/>
      <c r="BJ69" s="63"/>
      <c r="BK69" s="103"/>
      <c r="BL69" s="103"/>
      <c r="BM69" s="103"/>
      <c r="BN69" s="103"/>
      <c r="BO69" s="63"/>
      <c r="BP69" s="63"/>
      <c r="BQ69" s="63"/>
      <c r="BR69" s="63"/>
      <c r="BS69" s="103"/>
      <c r="BT69" s="103"/>
      <c r="BU69" s="103"/>
      <c r="BV69" s="103"/>
      <c r="BW69" s="63"/>
      <c r="BX69" s="63"/>
      <c r="BY69" s="63"/>
      <c r="BZ69" s="63"/>
      <c r="CA69" s="103"/>
      <c r="CB69" s="103"/>
      <c r="CC69" s="103"/>
      <c r="CD69" s="103"/>
      <c r="CE69" s="63"/>
      <c r="CF69" s="63"/>
      <c r="CG69" s="63"/>
      <c r="CH69" s="63"/>
      <c r="CI69" s="103"/>
      <c r="CJ69" s="103"/>
      <c r="CK69" s="103"/>
      <c r="CL69" s="103"/>
    </row>
    <row r="70" spans="2:90" ht="13" x14ac:dyDescent="0.15">
      <c r="B70" s="13"/>
      <c r="C70" s="55"/>
      <c r="D70" s="55"/>
      <c r="E70" s="13"/>
      <c r="F70" s="13"/>
      <c r="G70" s="103"/>
      <c r="H70" s="103"/>
      <c r="I70" s="103"/>
      <c r="J70" s="103"/>
      <c r="K70" s="63"/>
      <c r="L70" s="63"/>
      <c r="M70" s="63"/>
      <c r="N70" s="63"/>
      <c r="O70" s="103"/>
      <c r="P70" s="103"/>
      <c r="Q70" s="103"/>
      <c r="R70" s="103"/>
      <c r="S70" s="63"/>
      <c r="T70" s="63"/>
      <c r="U70" s="63"/>
      <c r="V70" s="63"/>
      <c r="W70" s="103"/>
      <c r="X70" s="103"/>
      <c r="Y70" s="103"/>
      <c r="Z70" s="103"/>
      <c r="AA70" s="63"/>
      <c r="AB70" s="63"/>
      <c r="AC70" s="63"/>
      <c r="AD70" s="63"/>
      <c r="AE70" s="103"/>
      <c r="AF70" s="103"/>
      <c r="AG70" s="103"/>
      <c r="AH70" s="103"/>
      <c r="AI70" s="63"/>
      <c r="AJ70" s="63"/>
      <c r="AK70" s="63"/>
      <c r="AL70" s="63"/>
      <c r="AM70" s="103"/>
      <c r="AN70" s="103"/>
      <c r="AO70" s="103"/>
      <c r="AP70" s="103"/>
      <c r="AQ70" s="63"/>
      <c r="AR70" s="63"/>
      <c r="AS70" s="63"/>
      <c r="AT70" s="63"/>
      <c r="AU70" s="103"/>
      <c r="AV70" s="103"/>
      <c r="AW70" s="103"/>
      <c r="AX70" s="103"/>
      <c r="AY70" s="63"/>
      <c r="AZ70" s="63"/>
      <c r="BA70" s="63"/>
      <c r="BB70" s="63"/>
      <c r="BC70" s="103"/>
      <c r="BD70" s="103"/>
      <c r="BE70" s="103"/>
      <c r="BF70" s="103"/>
      <c r="BG70" s="63"/>
      <c r="BH70" s="63"/>
      <c r="BI70" s="63"/>
      <c r="BJ70" s="63"/>
      <c r="BK70" s="103"/>
      <c r="BL70" s="103"/>
      <c r="BM70" s="103"/>
      <c r="BN70" s="103"/>
      <c r="BO70" s="63"/>
      <c r="BP70" s="63"/>
      <c r="BQ70" s="63"/>
      <c r="BR70" s="63"/>
      <c r="BS70" s="103"/>
      <c r="BT70" s="103"/>
      <c r="BU70" s="103"/>
      <c r="BV70" s="103"/>
      <c r="BW70" s="63"/>
      <c r="BX70" s="63"/>
      <c r="BY70" s="63"/>
      <c r="BZ70" s="63"/>
      <c r="CA70" s="103"/>
      <c r="CB70" s="103"/>
      <c r="CC70" s="103"/>
      <c r="CD70" s="103"/>
      <c r="CE70" s="63"/>
      <c r="CF70" s="63"/>
      <c r="CG70" s="63"/>
      <c r="CH70" s="63"/>
      <c r="CI70" s="103"/>
      <c r="CJ70" s="103"/>
      <c r="CK70" s="103"/>
      <c r="CL70" s="103"/>
    </row>
    <row r="71" spans="2:90" ht="13" x14ac:dyDescent="0.15">
      <c r="B71" s="13"/>
      <c r="C71" s="55"/>
      <c r="D71" s="55"/>
      <c r="E71" s="13"/>
      <c r="F71" s="13"/>
      <c r="G71" s="103"/>
      <c r="H71" s="103"/>
      <c r="I71" s="103"/>
      <c r="J71" s="103"/>
      <c r="K71" s="63"/>
      <c r="L71" s="63"/>
      <c r="M71" s="63"/>
      <c r="N71" s="63"/>
      <c r="O71" s="103"/>
      <c r="P71" s="103"/>
      <c r="Q71" s="103"/>
      <c r="R71" s="103"/>
      <c r="S71" s="63"/>
      <c r="T71" s="63"/>
      <c r="U71" s="63"/>
      <c r="V71" s="63"/>
      <c r="W71" s="103"/>
      <c r="X71" s="103"/>
      <c r="Y71" s="103"/>
      <c r="Z71" s="103"/>
      <c r="AA71" s="63"/>
      <c r="AB71" s="63"/>
      <c r="AC71" s="63"/>
      <c r="AD71" s="63"/>
      <c r="AE71" s="103"/>
      <c r="AF71" s="103"/>
      <c r="AG71" s="103"/>
      <c r="AH71" s="103"/>
      <c r="AI71" s="63"/>
      <c r="AJ71" s="63"/>
      <c r="AK71" s="63"/>
      <c r="AL71" s="63"/>
      <c r="AM71" s="103"/>
      <c r="AN71" s="103"/>
      <c r="AO71" s="103"/>
      <c r="AP71" s="103"/>
      <c r="AQ71" s="63"/>
      <c r="AR71" s="63"/>
      <c r="AS71" s="63"/>
      <c r="AT71" s="63"/>
      <c r="AU71" s="103"/>
      <c r="AV71" s="103"/>
      <c r="AW71" s="103"/>
      <c r="AX71" s="103"/>
      <c r="AY71" s="63"/>
      <c r="AZ71" s="63"/>
      <c r="BA71" s="63"/>
      <c r="BB71" s="63"/>
      <c r="BC71" s="103"/>
      <c r="BD71" s="103"/>
      <c r="BE71" s="103"/>
      <c r="BF71" s="103"/>
      <c r="BG71" s="63"/>
      <c r="BH71" s="63"/>
      <c r="BI71" s="63"/>
      <c r="BJ71" s="63"/>
      <c r="BK71" s="103"/>
      <c r="BL71" s="103"/>
      <c r="BM71" s="103"/>
      <c r="BN71" s="103"/>
      <c r="BO71" s="63"/>
      <c r="BP71" s="63"/>
      <c r="BQ71" s="63"/>
      <c r="BR71" s="63"/>
      <c r="BS71" s="103"/>
      <c r="BT71" s="103"/>
      <c r="BU71" s="103"/>
      <c r="BV71" s="103"/>
      <c r="BW71" s="63"/>
      <c r="BX71" s="63"/>
      <c r="BY71" s="63"/>
      <c r="BZ71" s="63"/>
      <c r="CA71" s="103"/>
      <c r="CB71" s="103"/>
      <c r="CC71" s="103"/>
      <c r="CD71" s="103"/>
      <c r="CE71" s="63"/>
      <c r="CF71" s="63"/>
      <c r="CG71" s="63"/>
      <c r="CH71" s="63"/>
      <c r="CI71" s="103"/>
      <c r="CJ71" s="103"/>
      <c r="CK71" s="103"/>
      <c r="CL71" s="103"/>
    </row>
    <row r="72" spans="2:90" ht="13" x14ac:dyDescent="0.15">
      <c r="B72" s="13"/>
      <c r="C72" s="55"/>
      <c r="D72" s="55"/>
      <c r="E72" s="13"/>
      <c r="F72" s="13"/>
      <c r="G72" s="103"/>
      <c r="H72" s="103"/>
      <c r="I72" s="103"/>
      <c r="J72" s="103"/>
      <c r="K72" s="63"/>
      <c r="L72" s="63"/>
      <c r="M72" s="63"/>
      <c r="N72" s="63"/>
      <c r="O72" s="103"/>
      <c r="P72" s="103"/>
      <c r="Q72" s="103"/>
      <c r="R72" s="103"/>
      <c r="S72" s="63"/>
      <c r="T72" s="63"/>
      <c r="U72" s="63"/>
      <c r="V72" s="63"/>
      <c r="W72" s="103"/>
      <c r="X72" s="103"/>
      <c r="Y72" s="103"/>
      <c r="Z72" s="103"/>
      <c r="AA72" s="63"/>
      <c r="AB72" s="63"/>
      <c r="AC72" s="63"/>
      <c r="AD72" s="63"/>
      <c r="AE72" s="103"/>
      <c r="AF72" s="103"/>
      <c r="AG72" s="103"/>
      <c r="AH72" s="103"/>
      <c r="AI72" s="63"/>
      <c r="AJ72" s="63"/>
      <c r="AK72" s="63"/>
      <c r="AL72" s="63"/>
      <c r="AM72" s="103"/>
      <c r="AN72" s="103"/>
      <c r="AO72" s="103"/>
      <c r="AP72" s="103"/>
      <c r="AQ72" s="63"/>
      <c r="AR72" s="63"/>
      <c r="AS72" s="63"/>
      <c r="AT72" s="63"/>
      <c r="AU72" s="103"/>
      <c r="AV72" s="103"/>
      <c r="AW72" s="103"/>
      <c r="AX72" s="103"/>
      <c r="AY72" s="63"/>
      <c r="AZ72" s="63"/>
      <c r="BA72" s="63"/>
      <c r="BB72" s="63"/>
      <c r="BC72" s="103"/>
      <c r="BD72" s="103"/>
      <c r="BE72" s="103"/>
      <c r="BF72" s="103"/>
      <c r="BG72" s="63"/>
      <c r="BH72" s="63"/>
      <c r="BI72" s="63"/>
      <c r="BJ72" s="63"/>
      <c r="BK72" s="103"/>
      <c r="BL72" s="103"/>
      <c r="BM72" s="103"/>
      <c r="BN72" s="103"/>
      <c r="BO72" s="63"/>
      <c r="BP72" s="63"/>
      <c r="BQ72" s="63"/>
      <c r="BR72" s="63"/>
      <c r="BS72" s="103"/>
      <c r="BT72" s="103"/>
      <c r="BU72" s="103"/>
      <c r="BV72" s="103"/>
      <c r="BW72" s="63"/>
      <c r="BX72" s="63"/>
      <c r="BY72" s="63"/>
      <c r="BZ72" s="63"/>
      <c r="CA72" s="103"/>
      <c r="CB72" s="103"/>
      <c r="CC72" s="103"/>
      <c r="CD72" s="103"/>
      <c r="CE72" s="63"/>
      <c r="CF72" s="63"/>
      <c r="CG72" s="63"/>
      <c r="CH72" s="63"/>
      <c r="CI72" s="103"/>
      <c r="CJ72" s="103"/>
      <c r="CK72" s="103"/>
      <c r="CL72" s="103"/>
    </row>
    <row r="73" spans="2:90" ht="13" x14ac:dyDescent="0.15">
      <c r="B73" s="13"/>
      <c r="C73" s="55"/>
      <c r="D73" s="55"/>
      <c r="E73" s="13"/>
      <c r="F73" s="13"/>
      <c r="G73" s="103"/>
      <c r="H73" s="103"/>
      <c r="I73" s="103"/>
      <c r="J73" s="103"/>
      <c r="K73" s="63"/>
      <c r="L73" s="63"/>
      <c r="M73" s="63"/>
      <c r="N73" s="63"/>
      <c r="O73" s="103"/>
      <c r="P73" s="103"/>
      <c r="Q73" s="103"/>
      <c r="R73" s="103"/>
      <c r="S73" s="63"/>
      <c r="T73" s="63"/>
      <c r="U73" s="63"/>
      <c r="V73" s="63"/>
      <c r="W73" s="103"/>
      <c r="X73" s="103"/>
      <c r="Y73" s="103"/>
      <c r="Z73" s="103"/>
      <c r="AA73" s="63"/>
      <c r="AB73" s="63"/>
      <c r="AC73" s="63"/>
      <c r="AD73" s="63"/>
      <c r="AE73" s="103"/>
      <c r="AF73" s="103"/>
      <c r="AG73" s="103"/>
      <c r="AH73" s="103"/>
      <c r="AI73" s="63"/>
      <c r="AJ73" s="63"/>
      <c r="AK73" s="63"/>
      <c r="AL73" s="63"/>
      <c r="AM73" s="103"/>
      <c r="AN73" s="103"/>
      <c r="AO73" s="103"/>
      <c r="AP73" s="103"/>
      <c r="AQ73" s="63"/>
      <c r="AR73" s="63"/>
      <c r="AS73" s="63"/>
      <c r="AT73" s="63"/>
      <c r="AU73" s="103"/>
      <c r="AV73" s="103"/>
      <c r="AW73" s="103"/>
      <c r="AX73" s="103"/>
      <c r="AY73" s="63"/>
      <c r="AZ73" s="63"/>
      <c r="BA73" s="63"/>
      <c r="BB73" s="63"/>
      <c r="BC73" s="103"/>
      <c r="BD73" s="103"/>
      <c r="BE73" s="103"/>
      <c r="BF73" s="103"/>
      <c r="BG73" s="63"/>
      <c r="BH73" s="63"/>
      <c r="BI73" s="63"/>
      <c r="BJ73" s="63"/>
      <c r="BK73" s="103"/>
      <c r="BL73" s="103"/>
      <c r="BM73" s="103"/>
      <c r="BN73" s="103"/>
      <c r="BO73" s="63"/>
      <c r="BP73" s="63"/>
      <c r="BQ73" s="63"/>
      <c r="BR73" s="63"/>
      <c r="BS73" s="103"/>
      <c r="BT73" s="103"/>
      <c r="BU73" s="103"/>
      <c r="BV73" s="103"/>
      <c r="BW73" s="63"/>
      <c r="BX73" s="63"/>
      <c r="BY73" s="63"/>
      <c r="BZ73" s="63"/>
      <c r="CA73" s="103"/>
      <c r="CB73" s="103"/>
      <c r="CC73" s="103"/>
      <c r="CD73" s="103"/>
      <c r="CE73" s="63"/>
      <c r="CF73" s="63"/>
      <c r="CG73" s="63"/>
      <c r="CH73" s="63"/>
      <c r="CI73" s="103"/>
      <c r="CJ73" s="103"/>
      <c r="CK73" s="103"/>
      <c r="CL73" s="103"/>
    </row>
    <row r="74" spans="2:90" ht="13" x14ac:dyDescent="0.15">
      <c r="B74" s="13"/>
      <c r="C74" s="55"/>
      <c r="D74" s="55"/>
      <c r="E74" s="13"/>
      <c r="F74" s="13"/>
      <c r="G74" s="103"/>
      <c r="H74" s="103"/>
      <c r="I74" s="103"/>
      <c r="J74" s="103"/>
      <c r="K74" s="63"/>
      <c r="L74" s="63"/>
      <c r="M74" s="63"/>
      <c r="N74" s="63"/>
      <c r="O74" s="103"/>
      <c r="P74" s="103"/>
      <c r="Q74" s="103"/>
      <c r="R74" s="103"/>
      <c r="S74" s="63"/>
      <c r="T74" s="63"/>
      <c r="U74" s="63"/>
      <c r="V74" s="63"/>
      <c r="W74" s="103"/>
      <c r="X74" s="103"/>
      <c r="Y74" s="103"/>
      <c r="Z74" s="103"/>
      <c r="AA74" s="63"/>
      <c r="AB74" s="63"/>
      <c r="AC74" s="63"/>
      <c r="AD74" s="63"/>
      <c r="AE74" s="103"/>
      <c r="AF74" s="103"/>
      <c r="AG74" s="103"/>
      <c r="AH74" s="103"/>
      <c r="AI74" s="63"/>
      <c r="AJ74" s="63"/>
      <c r="AK74" s="63"/>
      <c r="AL74" s="63"/>
      <c r="AM74" s="103"/>
      <c r="AN74" s="103"/>
      <c r="AO74" s="103"/>
      <c r="AP74" s="103"/>
      <c r="AQ74" s="63"/>
      <c r="AR74" s="63"/>
      <c r="AS74" s="63"/>
      <c r="AT74" s="63"/>
      <c r="AU74" s="103"/>
      <c r="AV74" s="103"/>
      <c r="AW74" s="103"/>
      <c r="AX74" s="103"/>
      <c r="AY74" s="63"/>
      <c r="AZ74" s="63"/>
      <c r="BA74" s="63"/>
      <c r="BB74" s="63"/>
      <c r="BC74" s="103"/>
      <c r="BD74" s="103"/>
      <c r="BE74" s="103"/>
      <c r="BF74" s="103"/>
      <c r="BG74" s="63"/>
      <c r="BH74" s="63"/>
      <c r="BI74" s="63"/>
      <c r="BJ74" s="63"/>
      <c r="BK74" s="103"/>
      <c r="BL74" s="103"/>
      <c r="BM74" s="103"/>
      <c r="BN74" s="103"/>
      <c r="BO74" s="63"/>
      <c r="BP74" s="63"/>
      <c r="BQ74" s="63"/>
      <c r="BR74" s="63"/>
      <c r="BS74" s="103"/>
      <c r="BT74" s="103"/>
      <c r="BU74" s="103"/>
      <c r="BV74" s="103"/>
      <c r="BW74" s="63"/>
      <c r="BX74" s="63"/>
      <c r="BY74" s="63"/>
      <c r="BZ74" s="63"/>
      <c r="CA74" s="103"/>
      <c r="CB74" s="103"/>
      <c r="CC74" s="103"/>
      <c r="CD74" s="103"/>
      <c r="CE74" s="63"/>
      <c r="CF74" s="63"/>
      <c r="CG74" s="63"/>
      <c r="CH74" s="63"/>
      <c r="CI74" s="103"/>
      <c r="CJ74" s="103"/>
      <c r="CK74" s="103"/>
      <c r="CL74" s="103"/>
    </row>
    <row r="75" spans="2:90" ht="13" x14ac:dyDescent="0.15">
      <c r="B75" s="13"/>
      <c r="C75" s="55"/>
      <c r="D75" s="55"/>
      <c r="E75" s="13"/>
      <c r="F75" s="13"/>
      <c r="G75" s="103"/>
      <c r="H75" s="103"/>
      <c r="I75" s="103"/>
      <c r="J75" s="103"/>
      <c r="K75" s="63"/>
      <c r="L75" s="63"/>
      <c r="M75" s="63"/>
      <c r="N75" s="63"/>
      <c r="O75" s="103"/>
      <c r="P75" s="103"/>
      <c r="Q75" s="103"/>
      <c r="R75" s="103"/>
      <c r="S75" s="63"/>
      <c r="T75" s="63"/>
      <c r="U75" s="63"/>
      <c r="V75" s="63"/>
      <c r="W75" s="103"/>
      <c r="X75" s="103"/>
      <c r="Y75" s="103"/>
      <c r="Z75" s="103"/>
      <c r="AA75" s="63"/>
      <c r="AB75" s="63"/>
      <c r="AC75" s="63"/>
      <c r="AD75" s="63"/>
      <c r="AE75" s="103"/>
      <c r="AF75" s="103"/>
      <c r="AG75" s="103"/>
      <c r="AH75" s="103"/>
      <c r="AI75" s="63"/>
      <c r="AJ75" s="63"/>
      <c r="AK75" s="63"/>
      <c r="AL75" s="63"/>
      <c r="AM75" s="103"/>
      <c r="AN75" s="103"/>
      <c r="AO75" s="103"/>
      <c r="AP75" s="103"/>
      <c r="AQ75" s="63"/>
      <c r="AR75" s="63"/>
      <c r="AS75" s="63"/>
      <c r="AT75" s="63"/>
      <c r="AU75" s="103"/>
      <c r="AV75" s="103"/>
      <c r="AW75" s="103"/>
      <c r="AX75" s="103"/>
      <c r="AY75" s="63"/>
      <c r="AZ75" s="63"/>
      <c r="BA75" s="63"/>
      <c r="BB75" s="63"/>
      <c r="BC75" s="103"/>
      <c r="BD75" s="103"/>
      <c r="BE75" s="103"/>
      <c r="BF75" s="103"/>
      <c r="BG75" s="63"/>
      <c r="BH75" s="63"/>
      <c r="BI75" s="63"/>
      <c r="BJ75" s="63"/>
      <c r="BK75" s="103"/>
      <c r="BL75" s="103"/>
      <c r="BM75" s="103"/>
      <c r="BN75" s="103"/>
      <c r="BO75" s="63"/>
      <c r="BP75" s="63"/>
      <c r="BQ75" s="63"/>
      <c r="BR75" s="63"/>
      <c r="BS75" s="103"/>
      <c r="BT75" s="103"/>
      <c r="BU75" s="103"/>
      <c r="BV75" s="103"/>
      <c r="BW75" s="63"/>
      <c r="BX75" s="63"/>
      <c r="BY75" s="63"/>
      <c r="BZ75" s="63"/>
      <c r="CA75" s="103"/>
      <c r="CB75" s="103"/>
      <c r="CC75" s="103"/>
      <c r="CD75" s="103"/>
      <c r="CE75" s="63"/>
      <c r="CF75" s="63"/>
      <c r="CG75" s="63"/>
      <c r="CH75" s="63"/>
      <c r="CI75" s="103"/>
      <c r="CJ75" s="103"/>
      <c r="CK75" s="103"/>
      <c r="CL75" s="103"/>
    </row>
    <row r="76" spans="2:90" ht="13" x14ac:dyDescent="0.15">
      <c r="B76" s="13"/>
      <c r="C76" s="55"/>
      <c r="D76" s="55"/>
      <c r="E76" s="13"/>
      <c r="F76" s="13"/>
      <c r="G76" s="103"/>
      <c r="H76" s="103"/>
      <c r="I76" s="103"/>
      <c r="J76" s="103"/>
      <c r="K76" s="63"/>
      <c r="L76" s="63"/>
      <c r="M76" s="63"/>
      <c r="N76" s="63"/>
      <c r="O76" s="103"/>
      <c r="P76" s="103"/>
      <c r="Q76" s="103"/>
      <c r="R76" s="103"/>
      <c r="S76" s="63"/>
      <c r="T76" s="63"/>
      <c r="U76" s="63"/>
      <c r="V76" s="63"/>
      <c r="W76" s="103"/>
      <c r="X76" s="103"/>
      <c r="Y76" s="103"/>
      <c r="Z76" s="103"/>
      <c r="AA76" s="63"/>
      <c r="AB76" s="63"/>
      <c r="AC76" s="63"/>
      <c r="AD76" s="63"/>
      <c r="AE76" s="103"/>
      <c r="AF76" s="103"/>
      <c r="AG76" s="103"/>
      <c r="AH76" s="103"/>
      <c r="AI76" s="63"/>
      <c r="AJ76" s="63"/>
      <c r="AK76" s="63"/>
      <c r="AL76" s="63"/>
      <c r="AM76" s="103"/>
      <c r="AN76" s="103"/>
      <c r="AO76" s="103"/>
      <c r="AP76" s="103"/>
      <c r="AQ76" s="63"/>
      <c r="AR76" s="63"/>
      <c r="AS76" s="63"/>
      <c r="AT76" s="63"/>
      <c r="AU76" s="103"/>
      <c r="AV76" s="103"/>
      <c r="AW76" s="103"/>
      <c r="AX76" s="103"/>
      <c r="AY76" s="63"/>
      <c r="AZ76" s="63"/>
      <c r="BA76" s="63"/>
      <c r="BB76" s="63"/>
      <c r="BC76" s="103"/>
      <c r="BD76" s="103"/>
      <c r="BE76" s="103"/>
      <c r="BF76" s="103"/>
      <c r="BG76" s="63"/>
      <c r="BH76" s="63"/>
      <c r="BI76" s="63"/>
      <c r="BJ76" s="63"/>
      <c r="BK76" s="103"/>
      <c r="BL76" s="103"/>
      <c r="BM76" s="103"/>
      <c r="BN76" s="103"/>
      <c r="BO76" s="63"/>
      <c r="BP76" s="63"/>
      <c r="BQ76" s="63"/>
      <c r="BR76" s="63"/>
      <c r="BS76" s="103"/>
      <c r="BT76" s="103"/>
      <c r="BU76" s="103"/>
      <c r="BV76" s="103"/>
      <c r="BW76" s="63"/>
      <c r="BX76" s="63"/>
      <c r="BY76" s="63"/>
      <c r="BZ76" s="63"/>
      <c r="CA76" s="103"/>
      <c r="CB76" s="103"/>
      <c r="CC76" s="103"/>
      <c r="CD76" s="103"/>
      <c r="CE76" s="63"/>
      <c r="CF76" s="63"/>
      <c r="CG76" s="63"/>
      <c r="CH76" s="63"/>
      <c r="CI76" s="103"/>
      <c r="CJ76" s="103"/>
      <c r="CK76" s="103"/>
      <c r="CL76" s="103"/>
    </row>
    <row r="77" spans="2:90" ht="13" x14ac:dyDescent="0.15">
      <c r="B77" s="13"/>
      <c r="C77" s="55"/>
      <c r="D77" s="55"/>
      <c r="E77" s="13"/>
      <c r="F77" s="13"/>
      <c r="G77" s="103"/>
      <c r="H77" s="103"/>
      <c r="I77" s="103"/>
      <c r="J77" s="103"/>
      <c r="K77" s="63"/>
      <c r="L77" s="63"/>
      <c r="M77" s="63"/>
      <c r="N77" s="63"/>
      <c r="O77" s="103"/>
      <c r="P77" s="103"/>
      <c r="Q77" s="103"/>
      <c r="R77" s="103"/>
      <c r="S77" s="63"/>
      <c r="T77" s="63"/>
      <c r="U77" s="63"/>
      <c r="V77" s="63"/>
      <c r="W77" s="103"/>
      <c r="X77" s="103"/>
      <c r="Y77" s="103"/>
      <c r="Z77" s="103"/>
      <c r="AA77" s="63"/>
      <c r="AB77" s="63"/>
      <c r="AC77" s="63"/>
      <c r="AD77" s="63"/>
      <c r="AE77" s="103"/>
      <c r="AF77" s="103"/>
      <c r="AG77" s="103"/>
      <c r="AH77" s="103"/>
      <c r="AI77" s="63"/>
      <c r="AJ77" s="63"/>
      <c r="AK77" s="63"/>
      <c r="AL77" s="63"/>
      <c r="AM77" s="103"/>
      <c r="AN77" s="103"/>
      <c r="AO77" s="103"/>
      <c r="AP77" s="103"/>
      <c r="AQ77" s="63"/>
      <c r="AR77" s="63"/>
      <c r="AS77" s="63"/>
      <c r="AT77" s="63"/>
      <c r="AU77" s="103"/>
      <c r="AV77" s="103"/>
      <c r="AW77" s="103"/>
      <c r="AX77" s="103"/>
      <c r="AY77" s="63"/>
      <c r="AZ77" s="63"/>
      <c r="BA77" s="63"/>
      <c r="BB77" s="63"/>
      <c r="BC77" s="103"/>
      <c r="BD77" s="103"/>
      <c r="BE77" s="103"/>
      <c r="BF77" s="103"/>
      <c r="BG77" s="63"/>
      <c r="BH77" s="63"/>
      <c r="BI77" s="63"/>
      <c r="BJ77" s="63"/>
      <c r="BK77" s="103"/>
      <c r="BL77" s="103"/>
      <c r="BM77" s="103"/>
      <c r="BN77" s="103"/>
      <c r="BO77" s="63"/>
      <c r="BP77" s="63"/>
      <c r="BQ77" s="63"/>
      <c r="BR77" s="63"/>
      <c r="BS77" s="103"/>
      <c r="BT77" s="103"/>
      <c r="BU77" s="103"/>
      <c r="BV77" s="103"/>
      <c r="BW77" s="63"/>
      <c r="BX77" s="63"/>
      <c r="BY77" s="63"/>
      <c r="BZ77" s="63"/>
      <c r="CA77" s="103"/>
      <c r="CB77" s="103"/>
      <c r="CC77" s="103"/>
      <c r="CD77" s="103"/>
      <c r="CE77" s="63"/>
      <c r="CF77" s="63"/>
      <c r="CG77" s="63"/>
      <c r="CH77" s="63"/>
      <c r="CI77" s="103"/>
      <c r="CJ77" s="103"/>
      <c r="CK77" s="103"/>
      <c r="CL77" s="103"/>
    </row>
    <row r="78" spans="2:90" ht="13" x14ac:dyDescent="0.15">
      <c r="B78" s="13"/>
      <c r="C78" s="55"/>
      <c r="D78" s="55"/>
      <c r="E78" s="13"/>
      <c r="F78" s="13"/>
      <c r="G78" s="103"/>
      <c r="H78" s="103"/>
      <c r="I78" s="103"/>
      <c r="J78" s="103"/>
      <c r="K78" s="63"/>
      <c r="L78" s="63"/>
      <c r="M78" s="63"/>
      <c r="N78" s="63"/>
      <c r="O78" s="103"/>
      <c r="P78" s="103"/>
      <c r="Q78" s="103"/>
      <c r="R78" s="103"/>
      <c r="S78" s="63"/>
      <c r="T78" s="63"/>
      <c r="U78" s="63"/>
      <c r="V78" s="63"/>
      <c r="W78" s="103"/>
      <c r="X78" s="103"/>
      <c r="Y78" s="103"/>
      <c r="Z78" s="103"/>
      <c r="AA78" s="63"/>
      <c r="AB78" s="63"/>
      <c r="AC78" s="63"/>
      <c r="AD78" s="63"/>
      <c r="AE78" s="103"/>
      <c r="AF78" s="103"/>
      <c r="AG78" s="103"/>
      <c r="AH78" s="103"/>
      <c r="AI78" s="63"/>
      <c r="AJ78" s="63"/>
      <c r="AK78" s="63"/>
      <c r="AL78" s="63"/>
      <c r="AM78" s="103"/>
      <c r="AN78" s="103"/>
      <c r="AO78" s="103"/>
      <c r="AP78" s="103"/>
      <c r="AQ78" s="63"/>
      <c r="AR78" s="63"/>
      <c r="AS78" s="63"/>
      <c r="AT78" s="63"/>
      <c r="AU78" s="103"/>
      <c r="AV78" s="103"/>
      <c r="AW78" s="103"/>
      <c r="AX78" s="103"/>
      <c r="AY78" s="63"/>
      <c r="AZ78" s="63"/>
      <c r="BA78" s="63"/>
      <c r="BB78" s="63"/>
      <c r="BC78" s="103"/>
      <c r="BD78" s="103"/>
      <c r="BE78" s="103"/>
      <c r="BF78" s="103"/>
      <c r="BG78" s="63"/>
      <c r="BH78" s="63"/>
      <c r="BI78" s="63"/>
      <c r="BJ78" s="63"/>
      <c r="BK78" s="103"/>
      <c r="BL78" s="103"/>
      <c r="BM78" s="103"/>
      <c r="BN78" s="103"/>
      <c r="BO78" s="63"/>
      <c r="BP78" s="63"/>
      <c r="BQ78" s="63"/>
      <c r="BR78" s="63"/>
      <c r="BS78" s="103"/>
      <c r="BT78" s="103"/>
      <c r="BU78" s="103"/>
      <c r="BV78" s="103"/>
      <c r="BW78" s="63"/>
      <c r="BX78" s="63"/>
      <c r="BY78" s="63"/>
      <c r="BZ78" s="63"/>
      <c r="CA78" s="103"/>
      <c r="CB78" s="103"/>
      <c r="CC78" s="103"/>
      <c r="CD78" s="103"/>
      <c r="CE78" s="63"/>
      <c r="CF78" s="63"/>
      <c r="CG78" s="63"/>
      <c r="CH78" s="63"/>
      <c r="CI78" s="103"/>
      <c r="CJ78" s="103"/>
      <c r="CK78" s="103"/>
      <c r="CL78" s="103"/>
    </row>
    <row r="79" spans="2:90" ht="13" x14ac:dyDescent="0.15">
      <c r="B79" s="13"/>
      <c r="C79" s="55"/>
      <c r="D79" s="55"/>
      <c r="E79" s="13"/>
      <c r="F79" s="13"/>
      <c r="G79" s="103"/>
      <c r="H79" s="103"/>
      <c r="I79" s="103"/>
      <c r="J79" s="103"/>
      <c r="K79" s="63"/>
      <c r="L79" s="63"/>
      <c r="M79" s="63"/>
      <c r="N79" s="63"/>
      <c r="O79" s="103"/>
      <c r="P79" s="103"/>
      <c r="Q79" s="103"/>
      <c r="R79" s="103"/>
      <c r="S79" s="63"/>
      <c r="T79" s="63"/>
      <c r="U79" s="63"/>
      <c r="V79" s="63"/>
      <c r="W79" s="103"/>
      <c r="X79" s="103"/>
      <c r="Y79" s="103"/>
      <c r="Z79" s="103"/>
      <c r="AA79" s="63"/>
      <c r="AB79" s="63"/>
      <c r="AC79" s="63"/>
      <c r="AD79" s="63"/>
      <c r="AE79" s="103"/>
      <c r="AF79" s="103"/>
      <c r="AG79" s="103"/>
      <c r="AH79" s="103"/>
      <c r="AI79" s="63"/>
      <c r="AJ79" s="63"/>
      <c r="AK79" s="63"/>
      <c r="AL79" s="63"/>
      <c r="AM79" s="103"/>
      <c r="AN79" s="103"/>
      <c r="AO79" s="103"/>
      <c r="AP79" s="103"/>
      <c r="AQ79" s="63"/>
      <c r="AR79" s="63"/>
      <c r="AS79" s="63"/>
      <c r="AT79" s="63"/>
      <c r="AU79" s="103"/>
      <c r="AV79" s="103"/>
      <c r="AW79" s="103"/>
      <c r="AX79" s="103"/>
      <c r="AY79" s="63"/>
      <c r="AZ79" s="63"/>
      <c r="BA79" s="63"/>
      <c r="BB79" s="63"/>
      <c r="BC79" s="103"/>
      <c r="BD79" s="103"/>
      <c r="BE79" s="103"/>
      <c r="BF79" s="103"/>
      <c r="BG79" s="63"/>
      <c r="BH79" s="63"/>
      <c r="BI79" s="63"/>
      <c r="BJ79" s="63"/>
      <c r="BK79" s="103"/>
      <c r="BL79" s="103"/>
      <c r="BM79" s="103"/>
      <c r="BN79" s="103"/>
      <c r="BO79" s="63"/>
      <c r="BP79" s="63"/>
      <c r="BQ79" s="63"/>
      <c r="BR79" s="63"/>
      <c r="BS79" s="103"/>
      <c r="BT79" s="103"/>
      <c r="BU79" s="103"/>
      <c r="BV79" s="103"/>
      <c r="BW79" s="63"/>
      <c r="BX79" s="63"/>
      <c r="BY79" s="63"/>
      <c r="BZ79" s="63"/>
      <c r="CA79" s="103"/>
      <c r="CB79" s="103"/>
      <c r="CC79" s="103"/>
      <c r="CD79" s="103"/>
      <c r="CE79" s="63"/>
      <c r="CF79" s="63"/>
      <c r="CG79" s="63"/>
      <c r="CH79" s="63"/>
      <c r="CI79" s="103"/>
      <c r="CJ79" s="103"/>
      <c r="CK79" s="103"/>
      <c r="CL79" s="103"/>
    </row>
    <row r="80" spans="2:90" ht="13" x14ac:dyDescent="0.15">
      <c r="B80" s="13"/>
      <c r="C80" s="13"/>
      <c r="D80" s="13"/>
      <c r="E80" s="13"/>
      <c r="F80" s="13"/>
      <c r="G80" s="103"/>
      <c r="H80" s="103"/>
      <c r="I80" s="103"/>
      <c r="J80" s="103"/>
      <c r="K80" s="63"/>
      <c r="L80" s="63"/>
      <c r="M80" s="63"/>
      <c r="N80" s="63"/>
      <c r="O80" s="103"/>
      <c r="P80" s="103"/>
      <c r="Q80" s="103"/>
      <c r="R80" s="103"/>
      <c r="S80" s="63"/>
      <c r="T80" s="63"/>
      <c r="U80" s="63"/>
      <c r="V80" s="63"/>
      <c r="W80" s="103"/>
      <c r="X80" s="103"/>
      <c r="Y80" s="103"/>
      <c r="Z80" s="103"/>
      <c r="AA80" s="63"/>
      <c r="AB80" s="63"/>
      <c r="AC80" s="63"/>
      <c r="AD80" s="63"/>
      <c r="AE80" s="103"/>
      <c r="AF80" s="103"/>
      <c r="AG80" s="103"/>
      <c r="AH80" s="103"/>
      <c r="AI80" s="63"/>
      <c r="AJ80" s="63"/>
      <c r="AK80" s="63"/>
      <c r="AL80" s="63"/>
      <c r="AM80" s="103"/>
      <c r="AN80" s="103"/>
      <c r="AO80" s="103"/>
      <c r="AP80" s="103"/>
      <c r="AQ80" s="63"/>
      <c r="AR80" s="63"/>
      <c r="AS80" s="63"/>
      <c r="AT80" s="63"/>
      <c r="AU80" s="103"/>
      <c r="AV80" s="103"/>
      <c r="AW80" s="103"/>
      <c r="AX80" s="103"/>
      <c r="AY80" s="63"/>
      <c r="AZ80" s="63"/>
      <c r="BA80" s="63"/>
      <c r="BB80" s="63"/>
      <c r="BC80" s="103"/>
      <c r="BD80" s="103"/>
      <c r="BE80" s="103"/>
      <c r="BF80" s="103"/>
      <c r="BG80" s="63"/>
      <c r="BH80" s="63"/>
      <c r="BI80" s="63"/>
      <c r="BJ80" s="63"/>
      <c r="BK80" s="103"/>
      <c r="BL80" s="103"/>
      <c r="BM80" s="103"/>
      <c r="BN80" s="103"/>
      <c r="BO80" s="63"/>
      <c r="BP80" s="63"/>
      <c r="BQ80" s="63"/>
      <c r="BR80" s="63"/>
      <c r="BS80" s="103"/>
      <c r="BT80" s="103"/>
      <c r="BU80" s="103"/>
      <c r="BV80" s="103"/>
      <c r="BW80" s="63"/>
      <c r="BX80" s="63"/>
      <c r="BY80" s="63"/>
      <c r="BZ80" s="63"/>
      <c r="CA80" s="103"/>
      <c r="CB80" s="103"/>
      <c r="CC80" s="103"/>
      <c r="CD80" s="103"/>
      <c r="CE80" s="63"/>
      <c r="CF80" s="63"/>
      <c r="CG80" s="63"/>
      <c r="CH80" s="63"/>
      <c r="CI80" s="103"/>
      <c r="CJ80" s="103"/>
      <c r="CK80" s="103"/>
      <c r="CL80" s="103"/>
    </row>
    <row r="81" spans="2:90" ht="13" x14ac:dyDescent="0.15">
      <c r="B81" s="13"/>
      <c r="C81" s="13"/>
      <c r="D81" s="13"/>
      <c r="E81" s="13"/>
      <c r="F81" s="13"/>
      <c r="G81" s="103"/>
      <c r="H81" s="103"/>
      <c r="I81" s="103"/>
      <c r="J81" s="103"/>
      <c r="K81" s="63"/>
      <c r="L81" s="63"/>
      <c r="M81" s="63"/>
      <c r="N81" s="63"/>
      <c r="O81" s="103"/>
      <c r="P81" s="103"/>
      <c r="Q81" s="103"/>
      <c r="R81" s="103"/>
      <c r="S81" s="63"/>
      <c r="T81" s="63"/>
      <c r="U81" s="63"/>
      <c r="V81" s="63"/>
      <c r="W81" s="103"/>
      <c r="X81" s="103"/>
      <c r="Y81" s="103"/>
      <c r="Z81" s="103"/>
      <c r="AA81" s="63"/>
      <c r="AB81" s="63"/>
      <c r="AC81" s="63"/>
      <c r="AD81" s="63"/>
      <c r="AE81" s="103"/>
      <c r="AF81" s="103"/>
      <c r="AG81" s="103"/>
      <c r="AH81" s="103"/>
      <c r="AI81" s="63"/>
      <c r="AJ81" s="63"/>
      <c r="AK81" s="63"/>
      <c r="AL81" s="63"/>
      <c r="AM81" s="103"/>
      <c r="AN81" s="103"/>
      <c r="AO81" s="103"/>
      <c r="AP81" s="103"/>
      <c r="AQ81" s="63"/>
      <c r="AR81" s="63"/>
      <c r="AS81" s="63"/>
      <c r="AT81" s="63"/>
      <c r="AU81" s="103"/>
      <c r="AV81" s="103"/>
      <c r="AW81" s="103"/>
      <c r="AX81" s="103"/>
      <c r="AY81" s="63"/>
      <c r="AZ81" s="63"/>
      <c r="BA81" s="63"/>
      <c r="BB81" s="63"/>
      <c r="BC81" s="103"/>
      <c r="BD81" s="103"/>
      <c r="BE81" s="103"/>
      <c r="BF81" s="103"/>
      <c r="BG81" s="63"/>
      <c r="BH81" s="63"/>
      <c r="BI81" s="63"/>
      <c r="BJ81" s="63"/>
      <c r="BK81" s="103"/>
      <c r="BL81" s="103"/>
      <c r="BM81" s="103"/>
      <c r="BN81" s="103"/>
      <c r="BO81" s="63"/>
      <c r="BP81" s="63"/>
      <c r="BQ81" s="63"/>
      <c r="BR81" s="63"/>
      <c r="BS81" s="103"/>
      <c r="BT81" s="103"/>
      <c r="BU81" s="103"/>
      <c r="BV81" s="103"/>
      <c r="BW81" s="63"/>
      <c r="BX81" s="63"/>
      <c r="BY81" s="63"/>
      <c r="BZ81" s="63"/>
      <c r="CA81" s="103"/>
      <c r="CB81" s="103"/>
      <c r="CC81" s="103"/>
      <c r="CD81" s="103"/>
      <c r="CE81" s="63"/>
      <c r="CF81" s="63"/>
      <c r="CG81" s="63"/>
      <c r="CH81" s="63"/>
      <c r="CI81" s="103"/>
      <c r="CJ81" s="103"/>
      <c r="CK81" s="103"/>
      <c r="CL81" s="103"/>
    </row>
    <row r="82" spans="2:90" ht="13" x14ac:dyDescent="0.15">
      <c r="B82" s="13"/>
      <c r="C82" s="13"/>
      <c r="D82" s="13"/>
      <c r="E82" s="13"/>
      <c r="F82" s="13"/>
      <c r="G82" s="103"/>
      <c r="H82" s="103"/>
      <c r="I82" s="103"/>
      <c r="J82" s="103"/>
      <c r="K82" s="63"/>
      <c r="L82" s="63"/>
      <c r="M82" s="63"/>
      <c r="N82" s="63"/>
      <c r="O82" s="103"/>
      <c r="P82" s="103"/>
      <c r="Q82" s="103"/>
      <c r="R82" s="103"/>
      <c r="S82" s="63"/>
      <c r="T82" s="63"/>
      <c r="U82" s="63"/>
      <c r="V82" s="63"/>
      <c r="W82" s="103"/>
      <c r="X82" s="103"/>
      <c r="Y82" s="103"/>
      <c r="Z82" s="103"/>
      <c r="AA82" s="63"/>
      <c r="AB82" s="63"/>
      <c r="AC82" s="63"/>
      <c r="AD82" s="63"/>
      <c r="AE82" s="103"/>
      <c r="AF82" s="103"/>
      <c r="AG82" s="103"/>
      <c r="AH82" s="103"/>
      <c r="AI82" s="63"/>
      <c r="AJ82" s="63"/>
      <c r="AK82" s="63"/>
      <c r="AL82" s="63"/>
      <c r="AM82" s="103"/>
      <c r="AN82" s="103"/>
      <c r="AO82" s="103"/>
      <c r="AP82" s="103"/>
      <c r="AQ82" s="63"/>
      <c r="AR82" s="63"/>
      <c r="AS82" s="63"/>
      <c r="AT82" s="63"/>
      <c r="AU82" s="103"/>
      <c r="AV82" s="103"/>
      <c r="AW82" s="103"/>
      <c r="AX82" s="103"/>
      <c r="AY82" s="63"/>
      <c r="AZ82" s="63"/>
      <c r="BA82" s="63"/>
      <c r="BB82" s="63"/>
      <c r="BC82" s="103"/>
      <c r="BD82" s="103"/>
      <c r="BE82" s="103"/>
      <c r="BF82" s="103"/>
      <c r="BG82" s="63"/>
      <c r="BH82" s="63"/>
      <c r="BI82" s="63"/>
      <c r="BJ82" s="63"/>
      <c r="BK82" s="103"/>
      <c r="BL82" s="103"/>
      <c r="BM82" s="103"/>
      <c r="BN82" s="103"/>
      <c r="BO82" s="63"/>
      <c r="BP82" s="63"/>
      <c r="BQ82" s="63"/>
      <c r="BR82" s="63"/>
      <c r="BS82" s="103"/>
      <c r="BT82" s="103"/>
      <c r="BU82" s="103"/>
      <c r="BV82" s="103"/>
      <c r="BW82" s="63"/>
      <c r="BX82" s="63"/>
      <c r="BY82" s="63"/>
      <c r="BZ82" s="63"/>
      <c r="CA82" s="103"/>
      <c r="CB82" s="103"/>
      <c r="CC82" s="103"/>
      <c r="CD82" s="103"/>
      <c r="CE82" s="63"/>
      <c r="CF82" s="63"/>
      <c r="CG82" s="63"/>
      <c r="CH82" s="63"/>
      <c r="CI82" s="103"/>
      <c r="CJ82" s="103"/>
      <c r="CK82" s="103"/>
      <c r="CL82" s="103"/>
    </row>
    <row r="83" spans="2:90" ht="13" x14ac:dyDescent="0.15">
      <c r="B83" s="13"/>
      <c r="C83" s="13"/>
      <c r="D83" s="13"/>
      <c r="E83" s="13"/>
      <c r="F83" s="13"/>
      <c r="G83" s="103"/>
      <c r="H83" s="103"/>
      <c r="I83" s="103"/>
      <c r="J83" s="103"/>
      <c r="K83" s="63"/>
      <c r="L83" s="63"/>
      <c r="M83" s="63"/>
      <c r="N83" s="63"/>
      <c r="O83" s="103"/>
      <c r="P83" s="103"/>
      <c r="Q83" s="103"/>
      <c r="R83" s="103"/>
      <c r="S83" s="63"/>
      <c r="T83" s="63"/>
      <c r="U83" s="63"/>
      <c r="V83" s="63"/>
      <c r="W83" s="103"/>
      <c r="X83" s="103"/>
      <c r="Y83" s="103"/>
      <c r="Z83" s="103"/>
      <c r="AA83" s="63"/>
      <c r="AB83" s="63"/>
      <c r="AC83" s="63"/>
      <c r="AD83" s="63"/>
      <c r="AE83" s="103"/>
      <c r="AF83" s="103"/>
      <c r="AG83" s="103"/>
      <c r="AH83" s="103"/>
      <c r="AI83" s="63"/>
      <c r="AJ83" s="63"/>
      <c r="AK83" s="63"/>
      <c r="AL83" s="63"/>
      <c r="AM83" s="103"/>
      <c r="AN83" s="103"/>
      <c r="AO83" s="103"/>
      <c r="AP83" s="103"/>
      <c r="AQ83" s="63"/>
      <c r="AR83" s="63"/>
      <c r="AS83" s="63"/>
      <c r="AT83" s="63"/>
      <c r="AU83" s="103"/>
      <c r="AV83" s="103"/>
      <c r="AW83" s="103"/>
      <c r="AX83" s="103"/>
      <c r="AY83" s="63"/>
      <c r="AZ83" s="63"/>
      <c r="BA83" s="63"/>
      <c r="BB83" s="63"/>
      <c r="BC83" s="103"/>
      <c r="BD83" s="103"/>
      <c r="BE83" s="103"/>
      <c r="BF83" s="103"/>
      <c r="BG83" s="63"/>
      <c r="BH83" s="63"/>
      <c r="BI83" s="63"/>
      <c r="BJ83" s="63"/>
      <c r="BK83" s="103"/>
      <c r="BL83" s="103"/>
      <c r="BM83" s="103"/>
      <c r="BN83" s="103"/>
      <c r="BO83" s="63"/>
      <c r="BP83" s="63"/>
      <c r="BQ83" s="63"/>
      <c r="BR83" s="63"/>
      <c r="BS83" s="103"/>
      <c r="BT83" s="103"/>
      <c r="BU83" s="103"/>
      <c r="BV83" s="103"/>
      <c r="BW83" s="63"/>
      <c r="BX83" s="63"/>
      <c r="BY83" s="63"/>
      <c r="BZ83" s="63"/>
      <c r="CA83" s="103"/>
      <c r="CB83" s="103"/>
      <c r="CC83" s="103"/>
      <c r="CD83" s="103"/>
      <c r="CE83" s="63"/>
      <c r="CF83" s="63"/>
      <c r="CG83" s="63"/>
      <c r="CH83" s="63"/>
      <c r="CI83" s="103"/>
      <c r="CJ83" s="103"/>
      <c r="CK83" s="103"/>
      <c r="CL83" s="103"/>
    </row>
    <row r="84" spans="2:90" ht="13" x14ac:dyDescent="0.15">
      <c r="B84" s="13"/>
      <c r="C84" s="13"/>
      <c r="D84" s="13"/>
      <c r="E84" s="13"/>
      <c r="F84" s="13"/>
      <c r="G84" s="103"/>
      <c r="H84" s="103"/>
      <c r="I84" s="103"/>
      <c r="J84" s="103"/>
      <c r="K84" s="63"/>
      <c r="L84" s="63"/>
      <c r="M84" s="63"/>
      <c r="N84" s="63"/>
      <c r="O84" s="103"/>
      <c r="P84" s="103"/>
      <c r="Q84" s="103"/>
      <c r="R84" s="103"/>
      <c r="S84" s="63"/>
      <c r="T84" s="63"/>
      <c r="U84" s="63"/>
      <c r="V84" s="63"/>
      <c r="W84" s="103"/>
      <c r="X84" s="103"/>
      <c r="Y84" s="103"/>
      <c r="Z84" s="103"/>
      <c r="AA84" s="63"/>
      <c r="AB84" s="63"/>
      <c r="AC84" s="63"/>
      <c r="AD84" s="63"/>
      <c r="AE84" s="103"/>
      <c r="AF84" s="103"/>
      <c r="AG84" s="103"/>
      <c r="AH84" s="103"/>
      <c r="AI84" s="63"/>
      <c r="AJ84" s="63"/>
      <c r="AK84" s="63"/>
      <c r="AL84" s="63"/>
      <c r="AM84" s="103"/>
      <c r="AN84" s="103"/>
      <c r="AO84" s="103"/>
      <c r="AP84" s="103"/>
      <c r="AQ84" s="63"/>
      <c r="AR84" s="63"/>
      <c r="AS84" s="63"/>
      <c r="AT84" s="63"/>
      <c r="AU84" s="103"/>
      <c r="AV84" s="103"/>
      <c r="AW84" s="103"/>
      <c r="AX84" s="103"/>
      <c r="AY84" s="63"/>
      <c r="AZ84" s="63"/>
      <c r="BA84" s="63"/>
      <c r="BB84" s="63"/>
      <c r="BC84" s="103"/>
      <c r="BD84" s="103"/>
      <c r="BE84" s="103"/>
      <c r="BF84" s="103"/>
      <c r="BG84" s="63"/>
      <c r="BH84" s="63"/>
      <c r="BI84" s="63"/>
      <c r="BJ84" s="63"/>
      <c r="BK84" s="103"/>
      <c r="BL84" s="103"/>
      <c r="BM84" s="103"/>
      <c r="BN84" s="103"/>
      <c r="BO84" s="63"/>
      <c r="BP84" s="63"/>
      <c r="BQ84" s="63"/>
      <c r="BR84" s="63"/>
      <c r="BS84" s="103"/>
      <c r="BT84" s="103"/>
      <c r="BU84" s="103"/>
      <c r="BV84" s="103"/>
      <c r="BW84" s="63"/>
      <c r="BX84" s="63"/>
      <c r="BY84" s="63"/>
      <c r="BZ84" s="63"/>
      <c r="CA84" s="103"/>
      <c r="CB84" s="103"/>
      <c r="CC84" s="103"/>
      <c r="CD84" s="103"/>
      <c r="CE84" s="63"/>
      <c r="CF84" s="63"/>
      <c r="CG84" s="63"/>
      <c r="CH84" s="63"/>
      <c r="CI84" s="103"/>
      <c r="CJ84" s="103"/>
      <c r="CK84" s="103"/>
      <c r="CL84" s="103"/>
    </row>
    <row r="85" spans="2:90" ht="13" x14ac:dyDescent="0.15">
      <c r="B85" s="13"/>
      <c r="C85" s="13"/>
      <c r="D85" s="13"/>
      <c r="E85" s="13"/>
      <c r="F85" s="13"/>
      <c r="G85" s="103"/>
      <c r="H85" s="103"/>
      <c r="I85" s="103"/>
      <c r="J85" s="103"/>
      <c r="K85" s="63"/>
      <c r="L85" s="63"/>
      <c r="M85" s="63"/>
      <c r="N85" s="63"/>
      <c r="O85" s="103"/>
      <c r="P85" s="103"/>
      <c r="Q85" s="103"/>
      <c r="R85" s="103"/>
      <c r="S85" s="63"/>
      <c r="T85" s="63"/>
      <c r="U85" s="63"/>
      <c r="V85" s="63"/>
      <c r="W85" s="103"/>
      <c r="X85" s="103"/>
      <c r="Y85" s="103"/>
      <c r="Z85" s="103"/>
      <c r="AA85" s="63"/>
      <c r="AB85" s="63"/>
      <c r="AC85" s="63"/>
      <c r="AD85" s="63"/>
      <c r="AE85" s="103"/>
      <c r="AF85" s="103"/>
      <c r="AG85" s="103"/>
      <c r="AH85" s="103"/>
      <c r="AI85" s="63"/>
      <c r="AJ85" s="63"/>
      <c r="AK85" s="63"/>
      <c r="AL85" s="63"/>
      <c r="AM85" s="103"/>
      <c r="AN85" s="103"/>
      <c r="AO85" s="103"/>
      <c r="AP85" s="103"/>
      <c r="AQ85" s="63"/>
      <c r="AR85" s="63"/>
      <c r="AS85" s="63"/>
      <c r="AT85" s="63"/>
      <c r="AU85" s="103"/>
      <c r="AV85" s="103"/>
      <c r="AW85" s="103"/>
      <c r="AX85" s="103"/>
      <c r="AY85" s="63"/>
      <c r="AZ85" s="63"/>
      <c r="BA85" s="63"/>
      <c r="BB85" s="63"/>
      <c r="BC85" s="103"/>
      <c r="BD85" s="103"/>
      <c r="BE85" s="103"/>
      <c r="BF85" s="103"/>
      <c r="BG85" s="63"/>
      <c r="BH85" s="63"/>
      <c r="BI85" s="63"/>
      <c r="BJ85" s="63"/>
      <c r="BK85" s="103"/>
      <c r="BL85" s="103"/>
      <c r="BM85" s="103"/>
      <c r="BN85" s="103"/>
      <c r="BO85" s="63"/>
      <c r="BP85" s="63"/>
      <c r="BQ85" s="63"/>
      <c r="BR85" s="63"/>
      <c r="BS85" s="103"/>
      <c r="BT85" s="103"/>
      <c r="BU85" s="103"/>
      <c r="BV85" s="103"/>
      <c r="BW85" s="63"/>
      <c r="BX85" s="63"/>
      <c r="BY85" s="63"/>
      <c r="BZ85" s="63"/>
      <c r="CA85" s="103"/>
      <c r="CB85" s="103"/>
      <c r="CC85" s="103"/>
      <c r="CD85" s="103"/>
      <c r="CE85" s="63"/>
      <c r="CF85" s="63"/>
      <c r="CG85" s="63"/>
      <c r="CH85" s="63"/>
      <c r="CI85" s="103"/>
      <c r="CJ85" s="103"/>
      <c r="CK85" s="103"/>
      <c r="CL85" s="103"/>
    </row>
    <row r="86" spans="2:90" ht="13" x14ac:dyDescent="0.15">
      <c r="B86" s="13"/>
      <c r="C86" s="13"/>
      <c r="D86" s="13"/>
      <c r="E86" s="13"/>
      <c r="F86" s="13"/>
      <c r="G86" s="103"/>
      <c r="H86" s="103"/>
      <c r="I86" s="103"/>
      <c r="J86" s="103"/>
      <c r="K86" s="63"/>
      <c r="L86" s="63"/>
      <c r="M86" s="63"/>
      <c r="N86" s="63"/>
      <c r="O86" s="103"/>
      <c r="P86" s="103"/>
      <c r="Q86" s="103"/>
      <c r="R86" s="103"/>
      <c r="S86" s="63"/>
      <c r="T86" s="63"/>
      <c r="U86" s="63"/>
      <c r="V86" s="63"/>
      <c r="W86" s="103"/>
      <c r="X86" s="103"/>
      <c r="Y86" s="103"/>
      <c r="Z86" s="103"/>
      <c r="AA86" s="63"/>
      <c r="AB86" s="63"/>
      <c r="AC86" s="63"/>
      <c r="AD86" s="63"/>
      <c r="AE86" s="103"/>
      <c r="AF86" s="103"/>
      <c r="AG86" s="103"/>
      <c r="AH86" s="103"/>
      <c r="AI86" s="63"/>
      <c r="AJ86" s="63"/>
      <c r="AK86" s="63"/>
      <c r="AL86" s="63"/>
      <c r="AM86" s="103"/>
      <c r="AN86" s="103"/>
      <c r="AO86" s="103"/>
      <c r="AP86" s="103"/>
      <c r="AQ86" s="63"/>
      <c r="AR86" s="63"/>
      <c r="AS86" s="63"/>
      <c r="AT86" s="63"/>
      <c r="AU86" s="103"/>
      <c r="AV86" s="103"/>
      <c r="AW86" s="103"/>
      <c r="AX86" s="103"/>
      <c r="AY86" s="63"/>
      <c r="AZ86" s="63"/>
      <c r="BA86" s="63"/>
      <c r="BB86" s="63"/>
      <c r="BC86" s="103"/>
      <c r="BD86" s="103"/>
      <c r="BE86" s="103"/>
      <c r="BF86" s="103"/>
      <c r="BG86" s="63"/>
      <c r="BH86" s="63"/>
      <c r="BI86" s="63"/>
      <c r="BJ86" s="63"/>
      <c r="BK86" s="103"/>
      <c r="BL86" s="103"/>
      <c r="BM86" s="103"/>
      <c r="BN86" s="103"/>
      <c r="BO86" s="63"/>
      <c r="BP86" s="63"/>
      <c r="BQ86" s="63"/>
      <c r="BR86" s="63"/>
      <c r="BS86" s="103"/>
      <c r="BT86" s="103"/>
      <c r="BU86" s="103"/>
      <c r="BV86" s="103"/>
      <c r="BW86" s="63"/>
      <c r="BX86" s="63"/>
      <c r="BY86" s="63"/>
      <c r="BZ86" s="63"/>
      <c r="CA86" s="103"/>
      <c r="CB86" s="103"/>
      <c r="CC86" s="103"/>
      <c r="CD86" s="103"/>
      <c r="CE86" s="63"/>
      <c r="CF86" s="63"/>
      <c r="CG86" s="63"/>
      <c r="CH86" s="63"/>
      <c r="CI86" s="103"/>
      <c r="CJ86" s="103"/>
      <c r="CK86" s="103"/>
      <c r="CL86" s="103"/>
    </row>
    <row r="87" spans="2:90" ht="13" x14ac:dyDescent="0.15">
      <c r="B87" s="13"/>
      <c r="C87" s="13"/>
      <c r="D87" s="13"/>
      <c r="E87" s="13"/>
      <c r="F87" s="13"/>
      <c r="G87" s="103"/>
      <c r="H87" s="103"/>
      <c r="I87" s="103"/>
      <c r="J87" s="103"/>
      <c r="K87" s="63"/>
      <c r="L87" s="63"/>
      <c r="M87" s="63"/>
      <c r="N87" s="63"/>
      <c r="O87" s="103"/>
      <c r="P87" s="103"/>
      <c r="Q87" s="103"/>
      <c r="R87" s="103"/>
      <c r="S87" s="63"/>
      <c r="T87" s="63"/>
      <c r="U87" s="63"/>
      <c r="V87" s="63"/>
      <c r="W87" s="103"/>
      <c r="X87" s="103"/>
      <c r="Y87" s="103"/>
      <c r="Z87" s="103"/>
      <c r="AA87" s="63"/>
      <c r="AB87" s="63"/>
      <c r="AC87" s="63"/>
      <c r="AD87" s="63"/>
      <c r="AE87" s="103"/>
      <c r="AF87" s="103"/>
      <c r="AG87" s="103"/>
      <c r="AH87" s="103"/>
      <c r="AI87" s="63"/>
      <c r="AJ87" s="63"/>
      <c r="AK87" s="63"/>
      <c r="AL87" s="63"/>
      <c r="AM87" s="103"/>
      <c r="AN87" s="103"/>
      <c r="AO87" s="103"/>
      <c r="AP87" s="103"/>
      <c r="AQ87" s="63"/>
      <c r="AR87" s="63"/>
      <c r="AS87" s="63"/>
      <c r="AT87" s="63"/>
      <c r="AU87" s="103"/>
      <c r="AV87" s="103"/>
      <c r="AW87" s="103"/>
      <c r="AX87" s="103"/>
      <c r="AY87" s="63"/>
      <c r="AZ87" s="63"/>
      <c r="BA87" s="63"/>
      <c r="BB87" s="63"/>
      <c r="BC87" s="103"/>
      <c r="BD87" s="103"/>
      <c r="BE87" s="103"/>
      <c r="BF87" s="103"/>
      <c r="BG87" s="63"/>
      <c r="BH87" s="63"/>
      <c r="BI87" s="63"/>
      <c r="BJ87" s="63"/>
      <c r="BK87" s="103"/>
      <c r="BL87" s="103"/>
      <c r="BM87" s="103"/>
      <c r="BN87" s="103"/>
      <c r="BO87" s="63"/>
      <c r="BP87" s="63"/>
      <c r="BQ87" s="63"/>
      <c r="BR87" s="63"/>
      <c r="BS87" s="103"/>
      <c r="BT87" s="103"/>
      <c r="BU87" s="103"/>
      <c r="BV87" s="103"/>
      <c r="BW87" s="63"/>
      <c r="BX87" s="63"/>
      <c r="BY87" s="63"/>
      <c r="BZ87" s="63"/>
      <c r="CA87" s="103"/>
      <c r="CB87" s="103"/>
      <c r="CC87" s="103"/>
      <c r="CD87" s="103"/>
      <c r="CE87" s="63"/>
      <c r="CF87" s="63"/>
      <c r="CG87" s="63"/>
      <c r="CH87" s="63"/>
      <c r="CI87" s="103"/>
      <c r="CJ87" s="103"/>
      <c r="CK87" s="103"/>
      <c r="CL87" s="103"/>
    </row>
    <row r="88" spans="2:90" ht="13" x14ac:dyDescent="0.15">
      <c r="B88" s="13"/>
      <c r="C88" s="13"/>
      <c r="D88" s="13"/>
      <c r="E88" s="13"/>
      <c r="F88" s="13"/>
      <c r="G88" s="103"/>
      <c r="H88" s="103"/>
      <c r="I88" s="103"/>
      <c r="J88" s="103"/>
      <c r="K88" s="63"/>
      <c r="L88" s="63"/>
      <c r="M88" s="63"/>
      <c r="N88" s="63"/>
      <c r="O88" s="103"/>
      <c r="P88" s="103"/>
      <c r="Q88" s="103"/>
      <c r="R88" s="103"/>
      <c r="S88" s="63"/>
      <c r="T88" s="63"/>
      <c r="U88" s="63"/>
      <c r="V88" s="63"/>
      <c r="W88" s="103"/>
      <c r="X88" s="103"/>
      <c r="Y88" s="103"/>
      <c r="Z88" s="103"/>
      <c r="AA88" s="63"/>
      <c r="AB88" s="63"/>
      <c r="AC88" s="63"/>
      <c r="AD88" s="63"/>
      <c r="AE88" s="103"/>
      <c r="AF88" s="103"/>
      <c r="AG88" s="103"/>
      <c r="AH88" s="103"/>
      <c r="AI88" s="63"/>
      <c r="AJ88" s="63"/>
      <c r="AK88" s="63"/>
      <c r="AL88" s="63"/>
      <c r="AM88" s="103"/>
      <c r="AN88" s="103"/>
      <c r="AO88" s="103"/>
      <c r="AP88" s="103"/>
      <c r="AQ88" s="63"/>
      <c r="AR88" s="63"/>
      <c r="AS88" s="63"/>
      <c r="AT88" s="63"/>
      <c r="AU88" s="103"/>
      <c r="AV88" s="103"/>
      <c r="AW88" s="103"/>
      <c r="AX88" s="103"/>
      <c r="AY88" s="63"/>
      <c r="AZ88" s="63"/>
      <c r="BA88" s="63"/>
      <c r="BB88" s="63"/>
      <c r="BC88" s="103"/>
      <c r="BD88" s="103"/>
      <c r="BE88" s="103"/>
      <c r="BF88" s="103"/>
      <c r="BG88" s="63"/>
      <c r="BH88" s="63"/>
      <c r="BI88" s="63"/>
      <c r="BJ88" s="63"/>
      <c r="BK88" s="103"/>
      <c r="BL88" s="103"/>
      <c r="BM88" s="103"/>
      <c r="BN88" s="103"/>
      <c r="BO88" s="63"/>
      <c r="BP88" s="63"/>
      <c r="BQ88" s="63"/>
      <c r="BR88" s="63"/>
      <c r="BS88" s="103"/>
      <c r="BT88" s="103"/>
      <c r="BU88" s="103"/>
      <c r="BV88" s="103"/>
      <c r="BW88" s="63"/>
      <c r="BX88" s="63"/>
      <c r="BY88" s="63"/>
      <c r="BZ88" s="63"/>
      <c r="CA88" s="103"/>
      <c r="CB88" s="103"/>
      <c r="CC88" s="103"/>
      <c r="CD88" s="103"/>
      <c r="CE88" s="63"/>
      <c r="CF88" s="63"/>
      <c r="CG88" s="63"/>
      <c r="CH88" s="63"/>
      <c r="CI88" s="103"/>
      <c r="CJ88" s="103"/>
      <c r="CK88" s="103"/>
      <c r="CL88" s="103"/>
    </row>
    <row r="89" spans="2:90" ht="13" x14ac:dyDescent="0.15">
      <c r="B89" s="13"/>
      <c r="C89" s="13"/>
      <c r="D89" s="13"/>
      <c r="E89" s="13"/>
      <c r="F89" s="13"/>
      <c r="G89" s="103"/>
      <c r="H89" s="103"/>
      <c r="I89" s="103"/>
      <c r="J89" s="103"/>
      <c r="K89" s="63"/>
      <c r="L89" s="63"/>
      <c r="M89" s="63"/>
      <c r="N89" s="63"/>
      <c r="O89" s="103"/>
      <c r="P89" s="103"/>
      <c r="Q89" s="103"/>
      <c r="R89" s="103"/>
      <c r="S89" s="63"/>
      <c r="T89" s="63"/>
      <c r="U89" s="63"/>
      <c r="V89" s="63"/>
      <c r="W89" s="103"/>
      <c r="X89" s="103"/>
      <c r="Y89" s="103"/>
      <c r="Z89" s="103"/>
      <c r="AA89" s="63"/>
      <c r="AB89" s="63"/>
      <c r="AC89" s="63"/>
      <c r="AD89" s="63"/>
      <c r="AE89" s="103"/>
      <c r="AF89" s="103"/>
      <c r="AG89" s="103"/>
      <c r="AH89" s="103"/>
      <c r="AI89" s="63"/>
      <c r="AJ89" s="63"/>
      <c r="AK89" s="63"/>
      <c r="AL89" s="63"/>
      <c r="AM89" s="103"/>
      <c r="AN89" s="103"/>
      <c r="AO89" s="103"/>
      <c r="AP89" s="103"/>
      <c r="AQ89" s="63"/>
      <c r="AR89" s="63"/>
      <c r="AS89" s="63"/>
      <c r="AT89" s="63"/>
      <c r="AU89" s="103"/>
      <c r="AV89" s="103"/>
      <c r="AW89" s="103"/>
      <c r="AX89" s="103"/>
      <c r="AY89" s="63"/>
      <c r="AZ89" s="63"/>
      <c r="BA89" s="63"/>
      <c r="BB89" s="63"/>
      <c r="BC89" s="103"/>
      <c r="BD89" s="103"/>
      <c r="BE89" s="103"/>
      <c r="BF89" s="103"/>
      <c r="BG89" s="63"/>
      <c r="BH89" s="63"/>
      <c r="BI89" s="63"/>
      <c r="BJ89" s="63"/>
      <c r="BK89" s="103"/>
      <c r="BL89" s="103"/>
      <c r="BM89" s="103"/>
      <c r="BN89" s="103"/>
      <c r="BO89" s="63"/>
      <c r="BP89" s="63"/>
      <c r="BQ89" s="63"/>
      <c r="BR89" s="63"/>
      <c r="BS89" s="103"/>
      <c r="BT89" s="103"/>
      <c r="BU89" s="103"/>
      <c r="BV89" s="103"/>
      <c r="BW89" s="63"/>
      <c r="BX89" s="63"/>
      <c r="BY89" s="63"/>
      <c r="BZ89" s="63"/>
      <c r="CA89" s="103"/>
      <c r="CB89" s="103"/>
      <c r="CC89" s="103"/>
      <c r="CD89" s="103"/>
      <c r="CE89" s="63"/>
      <c r="CF89" s="63"/>
      <c r="CG89" s="63"/>
      <c r="CH89" s="63"/>
      <c r="CI89" s="103"/>
      <c r="CJ89" s="103"/>
      <c r="CK89" s="103"/>
      <c r="CL89" s="103"/>
    </row>
    <row r="90" spans="2:90" ht="13" x14ac:dyDescent="0.15">
      <c r="B90" s="13"/>
      <c r="C90" s="13"/>
      <c r="D90" s="13"/>
      <c r="E90" s="13"/>
      <c r="F90" s="13"/>
      <c r="G90" s="103"/>
      <c r="H90" s="103"/>
      <c r="I90" s="103"/>
      <c r="J90" s="103"/>
      <c r="K90" s="63"/>
      <c r="L90" s="63"/>
      <c r="M90" s="63"/>
      <c r="N90" s="63"/>
      <c r="O90" s="103"/>
      <c r="P90" s="103"/>
      <c r="Q90" s="103"/>
      <c r="R90" s="103"/>
      <c r="S90" s="63"/>
      <c r="T90" s="63"/>
      <c r="U90" s="63"/>
      <c r="V90" s="63"/>
      <c r="W90" s="103"/>
      <c r="X90" s="103"/>
      <c r="Y90" s="103"/>
      <c r="Z90" s="103"/>
      <c r="AA90" s="63"/>
      <c r="AB90" s="63"/>
      <c r="AC90" s="63"/>
      <c r="AD90" s="63"/>
      <c r="AE90" s="103"/>
      <c r="AF90" s="103"/>
      <c r="AG90" s="103"/>
      <c r="AH90" s="103"/>
      <c r="AI90" s="63"/>
      <c r="AJ90" s="63"/>
      <c r="AK90" s="63"/>
      <c r="AL90" s="63"/>
      <c r="AM90" s="103"/>
      <c r="AN90" s="103"/>
      <c r="AO90" s="103"/>
      <c r="AP90" s="103"/>
      <c r="AQ90" s="63"/>
      <c r="AR90" s="63"/>
      <c r="AS90" s="63"/>
      <c r="AT90" s="63"/>
      <c r="AU90" s="103"/>
      <c r="AV90" s="103"/>
      <c r="AW90" s="103"/>
      <c r="AX90" s="103"/>
      <c r="AY90" s="63"/>
      <c r="AZ90" s="63"/>
      <c r="BA90" s="63"/>
      <c r="BB90" s="63"/>
      <c r="BC90" s="103"/>
      <c r="BD90" s="103"/>
      <c r="BE90" s="103"/>
      <c r="BF90" s="103"/>
      <c r="BG90" s="63"/>
      <c r="BH90" s="63"/>
      <c r="BI90" s="63"/>
      <c r="BJ90" s="63"/>
      <c r="BK90" s="103"/>
      <c r="BL90" s="103"/>
      <c r="BM90" s="103"/>
      <c r="BN90" s="103"/>
      <c r="BO90" s="63"/>
      <c r="BP90" s="63"/>
      <c r="BQ90" s="63"/>
      <c r="BR90" s="63"/>
      <c r="BS90" s="103"/>
      <c r="BT90" s="103"/>
      <c r="BU90" s="103"/>
      <c r="BV90" s="103"/>
      <c r="BW90" s="63"/>
      <c r="BX90" s="63"/>
      <c r="BY90" s="63"/>
      <c r="BZ90" s="63"/>
      <c r="CA90" s="103"/>
      <c r="CB90" s="103"/>
      <c r="CC90" s="103"/>
      <c r="CD90" s="103"/>
      <c r="CE90" s="63"/>
      <c r="CF90" s="63"/>
      <c r="CG90" s="63"/>
      <c r="CH90" s="63"/>
      <c r="CI90" s="103"/>
      <c r="CJ90" s="103"/>
      <c r="CK90" s="103"/>
      <c r="CL90" s="103"/>
    </row>
    <row r="91" spans="2:90" ht="13" x14ac:dyDescent="0.15">
      <c r="B91" s="13"/>
      <c r="C91" s="13"/>
      <c r="D91" s="13"/>
      <c r="E91" s="13"/>
      <c r="F91" s="13"/>
      <c r="G91" s="103"/>
      <c r="H91" s="103"/>
      <c r="I91" s="103"/>
      <c r="J91" s="103"/>
      <c r="K91" s="63"/>
      <c r="L91" s="63"/>
      <c r="M91" s="63"/>
      <c r="N91" s="63"/>
      <c r="O91" s="103"/>
      <c r="P91" s="103"/>
      <c r="Q91" s="103"/>
      <c r="R91" s="103"/>
      <c r="S91" s="63"/>
      <c r="T91" s="63"/>
      <c r="U91" s="63"/>
      <c r="V91" s="63"/>
      <c r="W91" s="103"/>
      <c r="X91" s="103"/>
      <c r="Y91" s="103"/>
      <c r="Z91" s="103"/>
      <c r="AA91" s="63"/>
      <c r="AB91" s="63"/>
      <c r="AC91" s="63"/>
      <c r="AD91" s="63"/>
      <c r="AE91" s="103"/>
      <c r="AF91" s="103"/>
      <c r="AG91" s="103"/>
      <c r="AH91" s="103"/>
      <c r="AI91" s="63"/>
      <c r="AJ91" s="63"/>
      <c r="AK91" s="63"/>
      <c r="AL91" s="63"/>
      <c r="AM91" s="103"/>
      <c r="AN91" s="103"/>
      <c r="AO91" s="103"/>
      <c r="AP91" s="103"/>
      <c r="AQ91" s="63"/>
      <c r="AR91" s="63"/>
      <c r="AS91" s="63"/>
      <c r="AT91" s="63"/>
      <c r="AU91" s="103"/>
      <c r="AV91" s="103"/>
      <c r="AW91" s="103"/>
      <c r="AX91" s="103"/>
      <c r="AY91" s="63"/>
      <c r="AZ91" s="63"/>
      <c r="BA91" s="63"/>
      <c r="BB91" s="63"/>
      <c r="BC91" s="103"/>
      <c r="BD91" s="103"/>
      <c r="BE91" s="103"/>
      <c r="BF91" s="103"/>
      <c r="BG91" s="63"/>
      <c r="BH91" s="63"/>
      <c r="BI91" s="63"/>
      <c r="BJ91" s="63"/>
      <c r="BK91" s="103"/>
      <c r="BL91" s="103"/>
      <c r="BM91" s="103"/>
      <c r="BN91" s="103"/>
      <c r="BO91" s="63"/>
      <c r="BP91" s="63"/>
      <c r="BQ91" s="63"/>
      <c r="BR91" s="63"/>
      <c r="BS91" s="103"/>
      <c r="BT91" s="103"/>
      <c r="BU91" s="103"/>
      <c r="BV91" s="103"/>
      <c r="BW91" s="63"/>
      <c r="BX91" s="63"/>
      <c r="BY91" s="63"/>
      <c r="BZ91" s="63"/>
      <c r="CA91" s="103"/>
      <c r="CB91" s="103"/>
      <c r="CC91" s="103"/>
      <c r="CD91" s="103"/>
      <c r="CE91" s="63"/>
      <c r="CF91" s="63"/>
      <c r="CG91" s="63"/>
      <c r="CH91" s="63"/>
      <c r="CI91" s="103"/>
      <c r="CJ91" s="103"/>
      <c r="CK91" s="103"/>
      <c r="CL91" s="103"/>
    </row>
    <row r="92" spans="2:90" ht="13" x14ac:dyDescent="0.15">
      <c r="B92" s="13"/>
      <c r="C92" s="13"/>
      <c r="D92" s="13"/>
      <c r="E92" s="13"/>
      <c r="F92" s="13"/>
      <c r="G92" s="103"/>
      <c r="H92" s="103"/>
      <c r="I92" s="103"/>
      <c r="J92" s="103"/>
      <c r="K92" s="63"/>
      <c r="L92" s="63"/>
      <c r="M92" s="63"/>
      <c r="N92" s="63"/>
      <c r="O92" s="103"/>
      <c r="P92" s="103"/>
      <c r="Q92" s="103"/>
      <c r="R92" s="103"/>
      <c r="S92" s="63"/>
      <c r="T92" s="63"/>
      <c r="U92" s="63"/>
      <c r="V92" s="63"/>
      <c r="W92" s="103"/>
      <c r="X92" s="103"/>
      <c r="Y92" s="103"/>
      <c r="Z92" s="103"/>
      <c r="AA92" s="63"/>
      <c r="AB92" s="63"/>
      <c r="AC92" s="63"/>
      <c r="AD92" s="63"/>
      <c r="AE92" s="103"/>
      <c r="AF92" s="103"/>
      <c r="AG92" s="103"/>
      <c r="AH92" s="103"/>
      <c r="AI92" s="63"/>
      <c r="AJ92" s="63"/>
      <c r="AK92" s="63"/>
      <c r="AL92" s="63"/>
      <c r="AM92" s="103"/>
      <c r="AN92" s="103"/>
      <c r="AO92" s="103"/>
      <c r="AP92" s="103"/>
      <c r="AQ92" s="63"/>
      <c r="AR92" s="63"/>
      <c r="AS92" s="63"/>
      <c r="AT92" s="63"/>
      <c r="AU92" s="103"/>
      <c r="AV92" s="103"/>
      <c r="AW92" s="103"/>
      <c r="AX92" s="103"/>
      <c r="AY92" s="63"/>
      <c r="AZ92" s="63"/>
      <c r="BA92" s="63"/>
      <c r="BB92" s="63"/>
      <c r="BC92" s="103"/>
      <c r="BD92" s="103"/>
      <c r="BE92" s="103"/>
      <c r="BF92" s="103"/>
      <c r="BG92" s="63"/>
      <c r="BH92" s="63"/>
      <c r="BI92" s="63"/>
      <c r="BJ92" s="63"/>
      <c r="BK92" s="103"/>
      <c r="BL92" s="103"/>
      <c r="BM92" s="103"/>
      <c r="BN92" s="103"/>
      <c r="BO92" s="63"/>
      <c r="BP92" s="63"/>
      <c r="BQ92" s="63"/>
      <c r="BR92" s="63"/>
      <c r="BS92" s="103"/>
      <c r="BT92" s="103"/>
      <c r="BU92" s="103"/>
      <c r="BV92" s="103"/>
      <c r="BW92" s="63"/>
      <c r="BX92" s="63"/>
      <c r="BY92" s="63"/>
      <c r="BZ92" s="63"/>
      <c r="CA92" s="103"/>
      <c r="CB92" s="103"/>
      <c r="CC92" s="103"/>
      <c r="CD92" s="103"/>
      <c r="CE92" s="63"/>
      <c r="CF92" s="63"/>
      <c r="CG92" s="63"/>
      <c r="CH92" s="63"/>
      <c r="CI92" s="103"/>
      <c r="CJ92" s="103"/>
      <c r="CK92" s="103"/>
      <c r="CL92" s="103"/>
    </row>
    <row r="93" spans="2:90" ht="13" x14ac:dyDescent="0.15">
      <c r="B93" s="13"/>
      <c r="C93" s="13"/>
      <c r="D93" s="13"/>
      <c r="E93" s="13"/>
      <c r="F93" s="13"/>
      <c r="G93" s="103"/>
      <c r="H93" s="103"/>
      <c r="I93" s="103"/>
      <c r="J93" s="103"/>
      <c r="K93" s="63"/>
      <c r="L93" s="63"/>
      <c r="M93" s="63"/>
      <c r="N93" s="63"/>
      <c r="O93" s="103"/>
      <c r="P93" s="103"/>
      <c r="Q93" s="103"/>
      <c r="R93" s="103"/>
      <c r="S93" s="63"/>
      <c r="T93" s="63"/>
      <c r="U93" s="63"/>
      <c r="V93" s="63"/>
      <c r="W93" s="103"/>
      <c r="X93" s="103"/>
      <c r="Y93" s="103"/>
      <c r="Z93" s="103"/>
      <c r="AA93" s="63"/>
      <c r="AB93" s="63"/>
      <c r="AC93" s="63"/>
      <c r="AD93" s="63"/>
      <c r="AE93" s="103"/>
      <c r="AF93" s="103"/>
      <c r="AG93" s="103"/>
      <c r="AH93" s="103"/>
      <c r="AI93" s="63"/>
      <c r="AJ93" s="63"/>
      <c r="AK93" s="63"/>
      <c r="AL93" s="63"/>
      <c r="AM93" s="103"/>
      <c r="AN93" s="103"/>
      <c r="AO93" s="103"/>
      <c r="AP93" s="103"/>
      <c r="AQ93" s="63"/>
      <c r="AR93" s="63"/>
      <c r="AS93" s="63"/>
      <c r="AT93" s="63"/>
      <c r="AU93" s="103"/>
      <c r="AV93" s="103"/>
      <c r="AW93" s="103"/>
      <c r="AX93" s="103"/>
      <c r="AY93" s="63"/>
      <c r="AZ93" s="63"/>
      <c r="BA93" s="63"/>
      <c r="BB93" s="63"/>
      <c r="BC93" s="103"/>
      <c r="BD93" s="103"/>
      <c r="BE93" s="103"/>
      <c r="BF93" s="103"/>
      <c r="BG93" s="63"/>
      <c r="BH93" s="63"/>
      <c r="BI93" s="63"/>
      <c r="BJ93" s="63"/>
      <c r="BK93" s="103"/>
      <c r="BL93" s="103"/>
      <c r="BM93" s="103"/>
      <c r="BN93" s="103"/>
      <c r="BO93" s="63"/>
      <c r="BP93" s="63"/>
      <c r="BQ93" s="63"/>
      <c r="BR93" s="63"/>
      <c r="BS93" s="103"/>
      <c r="BT93" s="103"/>
      <c r="BU93" s="103"/>
      <c r="BV93" s="103"/>
      <c r="BW93" s="63"/>
      <c r="BX93" s="63"/>
      <c r="BY93" s="63"/>
      <c r="BZ93" s="63"/>
      <c r="CA93" s="103"/>
      <c r="CB93" s="103"/>
      <c r="CC93" s="103"/>
      <c r="CD93" s="103"/>
      <c r="CE93" s="63"/>
      <c r="CF93" s="63"/>
      <c r="CG93" s="63"/>
      <c r="CH93" s="63"/>
      <c r="CI93" s="103"/>
      <c r="CJ93" s="103"/>
      <c r="CK93" s="103"/>
      <c r="CL93" s="103"/>
    </row>
    <row r="94" spans="2:90" ht="13" x14ac:dyDescent="0.15">
      <c r="B94" s="13"/>
      <c r="C94" s="13"/>
      <c r="D94" s="13"/>
      <c r="E94" s="13"/>
      <c r="F94" s="13"/>
      <c r="G94" s="103"/>
      <c r="H94" s="103"/>
      <c r="I94" s="103"/>
      <c r="J94" s="103"/>
      <c r="K94" s="63"/>
      <c r="L94" s="63"/>
      <c r="M94" s="63"/>
      <c r="N94" s="63"/>
      <c r="O94" s="103"/>
      <c r="P94" s="103"/>
      <c r="Q94" s="103"/>
      <c r="R94" s="103"/>
      <c r="S94" s="63"/>
      <c r="T94" s="63"/>
      <c r="U94" s="63"/>
      <c r="V94" s="63"/>
      <c r="W94" s="103"/>
      <c r="X94" s="103"/>
      <c r="Y94" s="103"/>
      <c r="Z94" s="103"/>
      <c r="AA94" s="63"/>
      <c r="AB94" s="63"/>
      <c r="AC94" s="63"/>
      <c r="AD94" s="63"/>
      <c r="AE94" s="103"/>
      <c r="AF94" s="103"/>
      <c r="AG94" s="103"/>
      <c r="AH94" s="103"/>
      <c r="AI94" s="63"/>
      <c r="AJ94" s="63"/>
      <c r="AK94" s="63"/>
      <c r="AL94" s="63"/>
      <c r="AM94" s="103"/>
      <c r="AN94" s="103"/>
      <c r="AO94" s="103"/>
      <c r="AP94" s="103"/>
      <c r="AQ94" s="63"/>
      <c r="AR94" s="63"/>
      <c r="AS94" s="63"/>
      <c r="AT94" s="63"/>
      <c r="AU94" s="103"/>
      <c r="AV94" s="103"/>
      <c r="AW94" s="103"/>
      <c r="AX94" s="103"/>
      <c r="AY94" s="63"/>
      <c r="AZ94" s="63"/>
      <c r="BA94" s="63"/>
      <c r="BB94" s="63"/>
      <c r="BC94" s="103"/>
      <c r="BD94" s="103"/>
      <c r="BE94" s="103"/>
      <c r="BF94" s="103"/>
      <c r="BG94" s="63"/>
      <c r="BH94" s="63"/>
      <c r="BI94" s="63"/>
      <c r="BJ94" s="63"/>
      <c r="BK94" s="103"/>
      <c r="BL94" s="103"/>
      <c r="BM94" s="103"/>
      <c r="BN94" s="103"/>
      <c r="BO94" s="63"/>
      <c r="BP94" s="63"/>
      <c r="BQ94" s="63"/>
      <c r="BR94" s="63"/>
      <c r="BS94" s="103"/>
      <c r="BT94" s="103"/>
      <c r="BU94" s="103"/>
      <c r="BV94" s="103"/>
      <c r="BW94" s="63"/>
      <c r="BX94" s="63"/>
      <c r="BY94" s="63"/>
      <c r="BZ94" s="63"/>
      <c r="CA94" s="103"/>
      <c r="CB94" s="103"/>
      <c r="CC94" s="103"/>
      <c r="CD94" s="103"/>
      <c r="CE94" s="63"/>
      <c r="CF94" s="63"/>
      <c r="CG94" s="63"/>
      <c r="CH94" s="63"/>
      <c r="CI94" s="103"/>
      <c r="CJ94" s="103"/>
      <c r="CK94" s="103"/>
      <c r="CL94" s="103"/>
    </row>
    <row r="95" spans="2:90" ht="13" x14ac:dyDescent="0.15">
      <c r="B95" s="13"/>
      <c r="C95" s="13"/>
      <c r="D95" s="13"/>
      <c r="E95" s="13"/>
      <c r="F95" s="13"/>
      <c r="G95" s="103"/>
      <c r="H95" s="103"/>
      <c r="I95" s="103"/>
      <c r="J95" s="103"/>
      <c r="K95" s="63"/>
      <c r="L95" s="63"/>
      <c r="M95" s="63"/>
      <c r="N95" s="63"/>
      <c r="O95" s="103"/>
      <c r="P95" s="103"/>
      <c r="Q95" s="103"/>
      <c r="R95" s="103"/>
      <c r="S95" s="63"/>
      <c r="T95" s="63"/>
      <c r="U95" s="63"/>
      <c r="V95" s="63"/>
      <c r="W95" s="103"/>
      <c r="X95" s="103"/>
      <c r="Y95" s="103"/>
      <c r="Z95" s="103"/>
      <c r="AA95" s="63"/>
      <c r="AB95" s="63"/>
      <c r="AC95" s="63"/>
      <c r="AD95" s="63"/>
      <c r="AE95" s="103"/>
      <c r="AF95" s="103"/>
      <c r="AG95" s="103"/>
      <c r="AH95" s="103"/>
      <c r="AI95" s="63"/>
      <c r="AJ95" s="63"/>
      <c r="AK95" s="63"/>
      <c r="AL95" s="63"/>
      <c r="AM95" s="103"/>
      <c r="AN95" s="103"/>
      <c r="AO95" s="103"/>
      <c r="AP95" s="103"/>
      <c r="AQ95" s="63"/>
      <c r="AR95" s="63"/>
      <c r="AS95" s="63"/>
      <c r="AT95" s="63"/>
      <c r="AU95" s="103"/>
      <c r="AV95" s="103"/>
      <c r="AW95" s="103"/>
      <c r="AX95" s="103"/>
      <c r="AY95" s="63"/>
      <c r="AZ95" s="63"/>
      <c r="BA95" s="63"/>
      <c r="BB95" s="63"/>
      <c r="BC95" s="103"/>
      <c r="BD95" s="103"/>
      <c r="BE95" s="103"/>
      <c r="BF95" s="103"/>
      <c r="BG95" s="63"/>
      <c r="BH95" s="63"/>
      <c r="BI95" s="63"/>
      <c r="BJ95" s="63"/>
      <c r="BK95" s="103"/>
      <c r="BL95" s="103"/>
      <c r="BM95" s="103"/>
      <c r="BN95" s="103"/>
      <c r="BO95" s="63"/>
      <c r="BP95" s="63"/>
      <c r="BQ95" s="63"/>
      <c r="BR95" s="63"/>
      <c r="BS95" s="103"/>
      <c r="BT95" s="103"/>
      <c r="BU95" s="103"/>
      <c r="BV95" s="103"/>
      <c r="BW95" s="63"/>
      <c r="BX95" s="63"/>
      <c r="BY95" s="63"/>
      <c r="BZ95" s="63"/>
      <c r="CA95" s="103"/>
      <c r="CB95" s="103"/>
      <c r="CC95" s="103"/>
      <c r="CD95" s="103"/>
      <c r="CE95" s="63"/>
      <c r="CF95" s="63"/>
      <c r="CG95" s="63"/>
      <c r="CH95" s="63"/>
      <c r="CI95" s="103"/>
      <c r="CJ95" s="103"/>
      <c r="CK95" s="103"/>
      <c r="CL95" s="103"/>
    </row>
    <row r="96" spans="2:90" ht="13" x14ac:dyDescent="0.15">
      <c r="B96" s="13"/>
      <c r="C96" s="13"/>
      <c r="D96" s="13"/>
      <c r="E96" s="13"/>
      <c r="F96" s="13"/>
      <c r="G96" s="103"/>
      <c r="H96" s="103"/>
      <c r="I96" s="103"/>
      <c r="J96" s="103"/>
      <c r="K96" s="63"/>
      <c r="L96" s="63"/>
      <c r="M96" s="63"/>
      <c r="N96" s="63"/>
      <c r="O96" s="103"/>
      <c r="P96" s="103"/>
      <c r="Q96" s="103"/>
      <c r="R96" s="103"/>
      <c r="S96" s="63"/>
      <c r="T96" s="63"/>
      <c r="U96" s="63"/>
      <c r="V96" s="63"/>
      <c r="W96" s="103"/>
      <c r="X96" s="103"/>
      <c r="Y96" s="103"/>
      <c r="Z96" s="103"/>
      <c r="AA96" s="63"/>
      <c r="AB96" s="63"/>
      <c r="AC96" s="63"/>
      <c r="AD96" s="63"/>
      <c r="AE96" s="103"/>
      <c r="AF96" s="103"/>
      <c r="AG96" s="103"/>
      <c r="AH96" s="103"/>
      <c r="AI96" s="63"/>
      <c r="AJ96" s="63"/>
      <c r="AK96" s="63"/>
      <c r="AL96" s="63"/>
      <c r="AM96" s="103"/>
      <c r="AN96" s="103"/>
      <c r="AO96" s="103"/>
      <c r="AP96" s="103"/>
      <c r="AQ96" s="63"/>
      <c r="AR96" s="63"/>
      <c r="AS96" s="63"/>
      <c r="AT96" s="63"/>
      <c r="AU96" s="103"/>
      <c r="AV96" s="103"/>
      <c r="AW96" s="103"/>
      <c r="AX96" s="103"/>
      <c r="AY96" s="63"/>
      <c r="AZ96" s="63"/>
      <c r="BA96" s="63"/>
      <c r="BB96" s="63"/>
      <c r="BC96" s="103"/>
      <c r="BD96" s="103"/>
      <c r="BE96" s="103"/>
      <c r="BF96" s="103"/>
      <c r="BG96" s="63"/>
      <c r="BH96" s="63"/>
      <c r="BI96" s="63"/>
      <c r="BJ96" s="63"/>
      <c r="BK96" s="103"/>
      <c r="BL96" s="103"/>
      <c r="BM96" s="103"/>
      <c r="BN96" s="103"/>
      <c r="BO96" s="63"/>
      <c r="BP96" s="63"/>
      <c r="BQ96" s="63"/>
      <c r="BR96" s="63"/>
      <c r="BS96" s="103"/>
      <c r="BT96" s="103"/>
      <c r="BU96" s="103"/>
      <c r="BV96" s="103"/>
      <c r="BW96" s="63"/>
      <c r="BX96" s="63"/>
      <c r="BY96" s="63"/>
      <c r="BZ96" s="63"/>
      <c r="CA96" s="103"/>
      <c r="CB96" s="103"/>
      <c r="CC96" s="103"/>
      <c r="CD96" s="103"/>
      <c r="CE96" s="63"/>
      <c r="CF96" s="63"/>
      <c r="CG96" s="63"/>
      <c r="CH96" s="63"/>
      <c r="CI96" s="103"/>
      <c r="CJ96" s="103"/>
      <c r="CK96" s="103"/>
      <c r="CL96" s="103"/>
    </row>
    <row r="97" spans="2:90" ht="13" x14ac:dyDescent="0.15">
      <c r="B97" s="13"/>
      <c r="C97" s="13"/>
      <c r="D97" s="13"/>
      <c r="E97" s="13"/>
      <c r="F97" s="13"/>
      <c r="G97" s="103"/>
      <c r="H97" s="103"/>
      <c r="I97" s="103"/>
      <c r="J97" s="103"/>
      <c r="K97" s="63"/>
      <c r="L97" s="63"/>
      <c r="M97" s="63"/>
      <c r="N97" s="63"/>
      <c r="O97" s="103"/>
      <c r="P97" s="103"/>
      <c r="Q97" s="103"/>
      <c r="R97" s="103"/>
      <c r="S97" s="63"/>
      <c r="T97" s="63"/>
      <c r="U97" s="63"/>
      <c r="V97" s="63"/>
      <c r="W97" s="103"/>
      <c r="X97" s="103"/>
      <c r="Y97" s="103"/>
      <c r="Z97" s="103"/>
      <c r="AA97" s="63"/>
      <c r="AB97" s="63"/>
      <c r="AC97" s="63"/>
      <c r="AD97" s="63"/>
      <c r="AE97" s="103"/>
      <c r="AF97" s="103"/>
      <c r="AG97" s="103"/>
      <c r="AH97" s="103"/>
      <c r="AI97" s="63"/>
      <c r="AJ97" s="63"/>
      <c r="AK97" s="63"/>
      <c r="AL97" s="63"/>
      <c r="AM97" s="103"/>
      <c r="AN97" s="103"/>
      <c r="AO97" s="103"/>
      <c r="AP97" s="103"/>
      <c r="AQ97" s="63"/>
      <c r="AR97" s="63"/>
      <c r="AS97" s="63"/>
      <c r="AT97" s="63"/>
      <c r="AU97" s="103"/>
      <c r="AV97" s="103"/>
      <c r="AW97" s="103"/>
      <c r="AX97" s="103"/>
      <c r="AY97" s="63"/>
      <c r="AZ97" s="63"/>
      <c r="BA97" s="63"/>
      <c r="BB97" s="63"/>
      <c r="BC97" s="103"/>
      <c r="BD97" s="103"/>
      <c r="BE97" s="103"/>
      <c r="BF97" s="103"/>
      <c r="BG97" s="63"/>
      <c r="BH97" s="63"/>
      <c r="BI97" s="63"/>
      <c r="BJ97" s="63"/>
      <c r="BK97" s="103"/>
      <c r="BL97" s="103"/>
      <c r="BM97" s="103"/>
      <c r="BN97" s="103"/>
      <c r="BO97" s="63"/>
      <c r="BP97" s="63"/>
      <c r="BQ97" s="63"/>
      <c r="BR97" s="63"/>
      <c r="BS97" s="103"/>
      <c r="BT97" s="103"/>
      <c r="BU97" s="103"/>
      <c r="BV97" s="103"/>
      <c r="BW97" s="63"/>
      <c r="BX97" s="63"/>
      <c r="BY97" s="63"/>
      <c r="BZ97" s="63"/>
      <c r="CA97" s="103"/>
      <c r="CB97" s="103"/>
      <c r="CC97" s="103"/>
      <c r="CD97" s="103"/>
      <c r="CE97" s="63"/>
      <c r="CF97" s="63"/>
      <c r="CG97" s="63"/>
      <c r="CH97" s="63"/>
      <c r="CI97" s="103"/>
      <c r="CJ97" s="103"/>
      <c r="CK97" s="103"/>
      <c r="CL97" s="103"/>
    </row>
    <row r="98" spans="2:90" ht="13" x14ac:dyDescent="0.15">
      <c r="B98" s="13"/>
      <c r="C98" s="13"/>
      <c r="D98" s="13"/>
      <c r="E98" s="13"/>
      <c r="F98" s="13"/>
      <c r="G98" s="103"/>
      <c r="H98" s="103"/>
      <c r="I98" s="103"/>
      <c r="J98" s="103"/>
      <c r="K98" s="63"/>
      <c r="L98" s="63"/>
      <c r="M98" s="63"/>
      <c r="N98" s="63"/>
      <c r="O98" s="103"/>
      <c r="P98" s="103"/>
      <c r="Q98" s="103"/>
      <c r="R98" s="103"/>
      <c r="S98" s="63"/>
      <c r="T98" s="63"/>
      <c r="U98" s="63"/>
      <c r="V98" s="63"/>
      <c r="W98" s="103"/>
      <c r="X98" s="103"/>
      <c r="Y98" s="103"/>
      <c r="Z98" s="103"/>
      <c r="AA98" s="63"/>
      <c r="AB98" s="63"/>
      <c r="AC98" s="63"/>
      <c r="AD98" s="63"/>
      <c r="AE98" s="103"/>
      <c r="AF98" s="103"/>
      <c r="AG98" s="103"/>
      <c r="AH98" s="103"/>
      <c r="AI98" s="63"/>
      <c r="AJ98" s="63"/>
      <c r="AK98" s="63"/>
      <c r="AL98" s="63"/>
      <c r="AM98" s="103"/>
      <c r="AN98" s="103"/>
      <c r="AO98" s="103"/>
      <c r="AP98" s="103"/>
      <c r="AQ98" s="63"/>
      <c r="AR98" s="63"/>
      <c r="AS98" s="63"/>
      <c r="AT98" s="63"/>
      <c r="AU98" s="103"/>
      <c r="AV98" s="103"/>
      <c r="AW98" s="103"/>
      <c r="AX98" s="103"/>
      <c r="AY98" s="63"/>
      <c r="AZ98" s="63"/>
      <c r="BA98" s="63"/>
      <c r="BB98" s="63"/>
      <c r="BC98" s="103"/>
      <c r="BD98" s="103"/>
      <c r="BE98" s="103"/>
      <c r="BF98" s="103"/>
      <c r="BG98" s="63"/>
      <c r="BH98" s="63"/>
      <c r="BI98" s="63"/>
      <c r="BJ98" s="63"/>
      <c r="BK98" s="103"/>
      <c r="BL98" s="103"/>
      <c r="BM98" s="103"/>
      <c r="BN98" s="103"/>
      <c r="BO98" s="63"/>
      <c r="BP98" s="63"/>
      <c r="BQ98" s="63"/>
      <c r="BR98" s="63"/>
      <c r="BS98" s="103"/>
      <c r="BT98" s="103"/>
      <c r="BU98" s="103"/>
      <c r="BV98" s="103"/>
      <c r="BW98" s="63"/>
      <c r="BX98" s="63"/>
      <c r="BY98" s="63"/>
      <c r="BZ98" s="63"/>
      <c r="CA98" s="103"/>
      <c r="CB98" s="103"/>
      <c r="CC98" s="103"/>
      <c r="CD98" s="103"/>
      <c r="CE98" s="63"/>
      <c r="CF98" s="63"/>
      <c r="CG98" s="63"/>
      <c r="CH98" s="63"/>
      <c r="CI98" s="103"/>
      <c r="CJ98" s="103"/>
      <c r="CK98" s="103"/>
      <c r="CL98" s="103"/>
    </row>
    <row r="99" spans="2:90" ht="13" x14ac:dyDescent="0.15">
      <c r="B99" s="13"/>
      <c r="C99" s="13"/>
      <c r="D99" s="13"/>
      <c r="E99" s="13"/>
      <c r="F99" s="13"/>
      <c r="G99" s="103"/>
      <c r="H99" s="103"/>
      <c r="I99" s="103"/>
      <c r="J99" s="103"/>
      <c r="K99" s="63"/>
      <c r="L99" s="63"/>
      <c r="M99" s="63"/>
      <c r="N99" s="63"/>
      <c r="O99" s="103"/>
      <c r="P99" s="103"/>
      <c r="Q99" s="103"/>
      <c r="R99" s="103"/>
      <c r="S99" s="63"/>
      <c r="T99" s="63"/>
      <c r="U99" s="63"/>
      <c r="V99" s="63"/>
      <c r="W99" s="103"/>
      <c r="X99" s="103"/>
      <c r="Y99" s="103"/>
      <c r="Z99" s="103"/>
      <c r="AA99" s="63"/>
      <c r="AB99" s="63"/>
      <c r="AC99" s="63"/>
      <c r="AD99" s="63"/>
      <c r="AE99" s="103"/>
      <c r="AF99" s="103"/>
      <c r="AG99" s="103"/>
      <c r="AH99" s="103"/>
      <c r="AI99" s="63"/>
      <c r="AJ99" s="63"/>
      <c r="AK99" s="63"/>
      <c r="AL99" s="63"/>
      <c r="AM99" s="103"/>
      <c r="AN99" s="103"/>
      <c r="AO99" s="103"/>
      <c r="AP99" s="103"/>
      <c r="AQ99" s="63"/>
      <c r="AR99" s="63"/>
      <c r="AS99" s="63"/>
      <c r="AT99" s="63"/>
      <c r="AU99" s="103"/>
      <c r="AV99" s="103"/>
      <c r="AW99" s="103"/>
      <c r="AX99" s="103"/>
      <c r="AY99" s="63"/>
      <c r="AZ99" s="63"/>
      <c r="BA99" s="63"/>
      <c r="BB99" s="63"/>
      <c r="BC99" s="103"/>
      <c r="BD99" s="103"/>
      <c r="BE99" s="103"/>
      <c r="BF99" s="103"/>
      <c r="BG99" s="63"/>
      <c r="BH99" s="63"/>
      <c r="BI99" s="63"/>
      <c r="BJ99" s="63"/>
      <c r="BK99" s="103"/>
      <c r="BL99" s="103"/>
      <c r="BM99" s="103"/>
      <c r="BN99" s="103"/>
      <c r="BO99" s="63"/>
      <c r="BP99" s="63"/>
      <c r="BQ99" s="63"/>
      <c r="BR99" s="63"/>
      <c r="BS99" s="103"/>
      <c r="BT99" s="103"/>
      <c r="BU99" s="103"/>
      <c r="BV99" s="103"/>
      <c r="BW99" s="63"/>
      <c r="BX99" s="63"/>
      <c r="BY99" s="63"/>
      <c r="BZ99" s="63"/>
      <c r="CA99" s="103"/>
      <c r="CB99" s="103"/>
      <c r="CC99" s="103"/>
      <c r="CD99" s="103"/>
      <c r="CE99" s="63"/>
      <c r="CF99" s="63"/>
      <c r="CG99" s="63"/>
      <c r="CH99" s="63"/>
      <c r="CI99" s="103"/>
      <c r="CJ99" s="103"/>
      <c r="CK99" s="103"/>
      <c r="CL99" s="103"/>
    </row>
    <row r="100" spans="2:90" ht="13" x14ac:dyDescent="0.15">
      <c r="B100" s="13"/>
      <c r="C100" s="13"/>
      <c r="D100" s="13"/>
      <c r="E100" s="13"/>
      <c r="F100" s="13"/>
      <c r="G100" s="103"/>
      <c r="H100" s="103"/>
      <c r="I100" s="103"/>
      <c r="J100" s="103"/>
      <c r="K100" s="63"/>
      <c r="L100" s="63"/>
      <c r="M100" s="63"/>
      <c r="N100" s="63"/>
      <c r="O100" s="103"/>
      <c r="P100" s="103"/>
      <c r="Q100" s="103"/>
      <c r="R100" s="103"/>
      <c r="S100" s="63"/>
      <c r="T100" s="63"/>
      <c r="U100" s="63"/>
      <c r="V100" s="63"/>
      <c r="W100" s="103"/>
      <c r="X100" s="103"/>
      <c r="Y100" s="103"/>
      <c r="Z100" s="103"/>
      <c r="AA100" s="63"/>
      <c r="AB100" s="63"/>
      <c r="AC100" s="63"/>
      <c r="AD100" s="63"/>
      <c r="AE100" s="103"/>
      <c r="AF100" s="103"/>
      <c r="AG100" s="103"/>
      <c r="AH100" s="103"/>
      <c r="AI100" s="63"/>
      <c r="AJ100" s="63"/>
      <c r="AK100" s="63"/>
      <c r="AL100" s="63"/>
      <c r="AM100" s="103"/>
      <c r="AN100" s="103"/>
      <c r="AO100" s="103"/>
      <c r="AP100" s="103"/>
      <c r="AQ100" s="63"/>
      <c r="AR100" s="63"/>
      <c r="AS100" s="63"/>
      <c r="AT100" s="63"/>
      <c r="AU100" s="103"/>
      <c r="AV100" s="103"/>
      <c r="AW100" s="103"/>
      <c r="AX100" s="103"/>
      <c r="AY100" s="63"/>
      <c r="AZ100" s="63"/>
      <c r="BA100" s="63"/>
      <c r="BB100" s="63"/>
      <c r="BC100" s="103"/>
      <c r="BD100" s="103"/>
      <c r="BE100" s="103"/>
      <c r="BF100" s="103"/>
      <c r="BG100" s="63"/>
      <c r="BH100" s="63"/>
      <c r="BI100" s="63"/>
      <c r="BJ100" s="63"/>
      <c r="BK100" s="103"/>
      <c r="BL100" s="103"/>
      <c r="BM100" s="103"/>
      <c r="BN100" s="103"/>
      <c r="BO100" s="63"/>
      <c r="BP100" s="63"/>
      <c r="BQ100" s="63"/>
      <c r="BR100" s="63"/>
      <c r="BS100" s="103"/>
      <c r="BT100" s="103"/>
      <c r="BU100" s="103"/>
      <c r="BV100" s="103"/>
      <c r="BW100" s="63"/>
      <c r="BX100" s="63"/>
      <c r="BY100" s="63"/>
      <c r="BZ100" s="63"/>
      <c r="CA100" s="103"/>
      <c r="CB100" s="103"/>
      <c r="CC100" s="103"/>
      <c r="CD100" s="103"/>
      <c r="CE100" s="63"/>
      <c r="CF100" s="63"/>
      <c r="CG100" s="63"/>
      <c r="CH100" s="63"/>
      <c r="CI100" s="103"/>
      <c r="CJ100" s="103"/>
      <c r="CK100" s="103"/>
      <c r="CL100" s="103"/>
    </row>
    <row r="101" spans="2:90" ht="13" x14ac:dyDescent="0.15">
      <c r="B101" s="13"/>
      <c r="C101" s="13"/>
      <c r="D101" s="13"/>
      <c r="E101" s="13"/>
      <c r="F101" s="13"/>
      <c r="G101" s="103"/>
      <c r="H101" s="103"/>
      <c r="I101" s="103"/>
      <c r="J101" s="103"/>
      <c r="K101" s="63"/>
      <c r="L101" s="63"/>
      <c r="M101" s="63"/>
      <c r="N101" s="63"/>
      <c r="O101" s="103"/>
      <c r="P101" s="103"/>
      <c r="Q101" s="103"/>
      <c r="R101" s="103"/>
      <c r="S101" s="63"/>
      <c r="T101" s="63"/>
      <c r="U101" s="63"/>
      <c r="V101" s="63"/>
      <c r="W101" s="103"/>
      <c r="X101" s="103"/>
      <c r="Y101" s="103"/>
      <c r="Z101" s="103"/>
      <c r="AA101" s="63"/>
      <c r="AB101" s="63"/>
      <c r="AC101" s="63"/>
      <c r="AD101" s="63"/>
      <c r="AE101" s="103"/>
      <c r="AF101" s="103"/>
      <c r="AG101" s="103"/>
      <c r="AH101" s="103"/>
      <c r="AI101" s="63"/>
      <c r="AJ101" s="63"/>
      <c r="AK101" s="63"/>
      <c r="AL101" s="63"/>
      <c r="AM101" s="103"/>
      <c r="AN101" s="103"/>
      <c r="AO101" s="103"/>
      <c r="AP101" s="103"/>
      <c r="AQ101" s="63"/>
      <c r="AR101" s="63"/>
      <c r="AS101" s="63"/>
      <c r="AT101" s="63"/>
      <c r="AU101" s="103"/>
      <c r="AV101" s="103"/>
      <c r="AW101" s="103"/>
      <c r="AX101" s="103"/>
      <c r="AY101" s="63"/>
      <c r="AZ101" s="63"/>
      <c r="BA101" s="63"/>
      <c r="BB101" s="63"/>
      <c r="BC101" s="103"/>
      <c r="BD101" s="103"/>
      <c r="BE101" s="103"/>
      <c r="BF101" s="103"/>
      <c r="BG101" s="63"/>
      <c r="BH101" s="63"/>
      <c r="BI101" s="63"/>
      <c r="BJ101" s="63"/>
      <c r="BK101" s="103"/>
      <c r="BL101" s="103"/>
      <c r="BM101" s="103"/>
      <c r="BN101" s="103"/>
      <c r="BO101" s="63"/>
      <c r="BP101" s="63"/>
      <c r="BQ101" s="63"/>
      <c r="BR101" s="63"/>
      <c r="BS101" s="103"/>
      <c r="BT101" s="103"/>
      <c r="BU101" s="103"/>
      <c r="BV101" s="103"/>
      <c r="BW101" s="63"/>
      <c r="BX101" s="63"/>
      <c r="BY101" s="63"/>
      <c r="BZ101" s="63"/>
      <c r="CA101" s="103"/>
      <c r="CB101" s="103"/>
      <c r="CC101" s="103"/>
      <c r="CD101" s="103"/>
      <c r="CE101" s="63"/>
      <c r="CF101" s="63"/>
      <c r="CG101" s="63"/>
      <c r="CH101" s="63"/>
      <c r="CI101" s="103"/>
      <c r="CJ101" s="103"/>
      <c r="CK101" s="103"/>
      <c r="CL101" s="103"/>
    </row>
    <row r="102" spans="2:90" ht="13" x14ac:dyDescent="0.15">
      <c r="B102" s="13"/>
      <c r="C102" s="13"/>
      <c r="D102" s="13"/>
      <c r="E102" s="13"/>
      <c r="F102" s="13"/>
      <c r="G102" s="103"/>
      <c r="H102" s="103"/>
      <c r="I102" s="103"/>
      <c r="J102" s="103"/>
      <c r="K102" s="63"/>
      <c r="L102" s="63"/>
      <c r="M102" s="63"/>
      <c r="N102" s="63"/>
      <c r="O102" s="103"/>
      <c r="P102" s="103"/>
      <c r="Q102" s="103"/>
      <c r="R102" s="103"/>
      <c r="S102" s="63"/>
      <c r="T102" s="63"/>
      <c r="U102" s="63"/>
      <c r="V102" s="63"/>
      <c r="W102" s="103"/>
      <c r="X102" s="103"/>
      <c r="Y102" s="103"/>
      <c r="Z102" s="103"/>
      <c r="AA102" s="63"/>
      <c r="AB102" s="63"/>
      <c r="AC102" s="63"/>
      <c r="AD102" s="63"/>
      <c r="AE102" s="103"/>
      <c r="AF102" s="103"/>
      <c r="AG102" s="103"/>
      <c r="AH102" s="103"/>
      <c r="AI102" s="63"/>
      <c r="AJ102" s="63"/>
      <c r="AK102" s="63"/>
      <c r="AL102" s="63"/>
      <c r="AM102" s="103"/>
      <c r="AN102" s="103"/>
      <c r="AO102" s="103"/>
      <c r="AP102" s="103"/>
      <c r="AQ102" s="63"/>
      <c r="AR102" s="63"/>
      <c r="AS102" s="63"/>
      <c r="AT102" s="63"/>
      <c r="AU102" s="103"/>
      <c r="AV102" s="103"/>
      <c r="AW102" s="103"/>
      <c r="AX102" s="103"/>
      <c r="AY102" s="63"/>
      <c r="AZ102" s="63"/>
      <c r="BA102" s="63"/>
      <c r="BB102" s="63"/>
      <c r="BC102" s="103"/>
      <c r="BD102" s="103"/>
      <c r="BE102" s="103"/>
      <c r="BF102" s="103"/>
      <c r="BG102" s="63"/>
      <c r="BH102" s="63"/>
      <c r="BI102" s="63"/>
      <c r="BJ102" s="63"/>
      <c r="BK102" s="103"/>
      <c r="BL102" s="103"/>
      <c r="BM102" s="103"/>
      <c r="BN102" s="103"/>
      <c r="BO102" s="63"/>
      <c r="BP102" s="63"/>
      <c r="BQ102" s="63"/>
      <c r="BR102" s="63"/>
      <c r="BS102" s="103"/>
      <c r="BT102" s="103"/>
      <c r="BU102" s="103"/>
      <c r="BV102" s="103"/>
      <c r="BW102" s="63"/>
      <c r="BX102" s="63"/>
      <c r="BY102" s="63"/>
      <c r="BZ102" s="63"/>
      <c r="CA102" s="103"/>
      <c r="CB102" s="103"/>
      <c r="CC102" s="103"/>
      <c r="CD102" s="103"/>
      <c r="CE102" s="63"/>
      <c r="CF102" s="63"/>
      <c r="CG102" s="63"/>
      <c r="CH102" s="63"/>
      <c r="CI102" s="103"/>
      <c r="CJ102" s="103"/>
      <c r="CK102" s="103"/>
      <c r="CL102" s="103"/>
    </row>
    <row r="103" spans="2:90" ht="13" x14ac:dyDescent="0.15">
      <c r="B103" s="13"/>
      <c r="C103" s="13"/>
      <c r="D103" s="13"/>
      <c r="E103" s="13"/>
      <c r="F103" s="13"/>
      <c r="G103" s="103"/>
      <c r="H103" s="103"/>
      <c r="I103" s="103"/>
      <c r="J103" s="103"/>
      <c r="K103" s="63"/>
      <c r="L103" s="63"/>
      <c r="M103" s="63"/>
      <c r="N103" s="63"/>
      <c r="O103" s="103"/>
      <c r="P103" s="103"/>
      <c r="Q103" s="103"/>
      <c r="R103" s="103"/>
      <c r="S103" s="63"/>
      <c r="T103" s="63"/>
      <c r="U103" s="63"/>
      <c r="V103" s="63"/>
      <c r="W103" s="103"/>
      <c r="X103" s="103"/>
      <c r="Y103" s="103"/>
      <c r="Z103" s="103"/>
      <c r="AA103" s="63"/>
      <c r="AB103" s="63"/>
      <c r="AC103" s="63"/>
      <c r="AD103" s="63"/>
      <c r="AE103" s="103"/>
      <c r="AF103" s="103"/>
      <c r="AG103" s="103"/>
      <c r="AH103" s="103"/>
      <c r="AI103" s="63"/>
      <c r="AJ103" s="63"/>
      <c r="AK103" s="63"/>
      <c r="AL103" s="63"/>
      <c r="AM103" s="103"/>
      <c r="AN103" s="103"/>
      <c r="AO103" s="103"/>
      <c r="AP103" s="103"/>
      <c r="AQ103" s="63"/>
      <c r="AR103" s="63"/>
      <c r="AS103" s="63"/>
      <c r="AT103" s="63"/>
      <c r="AU103" s="103"/>
      <c r="AV103" s="103"/>
      <c r="AW103" s="103"/>
      <c r="AX103" s="103"/>
      <c r="AY103" s="63"/>
      <c r="AZ103" s="63"/>
      <c r="BA103" s="63"/>
      <c r="BB103" s="63"/>
      <c r="BC103" s="103"/>
      <c r="BD103" s="103"/>
      <c r="BE103" s="103"/>
      <c r="BF103" s="103"/>
      <c r="BG103" s="63"/>
      <c r="BH103" s="63"/>
      <c r="BI103" s="63"/>
      <c r="BJ103" s="63"/>
      <c r="BK103" s="103"/>
      <c r="BL103" s="103"/>
      <c r="BM103" s="103"/>
      <c r="BN103" s="103"/>
      <c r="BO103" s="63"/>
      <c r="BP103" s="63"/>
      <c r="BQ103" s="63"/>
      <c r="BR103" s="63"/>
      <c r="BS103" s="103"/>
      <c r="BT103" s="103"/>
      <c r="BU103" s="103"/>
      <c r="BV103" s="103"/>
      <c r="BW103" s="63"/>
      <c r="BX103" s="63"/>
      <c r="BY103" s="63"/>
      <c r="BZ103" s="63"/>
      <c r="CA103" s="103"/>
      <c r="CB103" s="103"/>
      <c r="CC103" s="103"/>
      <c r="CD103" s="103"/>
      <c r="CE103" s="63"/>
      <c r="CF103" s="63"/>
      <c r="CG103" s="63"/>
      <c r="CH103" s="63"/>
      <c r="CI103" s="103"/>
      <c r="CJ103" s="103"/>
      <c r="CK103" s="103"/>
      <c r="CL103" s="103"/>
    </row>
    <row r="104" spans="2:90" ht="13" x14ac:dyDescent="0.15">
      <c r="B104" s="13"/>
      <c r="C104" s="13"/>
      <c r="D104" s="13"/>
      <c r="E104" s="13"/>
      <c r="F104" s="13"/>
      <c r="G104" s="103"/>
      <c r="H104" s="103"/>
      <c r="I104" s="103"/>
      <c r="J104" s="103"/>
      <c r="K104" s="63"/>
      <c r="L104" s="63"/>
      <c r="M104" s="63"/>
      <c r="N104" s="63"/>
      <c r="O104" s="103"/>
      <c r="P104" s="103"/>
      <c r="Q104" s="103"/>
      <c r="R104" s="103"/>
      <c r="S104" s="63"/>
      <c r="T104" s="63"/>
      <c r="U104" s="63"/>
      <c r="V104" s="63"/>
      <c r="W104" s="103"/>
      <c r="X104" s="103"/>
      <c r="Y104" s="103"/>
      <c r="Z104" s="103"/>
      <c r="AA104" s="63"/>
      <c r="AB104" s="63"/>
      <c r="AC104" s="63"/>
      <c r="AD104" s="63"/>
      <c r="AE104" s="103"/>
      <c r="AF104" s="103"/>
      <c r="AG104" s="103"/>
      <c r="AH104" s="103"/>
      <c r="AI104" s="63"/>
      <c r="AJ104" s="63"/>
      <c r="AK104" s="63"/>
      <c r="AL104" s="63"/>
      <c r="AM104" s="103"/>
      <c r="AN104" s="103"/>
      <c r="AO104" s="103"/>
      <c r="AP104" s="103"/>
      <c r="AQ104" s="63"/>
      <c r="AR104" s="63"/>
      <c r="AS104" s="63"/>
      <c r="AT104" s="63"/>
      <c r="AU104" s="103"/>
      <c r="AV104" s="103"/>
      <c r="AW104" s="103"/>
      <c r="AX104" s="103"/>
      <c r="AY104" s="63"/>
      <c r="AZ104" s="63"/>
      <c r="BA104" s="63"/>
      <c r="BB104" s="63"/>
      <c r="BC104" s="103"/>
      <c r="BD104" s="103"/>
      <c r="BE104" s="103"/>
      <c r="BF104" s="103"/>
      <c r="BG104" s="63"/>
      <c r="BH104" s="63"/>
      <c r="BI104" s="63"/>
      <c r="BJ104" s="63"/>
      <c r="BK104" s="103"/>
      <c r="BL104" s="103"/>
      <c r="BM104" s="103"/>
      <c r="BN104" s="103"/>
      <c r="BO104" s="63"/>
      <c r="BP104" s="63"/>
      <c r="BQ104" s="63"/>
      <c r="BR104" s="63"/>
      <c r="BS104" s="103"/>
      <c r="BT104" s="103"/>
      <c r="BU104" s="103"/>
      <c r="BV104" s="103"/>
      <c r="BW104" s="63"/>
      <c r="BX104" s="63"/>
      <c r="BY104" s="63"/>
      <c r="BZ104" s="63"/>
      <c r="CA104" s="103"/>
      <c r="CB104" s="103"/>
      <c r="CC104" s="103"/>
      <c r="CD104" s="103"/>
      <c r="CE104" s="63"/>
      <c r="CF104" s="63"/>
      <c r="CG104" s="63"/>
      <c r="CH104" s="63"/>
      <c r="CI104" s="103"/>
      <c r="CJ104" s="103"/>
      <c r="CK104" s="103"/>
      <c r="CL104" s="103"/>
    </row>
    <row r="105" spans="2:90" ht="13" x14ac:dyDescent="0.15">
      <c r="B105" s="13"/>
      <c r="C105" s="13"/>
      <c r="D105" s="13"/>
      <c r="E105" s="13"/>
      <c r="F105" s="13"/>
      <c r="G105" s="103"/>
      <c r="H105" s="103"/>
      <c r="I105" s="103"/>
      <c r="J105" s="103"/>
      <c r="K105" s="63"/>
      <c r="L105" s="63"/>
      <c r="M105" s="63"/>
      <c r="N105" s="63"/>
      <c r="O105" s="103"/>
      <c r="P105" s="103"/>
      <c r="Q105" s="103"/>
      <c r="R105" s="103"/>
      <c r="S105" s="63"/>
      <c r="T105" s="63"/>
      <c r="U105" s="63"/>
      <c r="V105" s="63"/>
      <c r="W105" s="103"/>
      <c r="X105" s="103"/>
      <c r="Y105" s="103"/>
      <c r="Z105" s="103"/>
      <c r="AA105" s="63"/>
      <c r="AB105" s="63"/>
      <c r="AC105" s="63"/>
      <c r="AD105" s="63"/>
      <c r="AE105" s="103"/>
      <c r="AF105" s="103"/>
      <c r="AG105" s="103"/>
      <c r="AH105" s="103"/>
      <c r="AI105" s="63"/>
      <c r="AJ105" s="63"/>
      <c r="AK105" s="63"/>
      <c r="AL105" s="63"/>
      <c r="AM105" s="103"/>
      <c r="AN105" s="103"/>
      <c r="AO105" s="103"/>
      <c r="AP105" s="103"/>
      <c r="AQ105" s="63"/>
      <c r="AR105" s="63"/>
      <c r="AS105" s="63"/>
      <c r="AT105" s="63"/>
      <c r="AU105" s="103"/>
      <c r="AV105" s="103"/>
      <c r="AW105" s="103"/>
      <c r="AX105" s="103"/>
      <c r="AY105" s="63"/>
      <c r="AZ105" s="63"/>
      <c r="BA105" s="63"/>
      <c r="BB105" s="63"/>
      <c r="BC105" s="103"/>
      <c r="BD105" s="103"/>
      <c r="BE105" s="103"/>
      <c r="BF105" s="103"/>
      <c r="BG105" s="63"/>
      <c r="BH105" s="63"/>
      <c r="BI105" s="63"/>
      <c r="BJ105" s="63"/>
      <c r="BK105" s="103"/>
      <c r="BL105" s="103"/>
      <c r="BM105" s="103"/>
      <c r="BN105" s="103"/>
      <c r="BO105" s="63"/>
      <c r="BP105" s="63"/>
      <c r="BQ105" s="63"/>
      <c r="BR105" s="63"/>
      <c r="BS105" s="103"/>
      <c r="BT105" s="103"/>
      <c r="BU105" s="103"/>
      <c r="BV105" s="103"/>
      <c r="BW105" s="63"/>
      <c r="BX105" s="63"/>
      <c r="BY105" s="63"/>
      <c r="BZ105" s="63"/>
      <c r="CA105" s="103"/>
      <c r="CB105" s="103"/>
      <c r="CC105" s="103"/>
      <c r="CD105" s="103"/>
      <c r="CE105" s="63"/>
      <c r="CF105" s="63"/>
      <c r="CG105" s="63"/>
      <c r="CH105" s="63"/>
      <c r="CI105" s="103"/>
      <c r="CJ105" s="103"/>
      <c r="CK105" s="103"/>
      <c r="CL105" s="103"/>
    </row>
    <row r="106" spans="2:90" ht="13" x14ac:dyDescent="0.15">
      <c r="B106" s="13"/>
      <c r="C106" s="13"/>
      <c r="D106" s="13"/>
      <c r="E106" s="13"/>
      <c r="F106" s="13"/>
      <c r="G106" s="103"/>
      <c r="H106" s="103"/>
      <c r="I106" s="103"/>
      <c r="J106" s="103"/>
      <c r="K106" s="63"/>
      <c r="L106" s="63"/>
      <c r="M106" s="63"/>
      <c r="N106" s="63"/>
      <c r="O106" s="103"/>
      <c r="P106" s="103"/>
      <c r="Q106" s="103"/>
      <c r="R106" s="103"/>
      <c r="S106" s="63"/>
      <c r="T106" s="63"/>
      <c r="U106" s="63"/>
      <c r="V106" s="63"/>
      <c r="W106" s="103"/>
      <c r="X106" s="103"/>
      <c r="Y106" s="103"/>
      <c r="Z106" s="103"/>
      <c r="AA106" s="63"/>
      <c r="AB106" s="63"/>
      <c r="AC106" s="63"/>
      <c r="AD106" s="63"/>
      <c r="AE106" s="103"/>
      <c r="AF106" s="103"/>
      <c r="AG106" s="103"/>
      <c r="AH106" s="103"/>
      <c r="AI106" s="63"/>
      <c r="AJ106" s="63"/>
      <c r="AK106" s="63"/>
      <c r="AL106" s="63"/>
      <c r="AM106" s="103"/>
      <c r="AN106" s="103"/>
      <c r="AO106" s="103"/>
      <c r="AP106" s="103"/>
      <c r="AQ106" s="63"/>
      <c r="AR106" s="63"/>
      <c r="AS106" s="63"/>
      <c r="AT106" s="63"/>
      <c r="AU106" s="103"/>
      <c r="AV106" s="103"/>
      <c r="AW106" s="103"/>
      <c r="AX106" s="103"/>
      <c r="AY106" s="63"/>
      <c r="AZ106" s="63"/>
      <c r="BA106" s="63"/>
      <c r="BB106" s="63"/>
      <c r="BC106" s="103"/>
      <c r="BD106" s="103"/>
      <c r="BE106" s="103"/>
      <c r="BF106" s="103"/>
      <c r="BG106" s="63"/>
      <c r="BH106" s="63"/>
      <c r="BI106" s="63"/>
      <c r="BJ106" s="63"/>
      <c r="BK106" s="103"/>
      <c r="BL106" s="103"/>
      <c r="BM106" s="103"/>
      <c r="BN106" s="103"/>
      <c r="BO106" s="63"/>
      <c r="BP106" s="63"/>
      <c r="BQ106" s="63"/>
      <c r="BR106" s="63"/>
      <c r="BS106" s="103"/>
      <c r="BT106" s="103"/>
      <c r="BU106" s="103"/>
      <c r="BV106" s="103"/>
      <c r="BW106" s="63"/>
      <c r="BX106" s="63"/>
      <c r="BY106" s="63"/>
      <c r="BZ106" s="63"/>
      <c r="CA106" s="103"/>
      <c r="CB106" s="103"/>
      <c r="CC106" s="103"/>
      <c r="CD106" s="103"/>
      <c r="CE106" s="63"/>
      <c r="CF106" s="63"/>
      <c r="CG106" s="63"/>
      <c r="CH106" s="63"/>
      <c r="CI106" s="103"/>
      <c r="CJ106" s="103"/>
      <c r="CK106" s="103"/>
      <c r="CL106" s="103"/>
    </row>
    <row r="107" spans="2:90" ht="13" x14ac:dyDescent="0.15">
      <c r="B107" s="13"/>
      <c r="C107" s="13"/>
      <c r="D107" s="13"/>
      <c r="E107" s="13"/>
      <c r="F107" s="13"/>
      <c r="G107" s="103"/>
      <c r="H107" s="103"/>
      <c r="I107" s="103"/>
      <c r="J107" s="103"/>
      <c r="K107" s="63"/>
      <c r="L107" s="63"/>
      <c r="M107" s="63"/>
      <c r="N107" s="63"/>
      <c r="O107" s="103"/>
      <c r="P107" s="103"/>
      <c r="Q107" s="103"/>
      <c r="R107" s="103"/>
      <c r="S107" s="63"/>
      <c r="T107" s="63"/>
      <c r="U107" s="63"/>
      <c r="V107" s="63"/>
      <c r="W107" s="103"/>
      <c r="X107" s="103"/>
      <c r="Y107" s="103"/>
      <c r="Z107" s="103"/>
      <c r="AA107" s="63"/>
      <c r="AB107" s="63"/>
      <c r="AC107" s="63"/>
      <c r="AD107" s="63"/>
      <c r="AE107" s="103"/>
      <c r="AF107" s="103"/>
      <c r="AG107" s="103"/>
      <c r="AH107" s="103"/>
      <c r="AI107" s="63"/>
      <c r="AJ107" s="63"/>
      <c r="AK107" s="63"/>
      <c r="AL107" s="63"/>
      <c r="AM107" s="103"/>
      <c r="AN107" s="103"/>
      <c r="AO107" s="103"/>
      <c r="AP107" s="103"/>
      <c r="AQ107" s="63"/>
      <c r="AR107" s="63"/>
      <c r="AS107" s="63"/>
      <c r="AT107" s="63"/>
      <c r="AU107" s="103"/>
      <c r="AV107" s="103"/>
      <c r="AW107" s="103"/>
      <c r="AX107" s="103"/>
      <c r="AY107" s="63"/>
      <c r="AZ107" s="63"/>
      <c r="BA107" s="63"/>
      <c r="BB107" s="63"/>
      <c r="BC107" s="103"/>
      <c r="BD107" s="103"/>
      <c r="BE107" s="103"/>
      <c r="BF107" s="103"/>
      <c r="BG107" s="63"/>
      <c r="BH107" s="63"/>
      <c r="BI107" s="63"/>
      <c r="BJ107" s="63"/>
      <c r="BK107" s="103"/>
      <c r="BL107" s="103"/>
      <c r="BM107" s="103"/>
      <c r="BN107" s="103"/>
      <c r="BO107" s="63"/>
      <c r="BP107" s="63"/>
      <c r="BQ107" s="63"/>
      <c r="BR107" s="63"/>
      <c r="BS107" s="103"/>
      <c r="BT107" s="103"/>
      <c r="BU107" s="103"/>
      <c r="BV107" s="103"/>
      <c r="BW107" s="63"/>
      <c r="BX107" s="63"/>
      <c r="BY107" s="63"/>
      <c r="BZ107" s="63"/>
      <c r="CA107" s="103"/>
      <c r="CB107" s="103"/>
      <c r="CC107" s="103"/>
      <c r="CD107" s="103"/>
      <c r="CE107" s="63"/>
      <c r="CF107" s="63"/>
      <c r="CG107" s="63"/>
      <c r="CH107" s="63"/>
      <c r="CI107" s="103"/>
      <c r="CJ107" s="103"/>
      <c r="CK107" s="103"/>
      <c r="CL107" s="103"/>
    </row>
    <row r="108" spans="2:90" ht="13" x14ac:dyDescent="0.15">
      <c r="B108" s="13"/>
      <c r="C108" s="13"/>
      <c r="D108" s="13"/>
      <c r="E108" s="13"/>
      <c r="F108" s="13"/>
      <c r="G108" s="103"/>
      <c r="H108" s="103"/>
      <c r="I108" s="103"/>
      <c r="J108" s="103"/>
      <c r="K108" s="63"/>
      <c r="L108" s="63"/>
      <c r="M108" s="63"/>
      <c r="N108" s="63"/>
      <c r="O108" s="103"/>
      <c r="P108" s="103"/>
      <c r="Q108" s="103"/>
      <c r="R108" s="103"/>
      <c r="S108" s="63"/>
      <c r="T108" s="63"/>
      <c r="U108" s="63"/>
      <c r="V108" s="63"/>
      <c r="W108" s="103"/>
      <c r="X108" s="103"/>
      <c r="Y108" s="103"/>
      <c r="Z108" s="103"/>
      <c r="AA108" s="63"/>
      <c r="AB108" s="63"/>
      <c r="AC108" s="63"/>
      <c r="AD108" s="63"/>
      <c r="AE108" s="103"/>
      <c r="AF108" s="103"/>
      <c r="AG108" s="103"/>
      <c r="AH108" s="103"/>
      <c r="AI108" s="63"/>
      <c r="AJ108" s="63"/>
      <c r="AK108" s="63"/>
      <c r="AL108" s="63"/>
      <c r="AM108" s="103"/>
      <c r="AN108" s="103"/>
      <c r="AO108" s="103"/>
      <c r="AP108" s="103"/>
      <c r="AQ108" s="63"/>
      <c r="AR108" s="63"/>
      <c r="AS108" s="63"/>
      <c r="AT108" s="63"/>
      <c r="AU108" s="103"/>
      <c r="AV108" s="103"/>
      <c r="AW108" s="103"/>
      <c r="AX108" s="103"/>
      <c r="AY108" s="63"/>
      <c r="AZ108" s="63"/>
      <c r="BA108" s="63"/>
      <c r="BB108" s="63"/>
      <c r="BC108" s="103"/>
      <c r="BD108" s="103"/>
      <c r="BE108" s="103"/>
      <c r="BF108" s="103"/>
      <c r="BG108" s="63"/>
      <c r="BH108" s="63"/>
      <c r="BI108" s="63"/>
      <c r="BJ108" s="63"/>
      <c r="BK108" s="103"/>
      <c r="BL108" s="103"/>
      <c r="BM108" s="103"/>
      <c r="BN108" s="103"/>
      <c r="BO108" s="63"/>
      <c r="BP108" s="63"/>
      <c r="BQ108" s="63"/>
      <c r="BR108" s="63"/>
      <c r="BS108" s="103"/>
      <c r="BT108" s="103"/>
      <c r="BU108" s="103"/>
      <c r="BV108" s="103"/>
      <c r="BW108" s="63"/>
      <c r="BX108" s="63"/>
      <c r="BY108" s="63"/>
      <c r="BZ108" s="63"/>
      <c r="CA108" s="103"/>
      <c r="CB108" s="103"/>
      <c r="CC108" s="103"/>
      <c r="CD108" s="103"/>
      <c r="CE108" s="63"/>
      <c r="CF108" s="63"/>
      <c r="CG108" s="63"/>
      <c r="CH108" s="63"/>
      <c r="CI108" s="103"/>
      <c r="CJ108" s="103"/>
      <c r="CK108" s="103"/>
      <c r="CL108" s="103"/>
    </row>
    <row r="109" spans="2:90" ht="13" x14ac:dyDescent="0.15">
      <c r="B109" s="13"/>
      <c r="C109" s="13"/>
      <c r="D109" s="13"/>
      <c r="E109" s="13"/>
      <c r="F109" s="13"/>
      <c r="G109" s="103"/>
      <c r="H109" s="103"/>
      <c r="I109" s="103"/>
      <c r="J109" s="103"/>
      <c r="K109" s="63"/>
      <c r="L109" s="63"/>
      <c r="M109" s="63"/>
      <c r="N109" s="63"/>
      <c r="O109" s="103"/>
      <c r="P109" s="103"/>
      <c r="Q109" s="103"/>
      <c r="R109" s="103"/>
      <c r="S109" s="63"/>
      <c r="T109" s="63"/>
      <c r="U109" s="63"/>
      <c r="V109" s="63"/>
      <c r="W109" s="103"/>
      <c r="X109" s="103"/>
      <c r="Y109" s="103"/>
      <c r="Z109" s="103"/>
      <c r="AA109" s="63"/>
      <c r="AB109" s="63"/>
      <c r="AC109" s="63"/>
      <c r="AD109" s="63"/>
      <c r="AE109" s="103"/>
      <c r="AF109" s="103"/>
      <c r="AG109" s="103"/>
      <c r="AH109" s="103"/>
      <c r="AI109" s="63"/>
      <c r="AJ109" s="63"/>
      <c r="AK109" s="63"/>
      <c r="AL109" s="63"/>
      <c r="AM109" s="103"/>
      <c r="AN109" s="103"/>
      <c r="AO109" s="103"/>
      <c r="AP109" s="103"/>
      <c r="AQ109" s="63"/>
      <c r="AR109" s="63"/>
      <c r="AS109" s="63"/>
      <c r="AT109" s="63"/>
      <c r="AU109" s="103"/>
      <c r="AV109" s="103"/>
      <c r="AW109" s="103"/>
      <c r="AX109" s="103"/>
      <c r="AY109" s="63"/>
      <c r="AZ109" s="63"/>
      <c r="BA109" s="63"/>
      <c r="BB109" s="63"/>
      <c r="BC109" s="103"/>
      <c r="BD109" s="103"/>
      <c r="BE109" s="103"/>
      <c r="BF109" s="103"/>
      <c r="BG109" s="63"/>
      <c r="BH109" s="63"/>
      <c r="BI109" s="63"/>
      <c r="BJ109" s="63"/>
      <c r="BK109" s="103"/>
      <c r="BL109" s="103"/>
      <c r="BM109" s="103"/>
      <c r="BN109" s="103"/>
      <c r="BO109" s="63"/>
      <c r="BP109" s="63"/>
      <c r="BQ109" s="63"/>
      <c r="BR109" s="63"/>
      <c r="BS109" s="103"/>
      <c r="BT109" s="103"/>
      <c r="BU109" s="103"/>
      <c r="BV109" s="103"/>
      <c r="BW109" s="63"/>
      <c r="BX109" s="63"/>
      <c r="BY109" s="63"/>
      <c r="BZ109" s="63"/>
      <c r="CA109" s="103"/>
      <c r="CB109" s="103"/>
      <c r="CC109" s="103"/>
      <c r="CD109" s="103"/>
      <c r="CE109" s="63"/>
      <c r="CF109" s="63"/>
      <c r="CG109" s="63"/>
      <c r="CH109" s="63"/>
      <c r="CI109" s="103"/>
      <c r="CJ109" s="103"/>
      <c r="CK109" s="103"/>
      <c r="CL109" s="103"/>
    </row>
    <row r="110" spans="2:90" ht="13" x14ac:dyDescent="0.15">
      <c r="B110" s="13"/>
      <c r="C110" s="13"/>
      <c r="D110" s="13"/>
      <c r="E110" s="13"/>
      <c r="F110" s="13"/>
      <c r="G110" s="103"/>
      <c r="H110" s="103"/>
      <c r="I110" s="103"/>
      <c r="J110" s="103"/>
      <c r="K110" s="63"/>
      <c r="L110" s="63"/>
      <c r="M110" s="63"/>
      <c r="N110" s="63"/>
      <c r="O110" s="103"/>
      <c r="P110" s="103"/>
      <c r="Q110" s="103"/>
      <c r="R110" s="103"/>
      <c r="S110" s="63"/>
      <c r="T110" s="63"/>
      <c r="U110" s="63"/>
      <c r="V110" s="63"/>
      <c r="W110" s="103"/>
      <c r="X110" s="103"/>
      <c r="Y110" s="103"/>
      <c r="Z110" s="103"/>
      <c r="AA110" s="63"/>
      <c r="AB110" s="63"/>
      <c r="AC110" s="63"/>
      <c r="AD110" s="63"/>
      <c r="AE110" s="103"/>
      <c r="AF110" s="103"/>
      <c r="AG110" s="103"/>
      <c r="AH110" s="103"/>
      <c r="AI110" s="63"/>
      <c r="AJ110" s="63"/>
      <c r="AK110" s="63"/>
      <c r="AL110" s="63"/>
      <c r="AM110" s="103"/>
      <c r="AN110" s="103"/>
      <c r="AO110" s="103"/>
      <c r="AP110" s="103"/>
      <c r="AQ110" s="63"/>
      <c r="AR110" s="63"/>
      <c r="AS110" s="63"/>
      <c r="AT110" s="63"/>
      <c r="AU110" s="103"/>
      <c r="AV110" s="103"/>
      <c r="AW110" s="103"/>
      <c r="AX110" s="103"/>
      <c r="AY110" s="63"/>
      <c r="AZ110" s="63"/>
      <c r="BA110" s="63"/>
      <c r="BB110" s="63"/>
      <c r="BC110" s="103"/>
      <c r="BD110" s="103"/>
      <c r="BE110" s="103"/>
      <c r="BF110" s="103"/>
      <c r="BG110" s="63"/>
      <c r="BH110" s="63"/>
      <c r="BI110" s="63"/>
      <c r="BJ110" s="63"/>
      <c r="BK110" s="103"/>
      <c r="BL110" s="103"/>
      <c r="BM110" s="103"/>
      <c r="BN110" s="103"/>
      <c r="BO110" s="63"/>
      <c r="BP110" s="63"/>
      <c r="BQ110" s="63"/>
      <c r="BR110" s="63"/>
      <c r="BS110" s="103"/>
      <c r="BT110" s="103"/>
      <c r="BU110" s="103"/>
      <c r="BV110" s="103"/>
      <c r="BW110" s="63"/>
      <c r="BX110" s="63"/>
      <c r="BY110" s="63"/>
      <c r="BZ110" s="63"/>
      <c r="CA110" s="103"/>
      <c r="CB110" s="103"/>
      <c r="CC110" s="103"/>
      <c r="CD110" s="103"/>
      <c r="CE110" s="63"/>
      <c r="CF110" s="63"/>
      <c r="CG110" s="63"/>
      <c r="CH110" s="63"/>
      <c r="CI110" s="103"/>
      <c r="CJ110" s="103"/>
      <c r="CK110" s="103"/>
      <c r="CL110" s="103"/>
    </row>
    <row r="111" spans="2:90" ht="13" x14ac:dyDescent="0.15">
      <c r="B111" s="13"/>
      <c r="C111" s="13"/>
      <c r="D111" s="13"/>
      <c r="E111" s="13"/>
      <c r="F111" s="13"/>
      <c r="G111" s="103"/>
      <c r="H111" s="103"/>
      <c r="I111" s="103"/>
      <c r="J111" s="103"/>
      <c r="K111" s="63"/>
      <c r="L111" s="63"/>
      <c r="M111" s="63"/>
      <c r="N111" s="63"/>
      <c r="O111" s="103"/>
      <c r="P111" s="103"/>
      <c r="Q111" s="103"/>
      <c r="R111" s="103"/>
      <c r="S111" s="63"/>
      <c r="T111" s="63"/>
      <c r="U111" s="63"/>
      <c r="V111" s="63"/>
      <c r="W111" s="103"/>
      <c r="X111" s="103"/>
      <c r="Y111" s="103"/>
      <c r="Z111" s="103"/>
      <c r="AA111" s="63"/>
      <c r="AB111" s="63"/>
      <c r="AC111" s="63"/>
      <c r="AD111" s="63"/>
      <c r="AE111" s="103"/>
      <c r="AF111" s="103"/>
      <c r="AG111" s="103"/>
      <c r="AH111" s="103"/>
      <c r="AI111" s="63"/>
      <c r="AJ111" s="63"/>
      <c r="AK111" s="63"/>
      <c r="AL111" s="63"/>
      <c r="AM111" s="103"/>
      <c r="AN111" s="103"/>
      <c r="AO111" s="103"/>
      <c r="AP111" s="103"/>
      <c r="AQ111" s="63"/>
      <c r="AR111" s="63"/>
      <c r="AS111" s="63"/>
      <c r="AT111" s="63"/>
      <c r="AU111" s="103"/>
      <c r="AV111" s="103"/>
      <c r="AW111" s="103"/>
      <c r="AX111" s="103"/>
      <c r="AY111" s="63"/>
      <c r="AZ111" s="63"/>
      <c r="BA111" s="63"/>
      <c r="BB111" s="63"/>
      <c r="BC111" s="103"/>
      <c r="BD111" s="103"/>
      <c r="BE111" s="103"/>
      <c r="BF111" s="103"/>
      <c r="BG111" s="63"/>
      <c r="BH111" s="63"/>
      <c r="BI111" s="63"/>
      <c r="BJ111" s="63"/>
      <c r="BK111" s="103"/>
      <c r="BL111" s="103"/>
      <c r="BM111" s="103"/>
      <c r="BN111" s="103"/>
      <c r="BO111" s="63"/>
      <c r="BP111" s="63"/>
      <c r="BQ111" s="63"/>
      <c r="BR111" s="63"/>
      <c r="BS111" s="103"/>
      <c r="BT111" s="103"/>
      <c r="BU111" s="103"/>
      <c r="BV111" s="103"/>
      <c r="BW111" s="63"/>
      <c r="BX111" s="63"/>
      <c r="BY111" s="63"/>
      <c r="BZ111" s="63"/>
      <c r="CA111" s="103"/>
      <c r="CB111" s="103"/>
      <c r="CC111" s="103"/>
      <c r="CD111" s="103"/>
      <c r="CE111" s="63"/>
      <c r="CF111" s="63"/>
      <c r="CG111" s="63"/>
      <c r="CH111" s="63"/>
      <c r="CI111" s="103"/>
      <c r="CJ111" s="103"/>
      <c r="CK111" s="103"/>
      <c r="CL111" s="103"/>
    </row>
    <row r="112" spans="2:90" ht="13" x14ac:dyDescent="0.15">
      <c r="B112" s="13"/>
      <c r="C112" s="13"/>
      <c r="D112" s="13"/>
      <c r="E112" s="13"/>
      <c r="F112" s="13"/>
      <c r="G112" s="103"/>
      <c r="H112" s="103"/>
      <c r="I112" s="103"/>
      <c r="J112" s="103"/>
      <c r="K112" s="63"/>
      <c r="L112" s="63"/>
      <c r="M112" s="63"/>
      <c r="N112" s="63"/>
      <c r="O112" s="103"/>
      <c r="P112" s="103"/>
      <c r="Q112" s="103"/>
      <c r="R112" s="103"/>
      <c r="S112" s="63"/>
      <c r="T112" s="63"/>
      <c r="U112" s="63"/>
      <c r="V112" s="63"/>
      <c r="W112" s="103"/>
      <c r="X112" s="103"/>
      <c r="Y112" s="103"/>
      <c r="Z112" s="103"/>
      <c r="AA112" s="63"/>
      <c r="AB112" s="63"/>
      <c r="AC112" s="63"/>
      <c r="AD112" s="63"/>
      <c r="AE112" s="103"/>
      <c r="AF112" s="103"/>
      <c r="AG112" s="103"/>
      <c r="AH112" s="103"/>
      <c r="AI112" s="63"/>
      <c r="AJ112" s="63"/>
      <c r="AK112" s="63"/>
      <c r="AL112" s="63"/>
      <c r="AM112" s="103"/>
      <c r="AN112" s="103"/>
      <c r="AO112" s="103"/>
      <c r="AP112" s="103"/>
      <c r="AQ112" s="63"/>
      <c r="AR112" s="63"/>
      <c r="AS112" s="63"/>
      <c r="AT112" s="63"/>
      <c r="AU112" s="103"/>
      <c r="AV112" s="103"/>
      <c r="AW112" s="103"/>
      <c r="AX112" s="103"/>
      <c r="AY112" s="63"/>
      <c r="AZ112" s="63"/>
      <c r="BA112" s="63"/>
      <c r="BB112" s="63"/>
      <c r="BC112" s="103"/>
      <c r="BD112" s="103"/>
      <c r="BE112" s="103"/>
      <c r="BF112" s="103"/>
      <c r="BG112" s="63"/>
      <c r="BH112" s="63"/>
      <c r="BI112" s="63"/>
      <c r="BJ112" s="63"/>
      <c r="BK112" s="103"/>
      <c r="BL112" s="103"/>
      <c r="BM112" s="103"/>
      <c r="BN112" s="103"/>
      <c r="BO112" s="63"/>
      <c r="BP112" s="63"/>
      <c r="BQ112" s="63"/>
      <c r="BR112" s="63"/>
      <c r="BS112" s="103"/>
      <c r="BT112" s="103"/>
      <c r="BU112" s="103"/>
      <c r="BV112" s="103"/>
      <c r="BW112" s="63"/>
      <c r="BX112" s="63"/>
      <c r="BY112" s="63"/>
      <c r="BZ112" s="63"/>
      <c r="CA112" s="103"/>
      <c r="CB112" s="103"/>
      <c r="CC112" s="103"/>
      <c r="CD112" s="103"/>
      <c r="CE112" s="63"/>
      <c r="CF112" s="63"/>
      <c r="CG112" s="63"/>
      <c r="CH112" s="63"/>
      <c r="CI112" s="103"/>
      <c r="CJ112" s="103"/>
      <c r="CK112" s="103"/>
      <c r="CL112" s="103"/>
    </row>
    <row r="113" spans="2:90" ht="13" x14ac:dyDescent="0.15">
      <c r="B113" s="13"/>
      <c r="C113" s="13"/>
      <c r="D113" s="13"/>
      <c r="E113" s="13"/>
      <c r="F113" s="13"/>
      <c r="G113" s="103"/>
      <c r="H113" s="103"/>
      <c r="I113" s="103"/>
      <c r="J113" s="103"/>
      <c r="K113" s="63"/>
      <c r="L113" s="63"/>
      <c r="M113" s="63"/>
      <c r="N113" s="63"/>
      <c r="O113" s="103"/>
      <c r="P113" s="103"/>
      <c r="Q113" s="103"/>
      <c r="R113" s="103"/>
      <c r="S113" s="63"/>
      <c r="T113" s="63"/>
      <c r="U113" s="63"/>
      <c r="V113" s="63"/>
      <c r="W113" s="103"/>
      <c r="X113" s="103"/>
      <c r="Y113" s="103"/>
      <c r="Z113" s="103"/>
      <c r="AA113" s="63"/>
      <c r="AB113" s="63"/>
      <c r="AC113" s="63"/>
      <c r="AD113" s="63"/>
      <c r="AE113" s="103"/>
      <c r="AF113" s="103"/>
      <c r="AG113" s="103"/>
      <c r="AH113" s="103"/>
      <c r="AI113" s="63"/>
      <c r="AJ113" s="63"/>
      <c r="AK113" s="63"/>
      <c r="AL113" s="63"/>
      <c r="AM113" s="103"/>
      <c r="AN113" s="103"/>
      <c r="AO113" s="103"/>
      <c r="AP113" s="103"/>
      <c r="AQ113" s="63"/>
      <c r="AR113" s="63"/>
      <c r="AS113" s="63"/>
      <c r="AT113" s="63"/>
      <c r="AU113" s="103"/>
      <c r="AV113" s="103"/>
      <c r="AW113" s="103"/>
      <c r="AX113" s="103"/>
      <c r="AY113" s="63"/>
      <c r="AZ113" s="63"/>
      <c r="BA113" s="63"/>
      <c r="BB113" s="63"/>
      <c r="BC113" s="103"/>
      <c r="BD113" s="103"/>
      <c r="BE113" s="103"/>
      <c r="BF113" s="103"/>
      <c r="BG113" s="63"/>
      <c r="BH113" s="63"/>
      <c r="BI113" s="63"/>
      <c r="BJ113" s="63"/>
      <c r="BK113" s="103"/>
      <c r="BL113" s="103"/>
      <c r="BM113" s="103"/>
      <c r="BN113" s="103"/>
      <c r="BO113" s="63"/>
      <c r="BP113" s="63"/>
      <c r="BQ113" s="63"/>
      <c r="BR113" s="63"/>
      <c r="BS113" s="103"/>
      <c r="BT113" s="103"/>
      <c r="BU113" s="103"/>
      <c r="BV113" s="103"/>
      <c r="BW113" s="63"/>
      <c r="BX113" s="63"/>
      <c r="BY113" s="63"/>
      <c r="BZ113" s="63"/>
      <c r="CA113" s="103"/>
      <c r="CB113" s="103"/>
      <c r="CC113" s="103"/>
      <c r="CD113" s="103"/>
      <c r="CE113" s="63"/>
      <c r="CF113" s="63"/>
      <c r="CG113" s="63"/>
      <c r="CH113" s="63"/>
      <c r="CI113" s="103"/>
      <c r="CJ113" s="103"/>
      <c r="CK113" s="103"/>
      <c r="CL113" s="103"/>
    </row>
    <row r="114" spans="2:90" ht="13" x14ac:dyDescent="0.15">
      <c r="B114" s="13"/>
      <c r="C114" s="13"/>
      <c r="D114" s="13"/>
      <c r="E114" s="13"/>
      <c r="F114" s="13"/>
      <c r="G114" s="103"/>
      <c r="H114" s="103"/>
      <c r="I114" s="103"/>
      <c r="J114" s="103"/>
      <c r="K114" s="63"/>
      <c r="L114" s="63"/>
      <c r="M114" s="63"/>
      <c r="N114" s="63"/>
      <c r="O114" s="103"/>
      <c r="P114" s="103"/>
      <c r="Q114" s="103"/>
      <c r="R114" s="103"/>
      <c r="S114" s="63"/>
      <c r="T114" s="63"/>
      <c r="U114" s="63"/>
      <c r="V114" s="63"/>
      <c r="W114" s="103"/>
      <c r="X114" s="103"/>
      <c r="Y114" s="103"/>
      <c r="Z114" s="103"/>
      <c r="AA114" s="63"/>
      <c r="AB114" s="63"/>
      <c r="AC114" s="63"/>
      <c r="AD114" s="63"/>
      <c r="AE114" s="103"/>
      <c r="AF114" s="103"/>
      <c r="AG114" s="103"/>
      <c r="AH114" s="103"/>
      <c r="AI114" s="63"/>
      <c r="AJ114" s="63"/>
      <c r="AK114" s="63"/>
      <c r="AL114" s="63"/>
      <c r="AM114" s="103"/>
      <c r="AN114" s="103"/>
      <c r="AO114" s="103"/>
      <c r="AP114" s="103"/>
      <c r="AQ114" s="63"/>
      <c r="AR114" s="63"/>
      <c r="AS114" s="63"/>
      <c r="AT114" s="63"/>
      <c r="AU114" s="103"/>
      <c r="AV114" s="103"/>
      <c r="AW114" s="103"/>
      <c r="AX114" s="103"/>
      <c r="AY114" s="63"/>
      <c r="AZ114" s="63"/>
      <c r="BA114" s="63"/>
      <c r="BB114" s="63"/>
      <c r="BC114" s="103"/>
      <c r="BD114" s="103"/>
      <c r="BE114" s="103"/>
      <c r="BF114" s="103"/>
      <c r="BG114" s="63"/>
      <c r="BH114" s="63"/>
      <c r="BI114" s="63"/>
      <c r="BJ114" s="63"/>
      <c r="BK114" s="103"/>
      <c r="BL114" s="103"/>
      <c r="BM114" s="103"/>
      <c r="BN114" s="103"/>
      <c r="BO114" s="63"/>
      <c r="BP114" s="63"/>
      <c r="BQ114" s="63"/>
      <c r="BR114" s="63"/>
      <c r="BS114" s="103"/>
      <c r="BT114" s="103"/>
      <c r="BU114" s="103"/>
      <c r="BV114" s="103"/>
      <c r="BW114" s="63"/>
      <c r="BX114" s="63"/>
      <c r="BY114" s="63"/>
      <c r="BZ114" s="63"/>
      <c r="CA114" s="103"/>
      <c r="CB114" s="103"/>
      <c r="CC114" s="103"/>
      <c r="CD114" s="103"/>
      <c r="CE114" s="63"/>
      <c r="CF114" s="63"/>
      <c r="CG114" s="63"/>
      <c r="CH114" s="63"/>
      <c r="CI114" s="103"/>
      <c r="CJ114" s="103"/>
      <c r="CK114" s="103"/>
      <c r="CL114" s="103"/>
    </row>
    <row r="115" spans="2:90" ht="13" x14ac:dyDescent="0.15">
      <c r="B115" s="13"/>
      <c r="C115" s="13"/>
      <c r="D115" s="13"/>
      <c r="E115" s="13"/>
      <c r="F115" s="13"/>
      <c r="G115" s="103"/>
      <c r="H115" s="103"/>
      <c r="I115" s="103"/>
      <c r="J115" s="103"/>
      <c r="K115" s="63"/>
      <c r="L115" s="63"/>
      <c r="M115" s="63"/>
      <c r="N115" s="63"/>
      <c r="O115" s="103"/>
      <c r="P115" s="103"/>
      <c r="Q115" s="103"/>
      <c r="R115" s="103"/>
      <c r="S115" s="63"/>
      <c r="T115" s="63"/>
      <c r="U115" s="63"/>
      <c r="V115" s="63"/>
      <c r="W115" s="103"/>
      <c r="X115" s="103"/>
      <c r="Y115" s="103"/>
      <c r="Z115" s="103"/>
      <c r="AA115" s="63"/>
      <c r="AB115" s="63"/>
      <c r="AC115" s="63"/>
      <c r="AD115" s="63"/>
      <c r="AE115" s="103"/>
      <c r="AF115" s="103"/>
      <c r="AG115" s="103"/>
      <c r="AH115" s="103"/>
      <c r="AI115" s="63"/>
      <c r="AJ115" s="63"/>
      <c r="AK115" s="63"/>
      <c r="AL115" s="63"/>
      <c r="AM115" s="103"/>
      <c r="AN115" s="103"/>
      <c r="AO115" s="103"/>
      <c r="AP115" s="103"/>
      <c r="AQ115" s="63"/>
      <c r="AR115" s="63"/>
      <c r="AS115" s="63"/>
      <c r="AT115" s="63"/>
      <c r="AU115" s="103"/>
      <c r="AV115" s="103"/>
      <c r="AW115" s="103"/>
      <c r="AX115" s="103"/>
      <c r="AY115" s="63"/>
      <c r="AZ115" s="63"/>
      <c r="BA115" s="63"/>
      <c r="BB115" s="63"/>
      <c r="BC115" s="103"/>
      <c r="BD115" s="103"/>
      <c r="BE115" s="103"/>
      <c r="BF115" s="103"/>
      <c r="BG115" s="63"/>
      <c r="BH115" s="63"/>
      <c r="BI115" s="63"/>
      <c r="BJ115" s="63"/>
      <c r="BK115" s="103"/>
      <c r="BL115" s="103"/>
      <c r="BM115" s="103"/>
      <c r="BN115" s="103"/>
      <c r="BO115" s="63"/>
      <c r="BP115" s="63"/>
      <c r="BQ115" s="63"/>
      <c r="BR115" s="63"/>
      <c r="BS115" s="103"/>
      <c r="BT115" s="103"/>
      <c r="BU115" s="103"/>
      <c r="BV115" s="103"/>
      <c r="BW115" s="63"/>
      <c r="BX115" s="63"/>
      <c r="BY115" s="63"/>
      <c r="BZ115" s="63"/>
      <c r="CA115" s="103"/>
      <c r="CB115" s="103"/>
      <c r="CC115" s="103"/>
      <c r="CD115" s="103"/>
      <c r="CE115" s="63"/>
      <c r="CF115" s="63"/>
      <c r="CG115" s="63"/>
      <c r="CH115" s="63"/>
      <c r="CI115" s="103"/>
      <c r="CJ115" s="103"/>
      <c r="CK115" s="103"/>
      <c r="CL115" s="103"/>
    </row>
    <row r="116" spans="2:90" ht="13" x14ac:dyDescent="0.15">
      <c r="B116" s="13"/>
      <c r="C116" s="13"/>
      <c r="D116" s="13"/>
      <c r="E116" s="13"/>
      <c r="F116" s="13"/>
      <c r="G116" s="103"/>
      <c r="H116" s="103"/>
      <c r="I116" s="103"/>
      <c r="J116" s="103"/>
      <c r="K116" s="63"/>
      <c r="L116" s="63"/>
      <c r="M116" s="63"/>
      <c r="N116" s="63"/>
      <c r="O116" s="103"/>
      <c r="P116" s="103"/>
      <c r="Q116" s="103"/>
      <c r="R116" s="103"/>
      <c r="S116" s="63"/>
      <c r="T116" s="63"/>
      <c r="U116" s="63"/>
      <c r="V116" s="63"/>
      <c r="W116" s="103"/>
      <c r="X116" s="103"/>
      <c r="Y116" s="103"/>
      <c r="Z116" s="103"/>
      <c r="AA116" s="63"/>
      <c r="AB116" s="63"/>
      <c r="AC116" s="63"/>
      <c r="AD116" s="63"/>
      <c r="AE116" s="103"/>
      <c r="AF116" s="103"/>
      <c r="AG116" s="103"/>
      <c r="AH116" s="103"/>
      <c r="AI116" s="63"/>
      <c r="AJ116" s="63"/>
      <c r="AK116" s="63"/>
      <c r="AL116" s="63"/>
      <c r="AM116" s="103"/>
      <c r="AN116" s="103"/>
      <c r="AO116" s="103"/>
      <c r="AP116" s="103"/>
      <c r="AQ116" s="63"/>
      <c r="AR116" s="63"/>
      <c r="AS116" s="63"/>
      <c r="AT116" s="63"/>
      <c r="AU116" s="103"/>
      <c r="AV116" s="103"/>
      <c r="AW116" s="103"/>
      <c r="AX116" s="103"/>
      <c r="AY116" s="63"/>
      <c r="AZ116" s="63"/>
      <c r="BA116" s="63"/>
      <c r="BB116" s="63"/>
      <c r="BC116" s="103"/>
      <c r="BD116" s="103"/>
      <c r="BE116" s="103"/>
      <c r="BF116" s="103"/>
      <c r="BG116" s="63"/>
      <c r="BH116" s="63"/>
      <c r="BI116" s="63"/>
      <c r="BJ116" s="63"/>
      <c r="BK116" s="103"/>
      <c r="BL116" s="103"/>
      <c r="BM116" s="103"/>
      <c r="BN116" s="103"/>
      <c r="BO116" s="63"/>
      <c r="BP116" s="63"/>
      <c r="BQ116" s="63"/>
      <c r="BR116" s="63"/>
      <c r="BS116" s="103"/>
      <c r="BT116" s="103"/>
      <c r="BU116" s="103"/>
      <c r="BV116" s="103"/>
      <c r="BW116" s="63"/>
      <c r="BX116" s="63"/>
      <c r="BY116" s="63"/>
      <c r="BZ116" s="63"/>
      <c r="CA116" s="103"/>
      <c r="CB116" s="103"/>
      <c r="CC116" s="103"/>
      <c r="CD116" s="103"/>
      <c r="CE116" s="63"/>
      <c r="CF116" s="63"/>
      <c r="CG116" s="63"/>
      <c r="CH116" s="63"/>
      <c r="CI116" s="103"/>
      <c r="CJ116" s="103"/>
      <c r="CK116" s="103"/>
      <c r="CL116" s="103"/>
    </row>
    <row r="117" spans="2:90" ht="13" x14ac:dyDescent="0.15">
      <c r="B117" s="13"/>
      <c r="C117" s="13"/>
      <c r="D117" s="13"/>
      <c r="E117" s="13"/>
      <c r="F117" s="13"/>
      <c r="G117" s="103"/>
      <c r="H117" s="103"/>
      <c r="I117" s="103"/>
      <c r="J117" s="103"/>
      <c r="K117" s="63"/>
      <c r="L117" s="63"/>
      <c r="M117" s="63"/>
      <c r="N117" s="63"/>
      <c r="O117" s="103"/>
      <c r="P117" s="103"/>
      <c r="Q117" s="103"/>
      <c r="R117" s="103"/>
      <c r="S117" s="63"/>
      <c r="T117" s="63"/>
      <c r="U117" s="63"/>
      <c r="V117" s="63"/>
      <c r="W117" s="103"/>
      <c r="X117" s="103"/>
      <c r="Y117" s="103"/>
      <c r="Z117" s="103"/>
      <c r="AA117" s="63"/>
      <c r="AB117" s="63"/>
      <c r="AC117" s="63"/>
      <c r="AD117" s="63"/>
      <c r="AE117" s="103"/>
      <c r="AF117" s="103"/>
      <c r="AG117" s="103"/>
      <c r="AH117" s="103"/>
      <c r="AI117" s="63"/>
      <c r="AJ117" s="63"/>
      <c r="AK117" s="63"/>
      <c r="AL117" s="63"/>
      <c r="AM117" s="103"/>
      <c r="AN117" s="103"/>
      <c r="AO117" s="103"/>
      <c r="AP117" s="103"/>
      <c r="AQ117" s="63"/>
      <c r="AR117" s="63"/>
      <c r="AS117" s="63"/>
      <c r="AT117" s="63"/>
      <c r="AU117" s="103"/>
      <c r="AV117" s="103"/>
      <c r="AW117" s="103"/>
      <c r="AX117" s="103"/>
      <c r="AY117" s="63"/>
      <c r="AZ117" s="63"/>
      <c r="BA117" s="63"/>
      <c r="BB117" s="63"/>
      <c r="BC117" s="103"/>
      <c r="BD117" s="103"/>
      <c r="BE117" s="103"/>
      <c r="BF117" s="103"/>
      <c r="BG117" s="63"/>
      <c r="BH117" s="63"/>
      <c r="BI117" s="63"/>
      <c r="BJ117" s="63"/>
      <c r="BK117" s="103"/>
      <c r="BL117" s="103"/>
      <c r="BM117" s="103"/>
      <c r="BN117" s="103"/>
      <c r="BO117" s="63"/>
      <c r="BP117" s="63"/>
      <c r="BQ117" s="63"/>
      <c r="BR117" s="63"/>
      <c r="BS117" s="103"/>
      <c r="BT117" s="103"/>
      <c r="BU117" s="103"/>
      <c r="BV117" s="103"/>
      <c r="BW117" s="63"/>
      <c r="BX117" s="63"/>
      <c r="BY117" s="63"/>
      <c r="BZ117" s="63"/>
      <c r="CA117" s="103"/>
      <c r="CB117" s="103"/>
      <c r="CC117" s="103"/>
      <c r="CD117" s="103"/>
      <c r="CE117" s="63"/>
      <c r="CF117" s="63"/>
      <c r="CG117" s="63"/>
      <c r="CH117" s="63"/>
      <c r="CI117" s="103"/>
      <c r="CJ117" s="103"/>
      <c r="CK117" s="103"/>
      <c r="CL117" s="103"/>
    </row>
    <row r="118" spans="2:90" ht="13" x14ac:dyDescent="0.15">
      <c r="B118" s="13"/>
      <c r="C118" s="13"/>
      <c r="D118" s="13"/>
      <c r="E118" s="13"/>
      <c r="F118" s="13"/>
      <c r="G118" s="103"/>
      <c r="H118" s="103"/>
      <c r="I118" s="103"/>
      <c r="J118" s="103"/>
      <c r="K118" s="63"/>
      <c r="L118" s="63"/>
      <c r="M118" s="63"/>
      <c r="N118" s="63"/>
      <c r="O118" s="103"/>
      <c r="P118" s="103"/>
      <c r="Q118" s="103"/>
      <c r="R118" s="103"/>
      <c r="S118" s="63"/>
      <c r="T118" s="63"/>
      <c r="U118" s="63"/>
      <c r="V118" s="63"/>
      <c r="W118" s="103"/>
      <c r="X118" s="103"/>
      <c r="Y118" s="103"/>
      <c r="Z118" s="103"/>
      <c r="AA118" s="63"/>
      <c r="AB118" s="63"/>
      <c r="AC118" s="63"/>
      <c r="AD118" s="63"/>
      <c r="AE118" s="103"/>
      <c r="AF118" s="103"/>
      <c r="AG118" s="103"/>
      <c r="AH118" s="103"/>
      <c r="AI118" s="63"/>
      <c r="AJ118" s="63"/>
      <c r="AK118" s="63"/>
      <c r="AL118" s="63"/>
      <c r="AM118" s="103"/>
      <c r="AN118" s="103"/>
      <c r="AO118" s="103"/>
      <c r="AP118" s="103"/>
      <c r="AQ118" s="63"/>
      <c r="AR118" s="63"/>
      <c r="AS118" s="63"/>
      <c r="AT118" s="63"/>
      <c r="AU118" s="103"/>
      <c r="AV118" s="103"/>
      <c r="AW118" s="103"/>
      <c r="AX118" s="103"/>
      <c r="AY118" s="63"/>
      <c r="AZ118" s="63"/>
      <c r="BA118" s="63"/>
      <c r="BB118" s="63"/>
      <c r="BC118" s="103"/>
      <c r="BD118" s="103"/>
      <c r="BE118" s="103"/>
      <c r="BF118" s="103"/>
      <c r="BG118" s="63"/>
      <c r="BH118" s="63"/>
      <c r="BI118" s="63"/>
      <c r="BJ118" s="63"/>
      <c r="BK118" s="103"/>
      <c r="BL118" s="103"/>
      <c r="BM118" s="103"/>
      <c r="BN118" s="103"/>
      <c r="BO118" s="63"/>
      <c r="BP118" s="63"/>
      <c r="BQ118" s="63"/>
      <c r="BR118" s="63"/>
      <c r="BS118" s="103"/>
      <c r="BT118" s="103"/>
      <c r="BU118" s="103"/>
      <c r="BV118" s="103"/>
      <c r="BW118" s="63"/>
      <c r="BX118" s="63"/>
      <c r="BY118" s="63"/>
      <c r="BZ118" s="63"/>
      <c r="CA118" s="103"/>
      <c r="CB118" s="103"/>
      <c r="CC118" s="103"/>
      <c r="CD118" s="103"/>
      <c r="CE118" s="63"/>
      <c r="CF118" s="63"/>
      <c r="CG118" s="63"/>
      <c r="CH118" s="63"/>
      <c r="CI118" s="103"/>
      <c r="CJ118" s="103"/>
      <c r="CK118" s="103"/>
      <c r="CL118" s="103"/>
    </row>
    <row r="119" spans="2:90" ht="13" x14ac:dyDescent="0.15">
      <c r="B119" s="13"/>
      <c r="C119" s="13"/>
      <c r="D119" s="13"/>
      <c r="E119" s="13"/>
      <c r="F119" s="13"/>
      <c r="G119" s="103"/>
      <c r="H119" s="103"/>
      <c r="I119" s="103"/>
      <c r="J119" s="103"/>
      <c r="K119" s="63"/>
      <c r="L119" s="63"/>
      <c r="M119" s="63"/>
      <c r="N119" s="63"/>
      <c r="O119" s="103"/>
      <c r="P119" s="103"/>
      <c r="Q119" s="103"/>
      <c r="R119" s="103"/>
      <c r="S119" s="63"/>
      <c r="T119" s="63"/>
      <c r="U119" s="63"/>
      <c r="V119" s="63"/>
      <c r="W119" s="103"/>
      <c r="X119" s="103"/>
      <c r="Y119" s="103"/>
      <c r="Z119" s="103"/>
      <c r="AA119" s="63"/>
      <c r="AB119" s="63"/>
      <c r="AC119" s="63"/>
      <c r="AD119" s="63"/>
      <c r="AE119" s="103"/>
      <c r="AF119" s="103"/>
      <c r="AG119" s="103"/>
      <c r="AH119" s="103"/>
      <c r="AI119" s="63"/>
      <c r="AJ119" s="63"/>
      <c r="AK119" s="63"/>
      <c r="AL119" s="63"/>
      <c r="AM119" s="103"/>
      <c r="AN119" s="103"/>
      <c r="AO119" s="103"/>
      <c r="AP119" s="103"/>
      <c r="AQ119" s="63"/>
      <c r="AR119" s="63"/>
      <c r="AS119" s="63"/>
      <c r="AT119" s="63"/>
      <c r="AU119" s="103"/>
      <c r="AV119" s="103"/>
      <c r="AW119" s="103"/>
      <c r="AX119" s="103"/>
      <c r="AY119" s="63"/>
      <c r="AZ119" s="63"/>
      <c r="BA119" s="63"/>
      <c r="BB119" s="63"/>
      <c r="BC119" s="103"/>
      <c r="BD119" s="103"/>
      <c r="BE119" s="103"/>
      <c r="BF119" s="103"/>
      <c r="BG119" s="63"/>
      <c r="BH119" s="63"/>
      <c r="BI119" s="63"/>
      <c r="BJ119" s="63"/>
      <c r="BK119" s="103"/>
      <c r="BL119" s="103"/>
      <c r="BM119" s="103"/>
      <c r="BN119" s="103"/>
      <c r="BO119" s="63"/>
      <c r="BP119" s="63"/>
      <c r="BQ119" s="63"/>
      <c r="BR119" s="63"/>
      <c r="BS119" s="103"/>
      <c r="BT119" s="103"/>
      <c r="BU119" s="103"/>
      <c r="BV119" s="103"/>
      <c r="BW119" s="63"/>
      <c r="BX119" s="63"/>
      <c r="BY119" s="63"/>
      <c r="BZ119" s="63"/>
      <c r="CA119" s="103"/>
      <c r="CB119" s="103"/>
      <c r="CC119" s="103"/>
      <c r="CD119" s="103"/>
      <c r="CE119" s="63"/>
      <c r="CF119" s="63"/>
      <c r="CG119" s="63"/>
      <c r="CH119" s="63"/>
      <c r="CI119" s="103"/>
      <c r="CJ119" s="103"/>
      <c r="CK119" s="103"/>
      <c r="CL119" s="103"/>
    </row>
    <row r="120" spans="2:90" ht="13" x14ac:dyDescent="0.15">
      <c r="B120" s="13"/>
      <c r="C120" s="13"/>
      <c r="D120" s="13"/>
      <c r="E120" s="13"/>
      <c r="F120" s="13"/>
      <c r="G120" s="103"/>
      <c r="H120" s="103"/>
      <c r="I120" s="103"/>
      <c r="J120" s="103"/>
      <c r="K120" s="63"/>
      <c r="L120" s="63"/>
      <c r="M120" s="63"/>
      <c r="N120" s="63"/>
      <c r="O120" s="103"/>
      <c r="P120" s="103"/>
      <c r="Q120" s="103"/>
      <c r="R120" s="103"/>
      <c r="S120" s="63"/>
      <c r="T120" s="63"/>
      <c r="U120" s="63"/>
      <c r="V120" s="63"/>
      <c r="W120" s="103"/>
      <c r="X120" s="103"/>
      <c r="Y120" s="103"/>
      <c r="Z120" s="103"/>
      <c r="AA120" s="63"/>
      <c r="AB120" s="63"/>
      <c r="AC120" s="63"/>
      <c r="AD120" s="63"/>
      <c r="AE120" s="103"/>
      <c r="AF120" s="103"/>
      <c r="AG120" s="103"/>
      <c r="AH120" s="103"/>
      <c r="AI120" s="63"/>
      <c r="AJ120" s="63"/>
      <c r="AK120" s="63"/>
      <c r="AL120" s="63"/>
      <c r="AM120" s="103"/>
      <c r="AN120" s="103"/>
      <c r="AO120" s="103"/>
      <c r="AP120" s="103"/>
      <c r="AQ120" s="63"/>
      <c r="AR120" s="63"/>
      <c r="AS120" s="63"/>
      <c r="AT120" s="63"/>
      <c r="AU120" s="103"/>
      <c r="AV120" s="103"/>
      <c r="AW120" s="103"/>
      <c r="AX120" s="103"/>
      <c r="AY120" s="63"/>
      <c r="AZ120" s="63"/>
      <c r="BA120" s="63"/>
      <c r="BB120" s="63"/>
      <c r="BC120" s="103"/>
      <c r="BD120" s="103"/>
      <c r="BE120" s="103"/>
      <c r="BF120" s="103"/>
      <c r="BG120" s="63"/>
      <c r="BH120" s="63"/>
      <c r="BI120" s="63"/>
      <c r="BJ120" s="63"/>
      <c r="BK120" s="103"/>
      <c r="BL120" s="103"/>
      <c r="BM120" s="103"/>
      <c r="BN120" s="103"/>
      <c r="BO120" s="63"/>
      <c r="BP120" s="63"/>
      <c r="BQ120" s="63"/>
      <c r="BR120" s="63"/>
      <c r="BS120" s="103"/>
      <c r="BT120" s="103"/>
      <c r="BU120" s="103"/>
      <c r="BV120" s="103"/>
      <c r="BW120" s="63"/>
      <c r="BX120" s="63"/>
      <c r="BY120" s="63"/>
      <c r="BZ120" s="63"/>
      <c r="CA120" s="103"/>
      <c r="CB120" s="103"/>
      <c r="CC120" s="103"/>
      <c r="CD120" s="103"/>
      <c r="CE120" s="63"/>
      <c r="CF120" s="63"/>
      <c r="CG120" s="63"/>
      <c r="CH120" s="63"/>
      <c r="CI120" s="103"/>
      <c r="CJ120" s="103"/>
      <c r="CK120" s="103"/>
      <c r="CL120" s="103"/>
    </row>
    <row r="121" spans="2:90" ht="13" x14ac:dyDescent="0.15">
      <c r="B121" s="13"/>
      <c r="C121" s="13"/>
      <c r="D121" s="13"/>
      <c r="E121" s="13"/>
      <c r="F121" s="13"/>
      <c r="G121" s="103"/>
      <c r="H121" s="103"/>
      <c r="I121" s="103"/>
      <c r="J121" s="103"/>
      <c r="K121" s="63"/>
      <c r="L121" s="63"/>
      <c r="M121" s="63"/>
      <c r="N121" s="63"/>
      <c r="O121" s="103"/>
      <c r="P121" s="103"/>
      <c r="Q121" s="103"/>
      <c r="R121" s="103"/>
      <c r="S121" s="63"/>
      <c r="T121" s="63"/>
      <c r="U121" s="63"/>
      <c r="V121" s="63"/>
      <c r="W121" s="103"/>
      <c r="X121" s="103"/>
      <c r="Y121" s="103"/>
      <c r="Z121" s="103"/>
      <c r="AA121" s="63"/>
      <c r="AB121" s="63"/>
      <c r="AC121" s="63"/>
      <c r="AD121" s="63"/>
      <c r="AE121" s="103"/>
      <c r="AF121" s="103"/>
      <c r="AG121" s="103"/>
      <c r="AH121" s="103"/>
      <c r="AI121" s="63"/>
      <c r="AJ121" s="63"/>
      <c r="AK121" s="63"/>
      <c r="AL121" s="63"/>
      <c r="AM121" s="103"/>
      <c r="AN121" s="103"/>
      <c r="AO121" s="103"/>
      <c r="AP121" s="103"/>
      <c r="AQ121" s="63"/>
      <c r="AR121" s="63"/>
      <c r="AS121" s="63"/>
      <c r="AT121" s="63"/>
      <c r="AU121" s="103"/>
      <c r="AV121" s="103"/>
      <c r="AW121" s="103"/>
      <c r="AX121" s="103"/>
      <c r="AY121" s="63"/>
      <c r="AZ121" s="63"/>
      <c r="BA121" s="63"/>
      <c r="BB121" s="63"/>
      <c r="BC121" s="103"/>
      <c r="BD121" s="103"/>
      <c r="BE121" s="103"/>
      <c r="BF121" s="103"/>
      <c r="BG121" s="63"/>
      <c r="BH121" s="63"/>
      <c r="BI121" s="63"/>
      <c r="BJ121" s="63"/>
      <c r="BK121" s="103"/>
      <c r="BL121" s="103"/>
      <c r="BM121" s="103"/>
      <c r="BN121" s="103"/>
      <c r="BO121" s="63"/>
      <c r="BP121" s="63"/>
      <c r="BQ121" s="63"/>
      <c r="BR121" s="63"/>
      <c r="BS121" s="103"/>
      <c r="BT121" s="103"/>
      <c r="BU121" s="103"/>
      <c r="BV121" s="103"/>
      <c r="BW121" s="63"/>
      <c r="BX121" s="63"/>
      <c r="BY121" s="63"/>
      <c r="BZ121" s="63"/>
      <c r="CA121" s="103"/>
      <c r="CB121" s="103"/>
      <c r="CC121" s="103"/>
      <c r="CD121" s="103"/>
      <c r="CE121" s="63"/>
      <c r="CF121" s="63"/>
      <c r="CG121" s="63"/>
      <c r="CH121" s="63"/>
      <c r="CI121" s="103"/>
      <c r="CJ121" s="103"/>
      <c r="CK121" s="103"/>
      <c r="CL121" s="103"/>
    </row>
    <row r="122" spans="2:90" ht="13" x14ac:dyDescent="0.15">
      <c r="B122" s="13"/>
      <c r="C122" s="13"/>
      <c r="D122" s="13"/>
      <c r="E122" s="13"/>
      <c r="F122" s="13"/>
      <c r="G122" s="103"/>
      <c r="H122" s="103"/>
      <c r="I122" s="103"/>
      <c r="J122" s="103"/>
      <c r="K122" s="63"/>
      <c r="L122" s="63"/>
      <c r="M122" s="63"/>
      <c r="N122" s="63"/>
      <c r="O122" s="103"/>
      <c r="P122" s="103"/>
      <c r="Q122" s="103"/>
      <c r="R122" s="103"/>
      <c r="S122" s="63"/>
      <c r="T122" s="63"/>
      <c r="U122" s="63"/>
      <c r="V122" s="63"/>
      <c r="W122" s="103"/>
      <c r="X122" s="103"/>
      <c r="Y122" s="103"/>
      <c r="Z122" s="103"/>
      <c r="AA122" s="63"/>
      <c r="AB122" s="63"/>
      <c r="AC122" s="63"/>
      <c r="AD122" s="63"/>
      <c r="AE122" s="103"/>
      <c r="AF122" s="103"/>
      <c r="AG122" s="103"/>
      <c r="AH122" s="103"/>
      <c r="AI122" s="63"/>
      <c r="AJ122" s="63"/>
      <c r="AK122" s="63"/>
      <c r="AL122" s="63"/>
      <c r="AM122" s="103"/>
      <c r="AN122" s="103"/>
      <c r="AO122" s="103"/>
      <c r="AP122" s="103"/>
      <c r="AQ122" s="63"/>
      <c r="AR122" s="63"/>
      <c r="AS122" s="63"/>
      <c r="AT122" s="63"/>
      <c r="AU122" s="103"/>
      <c r="AV122" s="103"/>
      <c r="AW122" s="103"/>
      <c r="AX122" s="103"/>
      <c r="AY122" s="63"/>
      <c r="AZ122" s="63"/>
      <c r="BA122" s="63"/>
      <c r="BB122" s="63"/>
      <c r="BC122" s="103"/>
      <c r="BD122" s="103"/>
      <c r="BE122" s="103"/>
      <c r="BF122" s="103"/>
      <c r="BG122" s="63"/>
      <c r="BH122" s="63"/>
      <c r="BI122" s="63"/>
      <c r="BJ122" s="63"/>
      <c r="BK122" s="103"/>
      <c r="BL122" s="103"/>
      <c r="BM122" s="103"/>
      <c r="BN122" s="103"/>
      <c r="BO122" s="63"/>
      <c r="BP122" s="63"/>
      <c r="BQ122" s="63"/>
      <c r="BR122" s="63"/>
      <c r="BS122" s="103"/>
      <c r="BT122" s="103"/>
      <c r="BU122" s="103"/>
      <c r="BV122" s="103"/>
      <c r="BW122" s="63"/>
      <c r="BX122" s="63"/>
      <c r="BY122" s="63"/>
      <c r="BZ122" s="63"/>
      <c r="CA122" s="103"/>
      <c r="CB122" s="103"/>
      <c r="CC122" s="103"/>
      <c r="CD122" s="103"/>
      <c r="CE122" s="63"/>
      <c r="CF122" s="63"/>
      <c r="CG122" s="63"/>
      <c r="CH122" s="63"/>
      <c r="CI122" s="103"/>
      <c r="CJ122" s="103"/>
      <c r="CK122" s="103"/>
      <c r="CL122" s="103"/>
    </row>
    <row r="123" spans="2:90" ht="13" x14ac:dyDescent="0.15">
      <c r="B123" s="13"/>
      <c r="C123" s="13"/>
      <c r="D123" s="13"/>
      <c r="E123" s="13"/>
      <c r="F123" s="13"/>
      <c r="G123" s="103"/>
      <c r="H123" s="103"/>
      <c r="I123" s="103"/>
      <c r="J123" s="103"/>
      <c r="K123" s="63"/>
      <c r="L123" s="63"/>
      <c r="M123" s="63"/>
      <c r="N123" s="63"/>
      <c r="O123" s="103"/>
      <c r="P123" s="103"/>
      <c r="Q123" s="103"/>
      <c r="R123" s="103"/>
      <c r="S123" s="63"/>
      <c r="T123" s="63"/>
      <c r="U123" s="63"/>
      <c r="V123" s="63"/>
      <c r="W123" s="103"/>
      <c r="X123" s="103"/>
      <c r="Y123" s="103"/>
      <c r="Z123" s="103"/>
      <c r="AA123" s="63"/>
      <c r="AB123" s="63"/>
      <c r="AC123" s="63"/>
      <c r="AD123" s="63"/>
      <c r="AE123" s="103"/>
      <c r="AF123" s="103"/>
      <c r="AG123" s="103"/>
      <c r="AH123" s="103"/>
      <c r="AI123" s="63"/>
      <c r="AJ123" s="63"/>
      <c r="AK123" s="63"/>
      <c r="AL123" s="63"/>
      <c r="AM123" s="103"/>
      <c r="AN123" s="103"/>
      <c r="AO123" s="103"/>
      <c r="AP123" s="103"/>
      <c r="AQ123" s="63"/>
      <c r="AR123" s="63"/>
      <c r="AS123" s="63"/>
      <c r="AT123" s="63"/>
      <c r="AU123" s="103"/>
      <c r="AV123" s="103"/>
      <c r="AW123" s="103"/>
      <c r="AX123" s="103"/>
      <c r="AY123" s="63"/>
      <c r="AZ123" s="63"/>
      <c r="BA123" s="63"/>
      <c r="BB123" s="63"/>
      <c r="BC123" s="103"/>
      <c r="BD123" s="103"/>
      <c r="BE123" s="103"/>
      <c r="BF123" s="103"/>
      <c r="BG123" s="63"/>
      <c r="BH123" s="63"/>
      <c r="BI123" s="63"/>
      <c r="BJ123" s="63"/>
      <c r="BK123" s="103"/>
      <c r="BL123" s="103"/>
      <c r="BM123" s="103"/>
      <c r="BN123" s="103"/>
      <c r="BO123" s="63"/>
      <c r="BP123" s="63"/>
      <c r="BQ123" s="63"/>
      <c r="BR123" s="63"/>
      <c r="BS123" s="103"/>
      <c r="BT123" s="103"/>
      <c r="BU123" s="103"/>
      <c r="BV123" s="103"/>
      <c r="BW123" s="63"/>
      <c r="BX123" s="63"/>
      <c r="BY123" s="63"/>
      <c r="BZ123" s="63"/>
      <c r="CA123" s="103"/>
      <c r="CB123" s="103"/>
      <c r="CC123" s="103"/>
      <c r="CD123" s="103"/>
      <c r="CE123" s="63"/>
      <c r="CF123" s="63"/>
      <c r="CG123" s="63"/>
      <c r="CH123" s="63"/>
      <c r="CI123" s="103"/>
      <c r="CJ123" s="103"/>
      <c r="CK123" s="103"/>
      <c r="CL123" s="103"/>
    </row>
    <row r="124" spans="2:90" ht="13" x14ac:dyDescent="0.15">
      <c r="B124" s="13"/>
      <c r="C124" s="13"/>
      <c r="D124" s="13"/>
      <c r="E124" s="13"/>
      <c r="F124" s="13"/>
      <c r="G124" s="103"/>
      <c r="H124" s="103"/>
      <c r="I124" s="103"/>
      <c r="J124" s="103"/>
      <c r="K124" s="63"/>
      <c r="L124" s="63"/>
      <c r="M124" s="63"/>
      <c r="N124" s="63"/>
      <c r="O124" s="103"/>
      <c r="P124" s="103"/>
      <c r="Q124" s="103"/>
      <c r="R124" s="103"/>
      <c r="S124" s="63"/>
      <c r="T124" s="63"/>
      <c r="U124" s="63"/>
      <c r="V124" s="63"/>
      <c r="W124" s="103"/>
      <c r="X124" s="103"/>
      <c r="Y124" s="103"/>
      <c r="Z124" s="103"/>
      <c r="AA124" s="63"/>
      <c r="AB124" s="63"/>
      <c r="AC124" s="63"/>
      <c r="AD124" s="63"/>
      <c r="AE124" s="103"/>
      <c r="AF124" s="103"/>
      <c r="AG124" s="103"/>
      <c r="AH124" s="103"/>
      <c r="AI124" s="63"/>
      <c r="AJ124" s="63"/>
      <c r="AK124" s="63"/>
      <c r="AL124" s="63"/>
      <c r="AM124" s="103"/>
      <c r="AN124" s="103"/>
      <c r="AO124" s="103"/>
      <c r="AP124" s="103"/>
      <c r="AQ124" s="63"/>
      <c r="AR124" s="63"/>
      <c r="AS124" s="63"/>
      <c r="AT124" s="63"/>
      <c r="AU124" s="103"/>
      <c r="AV124" s="103"/>
      <c r="AW124" s="103"/>
      <c r="AX124" s="103"/>
      <c r="AY124" s="63"/>
      <c r="AZ124" s="63"/>
      <c r="BA124" s="63"/>
      <c r="BB124" s="63"/>
      <c r="BC124" s="103"/>
      <c r="BD124" s="103"/>
      <c r="BE124" s="103"/>
      <c r="BF124" s="103"/>
      <c r="BG124" s="63"/>
      <c r="BH124" s="63"/>
      <c r="BI124" s="63"/>
      <c r="BJ124" s="63"/>
      <c r="BK124" s="103"/>
      <c r="BL124" s="103"/>
      <c r="BM124" s="103"/>
      <c r="BN124" s="103"/>
      <c r="BO124" s="63"/>
      <c r="BP124" s="63"/>
      <c r="BQ124" s="63"/>
      <c r="BR124" s="63"/>
      <c r="BS124" s="103"/>
      <c r="BT124" s="103"/>
      <c r="BU124" s="103"/>
      <c r="BV124" s="103"/>
      <c r="BW124" s="63"/>
      <c r="BX124" s="63"/>
      <c r="BY124" s="63"/>
      <c r="BZ124" s="63"/>
      <c r="CA124" s="103"/>
      <c r="CB124" s="103"/>
      <c r="CC124" s="103"/>
      <c r="CD124" s="103"/>
      <c r="CE124" s="63"/>
      <c r="CF124" s="63"/>
      <c r="CG124" s="63"/>
      <c r="CH124" s="63"/>
      <c r="CI124" s="103"/>
      <c r="CJ124" s="103"/>
      <c r="CK124" s="103"/>
      <c r="CL124" s="103"/>
    </row>
    <row r="125" spans="2:90" ht="13" x14ac:dyDescent="0.15">
      <c r="B125" s="13"/>
      <c r="C125" s="13"/>
      <c r="D125" s="13"/>
      <c r="E125" s="13"/>
      <c r="F125" s="13"/>
      <c r="G125" s="103"/>
      <c r="H125" s="103"/>
      <c r="I125" s="103"/>
      <c r="J125" s="103"/>
      <c r="K125" s="63"/>
      <c r="L125" s="63"/>
      <c r="M125" s="63"/>
      <c r="N125" s="63"/>
      <c r="O125" s="103"/>
      <c r="P125" s="103"/>
      <c r="Q125" s="103"/>
      <c r="R125" s="103"/>
      <c r="S125" s="63"/>
      <c r="T125" s="63"/>
      <c r="U125" s="63"/>
      <c r="V125" s="63"/>
      <c r="W125" s="103"/>
      <c r="X125" s="103"/>
      <c r="Y125" s="103"/>
      <c r="Z125" s="103"/>
      <c r="AA125" s="63"/>
      <c r="AB125" s="63"/>
      <c r="AC125" s="63"/>
      <c r="AD125" s="63"/>
      <c r="AE125" s="103"/>
      <c r="AF125" s="103"/>
      <c r="AG125" s="103"/>
      <c r="AH125" s="103"/>
      <c r="AI125" s="63"/>
      <c r="AJ125" s="63"/>
      <c r="AK125" s="63"/>
      <c r="AL125" s="63"/>
      <c r="AM125" s="103"/>
      <c r="AN125" s="103"/>
      <c r="AO125" s="103"/>
      <c r="AP125" s="103"/>
      <c r="AQ125" s="63"/>
      <c r="AR125" s="63"/>
      <c r="AS125" s="63"/>
      <c r="AT125" s="63"/>
      <c r="AU125" s="103"/>
      <c r="AV125" s="103"/>
      <c r="AW125" s="103"/>
      <c r="AX125" s="103"/>
      <c r="AY125" s="63"/>
      <c r="AZ125" s="63"/>
      <c r="BA125" s="63"/>
      <c r="BB125" s="63"/>
      <c r="BC125" s="103"/>
      <c r="BD125" s="103"/>
      <c r="BE125" s="103"/>
      <c r="BF125" s="103"/>
      <c r="BG125" s="63"/>
      <c r="BH125" s="63"/>
      <c r="BI125" s="63"/>
      <c r="BJ125" s="63"/>
      <c r="BK125" s="103"/>
      <c r="BL125" s="103"/>
      <c r="BM125" s="103"/>
      <c r="BN125" s="103"/>
      <c r="BO125" s="63"/>
      <c r="BP125" s="63"/>
      <c r="BQ125" s="63"/>
      <c r="BR125" s="63"/>
      <c r="BS125" s="103"/>
      <c r="BT125" s="103"/>
      <c r="BU125" s="103"/>
      <c r="BV125" s="103"/>
      <c r="BW125" s="63"/>
      <c r="BX125" s="63"/>
      <c r="BY125" s="63"/>
      <c r="BZ125" s="63"/>
      <c r="CA125" s="103"/>
      <c r="CB125" s="103"/>
      <c r="CC125" s="103"/>
      <c r="CD125" s="103"/>
      <c r="CE125" s="63"/>
      <c r="CF125" s="63"/>
      <c r="CG125" s="63"/>
      <c r="CH125" s="63"/>
      <c r="CI125" s="103"/>
      <c r="CJ125" s="103"/>
      <c r="CK125" s="103"/>
      <c r="CL125" s="103"/>
    </row>
    <row r="126" spans="2:90" ht="13" x14ac:dyDescent="0.15">
      <c r="B126" s="13"/>
      <c r="C126" s="13"/>
      <c r="D126" s="13"/>
      <c r="E126" s="13"/>
      <c r="F126" s="13"/>
      <c r="G126" s="103"/>
      <c r="H126" s="103"/>
      <c r="I126" s="103"/>
      <c r="J126" s="103"/>
      <c r="K126" s="63"/>
      <c r="L126" s="63"/>
      <c r="M126" s="63"/>
      <c r="N126" s="63"/>
      <c r="O126" s="103"/>
      <c r="P126" s="103"/>
      <c r="Q126" s="103"/>
      <c r="R126" s="103"/>
      <c r="S126" s="63"/>
      <c r="T126" s="63"/>
      <c r="U126" s="63"/>
      <c r="V126" s="63"/>
      <c r="W126" s="103"/>
      <c r="X126" s="103"/>
      <c r="Y126" s="103"/>
      <c r="Z126" s="103"/>
      <c r="AA126" s="63"/>
      <c r="AB126" s="63"/>
      <c r="AC126" s="63"/>
      <c r="AD126" s="63"/>
      <c r="AE126" s="103"/>
      <c r="AF126" s="103"/>
      <c r="AG126" s="103"/>
      <c r="AH126" s="103"/>
      <c r="AI126" s="63"/>
      <c r="AJ126" s="63"/>
      <c r="AK126" s="63"/>
      <c r="AL126" s="63"/>
      <c r="AM126" s="103"/>
      <c r="AN126" s="103"/>
      <c r="AO126" s="103"/>
      <c r="AP126" s="103"/>
      <c r="AQ126" s="63"/>
      <c r="AR126" s="63"/>
      <c r="AS126" s="63"/>
      <c r="AT126" s="63"/>
      <c r="AU126" s="103"/>
      <c r="AV126" s="103"/>
      <c r="AW126" s="103"/>
      <c r="AX126" s="103"/>
      <c r="AY126" s="63"/>
      <c r="AZ126" s="63"/>
      <c r="BA126" s="63"/>
      <c r="BB126" s="63"/>
      <c r="BC126" s="103"/>
      <c r="BD126" s="103"/>
      <c r="BE126" s="103"/>
      <c r="BF126" s="103"/>
      <c r="BG126" s="63"/>
      <c r="BH126" s="63"/>
      <c r="BI126" s="63"/>
      <c r="BJ126" s="63"/>
      <c r="BK126" s="103"/>
      <c r="BL126" s="103"/>
      <c r="BM126" s="103"/>
      <c r="BN126" s="103"/>
      <c r="BO126" s="63"/>
      <c r="BP126" s="63"/>
      <c r="BQ126" s="63"/>
      <c r="BR126" s="63"/>
      <c r="BS126" s="103"/>
      <c r="BT126" s="103"/>
      <c r="BU126" s="103"/>
      <c r="BV126" s="103"/>
      <c r="BW126" s="63"/>
      <c r="BX126" s="63"/>
      <c r="BY126" s="63"/>
      <c r="BZ126" s="63"/>
      <c r="CA126" s="103"/>
      <c r="CB126" s="103"/>
      <c r="CC126" s="103"/>
      <c r="CD126" s="103"/>
      <c r="CE126" s="63"/>
      <c r="CF126" s="63"/>
      <c r="CG126" s="63"/>
      <c r="CH126" s="63"/>
      <c r="CI126" s="103"/>
      <c r="CJ126" s="103"/>
      <c r="CK126" s="103"/>
      <c r="CL126" s="103"/>
    </row>
    <row r="127" spans="2:90" ht="13" x14ac:dyDescent="0.15">
      <c r="B127" s="13"/>
      <c r="C127" s="13"/>
      <c r="D127" s="13"/>
      <c r="E127" s="13"/>
      <c r="F127" s="13"/>
      <c r="G127" s="103"/>
      <c r="H127" s="103"/>
      <c r="I127" s="103"/>
      <c r="J127" s="103"/>
      <c r="K127" s="63"/>
      <c r="L127" s="63"/>
      <c r="M127" s="63"/>
      <c r="N127" s="63"/>
      <c r="O127" s="103"/>
      <c r="P127" s="103"/>
      <c r="Q127" s="103"/>
      <c r="R127" s="103"/>
      <c r="S127" s="63"/>
      <c r="T127" s="63"/>
      <c r="U127" s="63"/>
      <c r="V127" s="63"/>
      <c r="W127" s="103"/>
      <c r="X127" s="103"/>
      <c r="Y127" s="103"/>
      <c r="Z127" s="103"/>
      <c r="AA127" s="63"/>
      <c r="AB127" s="63"/>
      <c r="AC127" s="63"/>
      <c r="AD127" s="63"/>
      <c r="AE127" s="103"/>
      <c r="AF127" s="103"/>
      <c r="AG127" s="103"/>
      <c r="AH127" s="103"/>
      <c r="AI127" s="63"/>
      <c r="AJ127" s="63"/>
      <c r="AK127" s="63"/>
      <c r="AL127" s="63"/>
      <c r="AM127" s="103"/>
      <c r="AN127" s="103"/>
      <c r="AO127" s="103"/>
      <c r="AP127" s="103"/>
      <c r="AQ127" s="63"/>
      <c r="AR127" s="63"/>
      <c r="AS127" s="63"/>
      <c r="AT127" s="63"/>
      <c r="AU127" s="103"/>
      <c r="AV127" s="103"/>
      <c r="AW127" s="103"/>
      <c r="AX127" s="103"/>
      <c r="AY127" s="63"/>
      <c r="AZ127" s="63"/>
      <c r="BA127" s="63"/>
      <c r="BB127" s="63"/>
      <c r="BC127" s="103"/>
      <c r="BD127" s="103"/>
      <c r="BE127" s="103"/>
      <c r="BF127" s="103"/>
      <c r="BG127" s="63"/>
      <c r="BH127" s="63"/>
      <c r="BI127" s="63"/>
      <c r="BJ127" s="63"/>
      <c r="BK127" s="103"/>
      <c r="BL127" s="103"/>
      <c r="BM127" s="103"/>
      <c r="BN127" s="103"/>
      <c r="BO127" s="63"/>
      <c r="BP127" s="63"/>
      <c r="BQ127" s="63"/>
      <c r="BR127" s="63"/>
      <c r="BS127" s="103"/>
      <c r="BT127" s="103"/>
      <c r="BU127" s="103"/>
      <c r="BV127" s="103"/>
      <c r="BW127" s="63"/>
      <c r="BX127" s="63"/>
      <c r="BY127" s="63"/>
      <c r="BZ127" s="63"/>
      <c r="CA127" s="103"/>
      <c r="CB127" s="103"/>
      <c r="CC127" s="103"/>
      <c r="CD127" s="103"/>
      <c r="CE127" s="63"/>
      <c r="CF127" s="63"/>
      <c r="CG127" s="63"/>
      <c r="CH127" s="63"/>
      <c r="CI127" s="103"/>
      <c r="CJ127" s="103"/>
      <c r="CK127" s="103"/>
      <c r="CL127" s="103"/>
    </row>
    <row r="128" spans="2:90" ht="13" x14ac:dyDescent="0.15">
      <c r="B128" s="13"/>
      <c r="C128" s="13"/>
      <c r="D128" s="13"/>
      <c r="E128" s="13"/>
      <c r="F128" s="13"/>
      <c r="G128" s="103"/>
      <c r="H128" s="103"/>
      <c r="I128" s="103"/>
      <c r="J128" s="103"/>
      <c r="K128" s="63"/>
      <c r="L128" s="63"/>
      <c r="M128" s="63"/>
      <c r="N128" s="63"/>
      <c r="O128" s="103"/>
      <c r="P128" s="103"/>
      <c r="Q128" s="103"/>
      <c r="R128" s="103"/>
      <c r="S128" s="63"/>
      <c r="T128" s="63"/>
      <c r="U128" s="63"/>
      <c r="V128" s="63"/>
      <c r="W128" s="103"/>
      <c r="X128" s="103"/>
      <c r="Y128" s="103"/>
      <c r="Z128" s="103"/>
      <c r="AA128" s="63"/>
      <c r="AB128" s="63"/>
      <c r="AC128" s="63"/>
      <c r="AD128" s="63"/>
      <c r="AE128" s="103"/>
      <c r="AF128" s="103"/>
      <c r="AG128" s="103"/>
      <c r="AH128" s="103"/>
      <c r="AI128" s="63"/>
      <c r="AJ128" s="63"/>
      <c r="AK128" s="63"/>
      <c r="AL128" s="63"/>
      <c r="AM128" s="103"/>
      <c r="AN128" s="103"/>
      <c r="AO128" s="103"/>
      <c r="AP128" s="103"/>
      <c r="AQ128" s="63"/>
      <c r="AR128" s="63"/>
      <c r="AS128" s="63"/>
      <c r="AT128" s="63"/>
      <c r="AU128" s="103"/>
      <c r="AV128" s="103"/>
      <c r="AW128" s="103"/>
      <c r="AX128" s="103"/>
      <c r="AY128" s="63"/>
      <c r="AZ128" s="63"/>
      <c r="BA128" s="63"/>
      <c r="BB128" s="63"/>
      <c r="BC128" s="103"/>
      <c r="BD128" s="103"/>
      <c r="BE128" s="103"/>
      <c r="BF128" s="103"/>
      <c r="BG128" s="63"/>
      <c r="BH128" s="63"/>
      <c r="BI128" s="63"/>
      <c r="BJ128" s="63"/>
      <c r="BK128" s="103"/>
      <c r="BL128" s="103"/>
      <c r="BM128" s="103"/>
      <c r="BN128" s="103"/>
      <c r="BO128" s="63"/>
      <c r="BP128" s="63"/>
      <c r="BQ128" s="63"/>
      <c r="BR128" s="63"/>
      <c r="BS128" s="103"/>
      <c r="BT128" s="103"/>
      <c r="BU128" s="103"/>
      <c r="BV128" s="103"/>
      <c r="BW128" s="63"/>
      <c r="BX128" s="63"/>
      <c r="BY128" s="63"/>
      <c r="BZ128" s="63"/>
      <c r="CA128" s="103"/>
      <c r="CB128" s="103"/>
      <c r="CC128" s="103"/>
      <c r="CD128" s="103"/>
      <c r="CE128" s="63"/>
      <c r="CF128" s="63"/>
      <c r="CG128" s="63"/>
      <c r="CH128" s="63"/>
      <c r="CI128" s="103"/>
      <c r="CJ128" s="103"/>
      <c r="CK128" s="103"/>
      <c r="CL128" s="103"/>
    </row>
    <row r="129" spans="2:90" ht="13" x14ac:dyDescent="0.15">
      <c r="B129" s="13"/>
      <c r="C129" s="13"/>
      <c r="D129" s="13"/>
      <c r="E129" s="13"/>
      <c r="F129" s="13"/>
      <c r="G129" s="103"/>
      <c r="H129" s="103"/>
      <c r="I129" s="103"/>
      <c r="J129" s="103"/>
      <c r="K129" s="63"/>
      <c r="L129" s="63"/>
      <c r="M129" s="63"/>
      <c r="N129" s="63"/>
      <c r="O129" s="103"/>
      <c r="P129" s="103"/>
      <c r="Q129" s="103"/>
      <c r="R129" s="103"/>
      <c r="S129" s="63"/>
      <c r="T129" s="63"/>
      <c r="U129" s="63"/>
      <c r="V129" s="63"/>
      <c r="W129" s="103"/>
      <c r="X129" s="103"/>
      <c r="Y129" s="103"/>
      <c r="Z129" s="103"/>
      <c r="AA129" s="63"/>
      <c r="AB129" s="63"/>
      <c r="AC129" s="63"/>
      <c r="AD129" s="63"/>
      <c r="AE129" s="103"/>
      <c r="AF129" s="103"/>
      <c r="AG129" s="103"/>
      <c r="AH129" s="103"/>
      <c r="AI129" s="63"/>
      <c r="AJ129" s="63"/>
      <c r="AK129" s="63"/>
      <c r="AL129" s="63"/>
      <c r="AM129" s="103"/>
      <c r="AN129" s="103"/>
      <c r="AO129" s="103"/>
      <c r="AP129" s="103"/>
      <c r="AQ129" s="63"/>
      <c r="AR129" s="63"/>
      <c r="AS129" s="63"/>
      <c r="AT129" s="63"/>
      <c r="AU129" s="103"/>
      <c r="AV129" s="103"/>
      <c r="AW129" s="103"/>
      <c r="AX129" s="103"/>
      <c r="AY129" s="63"/>
      <c r="AZ129" s="63"/>
      <c r="BA129" s="63"/>
      <c r="BB129" s="63"/>
      <c r="BC129" s="103"/>
      <c r="BD129" s="103"/>
      <c r="BE129" s="103"/>
      <c r="BF129" s="103"/>
      <c r="BG129" s="63"/>
      <c r="BH129" s="63"/>
      <c r="BI129" s="63"/>
      <c r="BJ129" s="63"/>
      <c r="BK129" s="103"/>
      <c r="BL129" s="103"/>
      <c r="BM129" s="103"/>
      <c r="BN129" s="103"/>
      <c r="BO129" s="63"/>
      <c r="BP129" s="63"/>
      <c r="BQ129" s="63"/>
      <c r="BR129" s="63"/>
      <c r="BS129" s="103"/>
      <c r="BT129" s="103"/>
      <c r="BU129" s="103"/>
      <c r="BV129" s="103"/>
      <c r="BW129" s="63"/>
      <c r="BX129" s="63"/>
      <c r="BY129" s="63"/>
      <c r="BZ129" s="63"/>
      <c r="CA129" s="103"/>
      <c r="CB129" s="103"/>
      <c r="CC129" s="103"/>
      <c r="CD129" s="103"/>
      <c r="CE129" s="63"/>
      <c r="CF129" s="63"/>
      <c r="CG129" s="63"/>
      <c r="CH129" s="63"/>
      <c r="CI129" s="103"/>
      <c r="CJ129" s="103"/>
      <c r="CK129" s="103"/>
      <c r="CL129" s="103"/>
    </row>
    <row r="130" spans="2:90" ht="13" x14ac:dyDescent="0.15">
      <c r="B130" s="13"/>
      <c r="C130" s="13"/>
      <c r="D130" s="13"/>
      <c r="E130" s="13"/>
      <c r="F130" s="13"/>
      <c r="G130" s="103"/>
      <c r="H130" s="103"/>
      <c r="I130" s="103"/>
      <c r="J130" s="103"/>
      <c r="K130" s="63"/>
      <c r="L130" s="63"/>
      <c r="M130" s="63"/>
      <c r="N130" s="63"/>
      <c r="O130" s="103"/>
      <c r="P130" s="103"/>
      <c r="Q130" s="103"/>
      <c r="R130" s="103"/>
      <c r="S130" s="63"/>
      <c r="T130" s="63"/>
      <c r="U130" s="63"/>
      <c r="V130" s="63"/>
      <c r="W130" s="103"/>
      <c r="X130" s="103"/>
      <c r="Y130" s="103"/>
      <c r="Z130" s="103"/>
      <c r="AA130" s="63"/>
      <c r="AB130" s="63"/>
      <c r="AC130" s="63"/>
      <c r="AD130" s="63"/>
      <c r="AE130" s="103"/>
      <c r="AF130" s="103"/>
      <c r="AG130" s="103"/>
      <c r="AH130" s="103"/>
      <c r="AI130" s="63"/>
      <c r="AJ130" s="63"/>
      <c r="AK130" s="63"/>
      <c r="AL130" s="63"/>
      <c r="AM130" s="103"/>
      <c r="AN130" s="103"/>
      <c r="AO130" s="103"/>
      <c r="AP130" s="103"/>
      <c r="AQ130" s="63"/>
      <c r="AR130" s="63"/>
      <c r="AS130" s="63"/>
      <c r="AT130" s="63"/>
      <c r="AU130" s="103"/>
      <c r="AV130" s="103"/>
      <c r="AW130" s="103"/>
      <c r="AX130" s="103"/>
      <c r="AY130" s="63"/>
      <c r="AZ130" s="63"/>
      <c r="BA130" s="63"/>
      <c r="BB130" s="63"/>
      <c r="BC130" s="103"/>
      <c r="BD130" s="103"/>
      <c r="BE130" s="103"/>
      <c r="BF130" s="103"/>
      <c r="BG130" s="63"/>
      <c r="BH130" s="63"/>
      <c r="BI130" s="63"/>
      <c r="BJ130" s="63"/>
      <c r="BK130" s="103"/>
      <c r="BL130" s="103"/>
      <c r="BM130" s="103"/>
      <c r="BN130" s="103"/>
      <c r="BO130" s="63"/>
      <c r="BP130" s="63"/>
      <c r="BQ130" s="63"/>
      <c r="BR130" s="63"/>
      <c r="BS130" s="103"/>
      <c r="BT130" s="103"/>
      <c r="BU130" s="103"/>
      <c r="BV130" s="103"/>
      <c r="BW130" s="63"/>
      <c r="BX130" s="63"/>
      <c r="BY130" s="63"/>
      <c r="BZ130" s="63"/>
      <c r="CA130" s="103"/>
      <c r="CB130" s="103"/>
      <c r="CC130" s="103"/>
      <c r="CD130" s="103"/>
      <c r="CE130" s="63"/>
      <c r="CF130" s="63"/>
      <c r="CG130" s="63"/>
      <c r="CH130" s="63"/>
      <c r="CI130" s="103"/>
      <c r="CJ130" s="103"/>
      <c r="CK130" s="103"/>
      <c r="CL130" s="103"/>
    </row>
    <row r="131" spans="2:90" ht="13" x14ac:dyDescent="0.15">
      <c r="B131" s="13"/>
      <c r="C131" s="13"/>
      <c r="D131" s="13"/>
      <c r="E131" s="13"/>
      <c r="F131" s="13"/>
      <c r="G131" s="103"/>
      <c r="H131" s="103"/>
      <c r="I131" s="103"/>
      <c r="J131" s="103"/>
      <c r="K131" s="63"/>
      <c r="L131" s="63"/>
      <c r="M131" s="63"/>
      <c r="N131" s="63"/>
      <c r="O131" s="103"/>
      <c r="P131" s="103"/>
      <c r="Q131" s="103"/>
      <c r="R131" s="103"/>
      <c r="S131" s="63"/>
      <c r="T131" s="63"/>
      <c r="U131" s="63"/>
      <c r="V131" s="63"/>
      <c r="W131" s="103"/>
      <c r="X131" s="103"/>
      <c r="Y131" s="103"/>
      <c r="Z131" s="103"/>
      <c r="AA131" s="63"/>
      <c r="AB131" s="63"/>
      <c r="AC131" s="63"/>
      <c r="AD131" s="63"/>
      <c r="AE131" s="103"/>
      <c r="AF131" s="103"/>
      <c r="AG131" s="103"/>
      <c r="AH131" s="103"/>
      <c r="AI131" s="63"/>
      <c r="AJ131" s="63"/>
      <c r="AK131" s="63"/>
      <c r="AL131" s="63"/>
      <c r="AM131" s="103"/>
      <c r="AN131" s="103"/>
      <c r="AO131" s="103"/>
      <c r="AP131" s="103"/>
      <c r="AQ131" s="63"/>
      <c r="AR131" s="63"/>
      <c r="AS131" s="63"/>
      <c r="AT131" s="63"/>
      <c r="AU131" s="103"/>
      <c r="AV131" s="103"/>
      <c r="AW131" s="103"/>
      <c r="AX131" s="103"/>
      <c r="AY131" s="63"/>
      <c r="AZ131" s="63"/>
      <c r="BA131" s="63"/>
      <c r="BB131" s="63"/>
      <c r="BC131" s="103"/>
      <c r="BD131" s="103"/>
      <c r="BE131" s="103"/>
      <c r="BF131" s="103"/>
      <c r="BG131" s="63"/>
      <c r="BH131" s="63"/>
      <c r="BI131" s="63"/>
      <c r="BJ131" s="63"/>
      <c r="BK131" s="103"/>
      <c r="BL131" s="103"/>
      <c r="BM131" s="103"/>
      <c r="BN131" s="103"/>
      <c r="BO131" s="63"/>
      <c r="BP131" s="63"/>
      <c r="BQ131" s="63"/>
      <c r="BR131" s="63"/>
      <c r="BS131" s="103"/>
      <c r="BT131" s="103"/>
      <c r="BU131" s="103"/>
      <c r="BV131" s="103"/>
      <c r="BW131" s="63"/>
      <c r="BX131" s="63"/>
      <c r="BY131" s="63"/>
      <c r="BZ131" s="63"/>
      <c r="CA131" s="103"/>
      <c r="CB131" s="103"/>
      <c r="CC131" s="103"/>
      <c r="CD131" s="103"/>
      <c r="CE131" s="63"/>
      <c r="CF131" s="63"/>
      <c r="CG131" s="63"/>
      <c r="CH131" s="63"/>
      <c r="CI131" s="103"/>
      <c r="CJ131" s="103"/>
      <c r="CK131" s="103"/>
      <c r="CL131" s="103"/>
    </row>
    <row r="132" spans="2:90" ht="13" x14ac:dyDescent="0.15">
      <c r="B132" s="13"/>
      <c r="C132" s="13"/>
      <c r="D132" s="13"/>
      <c r="E132" s="13"/>
      <c r="F132" s="13"/>
      <c r="G132" s="103"/>
      <c r="H132" s="103"/>
      <c r="I132" s="103"/>
      <c r="J132" s="103"/>
      <c r="K132" s="63"/>
      <c r="L132" s="63"/>
      <c r="M132" s="63"/>
      <c r="N132" s="63"/>
      <c r="O132" s="103"/>
      <c r="P132" s="103"/>
      <c r="Q132" s="103"/>
      <c r="R132" s="103"/>
      <c r="S132" s="63"/>
      <c r="T132" s="63"/>
      <c r="U132" s="63"/>
      <c r="V132" s="63"/>
      <c r="W132" s="103"/>
      <c r="X132" s="103"/>
      <c r="Y132" s="103"/>
      <c r="Z132" s="103"/>
      <c r="AA132" s="63"/>
      <c r="AB132" s="63"/>
      <c r="AC132" s="63"/>
      <c r="AD132" s="63"/>
      <c r="AE132" s="103"/>
      <c r="AF132" s="103"/>
      <c r="AG132" s="103"/>
      <c r="AH132" s="103"/>
      <c r="AI132" s="63"/>
      <c r="AJ132" s="63"/>
      <c r="AK132" s="63"/>
      <c r="AL132" s="63"/>
      <c r="AM132" s="103"/>
      <c r="AN132" s="103"/>
      <c r="AO132" s="103"/>
      <c r="AP132" s="103"/>
      <c r="AQ132" s="63"/>
      <c r="AR132" s="63"/>
      <c r="AS132" s="63"/>
      <c r="AT132" s="63"/>
      <c r="AU132" s="103"/>
      <c r="AV132" s="103"/>
      <c r="AW132" s="103"/>
      <c r="AX132" s="103"/>
      <c r="AY132" s="63"/>
      <c r="AZ132" s="63"/>
      <c r="BA132" s="63"/>
      <c r="BB132" s="63"/>
      <c r="BC132" s="103"/>
      <c r="BD132" s="103"/>
      <c r="BE132" s="103"/>
      <c r="BF132" s="103"/>
      <c r="BG132" s="63"/>
      <c r="BH132" s="63"/>
      <c r="BI132" s="63"/>
      <c r="BJ132" s="63"/>
      <c r="BK132" s="103"/>
      <c r="BL132" s="103"/>
      <c r="BM132" s="103"/>
      <c r="BN132" s="103"/>
      <c r="BO132" s="63"/>
      <c r="BP132" s="63"/>
      <c r="BQ132" s="63"/>
      <c r="BR132" s="63"/>
      <c r="BS132" s="103"/>
      <c r="BT132" s="103"/>
      <c r="BU132" s="103"/>
      <c r="BV132" s="103"/>
      <c r="BW132" s="63"/>
      <c r="BX132" s="63"/>
      <c r="BY132" s="63"/>
      <c r="BZ132" s="63"/>
      <c r="CA132" s="103"/>
      <c r="CB132" s="103"/>
      <c r="CC132" s="103"/>
      <c r="CD132" s="103"/>
      <c r="CE132" s="63"/>
      <c r="CF132" s="63"/>
      <c r="CG132" s="63"/>
      <c r="CH132" s="63"/>
      <c r="CI132" s="103"/>
      <c r="CJ132" s="103"/>
      <c r="CK132" s="103"/>
      <c r="CL132" s="103"/>
    </row>
    <row r="133" spans="2:90" ht="13" x14ac:dyDescent="0.15">
      <c r="B133" s="13"/>
      <c r="C133" s="13"/>
      <c r="D133" s="13"/>
      <c r="E133" s="13"/>
      <c r="F133" s="13"/>
      <c r="G133" s="103"/>
      <c r="H133" s="103"/>
      <c r="I133" s="103"/>
      <c r="J133" s="103"/>
      <c r="K133" s="63"/>
      <c r="L133" s="63"/>
      <c r="M133" s="63"/>
      <c r="N133" s="63"/>
      <c r="O133" s="103"/>
      <c r="P133" s="103"/>
      <c r="Q133" s="103"/>
      <c r="R133" s="103"/>
      <c r="S133" s="63"/>
      <c r="T133" s="63"/>
      <c r="U133" s="63"/>
      <c r="V133" s="63"/>
      <c r="W133" s="103"/>
      <c r="X133" s="103"/>
      <c r="Y133" s="103"/>
      <c r="Z133" s="103"/>
      <c r="AA133" s="63"/>
      <c r="AB133" s="63"/>
      <c r="AC133" s="63"/>
      <c r="AD133" s="63"/>
      <c r="AE133" s="103"/>
      <c r="AF133" s="103"/>
      <c r="AG133" s="103"/>
      <c r="AH133" s="103"/>
      <c r="AI133" s="63"/>
      <c r="AJ133" s="63"/>
      <c r="AK133" s="63"/>
      <c r="AL133" s="63"/>
      <c r="AM133" s="103"/>
      <c r="AN133" s="103"/>
      <c r="AO133" s="103"/>
      <c r="AP133" s="103"/>
      <c r="AQ133" s="63"/>
      <c r="AR133" s="63"/>
      <c r="AS133" s="63"/>
      <c r="AT133" s="63"/>
      <c r="AU133" s="103"/>
      <c r="AV133" s="103"/>
      <c r="AW133" s="103"/>
      <c r="AX133" s="103"/>
      <c r="AY133" s="63"/>
      <c r="AZ133" s="63"/>
      <c r="BA133" s="63"/>
      <c r="BB133" s="63"/>
      <c r="BC133" s="103"/>
      <c r="BD133" s="103"/>
      <c r="BE133" s="103"/>
      <c r="BF133" s="103"/>
      <c r="BG133" s="63"/>
      <c r="BH133" s="63"/>
      <c r="BI133" s="63"/>
      <c r="BJ133" s="63"/>
      <c r="BK133" s="103"/>
      <c r="BL133" s="103"/>
      <c r="BM133" s="103"/>
      <c r="BN133" s="103"/>
      <c r="BO133" s="63"/>
      <c r="BP133" s="63"/>
      <c r="BQ133" s="63"/>
      <c r="BR133" s="63"/>
      <c r="BS133" s="103"/>
      <c r="BT133" s="103"/>
      <c r="BU133" s="103"/>
      <c r="BV133" s="103"/>
      <c r="BW133" s="63"/>
      <c r="BX133" s="63"/>
      <c r="BY133" s="63"/>
      <c r="BZ133" s="63"/>
      <c r="CA133" s="103"/>
      <c r="CB133" s="103"/>
      <c r="CC133" s="103"/>
      <c r="CD133" s="103"/>
      <c r="CE133" s="63"/>
      <c r="CF133" s="63"/>
      <c r="CG133" s="63"/>
      <c r="CH133" s="63"/>
      <c r="CI133" s="103"/>
      <c r="CJ133" s="103"/>
      <c r="CK133" s="103"/>
      <c r="CL133" s="103"/>
    </row>
    <row r="134" spans="2:90" ht="13" x14ac:dyDescent="0.15">
      <c r="B134" s="13"/>
      <c r="C134" s="13"/>
      <c r="D134" s="13"/>
      <c r="E134" s="13"/>
      <c r="F134" s="13"/>
      <c r="G134" s="103"/>
      <c r="H134" s="103"/>
      <c r="I134" s="103"/>
      <c r="J134" s="103"/>
      <c r="K134" s="63"/>
      <c r="L134" s="63"/>
      <c r="M134" s="63"/>
      <c r="N134" s="63"/>
      <c r="O134" s="103"/>
      <c r="P134" s="103"/>
      <c r="Q134" s="103"/>
      <c r="R134" s="103"/>
      <c r="S134" s="63"/>
      <c r="T134" s="63"/>
      <c r="U134" s="63"/>
      <c r="V134" s="63"/>
      <c r="W134" s="103"/>
      <c r="X134" s="103"/>
      <c r="Y134" s="103"/>
      <c r="Z134" s="103"/>
      <c r="AA134" s="63"/>
      <c r="AB134" s="63"/>
      <c r="AC134" s="63"/>
      <c r="AD134" s="63"/>
      <c r="AE134" s="103"/>
      <c r="AF134" s="103"/>
      <c r="AG134" s="103"/>
      <c r="AH134" s="103"/>
      <c r="AI134" s="63"/>
      <c r="AJ134" s="63"/>
      <c r="AK134" s="63"/>
      <c r="AL134" s="63"/>
      <c r="AM134" s="103"/>
      <c r="AN134" s="103"/>
      <c r="AO134" s="103"/>
      <c r="AP134" s="103"/>
      <c r="AQ134" s="63"/>
      <c r="AR134" s="63"/>
      <c r="AS134" s="63"/>
      <c r="AT134" s="63"/>
      <c r="AU134" s="103"/>
      <c r="AV134" s="103"/>
      <c r="AW134" s="103"/>
      <c r="AX134" s="103"/>
      <c r="AY134" s="63"/>
      <c r="AZ134" s="63"/>
      <c r="BA134" s="63"/>
      <c r="BB134" s="63"/>
      <c r="BC134" s="103"/>
      <c r="BD134" s="103"/>
      <c r="BE134" s="103"/>
      <c r="BF134" s="103"/>
      <c r="BG134" s="63"/>
      <c r="BH134" s="63"/>
      <c r="BI134" s="63"/>
      <c r="BJ134" s="63"/>
      <c r="BK134" s="103"/>
      <c r="BL134" s="103"/>
      <c r="BM134" s="103"/>
      <c r="BN134" s="103"/>
      <c r="BO134" s="63"/>
      <c r="BP134" s="63"/>
      <c r="BQ134" s="63"/>
      <c r="BR134" s="63"/>
      <c r="BS134" s="103"/>
      <c r="BT134" s="103"/>
      <c r="BU134" s="103"/>
      <c r="BV134" s="103"/>
      <c r="BW134" s="63"/>
      <c r="BX134" s="63"/>
      <c r="BY134" s="63"/>
      <c r="BZ134" s="63"/>
      <c r="CA134" s="103"/>
      <c r="CB134" s="103"/>
      <c r="CC134" s="103"/>
      <c r="CD134" s="103"/>
      <c r="CE134" s="63"/>
      <c r="CF134" s="63"/>
      <c r="CG134" s="63"/>
      <c r="CH134" s="63"/>
      <c r="CI134" s="103"/>
      <c r="CJ134" s="103"/>
      <c r="CK134" s="103"/>
      <c r="CL134" s="103"/>
    </row>
    <row r="135" spans="2:90" ht="13" x14ac:dyDescent="0.15">
      <c r="B135" s="13"/>
      <c r="C135" s="13"/>
      <c r="D135" s="13"/>
      <c r="E135" s="13"/>
      <c r="F135" s="13"/>
      <c r="G135" s="103"/>
      <c r="H135" s="103"/>
      <c r="I135" s="103"/>
      <c r="J135" s="103"/>
      <c r="K135" s="63"/>
      <c r="L135" s="63"/>
      <c r="M135" s="63"/>
      <c r="N135" s="63"/>
      <c r="O135" s="103"/>
      <c r="P135" s="103"/>
      <c r="Q135" s="103"/>
      <c r="R135" s="103"/>
      <c r="S135" s="63"/>
      <c r="T135" s="63"/>
      <c r="U135" s="63"/>
      <c r="V135" s="63"/>
      <c r="W135" s="103"/>
      <c r="X135" s="103"/>
      <c r="Y135" s="103"/>
      <c r="Z135" s="103"/>
      <c r="AA135" s="63"/>
      <c r="AB135" s="63"/>
      <c r="AC135" s="63"/>
      <c r="AD135" s="63"/>
      <c r="AE135" s="103"/>
      <c r="AF135" s="103"/>
      <c r="AG135" s="103"/>
      <c r="AH135" s="103"/>
      <c r="AI135" s="63"/>
      <c r="AJ135" s="63"/>
      <c r="AK135" s="63"/>
      <c r="AL135" s="63"/>
      <c r="AM135" s="103"/>
      <c r="AN135" s="103"/>
      <c r="AO135" s="103"/>
      <c r="AP135" s="103"/>
      <c r="AQ135" s="63"/>
      <c r="AR135" s="63"/>
      <c r="AS135" s="63"/>
      <c r="AT135" s="63"/>
      <c r="AU135" s="103"/>
      <c r="AV135" s="103"/>
      <c r="AW135" s="103"/>
      <c r="AX135" s="103"/>
      <c r="AY135" s="63"/>
      <c r="AZ135" s="63"/>
      <c r="BA135" s="63"/>
      <c r="BB135" s="63"/>
      <c r="BC135" s="103"/>
      <c r="BD135" s="103"/>
      <c r="BE135" s="103"/>
      <c r="BF135" s="103"/>
      <c r="BG135" s="63"/>
      <c r="BH135" s="63"/>
      <c r="BI135" s="63"/>
      <c r="BJ135" s="63"/>
      <c r="BK135" s="103"/>
      <c r="BL135" s="103"/>
      <c r="BM135" s="103"/>
      <c r="BN135" s="103"/>
      <c r="BO135" s="63"/>
      <c r="BP135" s="63"/>
      <c r="BQ135" s="63"/>
      <c r="BR135" s="63"/>
      <c r="BS135" s="103"/>
      <c r="BT135" s="103"/>
      <c r="BU135" s="103"/>
      <c r="BV135" s="103"/>
      <c r="BW135" s="63"/>
      <c r="BX135" s="63"/>
      <c r="BY135" s="63"/>
      <c r="BZ135" s="63"/>
      <c r="CA135" s="103"/>
      <c r="CB135" s="103"/>
      <c r="CC135" s="103"/>
      <c r="CD135" s="103"/>
      <c r="CE135" s="63"/>
      <c r="CF135" s="63"/>
      <c r="CG135" s="63"/>
      <c r="CH135" s="63"/>
      <c r="CI135" s="103"/>
      <c r="CJ135" s="103"/>
      <c r="CK135" s="103"/>
      <c r="CL135" s="103"/>
    </row>
    <row r="136" spans="2:90" ht="13" x14ac:dyDescent="0.15">
      <c r="B136" s="13"/>
      <c r="C136" s="13"/>
      <c r="D136" s="13"/>
      <c r="E136" s="13"/>
      <c r="F136" s="13"/>
      <c r="G136" s="103"/>
      <c r="H136" s="103"/>
      <c r="I136" s="103"/>
      <c r="J136" s="103"/>
      <c r="K136" s="63"/>
      <c r="L136" s="63"/>
      <c r="M136" s="63"/>
      <c r="N136" s="63"/>
      <c r="O136" s="103"/>
      <c r="P136" s="103"/>
      <c r="Q136" s="103"/>
      <c r="R136" s="103"/>
      <c r="S136" s="63"/>
      <c r="T136" s="63"/>
      <c r="U136" s="63"/>
      <c r="V136" s="63"/>
      <c r="W136" s="103"/>
      <c r="X136" s="103"/>
      <c r="Y136" s="103"/>
      <c r="Z136" s="103"/>
      <c r="AA136" s="63"/>
      <c r="AB136" s="63"/>
      <c r="AC136" s="63"/>
      <c r="AD136" s="63"/>
      <c r="AE136" s="103"/>
      <c r="AF136" s="103"/>
      <c r="AG136" s="103"/>
      <c r="AH136" s="103"/>
      <c r="AI136" s="63"/>
      <c r="AJ136" s="63"/>
      <c r="AK136" s="63"/>
      <c r="AL136" s="63"/>
      <c r="AM136" s="103"/>
      <c r="AN136" s="103"/>
      <c r="AO136" s="103"/>
      <c r="AP136" s="103"/>
      <c r="AQ136" s="63"/>
      <c r="AR136" s="63"/>
      <c r="AS136" s="63"/>
      <c r="AT136" s="63"/>
      <c r="AU136" s="103"/>
      <c r="AV136" s="103"/>
      <c r="AW136" s="103"/>
      <c r="AX136" s="103"/>
      <c r="AY136" s="63"/>
      <c r="AZ136" s="63"/>
      <c r="BA136" s="63"/>
      <c r="BB136" s="63"/>
      <c r="BC136" s="103"/>
      <c r="BD136" s="103"/>
      <c r="BE136" s="103"/>
      <c r="BF136" s="103"/>
      <c r="BG136" s="63"/>
      <c r="BH136" s="63"/>
      <c r="BI136" s="63"/>
      <c r="BJ136" s="63"/>
      <c r="BK136" s="103"/>
      <c r="BL136" s="103"/>
      <c r="BM136" s="103"/>
      <c r="BN136" s="103"/>
      <c r="BO136" s="63"/>
      <c r="BP136" s="63"/>
      <c r="BQ136" s="63"/>
      <c r="BR136" s="63"/>
      <c r="BS136" s="103"/>
      <c r="BT136" s="103"/>
      <c r="BU136" s="103"/>
      <c r="BV136" s="103"/>
      <c r="BW136" s="63"/>
      <c r="BX136" s="63"/>
      <c r="BY136" s="63"/>
      <c r="BZ136" s="63"/>
      <c r="CA136" s="103"/>
      <c r="CB136" s="103"/>
      <c r="CC136" s="103"/>
      <c r="CD136" s="103"/>
      <c r="CE136" s="63"/>
      <c r="CF136" s="63"/>
      <c r="CG136" s="63"/>
      <c r="CH136" s="63"/>
      <c r="CI136" s="103"/>
      <c r="CJ136" s="103"/>
      <c r="CK136" s="103"/>
      <c r="CL136" s="103"/>
    </row>
    <row r="137" spans="2:90" ht="13" x14ac:dyDescent="0.15">
      <c r="B137" s="13"/>
      <c r="C137" s="13"/>
      <c r="D137" s="13"/>
      <c r="E137" s="13"/>
      <c r="F137" s="13"/>
      <c r="G137" s="103"/>
      <c r="H137" s="103"/>
      <c r="I137" s="103"/>
      <c r="J137" s="103"/>
      <c r="K137" s="63"/>
      <c r="L137" s="63"/>
      <c r="M137" s="63"/>
      <c r="N137" s="63"/>
      <c r="O137" s="103"/>
      <c r="P137" s="103"/>
      <c r="Q137" s="103"/>
      <c r="R137" s="103"/>
      <c r="S137" s="63"/>
      <c r="T137" s="63"/>
      <c r="U137" s="63"/>
      <c r="V137" s="63"/>
      <c r="W137" s="103"/>
      <c r="X137" s="103"/>
      <c r="Y137" s="103"/>
      <c r="Z137" s="103"/>
      <c r="AA137" s="63"/>
      <c r="AB137" s="63"/>
      <c r="AC137" s="63"/>
      <c r="AD137" s="63"/>
      <c r="AE137" s="103"/>
      <c r="AF137" s="103"/>
      <c r="AG137" s="103"/>
      <c r="AH137" s="103"/>
      <c r="AI137" s="63"/>
      <c r="AJ137" s="63"/>
      <c r="AK137" s="63"/>
      <c r="AL137" s="63"/>
      <c r="AM137" s="103"/>
      <c r="AN137" s="103"/>
      <c r="AO137" s="103"/>
      <c r="AP137" s="103"/>
      <c r="AQ137" s="63"/>
      <c r="AR137" s="63"/>
      <c r="AS137" s="63"/>
      <c r="AT137" s="63"/>
      <c r="AU137" s="103"/>
      <c r="AV137" s="103"/>
      <c r="AW137" s="103"/>
      <c r="AX137" s="103"/>
      <c r="AY137" s="63"/>
      <c r="AZ137" s="63"/>
      <c r="BA137" s="63"/>
      <c r="BB137" s="63"/>
      <c r="BC137" s="103"/>
      <c r="BD137" s="103"/>
      <c r="BE137" s="103"/>
      <c r="BF137" s="103"/>
      <c r="BG137" s="63"/>
      <c r="BH137" s="63"/>
      <c r="BI137" s="63"/>
      <c r="BJ137" s="63"/>
      <c r="BK137" s="103"/>
      <c r="BL137" s="103"/>
      <c r="BM137" s="103"/>
      <c r="BN137" s="103"/>
      <c r="BO137" s="63"/>
      <c r="BP137" s="63"/>
      <c r="BQ137" s="63"/>
      <c r="BR137" s="63"/>
      <c r="BS137" s="103"/>
      <c r="BT137" s="103"/>
      <c r="BU137" s="103"/>
      <c r="BV137" s="103"/>
      <c r="BW137" s="63"/>
      <c r="BX137" s="63"/>
      <c r="BY137" s="63"/>
      <c r="BZ137" s="63"/>
      <c r="CA137" s="103"/>
      <c r="CB137" s="103"/>
      <c r="CC137" s="103"/>
      <c r="CD137" s="103"/>
      <c r="CE137" s="63"/>
      <c r="CF137" s="63"/>
      <c r="CG137" s="63"/>
      <c r="CH137" s="63"/>
      <c r="CI137" s="103"/>
      <c r="CJ137" s="103"/>
      <c r="CK137" s="103"/>
      <c r="CL137" s="103"/>
    </row>
    <row r="138" spans="2:90" ht="13" x14ac:dyDescent="0.15">
      <c r="B138" s="13"/>
      <c r="C138" s="13"/>
      <c r="D138" s="13"/>
      <c r="E138" s="13"/>
      <c r="F138" s="13"/>
      <c r="G138" s="103"/>
      <c r="H138" s="103"/>
      <c r="I138" s="103"/>
      <c r="J138" s="103"/>
      <c r="K138" s="63"/>
      <c r="L138" s="63"/>
      <c r="M138" s="63"/>
      <c r="N138" s="63"/>
      <c r="O138" s="103"/>
      <c r="P138" s="103"/>
      <c r="Q138" s="103"/>
      <c r="R138" s="103"/>
      <c r="S138" s="63"/>
      <c r="T138" s="63"/>
      <c r="U138" s="63"/>
      <c r="V138" s="63"/>
      <c r="W138" s="103"/>
      <c r="X138" s="103"/>
      <c r="Y138" s="103"/>
      <c r="Z138" s="103"/>
      <c r="AA138" s="63"/>
      <c r="AB138" s="63"/>
      <c r="AC138" s="63"/>
      <c r="AD138" s="63"/>
      <c r="AE138" s="103"/>
      <c r="AF138" s="103"/>
      <c r="AG138" s="103"/>
      <c r="AH138" s="103"/>
      <c r="AI138" s="63"/>
      <c r="AJ138" s="63"/>
      <c r="AK138" s="63"/>
      <c r="AL138" s="63"/>
      <c r="AM138" s="103"/>
      <c r="AN138" s="103"/>
      <c r="AO138" s="103"/>
      <c r="AP138" s="103"/>
      <c r="AQ138" s="63"/>
      <c r="AR138" s="63"/>
      <c r="AS138" s="63"/>
      <c r="AT138" s="63"/>
      <c r="AU138" s="103"/>
      <c r="AV138" s="103"/>
      <c r="AW138" s="103"/>
      <c r="AX138" s="103"/>
      <c r="AY138" s="63"/>
      <c r="AZ138" s="63"/>
      <c r="BA138" s="63"/>
      <c r="BB138" s="63"/>
      <c r="BC138" s="103"/>
      <c r="BD138" s="103"/>
      <c r="BE138" s="103"/>
      <c r="BF138" s="103"/>
      <c r="BG138" s="63"/>
      <c r="BH138" s="63"/>
      <c r="BI138" s="63"/>
      <c r="BJ138" s="63"/>
      <c r="BK138" s="103"/>
      <c r="BL138" s="103"/>
      <c r="BM138" s="103"/>
      <c r="BN138" s="103"/>
      <c r="BO138" s="63"/>
      <c r="BP138" s="63"/>
      <c r="BQ138" s="63"/>
      <c r="BR138" s="63"/>
      <c r="BS138" s="103"/>
      <c r="BT138" s="103"/>
      <c r="BU138" s="103"/>
      <c r="BV138" s="103"/>
      <c r="BW138" s="63"/>
      <c r="BX138" s="63"/>
      <c r="BY138" s="63"/>
      <c r="BZ138" s="63"/>
      <c r="CA138" s="103"/>
      <c r="CB138" s="103"/>
      <c r="CC138" s="103"/>
      <c r="CD138" s="103"/>
      <c r="CE138" s="63"/>
      <c r="CF138" s="63"/>
      <c r="CG138" s="63"/>
      <c r="CH138" s="63"/>
      <c r="CI138" s="103"/>
      <c r="CJ138" s="103"/>
      <c r="CK138" s="103"/>
      <c r="CL138" s="103"/>
    </row>
    <row r="139" spans="2:90" ht="13" x14ac:dyDescent="0.15">
      <c r="B139" s="13"/>
      <c r="C139" s="13"/>
      <c r="D139" s="13"/>
      <c r="E139" s="13"/>
      <c r="F139" s="13"/>
      <c r="G139" s="103"/>
      <c r="H139" s="103"/>
      <c r="I139" s="103"/>
      <c r="J139" s="103"/>
      <c r="K139" s="63"/>
      <c r="L139" s="63"/>
      <c r="M139" s="63"/>
      <c r="N139" s="63"/>
      <c r="O139" s="103"/>
      <c r="P139" s="103"/>
      <c r="Q139" s="103"/>
      <c r="R139" s="103"/>
      <c r="S139" s="63"/>
      <c r="T139" s="63"/>
      <c r="U139" s="63"/>
      <c r="V139" s="63"/>
      <c r="W139" s="103"/>
      <c r="X139" s="103"/>
      <c r="Y139" s="103"/>
      <c r="Z139" s="103"/>
      <c r="AA139" s="63"/>
      <c r="AB139" s="63"/>
      <c r="AC139" s="63"/>
      <c r="AD139" s="63"/>
      <c r="AE139" s="103"/>
      <c r="AF139" s="103"/>
      <c r="AG139" s="103"/>
      <c r="AH139" s="103"/>
      <c r="AI139" s="63"/>
      <c r="AJ139" s="63"/>
      <c r="AK139" s="63"/>
      <c r="AL139" s="63"/>
      <c r="AM139" s="103"/>
      <c r="AN139" s="103"/>
      <c r="AO139" s="103"/>
      <c r="AP139" s="103"/>
      <c r="AQ139" s="63"/>
      <c r="AR139" s="63"/>
      <c r="AS139" s="63"/>
      <c r="AT139" s="63"/>
      <c r="AU139" s="103"/>
      <c r="AV139" s="103"/>
      <c r="AW139" s="103"/>
      <c r="AX139" s="103"/>
      <c r="AY139" s="63"/>
      <c r="AZ139" s="63"/>
      <c r="BA139" s="63"/>
      <c r="BB139" s="63"/>
      <c r="BC139" s="103"/>
      <c r="BD139" s="103"/>
      <c r="BE139" s="103"/>
      <c r="BF139" s="103"/>
      <c r="BG139" s="63"/>
      <c r="BH139" s="63"/>
      <c r="BI139" s="63"/>
      <c r="BJ139" s="63"/>
      <c r="BK139" s="103"/>
      <c r="BL139" s="103"/>
      <c r="BM139" s="103"/>
      <c r="BN139" s="103"/>
      <c r="BO139" s="63"/>
      <c r="BP139" s="63"/>
      <c r="BQ139" s="63"/>
      <c r="BR139" s="63"/>
      <c r="BS139" s="103"/>
      <c r="BT139" s="103"/>
      <c r="BU139" s="103"/>
      <c r="BV139" s="103"/>
      <c r="BW139" s="63"/>
      <c r="BX139" s="63"/>
      <c r="BY139" s="63"/>
      <c r="BZ139" s="63"/>
      <c r="CA139" s="103"/>
      <c r="CB139" s="103"/>
      <c r="CC139" s="103"/>
      <c r="CD139" s="103"/>
      <c r="CE139" s="63"/>
      <c r="CF139" s="63"/>
      <c r="CG139" s="63"/>
      <c r="CH139" s="63"/>
      <c r="CI139" s="103"/>
      <c r="CJ139" s="103"/>
      <c r="CK139" s="103"/>
      <c r="CL139" s="103"/>
    </row>
    <row r="140" spans="2:90" ht="13" x14ac:dyDescent="0.15">
      <c r="B140" s="13"/>
      <c r="C140" s="13"/>
      <c r="D140" s="13"/>
      <c r="E140" s="13"/>
      <c r="F140" s="13"/>
      <c r="G140" s="103"/>
      <c r="H140" s="103"/>
      <c r="I140" s="103"/>
      <c r="J140" s="103"/>
      <c r="K140" s="63"/>
      <c r="L140" s="63"/>
      <c r="M140" s="63"/>
      <c r="N140" s="63"/>
      <c r="O140" s="103"/>
      <c r="P140" s="103"/>
      <c r="Q140" s="103"/>
      <c r="R140" s="103"/>
      <c r="S140" s="63"/>
      <c r="T140" s="63"/>
      <c r="U140" s="63"/>
      <c r="V140" s="63"/>
      <c r="W140" s="103"/>
      <c r="X140" s="103"/>
      <c r="Y140" s="103"/>
      <c r="Z140" s="103"/>
      <c r="AA140" s="63"/>
      <c r="AB140" s="63"/>
      <c r="AC140" s="63"/>
      <c r="AD140" s="63"/>
      <c r="AE140" s="103"/>
      <c r="AF140" s="103"/>
      <c r="AG140" s="103"/>
      <c r="AH140" s="103"/>
      <c r="AI140" s="63"/>
      <c r="AJ140" s="63"/>
      <c r="AK140" s="63"/>
      <c r="AL140" s="63"/>
      <c r="AM140" s="103"/>
      <c r="AN140" s="103"/>
      <c r="AO140" s="103"/>
      <c r="AP140" s="103"/>
      <c r="AQ140" s="63"/>
      <c r="AR140" s="63"/>
      <c r="AS140" s="63"/>
      <c r="AT140" s="63"/>
      <c r="AU140" s="103"/>
      <c r="AV140" s="103"/>
      <c r="AW140" s="103"/>
      <c r="AX140" s="103"/>
      <c r="AY140" s="63"/>
      <c r="AZ140" s="63"/>
      <c r="BA140" s="63"/>
      <c r="BB140" s="63"/>
      <c r="BC140" s="103"/>
      <c r="BD140" s="103"/>
      <c r="BE140" s="103"/>
      <c r="BF140" s="103"/>
      <c r="BG140" s="63"/>
      <c r="BH140" s="63"/>
      <c r="BI140" s="63"/>
      <c r="BJ140" s="63"/>
      <c r="BK140" s="103"/>
      <c r="BL140" s="103"/>
      <c r="BM140" s="103"/>
      <c r="BN140" s="103"/>
      <c r="BO140" s="63"/>
      <c r="BP140" s="63"/>
      <c r="BQ140" s="63"/>
      <c r="BR140" s="63"/>
      <c r="BS140" s="103"/>
      <c r="BT140" s="103"/>
      <c r="BU140" s="103"/>
      <c r="BV140" s="103"/>
      <c r="BW140" s="63"/>
      <c r="BX140" s="63"/>
      <c r="BY140" s="63"/>
      <c r="BZ140" s="63"/>
      <c r="CA140" s="103"/>
      <c r="CB140" s="103"/>
      <c r="CC140" s="103"/>
      <c r="CD140" s="103"/>
      <c r="CE140" s="63"/>
      <c r="CF140" s="63"/>
      <c r="CG140" s="63"/>
      <c r="CH140" s="63"/>
      <c r="CI140" s="103"/>
      <c r="CJ140" s="103"/>
      <c r="CK140" s="103"/>
      <c r="CL140" s="103"/>
    </row>
    <row r="141" spans="2:90" ht="13" x14ac:dyDescent="0.15">
      <c r="B141" s="13"/>
      <c r="C141" s="13"/>
      <c r="D141" s="13"/>
      <c r="E141" s="13"/>
      <c r="F141" s="13"/>
      <c r="G141" s="103"/>
      <c r="H141" s="103"/>
      <c r="I141" s="103"/>
      <c r="J141" s="103"/>
      <c r="K141" s="63"/>
      <c r="L141" s="63"/>
      <c r="M141" s="63"/>
      <c r="N141" s="63"/>
      <c r="O141" s="103"/>
      <c r="P141" s="103"/>
      <c r="Q141" s="103"/>
      <c r="R141" s="103"/>
      <c r="S141" s="63"/>
      <c r="T141" s="63"/>
      <c r="U141" s="63"/>
      <c r="V141" s="63"/>
      <c r="W141" s="103"/>
      <c r="X141" s="103"/>
      <c r="Y141" s="103"/>
      <c r="Z141" s="103"/>
      <c r="AA141" s="63"/>
      <c r="AB141" s="63"/>
      <c r="AC141" s="63"/>
      <c r="AD141" s="63"/>
      <c r="AE141" s="103"/>
      <c r="AF141" s="103"/>
      <c r="AG141" s="103"/>
      <c r="AH141" s="103"/>
      <c r="AI141" s="63"/>
      <c r="AJ141" s="63"/>
      <c r="AK141" s="63"/>
      <c r="AL141" s="63"/>
      <c r="AM141" s="103"/>
      <c r="AN141" s="103"/>
      <c r="AO141" s="103"/>
      <c r="AP141" s="103"/>
      <c r="AQ141" s="63"/>
      <c r="AR141" s="63"/>
      <c r="AS141" s="63"/>
      <c r="AT141" s="63"/>
      <c r="AU141" s="103"/>
      <c r="AV141" s="103"/>
      <c r="AW141" s="103"/>
      <c r="AX141" s="103"/>
      <c r="AY141" s="63"/>
      <c r="AZ141" s="63"/>
      <c r="BA141" s="63"/>
      <c r="BB141" s="63"/>
      <c r="BC141" s="103"/>
      <c r="BD141" s="103"/>
      <c r="BE141" s="103"/>
      <c r="BF141" s="103"/>
      <c r="BG141" s="63"/>
      <c r="BH141" s="63"/>
      <c r="BI141" s="63"/>
      <c r="BJ141" s="63"/>
      <c r="BK141" s="103"/>
      <c r="BL141" s="103"/>
      <c r="BM141" s="103"/>
      <c r="BN141" s="103"/>
      <c r="BO141" s="63"/>
      <c r="BP141" s="63"/>
      <c r="BQ141" s="63"/>
      <c r="BR141" s="63"/>
      <c r="BS141" s="103"/>
      <c r="BT141" s="103"/>
      <c r="BU141" s="103"/>
      <c r="BV141" s="103"/>
      <c r="BW141" s="63"/>
      <c r="BX141" s="63"/>
      <c r="BY141" s="63"/>
      <c r="BZ141" s="63"/>
      <c r="CA141" s="103"/>
      <c r="CB141" s="103"/>
      <c r="CC141" s="103"/>
      <c r="CD141" s="103"/>
      <c r="CE141" s="63"/>
      <c r="CF141" s="63"/>
      <c r="CG141" s="63"/>
      <c r="CH141" s="63"/>
      <c r="CI141" s="103"/>
      <c r="CJ141" s="103"/>
      <c r="CK141" s="103"/>
      <c r="CL141" s="103"/>
    </row>
    <row r="142" spans="2:90" ht="13" x14ac:dyDescent="0.15">
      <c r="B142" s="13"/>
      <c r="C142" s="13"/>
      <c r="D142" s="13"/>
      <c r="E142" s="13"/>
      <c r="F142" s="13"/>
      <c r="G142" s="103"/>
      <c r="H142" s="103"/>
      <c r="I142" s="103"/>
      <c r="J142" s="103"/>
      <c r="K142" s="63"/>
      <c r="L142" s="63"/>
      <c r="M142" s="63"/>
      <c r="N142" s="63"/>
      <c r="O142" s="103"/>
      <c r="P142" s="103"/>
      <c r="Q142" s="103"/>
      <c r="R142" s="103"/>
      <c r="S142" s="63"/>
      <c r="T142" s="63"/>
      <c r="U142" s="63"/>
      <c r="V142" s="63"/>
      <c r="W142" s="103"/>
      <c r="X142" s="103"/>
      <c r="Y142" s="103"/>
      <c r="Z142" s="103"/>
      <c r="AA142" s="63"/>
      <c r="AB142" s="63"/>
      <c r="AC142" s="63"/>
      <c r="AD142" s="63"/>
      <c r="AE142" s="103"/>
      <c r="AF142" s="103"/>
      <c r="AG142" s="103"/>
      <c r="AH142" s="103"/>
      <c r="AI142" s="63"/>
      <c r="AJ142" s="63"/>
      <c r="AK142" s="63"/>
      <c r="AL142" s="63"/>
      <c r="AM142" s="103"/>
      <c r="AN142" s="103"/>
      <c r="AO142" s="103"/>
      <c r="AP142" s="103"/>
      <c r="AQ142" s="63"/>
      <c r="AR142" s="63"/>
      <c r="AS142" s="63"/>
      <c r="AT142" s="63"/>
      <c r="AU142" s="103"/>
      <c r="AV142" s="103"/>
      <c r="AW142" s="103"/>
      <c r="AX142" s="103"/>
      <c r="AY142" s="63"/>
      <c r="AZ142" s="63"/>
      <c r="BA142" s="63"/>
      <c r="BB142" s="63"/>
      <c r="BC142" s="103"/>
      <c r="BD142" s="103"/>
      <c r="BE142" s="103"/>
      <c r="BF142" s="103"/>
      <c r="BG142" s="63"/>
      <c r="BH142" s="63"/>
      <c r="BI142" s="63"/>
      <c r="BJ142" s="63"/>
      <c r="BK142" s="103"/>
      <c r="BL142" s="103"/>
      <c r="BM142" s="103"/>
      <c r="BN142" s="103"/>
      <c r="BO142" s="63"/>
      <c r="BP142" s="63"/>
      <c r="BQ142" s="63"/>
      <c r="BR142" s="63"/>
      <c r="BS142" s="103"/>
      <c r="BT142" s="103"/>
      <c r="BU142" s="103"/>
      <c r="BV142" s="103"/>
      <c r="BW142" s="63"/>
      <c r="BX142" s="63"/>
      <c r="BY142" s="63"/>
      <c r="BZ142" s="63"/>
      <c r="CA142" s="103"/>
      <c r="CB142" s="103"/>
      <c r="CC142" s="103"/>
      <c r="CD142" s="103"/>
      <c r="CE142" s="63"/>
      <c r="CF142" s="63"/>
      <c r="CG142" s="63"/>
      <c r="CH142" s="63"/>
      <c r="CI142" s="103"/>
      <c r="CJ142" s="103"/>
      <c r="CK142" s="103"/>
      <c r="CL142" s="103"/>
    </row>
    <row r="143" spans="2:90" ht="13" x14ac:dyDescent="0.15">
      <c r="B143" s="13"/>
      <c r="C143" s="13"/>
      <c r="D143" s="13"/>
      <c r="E143" s="13"/>
      <c r="F143" s="13"/>
      <c r="G143" s="103"/>
      <c r="H143" s="103"/>
      <c r="I143" s="103"/>
      <c r="J143" s="103"/>
      <c r="K143" s="63"/>
      <c r="L143" s="63"/>
      <c r="M143" s="63"/>
      <c r="N143" s="63"/>
      <c r="O143" s="103"/>
      <c r="P143" s="103"/>
      <c r="Q143" s="103"/>
      <c r="R143" s="103"/>
      <c r="S143" s="63"/>
      <c r="T143" s="63"/>
      <c r="U143" s="63"/>
      <c r="V143" s="63"/>
      <c r="W143" s="103"/>
      <c r="X143" s="103"/>
      <c r="Y143" s="103"/>
      <c r="Z143" s="103"/>
      <c r="AA143" s="63"/>
      <c r="AB143" s="63"/>
      <c r="AC143" s="63"/>
      <c r="AD143" s="63"/>
      <c r="AE143" s="103"/>
      <c r="AF143" s="103"/>
      <c r="AG143" s="103"/>
      <c r="AH143" s="103"/>
      <c r="AI143" s="63"/>
      <c r="AJ143" s="63"/>
      <c r="AK143" s="63"/>
      <c r="AL143" s="63"/>
      <c r="AM143" s="103"/>
      <c r="AN143" s="103"/>
      <c r="AO143" s="103"/>
      <c r="AP143" s="103"/>
      <c r="AQ143" s="63"/>
      <c r="AR143" s="63"/>
      <c r="AS143" s="63"/>
      <c r="AT143" s="63"/>
      <c r="AU143" s="103"/>
      <c r="AV143" s="103"/>
      <c r="AW143" s="103"/>
      <c r="AX143" s="103"/>
      <c r="AY143" s="63"/>
      <c r="AZ143" s="63"/>
      <c r="BA143" s="63"/>
      <c r="BB143" s="63"/>
      <c r="BC143" s="103"/>
      <c r="BD143" s="103"/>
      <c r="BE143" s="103"/>
      <c r="BF143" s="103"/>
      <c r="BG143" s="63"/>
      <c r="BH143" s="63"/>
      <c r="BI143" s="63"/>
      <c r="BJ143" s="63"/>
      <c r="BK143" s="103"/>
      <c r="BL143" s="103"/>
      <c r="BM143" s="103"/>
      <c r="BN143" s="103"/>
      <c r="BO143" s="63"/>
      <c r="BP143" s="63"/>
      <c r="BQ143" s="63"/>
      <c r="BR143" s="63"/>
      <c r="BS143" s="103"/>
      <c r="BT143" s="103"/>
      <c r="BU143" s="103"/>
      <c r="BV143" s="103"/>
      <c r="BW143" s="63"/>
      <c r="BX143" s="63"/>
      <c r="BY143" s="63"/>
      <c r="BZ143" s="63"/>
      <c r="CA143" s="103"/>
      <c r="CB143" s="103"/>
      <c r="CC143" s="103"/>
      <c r="CD143" s="103"/>
      <c r="CE143" s="63"/>
      <c r="CF143" s="63"/>
      <c r="CG143" s="63"/>
      <c r="CH143" s="63"/>
      <c r="CI143" s="103"/>
      <c r="CJ143" s="103"/>
      <c r="CK143" s="103"/>
      <c r="CL143" s="103"/>
    </row>
    <row r="144" spans="2:90" ht="13" x14ac:dyDescent="0.15">
      <c r="B144" s="13"/>
      <c r="C144" s="13"/>
      <c r="D144" s="13"/>
      <c r="E144" s="13"/>
      <c r="F144" s="13"/>
      <c r="G144" s="103"/>
      <c r="H144" s="103"/>
      <c r="I144" s="103"/>
      <c r="J144" s="103"/>
      <c r="K144" s="63"/>
      <c r="L144" s="63"/>
      <c r="M144" s="63"/>
      <c r="N144" s="63"/>
      <c r="O144" s="103"/>
      <c r="P144" s="103"/>
      <c r="Q144" s="103"/>
      <c r="R144" s="103"/>
      <c r="S144" s="63"/>
      <c r="T144" s="63"/>
      <c r="U144" s="63"/>
      <c r="V144" s="63"/>
      <c r="W144" s="103"/>
      <c r="X144" s="103"/>
      <c r="Y144" s="103"/>
      <c r="Z144" s="103"/>
      <c r="AA144" s="63"/>
      <c r="AB144" s="63"/>
      <c r="AC144" s="63"/>
      <c r="AD144" s="63"/>
      <c r="AE144" s="103"/>
      <c r="AF144" s="103"/>
      <c r="AG144" s="103"/>
      <c r="AH144" s="103"/>
      <c r="AI144" s="63"/>
      <c r="AJ144" s="63"/>
      <c r="AK144" s="63"/>
      <c r="AL144" s="63"/>
      <c r="AM144" s="103"/>
      <c r="AN144" s="103"/>
      <c r="AO144" s="103"/>
      <c r="AP144" s="103"/>
      <c r="AQ144" s="63"/>
      <c r="AR144" s="63"/>
      <c r="AS144" s="63"/>
      <c r="AT144" s="63"/>
      <c r="AU144" s="103"/>
      <c r="AV144" s="103"/>
      <c r="AW144" s="103"/>
      <c r="AX144" s="103"/>
      <c r="AY144" s="63"/>
      <c r="AZ144" s="63"/>
      <c r="BA144" s="63"/>
      <c r="BB144" s="63"/>
      <c r="BC144" s="103"/>
      <c r="BD144" s="103"/>
      <c r="BE144" s="103"/>
      <c r="BF144" s="103"/>
      <c r="BG144" s="63"/>
      <c r="BH144" s="63"/>
      <c r="BI144" s="63"/>
      <c r="BJ144" s="63"/>
      <c r="BK144" s="103"/>
      <c r="BL144" s="103"/>
      <c r="BM144" s="103"/>
      <c r="BN144" s="103"/>
      <c r="BO144" s="63"/>
      <c r="BP144" s="63"/>
      <c r="BQ144" s="63"/>
      <c r="BR144" s="63"/>
      <c r="BS144" s="103"/>
      <c r="BT144" s="103"/>
      <c r="BU144" s="103"/>
      <c r="BV144" s="103"/>
      <c r="BW144" s="63"/>
      <c r="BX144" s="63"/>
      <c r="BY144" s="63"/>
      <c r="BZ144" s="63"/>
      <c r="CA144" s="103"/>
      <c r="CB144" s="103"/>
      <c r="CC144" s="103"/>
      <c r="CD144" s="103"/>
      <c r="CE144" s="63"/>
      <c r="CF144" s="63"/>
      <c r="CG144" s="63"/>
      <c r="CH144" s="63"/>
      <c r="CI144" s="103"/>
      <c r="CJ144" s="103"/>
      <c r="CK144" s="103"/>
      <c r="CL144" s="103"/>
    </row>
    <row r="145" spans="2:90" ht="13" x14ac:dyDescent="0.15">
      <c r="B145" s="13"/>
      <c r="C145" s="13"/>
      <c r="D145" s="13"/>
      <c r="E145" s="13"/>
      <c r="F145" s="13"/>
      <c r="G145" s="103"/>
      <c r="H145" s="103"/>
      <c r="I145" s="103"/>
      <c r="J145" s="103"/>
      <c r="K145" s="63"/>
      <c r="L145" s="63"/>
      <c r="M145" s="63"/>
      <c r="N145" s="63"/>
      <c r="O145" s="103"/>
      <c r="P145" s="103"/>
      <c r="Q145" s="103"/>
      <c r="R145" s="103"/>
      <c r="S145" s="63"/>
      <c r="T145" s="63"/>
      <c r="U145" s="63"/>
      <c r="V145" s="63"/>
      <c r="W145" s="103"/>
      <c r="X145" s="103"/>
      <c r="Y145" s="103"/>
      <c r="Z145" s="103"/>
      <c r="AA145" s="63"/>
      <c r="AB145" s="63"/>
      <c r="AC145" s="63"/>
      <c r="AD145" s="63"/>
      <c r="AE145" s="103"/>
      <c r="AF145" s="103"/>
      <c r="AG145" s="103"/>
      <c r="AH145" s="103"/>
      <c r="AI145" s="63"/>
      <c r="AJ145" s="63"/>
      <c r="AK145" s="63"/>
      <c r="AL145" s="63"/>
      <c r="AM145" s="103"/>
      <c r="AN145" s="103"/>
      <c r="AO145" s="103"/>
      <c r="AP145" s="103"/>
      <c r="AQ145" s="63"/>
      <c r="AR145" s="63"/>
      <c r="AS145" s="63"/>
      <c r="AT145" s="63"/>
      <c r="AU145" s="103"/>
      <c r="AV145" s="103"/>
      <c r="AW145" s="103"/>
      <c r="AX145" s="103"/>
      <c r="AY145" s="63"/>
      <c r="AZ145" s="63"/>
      <c r="BA145" s="63"/>
      <c r="BB145" s="63"/>
      <c r="BC145" s="103"/>
      <c r="BD145" s="103"/>
      <c r="BE145" s="103"/>
      <c r="BF145" s="103"/>
      <c r="BG145" s="63"/>
      <c r="BH145" s="63"/>
      <c r="BI145" s="63"/>
      <c r="BJ145" s="63"/>
      <c r="BK145" s="103"/>
      <c r="BL145" s="103"/>
      <c r="BM145" s="103"/>
      <c r="BN145" s="103"/>
      <c r="BO145" s="63"/>
      <c r="BP145" s="63"/>
      <c r="BQ145" s="63"/>
      <c r="BR145" s="63"/>
      <c r="BS145" s="103"/>
      <c r="BT145" s="103"/>
      <c r="BU145" s="103"/>
      <c r="BV145" s="103"/>
      <c r="BW145" s="63"/>
      <c r="BX145" s="63"/>
      <c r="BY145" s="63"/>
      <c r="BZ145" s="63"/>
      <c r="CA145" s="103"/>
      <c r="CB145" s="103"/>
      <c r="CC145" s="103"/>
      <c r="CD145" s="103"/>
      <c r="CE145" s="63"/>
      <c r="CF145" s="63"/>
      <c r="CG145" s="63"/>
      <c r="CH145" s="63"/>
      <c r="CI145" s="103"/>
      <c r="CJ145" s="103"/>
      <c r="CK145" s="103"/>
      <c r="CL145" s="103"/>
    </row>
    <row r="146" spans="2:90" ht="13" x14ac:dyDescent="0.15">
      <c r="B146" s="13"/>
      <c r="C146" s="13"/>
      <c r="D146" s="13"/>
      <c r="E146" s="13"/>
      <c r="F146" s="13"/>
      <c r="G146" s="103"/>
      <c r="H146" s="103"/>
      <c r="I146" s="103"/>
      <c r="J146" s="103"/>
      <c r="K146" s="63"/>
      <c r="L146" s="63"/>
      <c r="M146" s="63"/>
      <c r="N146" s="63"/>
      <c r="O146" s="103"/>
      <c r="P146" s="103"/>
      <c r="Q146" s="103"/>
      <c r="R146" s="103"/>
      <c r="S146" s="63"/>
      <c r="T146" s="63"/>
      <c r="U146" s="63"/>
      <c r="V146" s="63"/>
      <c r="W146" s="103"/>
      <c r="X146" s="103"/>
      <c r="Y146" s="103"/>
      <c r="Z146" s="103"/>
      <c r="AA146" s="63"/>
      <c r="AB146" s="63"/>
      <c r="AC146" s="63"/>
      <c r="AD146" s="63"/>
      <c r="AE146" s="103"/>
      <c r="AF146" s="103"/>
      <c r="AG146" s="103"/>
      <c r="AH146" s="103"/>
      <c r="AI146" s="63"/>
      <c r="AJ146" s="63"/>
      <c r="AK146" s="63"/>
      <c r="AL146" s="63"/>
      <c r="AM146" s="103"/>
      <c r="AN146" s="103"/>
      <c r="AO146" s="103"/>
      <c r="AP146" s="103"/>
      <c r="AQ146" s="63"/>
      <c r="AR146" s="63"/>
      <c r="AS146" s="63"/>
      <c r="AT146" s="63"/>
      <c r="AU146" s="103"/>
      <c r="AV146" s="103"/>
      <c r="AW146" s="103"/>
      <c r="AX146" s="103"/>
      <c r="AY146" s="63"/>
      <c r="AZ146" s="63"/>
      <c r="BA146" s="63"/>
      <c r="BB146" s="63"/>
      <c r="BC146" s="103"/>
      <c r="BD146" s="103"/>
      <c r="BE146" s="103"/>
      <c r="BF146" s="103"/>
      <c r="BG146" s="63"/>
      <c r="BH146" s="63"/>
      <c r="BI146" s="63"/>
      <c r="BJ146" s="63"/>
      <c r="BK146" s="103"/>
      <c r="BL146" s="103"/>
      <c r="BM146" s="103"/>
      <c r="BN146" s="103"/>
      <c r="BO146" s="63"/>
      <c r="BP146" s="63"/>
      <c r="BQ146" s="63"/>
      <c r="BR146" s="63"/>
      <c r="BS146" s="103"/>
      <c r="BT146" s="103"/>
      <c r="BU146" s="103"/>
      <c r="BV146" s="103"/>
      <c r="BW146" s="63"/>
      <c r="BX146" s="63"/>
      <c r="BY146" s="63"/>
      <c r="BZ146" s="63"/>
      <c r="CA146" s="103"/>
      <c r="CB146" s="103"/>
      <c r="CC146" s="103"/>
      <c r="CD146" s="103"/>
      <c r="CE146" s="63"/>
      <c r="CF146" s="63"/>
      <c r="CG146" s="63"/>
      <c r="CH146" s="63"/>
      <c r="CI146" s="103"/>
      <c r="CJ146" s="103"/>
      <c r="CK146" s="103"/>
      <c r="CL146" s="103"/>
    </row>
    <row r="147" spans="2:90" ht="13" x14ac:dyDescent="0.15">
      <c r="B147" s="13"/>
      <c r="C147" s="13"/>
      <c r="D147" s="13"/>
      <c r="E147" s="13"/>
      <c r="F147" s="13"/>
      <c r="G147" s="103"/>
      <c r="H147" s="103"/>
      <c r="I147" s="103"/>
      <c r="J147" s="103"/>
      <c r="K147" s="63"/>
      <c r="L147" s="63"/>
      <c r="M147" s="63"/>
      <c r="N147" s="63"/>
      <c r="O147" s="103"/>
      <c r="P147" s="103"/>
      <c r="Q147" s="103"/>
      <c r="R147" s="103"/>
      <c r="S147" s="63"/>
      <c r="T147" s="63"/>
      <c r="U147" s="63"/>
      <c r="V147" s="63"/>
      <c r="W147" s="103"/>
      <c r="X147" s="103"/>
      <c r="Y147" s="103"/>
      <c r="Z147" s="103"/>
      <c r="AA147" s="63"/>
      <c r="AB147" s="63"/>
      <c r="AC147" s="63"/>
      <c r="AD147" s="63"/>
      <c r="AE147" s="103"/>
      <c r="AF147" s="103"/>
      <c r="AG147" s="103"/>
      <c r="AH147" s="103"/>
      <c r="AI147" s="63"/>
      <c r="AJ147" s="63"/>
      <c r="AK147" s="63"/>
      <c r="AL147" s="63"/>
      <c r="AM147" s="103"/>
      <c r="AN147" s="103"/>
      <c r="AO147" s="103"/>
      <c r="AP147" s="103"/>
      <c r="AQ147" s="63"/>
      <c r="AR147" s="63"/>
      <c r="AS147" s="63"/>
      <c r="AT147" s="63"/>
      <c r="AU147" s="103"/>
      <c r="AV147" s="103"/>
      <c r="AW147" s="103"/>
      <c r="AX147" s="103"/>
      <c r="AY147" s="63"/>
      <c r="AZ147" s="63"/>
      <c r="BA147" s="63"/>
      <c r="BB147" s="63"/>
      <c r="BC147" s="103"/>
      <c r="BD147" s="103"/>
      <c r="BE147" s="103"/>
      <c r="BF147" s="103"/>
      <c r="BG147" s="63"/>
      <c r="BH147" s="63"/>
      <c r="BI147" s="63"/>
      <c r="BJ147" s="63"/>
      <c r="BK147" s="103"/>
      <c r="BL147" s="103"/>
      <c r="BM147" s="103"/>
      <c r="BN147" s="103"/>
      <c r="BO147" s="63"/>
      <c r="BP147" s="63"/>
      <c r="BQ147" s="63"/>
      <c r="BR147" s="63"/>
      <c r="BS147" s="103"/>
      <c r="BT147" s="103"/>
      <c r="BU147" s="103"/>
      <c r="BV147" s="103"/>
      <c r="BW147" s="63"/>
      <c r="BX147" s="63"/>
      <c r="BY147" s="63"/>
      <c r="BZ147" s="63"/>
      <c r="CA147" s="103"/>
      <c r="CB147" s="103"/>
      <c r="CC147" s="103"/>
      <c r="CD147" s="103"/>
      <c r="CE147" s="63"/>
      <c r="CF147" s="63"/>
      <c r="CG147" s="63"/>
      <c r="CH147" s="63"/>
      <c r="CI147" s="103"/>
      <c r="CJ147" s="103"/>
      <c r="CK147" s="103"/>
      <c r="CL147" s="103"/>
    </row>
    <row r="148" spans="2:90" ht="13" x14ac:dyDescent="0.15">
      <c r="B148" s="13"/>
      <c r="C148" s="13"/>
      <c r="D148" s="13"/>
      <c r="E148" s="13"/>
      <c r="F148" s="13"/>
      <c r="G148" s="103"/>
      <c r="H148" s="103"/>
      <c r="I148" s="103"/>
      <c r="J148" s="103"/>
      <c r="K148" s="63"/>
      <c r="L148" s="63"/>
      <c r="M148" s="63"/>
      <c r="N148" s="63"/>
      <c r="O148" s="103"/>
      <c r="P148" s="103"/>
      <c r="Q148" s="103"/>
      <c r="R148" s="103"/>
      <c r="S148" s="63"/>
      <c r="T148" s="63"/>
      <c r="U148" s="63"/>
      <c r="V148" s="63"/>
      <c r="W148" s="103"/>
      <c r="X148" s="103"/>
      <c r="Y148" s="103"/>
      <c r="Z148" s="103"/>
      <c r="AA148" s="63"/>
      <c r="AB148" s="63"/>
      <c r="AC148" s="63"/>
      <c r="AD148" s="63"/>
      <c r="AE148" s="103"/>
      <c r="AF148" s="103"/>
      <c r="AG148" s="103"/>
      <c r="AH148" s="103"/>
      <c r="AI148" s="63"/>
      <c r="AJ148" s="63"/>
      <c r="AK148" s="63"/>
      <c r="AL148" s="63"/>
      <c r="AM148" s="103"/>
      <c r="AN148" s="103"/>
      <c r="AO148" s="103"/>
      <c r="AP148" s="103"/>
      <c r="AQ148" s="63"/>
      <c r="AR148" s="63"/>
      <c r="AS148" s="63"/>
      <c r="AT148" s="63"/>
      <c r="AU148" s="103"/>
      <c r="AV148" s="103"/>
      <c r="AW148" s="103"/>
      <c r="AX148" s="103"/>
      <c r="AY148" s="63"/>
      <c r="AZ148" s="63"/>
      <c r="BA148" s="63"/>
      <c r="BB148" s="63"/>
      <c r="BC148" s="103"/>
      <c r="BD148" s="103"/>
      <c r="BE148" s="103"/>
      <c r="BF148" s="103"/>
      <c r="BG148" s="63"/>
      <c r="BH148" s="63"/>
      <c r="BI148" s="63"/>
      <c r="BJ148" s="63"/>
      <c r="BK148" s="103"/>
      <c r="BL148" s="103"/>
      <c r="BM148" s="103"/>
      <c r="BN148" s="103"/>
      <c r="BO148" s="63"/>
      <c r="BP148" s="63"/>
      <c r="BQ148" s="63"/>
      <c r="BR148" s="63"/>
      <c r="BS148" s="103"/>
      <c r="BT148" s="103"/>
      <c r="BU148" s="103"/>
      <c r="BV148" s="103"/>
      <c r="BW148" s="63"/>
      <c r="BX148" s="63"/>
      <c r="BY148" s="63"/>
      <c r="BZ148" s="63"/>
      <c r="CA148" s="103"/>
      <c r="CB148" s="103"/>
      <c r="CC148" s="103"/>
      <c r="CD148" s="103"/>
      <c r="CE148" s="63"/>
      <c r="CF148" s="63"/>
      <c r="CG148" s="63"/>
      <c r="CH148" s="63"/>
      <c r="CI148" s="103"/>
      <c r="CJ148" s="103"/>
      <c r="CK148" s="103"/>
      <c r="CL148" s="103"/>
    </row>
    <row r="149" spans="2:90" ht="13" x14ac:dyDescent="0.15">
      <c r="B149" s="13"/>
      <c r="C149" s="13"/>
      <c r="D149" s="13"/>
      <c r="E149" s="13"/>
      <c r="F149" s="13"/>
      <c r="G149" s="103"/>
      <c r="H149" s="103"/>
      <c r="I149" s="103"/>
      <c r="J149" s="103"/>
      <c r="K149" s="63"/>
      <c r="L149" s="63"/>
      <c r="M149" s="63"/>
      <c r="N149" s="63"/>
      <c r="O149" s="103"/>
      <c r="P149" s="103"/>
      <c r="Q149" s="103"/>
      <c r="R149" s="103"/>
      <c r="S149" s="63"/>
      <c r="T149" s="63"/>
      <c r="U149" s="63"/>
      <c r="V149" s="63"/>
      <c r="W149" s="103"/>
      <c r="X149" s="103"/>
      <c r="Y149" s="103"/>
      <c r="Z149" s="103"/>
      <c r="AA149" s="63"/>
      <c r="AB149" s="63"/>
      <c r="AC149" s="63"/>
      <c r="AD149" s="63"/>
      <c r="AE149" s="103"/>
      <c r="AF149" s="103"/>
      <c r="AG149" s="103"/>
      <c r="AH149" s="103"/>
      <c r="AI149" s="63"/>
      <c r="AJ149" s="63"/>
      <c r="AK149" s="63"/>
      <c r="AL149" s="63"/>
      <c r="AM149" s="103"/>
      <c r="AN149" s="103"/>
      <c r="AO149" s="103"/>
      <c r="AP149" s="103"/>
      <c r="AQ149" s="63"/>
      <c r="AR149" s="63"/>
      <c r="AS149" s="63"/>
      <c r="AT149" s="63"/>
      <c r="AU149" s="103"/>
      <c r="AV149" s="103"/>
      <c r="AW149" s="103"/>
      <c r="AX149" s="103"/>
      <c r="AY149" s="63"/>
      <c r="AZ149" s="63"/>
      <c r="BA149" s="63"/>
      <c r="BB149" s="63"/>
      <c r="BC149" s="103"/>
      <c r="BD149" s="103"/>
      <c r="BE149" s="103"/>
      <c r="BF149" s="103"/>
      <c r="BG149" s="63"/>
      <c r="BH149" s="63"/>
      <c r="BI149" s="63"/>
      <c r="BJ149" s="63"/>
      <c r="BK149" s="103"/>
      <c r="BL149" s="103"/>
      <c r="BM149" s="103"/>
      <c r="BN149" s="103"/>
      <c r="BO149" s="63"/>
      <c r="BP149" s="63"/>
      <c r="BQ149" s="63"/>
      <c r="BR149" s="63"/>
      <c r="BS149" s="103"/>
      <c r="BT149" s="103"/>
      <c r="BU149" s="103"/>
      <c r="BV149" s="103"/>
      <c r="BW149" s="63"/>
      <c r="BX149" s="63"/>
      <c r="BY149" s="63"/>
      <c r="BZ149" s="63"/>
      <c r="CA149" s="103"/>
      <c r="CB149" s="103"/>
      <c r="CC149" s="103"/>
      <c r="CD149" s="103"/>
      <c r="CE149" s="63"/>
      <c r="CF149" s="63"/>
      <c r="CG149" s="63"/>
      <c r="CH149" s="63"/>
      <c r="CI149" s="103"/>
      <c r="CJ149" s="103"/>
      <c r="CK149" s="103"/>
      <c r="CL149" s="103"/>
    </row>
    <row r="150" spans="2:90" ht="13" x14ac:dyDescent="0.15">
      <c r="B150" s="13"/>
      <c r="C150" s="13"/>
      <c r="D150" s="13"/>
      <c r="E150" s="13"/>
      <c r="F150" s="13"/>
      <c r="G150" s="103"/>
      <c r="H150" s="103"/>
      <c r="I150" s="103"/>
      <c r="J150" s="103"/>
      <c r="K150" s="63"/>
      <c r="L150" s="63"/>
      <c r="M150" s="63"/>
      <c r="N150" s="63"/>
      <c r="O150" s="103"/>
      <c r="P150" s="103"/>
      <c r="Q150" s="103"/>
      <c r="R150" s="103"/>
      <c r="S150" s="63"/>
      <c r="T150" s="63"/>
      <c r="U150" s="63"/>
      <c r="V150" s="63"/>
      <c r="W150" s="103"/>
      <c r="X150" s="103"/>
      <c r="Y150" s="103"/>
      <c r="Z150" s="103"/>
      <c r="AA150" s="63"/>
      <c r="AB150" s="63"/>
      <c r="AC150" s="63"/>
      <c r="AD150" s="63"/>
      <c r="AE150" s="103"/>
      <c r="AF150" s="103"/>
      <c r="AG150" s="103"/>
      <c r="AH150" s="103"/>
      <c r="AI150" s="63"/>
      <c r="AJ150" s="63"/>
      <c r="AK150" s="63"/>
      <c r="AL150" s="63"/>
      <c r="AM150" s="103"/>
      <c r="AN150" s="103"/>
      <c r="AO150" s="103"/>
      <c r="AP150" s="103"/>
      <c r="AQ150" s="63"/>
      <c r="AR150" s="63"/>
      <c r="AS150" s="63"/>
      <c r="AT150" s="63"/>
      <c r="AU150" s="103"/>
      <c r="AV150" s="103"/>
      <c r="AW150" s="103"/>
      <c r="AX150" s="103"/>
      <c r="AY150" s="63"/>
      <c r="AZ150" s="63"/>
      <c r="BA150" s="63"/>
      <c r="BB150" s="63"/>
      <c r="BC150" s="103"/>
      <c r="BD150" s="103"/>
      <c r="BE150" s="103"/>
      <c r="BF150" s="103"/>
      <c r="BG150" s="63"/>
      <c r="BH150" s="63"/>
      <c r="BI150" s="63"/>
      <c r="BJ150" s="63"/>
      <c r="BK150" s="103"/>
      <c r="BL150" s="103"/>
      <c r="BM150" s="103"/>
      <c r="BN150" s="103"/>
      <c r="BO150" s="63"/>
      <c r="BP150" s="63"/>
      <c r="BQ150" s="63"/>
      <c r="BR150" s="63"/>
      <c r="BS150" s="103"/>
      <c r="BT150" s="103"/>
      <c r="BU150" s="103"/>
      <c r="BV150" s="103"/>
      <c r="BW150" s="63"/>
      <c r="BX150" s="63"/>
      <c r="BY150" s="63"/>
      <c r="BZ150" s="63"/>
      <c r="CA150" s="103"/>
      <c r="CB150" s="103"/>
      <c r="CC150" s="103"/>
      <c r="CD150" s="103"/>
      <c r="CE150" s="63"/>
      <c r="CF150" s="63"/>
      <c r="CG150" s="63"/>
      <c r="CH150" s="63"/>
      <c r="CI150" s="103"/>
      <c r="CJ150" s="103"/>
      <c r="CK150" s="103"/>
      <c r="CL150" s="103"/>
    </row>
    <row r="151" spans="2:90" ht="13" x14ac:dyDescent="0.15">
      <c r="B151" s="13"/>
      <c r="C151" s="13"/>
      <c r="D151" s="13"/>
      <c r="E151" s="13"/>
      <c r="F151" s="13"/>
      <c r="G151" s="103"/>
      <c r="H151" s="103"/>
      <c r="I151" s="103"/>
      <c r="J151" s="103"/>
      <c r="K151" s="63"/>
      <c r="L151" s="63"/>
      <c r="M151" s="63"/>
      <c r="N151" s="63"/>
      <c r="O151" s="103"/>
      <c r="P151" s="103"/>
      <c r="Q151" s="103"/>
      <c r="R151" s="103"/>
      <c r="S151" s="63"/>
      <c r="T151" s="63"/>
      <c r="U151" s="63"/>
      <c r="V151" s="63"/>
      <c r="W151" s="103"/>
      <c r="X151" s="103"/>
      <c r="Y151" s="103"/>
      <c r="Z151" s="103"/>
      <c r="AA151" s="63"/>
      <c r="AB151" s="63"/>
      <c r="AC151" s="63"/>
      <c r="AD151" s="63"/>
      <c r="AE151" s="103"/>
      <c r="AF151" s="103"/>
      <c r="AG151" s="103"/>
      <c r="AH151" s="103"/>
      <c r="AI151" s="63"/>
      <c r="AJ151" s="63"/>
      <c r="AK151" s="63"/>
      <c r="AL151" s="63"/>
      <c r="AM151" s="103"/>
      <c r="AN151" s="103"/>
      <c r="AO151" s="103"/>
      <c r="AP151" s="103"/>
      <c r="AQ151" s="63"/>
      <c r="AR151" s="63"/>
      <c r="AS151" s="63"/>
      <c r="AT151" s="63"/>
      <c r="AU151" s="103"/>
      <c r="AV151" s="103"/>
      <c r="AW151" s="103"/>
      <c r="AX151" s="103"/>
      <c r="AY151" s="63"/>
      <c r="AZ151" s="63"/>
      <c r="BA151" s="63"/>
      <c r="BB151" s="63"/>
      <c r="BC151" s="103"/>
      <c r="BD151" s="103"/>
      <c r="BE151" s="103"/>
      <c r="BF151" s="103"/>
      <c r="BG151" s="63"/>
      <c r="BH151" s="63"/>
      <c r="BI151" s="63"/>
      <c r="BJ151" s="63"/>
      <c r="BK151" s="103"/>
      <c r="BL151" s="103"/>
      <c r="BM151" s="103"/>
      <c r="BN151" s="103"/>
      <c r="BO151" s="63"/>
      <c r="BP151" s="63"/>
      <c r="BQ151" s="63"/>
      <c r="BR151" s="63"/>
      <c r="BS151" s="103"/>
      <c r="BT151" s="103"/>
      <c r="BU151" s="103"/>
      <c r="BV151" s="103"/>
      <c r="BW151" s="63"/>
      <c r="BX151" s="63"/>
      <c r="BY151" s="63"/>
      <c r="BZ151" s="63"/>
      <c r="CA151" s="103"/>
      <c r="CB151" s="103"/>
      <c r="CC151" s="103"/>
      <c r="CD151" s="103"/>
      <c r="CE151" s="63"/>
      <c r="CF151" s="63"/>
      <c r="CG151" s="63"/>
      <c r="CH151" s="63"/>
      <c r="CI151" s="103"/>
      <c r="CJ151" s="103"/>
      <c r="CK151" s="103"/>
      <c r="CL151" s="103"/>
    </row>
    <row r="152" spans="2:90" ht="13" x14ac:dyDescent="0.15">
      <c r="B152" s="13"/>
      <c r="C152" s="13"/>
      <c r="D152" s="13"/>
      <c r="E152" s="13"/>
      <c r="F152" s="13"/>
      <c r="G152" s="103"/>
      <c r="H152" s="103"/>
      <c r="I152" s="103"/>
      <c r="J152" s="103"/>
      <c r="K152" s="63"/>
      <c r="L152" s="63"/>
      <c r="M152" s="63"/>
      <c r="N152" s="63"/>
      <c r="O152" s="103"/>
      <c r="P152" s="103"/>
      <c r="Q152" s="103"/>
      <c r="R152" s="103"/>
      <c r="S152" s="63"/>
      <c r="T152" s="63"/>
      <c r="U152" s="63"/>
      <c r="V152" s="63"/>
      <c r="W152" s="103"/>
      <c r="X152" s="103"/>
      <c r="Y152" s="103"/>
      <c r="Z152" s="103"/>
      <c r="AA152" s="63"/>
      <c r="AB152" s="63"/>
      <c r="AC152" s="63"/>
      <c r="AD152" s="63"/>
      <c r="AE152" s="103"/>
      <c r="AF152" s="103"/>
      <c r="AG152" s="103"/>
      <c r="AH152" s="103"/>
      <c r="AI152" s="63"/>
      <c r="AJ152" s="63"/>
      <c r="AK152" s="63"/>
      <c r="AL152" s="63"/>
      <c r="AM152" s="103"/>
      <c r="AN152" s="103"/>
      <c r="AO152" s="103"/>
      <c r="AP152" s="103"/>
      <c r="AQ152" s="63"/>
      <c r="AR152" s="63"/>
      <c r="AS152" s="63"/>
      <c r="AT152" s="63"/>
      <c r="AU152" s="103"/>
      <c r="AV152" s="103"/>
      <c r="AW152" s="103"/>
      <c r="AX152" s="103"/>
      <c r="AY152" s="63"/>
      <c r="AZ152" s="63"/>
      <c r="BA152" s="63"/>
      <c r="BB152" s="63"/>
      <c r="BC152" s="103"/>
      <c r="BD152" s="103"/>
      <c r="BE152" s="103"/>
      <c r="BF152" s="103"/>
      <c r="BG152" s="63"/>
      <c r="BH152" s="63"/>
      <c r="BI152" s="63"/>
      <c r="BJ152" s="63"/>
      <c r="BK152" s="103"/>
      <c r="BL152" s="103"/>
      <c r="BM152" s="103"/>
      <c r="BN152" s="103"/>
      <c r="BO152" s="63"/>
      <c r="BP152" s="63"/>
      <c r="BQ152" s="63"/>
      <c r="BR152" s="63"/>
      <c r="BS152" s="103"/>
      <c r="BT152" s="103"/>
      <c r="BU152" s="103"/>
      <c r="BV152" s="103"/>
      <c r="BW152" s="63"/>
      <c r="BX152" s="63"/>
      <c r="BY152" s="63"/>
      <c r="BZ152" s="63"/>
      <c r="CA152" s="103"/>
      <c r="CB152" s="103"/>
      <c r="CC152" s="103"/>
      <c r="CD152" s="103"/>
      <c r="CE152" s="63"/>
      <c r="CF152" s="63"/>
      <c r="CG152" s="63"/>
      <c r="CH152" s="63"/>
      <c r="CI152" s="103"/>
      <c r="CJ152" s="103"/>
      <c r="CK152" s="103"/>
      <c r="CL152" s="103"/>
    </row>
    <row r="153" spans="2:90" ht="13" x14ac:dyDescent="0.15">
      <c r="B153" s="13"/>
      <c r="C153" s="13"/>
      <c r="D153" s="13"/>
      <c r="E153" s="13"/>
      <c r="F153" s="13"/>
      <c r="G153" s="103"/>
      <c r="H153" s="103"/>
      <c r="I153" s="103"/>
      <c r="J153" s="103"/>
      <c r="K153" s="63"/>
      <c r="L153" s="63"/>
      <c r="M153" s="63"/>
      <c r="N153" s="63"/>
      <c r="O153" s="103"/>
      <c r="P153" s="103"/>
      <c r="Q153" s="103"/>
      <c r="R153" s="103"/>
      <c r="S153" s="63"/>
      <c r="T153" s="63"/>
      <c r="U153" s="63"/>
      <c r="V153" s="63"/>
      <c r="W153" s="103"/>
      <c r="X153" s="103"/>
      <c r="Y153" s="103"/>
      <c r="Z153" s="103"/>
      <c r="AA153" s="63"/>
      <c r="AB153" s="63"/>
      <c r="AC153" s="63"/>
      <c r="AD153" s="63"/>
      <c r="AE153" s="103"/>
      <c r="AF153" s="103"/>
      <c r="AG153" s="103"/>
      <c r="AH153" s="103"/>
      <c r="AI153" s="63"/>
      <c r="AJ153" s="63"/>
      <c r="AK153" s="63"/>
      <c r="AL153" s="63"/>
      <c r="AM153" s="103"/>
      <c r="AN153" s="103"/>
      <c r="AO153" s="103"/>
      <c r="AP153" s="103"/>
      <c r="AQ153" s="63"/>
      <c r="AR153" s="63"/>
      <c r="AS153" s="63"/>
      <c r="AT153" s="63"/>
      <c r="AU153" s="103"/>
      <c r="AV153" s="103"/>
      <c r="AW153" s="103"/>
      <c r="AX153" s="103"/>
      <c r="AY153" s="63"/>
      <c r="AZ153" s="63"/>
      <c r="BA153" s="63"/>
      <c r="BB153" s="63"/>
      <c r="BC153" s="103"/>
      <c r="BD153" s="103"/>
      <c r="BE153" s="103"/>
      <c r="BF153" s="103"/>
      <c r="BG153" s="63"/>
      <c r="BH153" s="63"/>
      <c r="BI153" s="63"/>
      <c r="BJ153" s="63"/>
      <c r="BK153" s="103"/>
      <c r="BL153" s="103"/>
      <c r="BM153" s="103"/>
      <c r="BN153" s="103"/>
      <c r="BO153" s="63"/>
      <c r="BP153" s="63"/>
      <c r="BQ153" s="63"/>
      <c r="BR153" s="63"/>
      <c r="BS153" s="103"/>
      <c r="BT153" s="103"/>
      <c r="BU153" s="103"/>
      <c r="BV153" s="103"/>
      <c r="BW153" s="63"/>
      <c r="BX153" s="63"/>
      <c r="BY153" s="63"/>
      <c r="BZ153" s="63"/>
      <c r="CA153" s="103"/>
      <c r="CB153" s="103"/>
      <c r="CC153" s="103"/>
      <c r="CD153" s="103"/>
      <c r="CE153" s="63"/>
      <c r="CF153" s="63"/>
      <c r="CG153" s="63"/>
      <c r="CH153" s="63"/>
      <c r="CI153" s="103"/>
      <c r="CJ153" s="103"/>
      <c r="CK153" s="103"/>
      <c r="CL153" s="103"/>
    </row>
    <row r="154" spans="2:90" ht="13" x14ac:dyDescent="0.15">
      <c r="B154" s="13"/>
      <c r="C154" s="13"/>
      <c r="D154" s="13"/>
      <c r="E154" s="13"/>
      <c r="F154" s="13"/>
      <c r="G154" s="103"/>
      <c r="H154" s="103"/>
      <c r="I154" s="103"/>
      <c r="J154" s="103"/>
      <c r="K154" s="63"/>
      <c r="L154" s="63"/>
      <c r="M154" s="63"/>
      <c r="N154" s="63"/>
      <c r="O154" s="103"/>
      <c r="P154" s="103"/>
      <c r="Q154" s="103"/>
      <c r="R154" s="103"/>
      <c r="S154" s="63"/>
      <c r="T154" s="63"/>
      <c r="U154" s="63"/>
      <c r="V154" s="63"/>
      <c r="W154" s="103"/>
      <c r="X154" s="103"/>
      <c r="Y154" s="103"/>
      <c r="Z154" s="103"/>
      <c r="AA154" s="63"/>
      <c r="AB154" s="63"/>
      <c r="AC154" s="63"/>
      <c r="AD154" s="63"/>
      <c r="AE154" s="103"/>
      <c r="AF154" s="103"/>
      <c r="AG154" s="103"/>
      <c r="AH154" s="103"/>
      <c r="AI154" s="63"/>
      <c r="AJ154" s="63"/>
      <c r="AK154" s="63"/>
      <c r="AL154" s="63"/>
      <c r="AM154" s="103"/>
      <c r="AN154" s="103"/>
      <c r="AO154" s="103"/>
      <c r="AP154" s="103"/>
      <c r="AQ154" s="63"/>
      <c r="AR154" s="63"/>
      <c r="AS154" s="63"/>
      <c r="AT154" s="63"/>
      <c r="AU154" s="103"/>
      <c r="AV154" s="103"/>
      <c r="AW154" s="103"/>
      <c r="AX154" s="103"/>
      <c r="AY154" s="63"/>
      <c r="AZ154" s="63"/>
      <c r="BA154" s="63"/>
      <c r="BB154" s="63"/>
      <c r="BC154" s="103"/>
      <c r="BD154" s="103"/>
      <c r="BE154" s="103"/>
      <c r="BF154" s="103"/>
      <c r="BG154" s="63"/>
      <c r="BH154" s="63"/>
      <c r="BI154" s="63"/>
      <c r="BJ154" s="63"/>
      <c r="BK154" s="103"/>
      <c r="BL154" s="103"/>
      <c r="BM154" s="103"/>
      <c r="BN154" s="103"/>
      <c r="BO154" s="63"/>
      <c r="BP154" s="63"/>
      <c r="BQ154" s="63"/>
      <c r="BR154" s="63"/>
      <c r="BS154" s="103"/>
      <c r="BT154" s="103"/>
      <c r="BU154" s="103"/>
      <c r="BV154" s="103"/>
      <c r="BW154" s="63"/>
      <c r="BX154" s="63"/>
      <c r="BY154" s="63"/>
      <c r="BZ154" s="63"/>
      <c r="CA154" s="103"/>
      <c r="CB154" s="103"/>
      <c r="CC154" s="103"/>
      <c r="CD154" s="103"/>
      <c r="CE154" s="63"/>
      <c r="CF154" s="63"/>
      <c r="CG154" s="63"/>
      <c r="CH154" s="63"/>
      <c r="CI154" s="103"/>
      <c r="CJ154" s="103"/>
      <c r="CK154" s="103"/>
      <c r="CL154" s="103"/>
    </row>
    <row r="155" spans="2:90" ht="13" x14ac:dyDescent="0.15">
      <c r="B155" s="13"/>
      <c r="C155" s="13"/>
      <c r="D155" s="13"/>
      <c r="E155" s="13"/>
      <c r="F155" s="13"/>
      <c r="G155" s="103"/>
      <c r="H155" s="103"/>
      <c r="I155" s="103"/>
      <c r="J155" s="103"/>
      <c r="K155" s="63"/>
      <c r="L155" s="63"/>
      <c r="M155" s="63"/>
      <c r="N155" s="63"/>
      <c r="O155" s="103"/>
      <c r="P155" s="103"/>
      <c r="Q155" s="103"/>
      <c r="R155" s="103"/>
      <c r="S155" s="63"/>
      <c r="T155" s="63"/>
      <c r="U155" s="63"/>
      <c r="V155" s="63"/>
      <c r="W155" s="103"/>
      <c r="X155" s="103"/>
      <c r="Y155" s="103"/>
      <c r="Z155" s="103"/>
      <c r="AA155" s="63"/>
      <c r="AB155" s="63"/>
      <c r="AC155" s="63"/>
      <c r="AD155" s="63"/>
      <c r="AE155" s="103"/>
      <c r="AF155" s="103"/>
      <c r="AG155" s="103"/>
      <c r="AH155" s="103"/>
      <c r="AI155" s="63"/>
      <c r="AJ155" s="63"/>
      <c r="AK155" s="63"/>
      <c r="AL155" s="63"/>
      <c r="AM155" s="103"/>
      <c r="AN155" s="103"/>
      <c r="AO155" s="103"/>
      <c r="AP155" s="103"/>
      <c r="AQ155" s="63"/>
      <c r="AR155" s="63"/>
      <c r="AS155" s="63"/>
      <c r="AT155" s="63"/>
      <c r="AU155" s="103"/>
      <c r="AV155" s="103"/>
      <c r="AW155" s="103"/>
      <c r="AX155" s="103"/>
      <c r="AY155" s="63"/>
      <c r="AZ155" s="63"/>
      <c r="BA155" s="63"/>
      <c r="BB155" s="63"/>
      <c r="BC155" s="103"/>
      <c r="BD155" s="103"/>
      <c r="BE155" s="103"/>
      <c r="BF155" s="103"/>
      <c r="BG155" s="63"/>
      <c r="BH155" s="63"/>
      <c r="BI155" s="63"/>
      <c r="BJ155" s="63"/>
      <c r="BK155" s="103"/>
      <c r="BL155" s="103"/>
      <c r="BM155" s="103"/>
      <c r="BN155" s="103"/>
      <c r="BO155" s="63"/>
      <c r="BP155" s="63"/>
      <c r="BQ155" s="63"/>
      <c r="BR155" s="63"/>
      <c r="BS155" s="103"/>
      <c r="BT155" s="103"/>
      <c r="BU155" s="103"/>
      <c r="BV155" s="103"/>
      <c r="BW155" s="63"/>
      <c r="BX155" s="63"/>
      <c r="BY155" s="63"/>
      <c r="BZ155" s="63"/>
      <c r="CA155" s="103"/>
      <c r="CB155" s="103"/>
      <c r="CC155" s="103"/>
      <c r="CD155" s="103"/>
      <c r="CE155" s="63"/>
      <c r="CF155" s="63"/>
      <c r="CG155" s="63"/>
      <c r="CH155" s="63"/>
      <c r="CI155" s="103"/>
      <c r="CJ155" s="103"/>
      <c r="CK155" s="103"/>
      <c r="CL155" s="103"/>
    </row>
    <row r="156" spans="2:90" ht="13" x14ac:dyDescent="0.15">
      <c r="B156" s="13"/>
      <c r="C156" s="13"/>
      <c r="D156" s="13"/>
      <c r="E156" s="13"/>
      <c r="F156" s="13"/>
      <c r="G156" s="103"/>
      <c r="H156" s="103"/>
      <c r="I156" s="103"/>
      <c r="J156" s="103"/>
      <c r="K156" s="63"/>
      <c r="L156" s="63"/>
      <c r="M156" s="63"/>
      <c r="N156" s="63"/>
      <c r="O156" s="103"/>
      <c r="P156" s="103"/>
      <c r="Q156" s="103"/>
      <c r="R156" s="103"/>
      <c r="S156" s="63"/>
      <c r="T156" s="63"/>
      <c r="U156" s="63"/>
      <c r="V156" s="63"/>
      <c r="W156" s="103"/>
      <c r="X156" s="103"/>
      <c r="Y156" s="103"/>
      <c r="Z156" s="103"/>
      <c r="AA156" s="63"/>
      <c r="AB156" s="63"/>
      <c r="AC156" s="63"/>
      <c r="AD156" s="63"/>
      <c r="AE156" s="103"/>
      <c r="AF156" s="103"/>
      <c r="AG156" s="103"/>
      <c r="AH156" s="103"/>
      <c r="AI156" s="63"/>
      <c r="AJ156" s="63"/>
      <c r="AK156" s="63"/>
      <c r="AL156" s="63"/>
      <c r="AM156" s="103"/>
      <c r="AN156" s="103"/>
      <c r="AO156" s="103"/>
      <c r="AP156" s="103"/>
      <c r="AQ156" s="63"/>
      <c r="AR156" s="63"/>
      <c r="AS156" s="63"/>
      <c r="AT156" s="63"/>
      <c r="AU156" s="103"/>
      <c r="AV156" s="103"/>
      <c r="AW156" s="103"/>
      <c r="AX156" s="103"/>
      <c r="AY156" s="63"/>
      <c r="AZ156" s="63"/>
      <c r="BA156" s="63"/>
      <c r="BB156" s="63"/>
      <c r="BC156" s="103"/>
      <c r="BD156" s="103"/>
      <c r="BE156" s="103"/>
      <c r="BF156" s="103"/>
      <c r="BG156" s="63"/>
      <c r="BH156" s="63"/>
      <c r="BI156" s="63"/>
      <c r="BJ156" s="63"/>
      <c r="BK156" s="103"/>
      <c r="BL156" s="103"/>
      <c r="BM156" s="103"/>
      <c r="BN156" s="103"/>
      <c r="BO156" s="63"/>
      <c r="BP156" s="63"/>
      <c r="BQ156" s="63"/>
      <c r="BR156" s="63"/>
      <c r="BS156" s="103"/>
      <c r="BT156" s="103"/>
      <c r="BU156" s="103"/>
      <c r="BV156" s="103"/>
      <c r="BW156" s="63"/>
      <c r="BX156" s="63"/>
      <c r="BY156" s="63"/>
      <c r="BZ156" s="63"/>
      <c r="CA156" s="103"/>
      <c r="CB156" s="103"/>
      <c r="CC156" s="103"/>
      <c r="CD156" s="103"/>
      <c r="CE156" s="63"/>
      <c r="CF156" s="63"/>
      <c r="CG156" s="63"/>
      <c r="CH156" s="63"/>
      <c r="CI156" s="103"/>
      <c r="CJ156" s="103"/>
      <c r="CK156" s="103"/>
      <c r="CL156" s="103"/>
    </row>
    <row r="157" spans="2:90" ht="13" x14ac:dyDescent="0.15">
      <c r="B157" s="13"/>
      <c r="C157" s="13"/>
      <c r="D157" s="13"/>
      <c r="E157" s="13"/>
      <c r="F157" s="13"/>
      <c r="G157" s="103"/>
      <c r="H157" s="103"/>
      <c r="I157" s="103"/>
      <c r="J157" s="103"/>
      <c r="K157" s="63"/>
      <c r="L157" s="63"/>
      <c r="M157" s="63"/>
      <c r="N157" s="63"/>
      <c r="O157" s="103"/>
      <c r="P157" s="103"/>
      <c r="Q157" s="103"/>
      <c r="R157" s="103"/>
      <c r="S157" s="63"/>
      <c r="T157" s="63"/>
      <c r="U157" s="63"/>
      <c r="V157" s="63"/>
      <c r="W157" s="103"/>
      <c r="X157" s="103"/>
      <c r="Y157" s="103"/>
      <c r="Z157" s="103"/>
      <c r="AA157" s="63"/>
      <c r="AB157" s="63"/>
      <c r="AC157" s="63"/>
      <c r="AD157" s="63"/>
      <c r="AE157" s="103"/>
      <c r="AF157" s="103"/>
      <c r="AG157" s="103"/>
      <c r="AH157" s="103"/>
      <c r="AI157" s="63"/>
      <c r="AJ157" s="63"/>
      <c r="AK157" s="63"/>
      <c r="AL157" s="63"/>
      <c r="AM157" s="103"/>
      <c r="AN157" s="103"/>
      <c r="AO157" s="103"/>
      <c r="AP157" s="103"/>
      <c r="AQ157" s="63"/>
      <c r="AR157" s="63"/>
      <c r="AS157" s="63"/>
      <c r="AT157" s="63"/>
      <c r="AU157" s="103"/>
      <c r="AV157" s="103"/>
      <c r="AW157" s="103"/>
      <c r="AX157" s="103"/>
      <c r="AY157" s="63"/>
      <c r="AZ157" s="63"/>
      <c r="BA157" s="63"/>
      <c r="BB157" s="63"/>
      <c r="BC157" s="103"/>
      <c r="BD157" s="103"/>
      <c r="BE157" s="103"/>
      <c r="BF157" s="103"/>
      <c r="BG157" s="63"/>
      <c r="BH157" s="63"/>
      <c r="BI157" s="63"/>
      <c r="BJ157" s="63"/>
      <c r="BK157" s="103"/>
      <c r="BL157" s="103"/>
      <c r="BM157" s="103"/>
      <c r="BN157" s="103"/>
      <c r="BO157" s="63"/>
      <c r="BP157" s="63"/>
      <c r="BQ157" s="63"/>
      <c r="BR157" s="63"/>
      <c r="BS157" s="103"/>
      <c r="BT157" s="103"/>
      <c r="BU157" s="103"/>
      <c r="BV157" s="103"/>
      <c r="BW157" s="63"/>
      <c r="BX157" s="63"/>
      <c r="BY157" s="63"/>
      <c r="BZ157" s="63"/>
      <c r="CA157" s="103"/>
      <c r="CB157" s="103"/>
      <c r="CC157" s="103"/>
      <c r="CD157" s="103"/>
      <c r="CE157" s="63"/>
      <c r="CF157" s="63"/>
      <c r="CG157" s="63"/>
      <c r="CH157" s="63"/>
      <c r="CI157" s="103"/>
      <c r="CJ157" s="103"/>
      <c r="CK157" s="103"/>
      <c r="CL157" s="103"/>
    </row>
    <row r="158" spans="2:90" ht="13" x14ac:dyDescent="0.15">
      <c r="B158" s="13"/>
      <c r="C158" s="13"/>
      <c r="D158" s="13"/>
      <c r="E158" s="13"/>
      <c r="F158" s="13"/>
      <c r="G158" s="103"/>
      <c r="H158" s="103"/>
      <c r="I158" s="103"/>
      <c r="J158" s="103"/>
      <c r="K158" s="63"/>
      <c r="L158" s="63"/>
      <c r="M158" s="63"/>
      <c r="N158" s="63"/>
      <c r="O158" s="103"/>
      <c r="P158" s="103"/>
      <c r="Q158" s="103"/>
      <c r="R158" s="103"/>
      <c r="S158" s="63"/>
      <c r="T158" s="63"/>
      <c r="U158" s="63"/>
      <c r="V158" s="63"/>
      <c r="W158" s="103"/>
      <c r="X158" s="103"/>
      <c r="Y158" s="103"/>
      <c r="Z158" s="103"/>
      <c r="AA158" s="63"/>
      <c r="AB158" s="63"/>
      <c r="AC158" s="63"/>
      <c r="AD158" s="63"/>
      <c r="AE158" s="103"/>
      <c r="AF158" s="103"/>
      <c r="AG158" s="103"/>
      <c r="AH158" s="103"/>
      <c r="AI158" s="63"/>
      <c r="AJ158" s="63"/>
      <c r="AK158" s="63"/>
      <c r="AL158" s="63"/>
      <c r="AM158" s="103"/>
      <c r="AN158" s="103"/>
      <c r="AO158" s="103"/>
      <c r="AP158" s="103"/>
      <c r="AQ158" s="63"/>
      <c r="AR158" s="63"/>
      <c r="AS158" s="63"/>
      <c r="AT158" s="63"/>
      <c r="AU158" s="103"/>
      <c r="AV158" s="103"/>
      <c r="AW158" s="103"/>
      <c r="AX158" s="103"/>
      <c r="AY158" s="63"/>
      <c r="AZ158" s="63"/>
      <c r="BA158" s="63"/>
      <c r="BB158" s="63"/>
      <c r="BC158" s="103"/>
      <c r="BD158" s="103"/>
      <c r="BE158" s="103"/>
      <c r="BF158" s="103"/>
      <c r="BG158" s="63"/>
      <c r="BH158" s="63"/>
      <c r="BI158" s="63"/>
      <c r="BJ158" s="63"/>
      <c r="BK158" s="103"/>
      <c r="BL158" s="103"/>
      <c r="BM158" s="103"/>
      <c r="BN158" s="103"/>
      <c r="BO158" s="63"/>
      <c r="BP158" s="63"/>
      <c r="BQ158" s="63"/>
      <c r="BR158" s="63"/>
      <c r="BS158" s="103"/>
      <c r="BT158" s="103"/>
      <c r="BU158" s="103"/>
      <c r="BV158" s="103"/>
      <c r="BW158" s="63"/>
      <c r="BX158" s="63"/>
      <c r="BY158" s="63"/>
      <c r="BZ158" s="63"/>
      <c r="CA158" s="103"/>
      <c r="CB158" s="103"/>
      <c r="CC158" s="103"/>
      <c r="CD158" s="103"/>
      <c r="CE158" s="63"/>
      <c r="CF158" s="63"/>
      <c r="CG158" s="63"/>
      <c r="CH158" s="63"/>
      <c r="CI158" s="103"/>
      <c r="CJ158" s="103"/>
      <c r="CK158" s="103"/>
      <c r="CL158" s="103"/>
    </row>
    <row r="159" spans="2:90" ht="13" x14ac:dyDescent="0.15">
      <c r="B159" s="13"/>
      <c r="C159" s="13"/>
      <c r="D159" s="13"/>
      <c r="E159" s="13"/>
      <c r="F159" s="13"/>
      <c r="G159" s="103"/>
      <c r="H159" s="103"/>
      <c r="I159" s="103"/>
      <c r="J159" s="103"/>
      <c r="K159" s="63"/>
      <c r="L159" s="63"/>
      <c r="M159" s="63"/>
      <c r="N159" s="63"/>
      <c r="O159" s="103"/>
      <c r="P159" s="103"/>
      <c r="Q159" s="103"/>
      <c r="R159" s="103"/>
      <c r="S159" s="63"/>
      <c r="T159" s="63"/>
      <c r="U159" s="63"/>
      <c r="V159" s="63"/>
      <c r="W159" s="103"/>
      <c r="X159" s="103"/>
      <c r="Y159" s="103"/>
      <c r="Z159" s="103"/>
      <c r="AA159" s="63"/>
      <c r="AB159" s="63"/>
      <c r="AC159" s="63"/>
      <c r="AD159" s="63"/>
      <c r="AE159" s="103"/>
      <c r="AF159" s="103"/>
      <c r="AG159" s="103"/>
      <c r="AH159" s="103"/>
      <c r="AI159" s="63"/>
      <c r="AJ159" s="63"/>
      <c r="AK159" s="63"/>
      <c r="AL159" s="63"/>
      <c r="AM159" s="103"/>
      <c r="AN159" s="103"/>
      <c r="AO159" s="103"/>
      <c r="AP159" s="103"/>
      <c r="AQ159" s="63"/>
      <c r="AR159" s="63"/>
      <c r="AS159" s="63"/>
      <c r="AT159" s="63"/>
      <c r="AU159" s="103"/>
      <c r="AV159" s="103"/>
      <c r="AW159" s="103"/>
      <c r="AX159" s="103"/>
      <c r="AY159" s="63"/>
      <c r="AZ159" s="63"/>
      <c r="BA159" s="63"/>
      <c r="BB159" s="63"/>
      <c r="BC159" s="103"/>
      <c r="BD159" s="103"/>
      <c r="BE159" s="103"/>
      <c r="BF159" s="103"/>
      <c r="BG159" s="63"/>
      <c r="BH159" s="63"/>
      <c r="BI159" s="63"/>
      <c r="BJ159" s="63"/>
      <c r="BK159" s="103"/>
      <c r="BL159" s="103"/>
      <c r="BM159" s="103"/>
      <c r="BN159" s="103"/>
      <c r="BO159" s="63"/>
      <c r="BP159" s="63"/>
      <c r="BQ159" s="63"/>
      <c r="BR159" s="63"/>
      <c r="BS159" s="103"/>
      <c r="BT159" s="103"/>
      <c r="BU159" s="103"/>
      <c r="BV159" s="103"/>
      <c r="BW159" s="63"/>
      <c r="BX159" s="63"/>
      <c r="BY159" s="63"/>
      <c r="BZ159" s="63"/>
      <c r="CA159" s="103"/>
      <c r="CB159" s="103"/>
      <c r="CC159" s="103"/>
      <c r="CD159" s="103"/>
      <c r="CE159" s="63"/>
      <c r="CF159" s="63"/>
      <c r="CG159" s="63"/>
      <c r="CH159" s="63"/>
      <c r="CI159" s="103"/>
      <c r="CJ159" s="103"/>
      <c r="CK159" s="103"/>
      <c r="CL159" s="103"/>
    </row>
    <row r="160" spans="2:90" ht="13" x14ac:dyDescent="0.15">
      <c r="B160" s="13"/>
      <c r="C160" s="13"/>
      <c r="D160" s="13"/>
      <c r="E160" s="13"/>
      <c r="F160" s="13"/>
      <c r="G160" s="103"/>
      <c r="H160" s="103"/>
      <c r="I160" s="103"/>
      <c r="J160" s="103"/>
      <c r="K160" s="63"/>
      <c r="L160" s="63"/>
      <c r="M160" s="63"/>
      <c r="N160" s="63"/>
      <c r="O160" s="103"/>
      <c r="P160" s="103"/>
      <c r="Q160" s="103"/>
      <c r="R160" s="103"/>
      <c r="S160" s="63"/>
      <c r="T160" s="63"/>
      <c r="U160" s="63"/>
      <c r="V160" s="63"/>
      <c r="W160" s="103"/>
      <c r="X160" s="103"/>
      <c r="Y160" s="103"/>
      <c r="Z160" s="103"/>
      <c r="AA160" s="63"/>
      <c r="AB160" s="63"/>
      <c r="AC160" s="63"/>
      <c r="AD160" s="63"/>
      <c r="AE160" s="103"/>
      <c r="AF160" s="103"/>
      <c r="AG160" s="103"/>
      <c r="AH160" s="103"/>
      <c r="AI160" s="63"/>
      <c r="AJ160" s="63"/>
      <c r="AK160" s="63"/>
      <c r="AL160" s="63"/>
      <c r="AM160" s="103"/>
      <c r="AN160" s="103"/>
      <c r="AO160" s="103"/>
      <c r="AP160" s="103"/>
      <c r="AQ160" s="63"/>
      <c r="AR160" s="63"/>
      <c r="AS160" s="63"/>
      <c r="AT160" s="63"/>
      <c r="AU160" s="103"/>
      <c r="AV160" s="103"/>
      <c r="AW160" s="103"/>
      <c r="AX160" s="103"/>
      <c r="AY160" s="63"/>
      <c r="AZ160" s="63"/>
      <c r="BA160" s="63"/>
      <c r="BB160" s="63"/>
      <c r="BC160" s="103"/>
      <c r="BD160" s="103"/>
      <c r="BE160" s="103"/>
      <c r="BF160" s="103"/>
      <c r="BG160" s="63"/>
      <c r="BH160" s="63"/>
      <c r="BI160" s="63"/>
      <c r="BJ160" s="63"/>
      <c r="BK160" s="103"/>
      <c r="BL160" s="103"/>
      <c r="BM160" s="103"/>
      <c r="BN160" s="103"/>
      <c r="BO160" s="63"/>
      <c r="BP160" s="63"/>
      <c r="BQ160" s="63"/>
      <c r="BR160" s="63"/>
      <c r="BS160" s="103"/>
      <c r="BT160" s="103"/>
      <c r="BU160" s="103"/>
      <c r="BV160" s="103"/>
      <c r="BW160" s="63"/>
      <c r="BX160" s="63"/>
      <c r="BY160" s="63"/>
      <c r="BZ160" s="63"/>
      <c r="CA160" s="103"/>
      <c r="CB160" s="103"/>
      <c r="CC160" s="103"/>
      <c r="CD160" s="103"/>
      <c r="CE160" s="63"/>
      <c r="CF160" s="63"/>
      <c r="CG160" s="63"/>
      <c r="CH160" s="63"/>
      <c r="CI160" s="103"/>
      <c r="CJ160" s="103"/>
      <c r="CK160" s="103"/>
      <c r="CL160" s="103"/>
    </row>
    <row r="161" spans="2:90" ht="13" x14ac:dyDescent="0.15">
      <c r="B161" s="13"/>
      <c r="C161" s="13"/>
      <c r="D161" s="13"/>
      <c r="E161" s="13"/>
      <c r="F161" s="13"/>
      <c r="G161" s="103"/>
      <c r="H161" s="103"/>
      <c r="I161" s="103"/>
      <c r="J161" s="103"/>
      <c r="K161" s="63"/>
      <c r="L161" s="63"/>
      <c r="M161" s="63"/>
      <c r="N161" s="63"/>
      <c r="O161" s="103"/>
      <c r="P161" s="103"/>
      <c r="Q161" s="103"/>
      <c r="R161" s="103"/>
      <c r="S161" s="63"/>
      <c r="T161" s="63"/>
      <c r="U161" s="63"/>
      <c r="V161" s="63"/>
      <c r="W161" s="103"/>
      <c r="X161" s="103"/>
      <c r="Y161" s="103"/>
      <c r="Z161" s="103"/>
      <c r="AA161" s="63"/>
      <c r="AB161" s="63"/>
      <c r="AC161" s="63"/>
      <c r="AD161" s="63"/>
      <c r="AE161" s="103"/>
      <c r="AF161" s="103"/>
      <c r="AG161" s="103"/>
      <c r="AH161" s="103"/>
      <c r="AI161" s="63"/>
      <c r="AJ161" s="63"/>
      <c r="AK161" s="63"/>
      <c r="AL161" s="63"/>
      <c r="AM161" s="103"/>
      <c r="AN161" s="103"/>
      <c r="AO161" s="103"/>
      <c r="AP161" s="103"/>
      <c r="AQ161" s="63"/>
      <c r="AR161" s="63"/>
      <c r="AS161" s="63"/>
      <c r="AT161" s="63"/>
      <c r="AU161" s="103"/>
      <c r="AV161" s="103"/>
      <c r="AW161" s="103"/>
      <c r="AX161" s="103"/>
      <c r="AY161" s="63"/>
      <c r="AZ161" s="63"/>
      <c r="BA161" s="63"/>
      <c r="BB161" s="63"/>
      <c r="BC161" s="103"/>
      <c r="BD161" s="103"/>
      <c r="BE161" s="103"/>
      <c r="BF161" s="103"/>
      <c r="BG161" s="63"/>
      <c r="BH161" s="63"/>
      <c r="BI161" s="63"/>
      <c r="BJ161" s="63"/>
      <c r="BK161" s="103"/>
      <c r="BL161" s="103"/>
      <c r="BM161" s="103"/>
      <c r="BN161" s="103"/>
      <c r="BO161" s="63"/>
      <c r="BP161" s="63"/>
      <c r="BQ161" s="63"/>
      <c r="BR161" s="63"/>
      <c r="BS161" s="103"/>
      <c r="BT161" s="103"/>
      <c r="BU161" s="103"/>
      <c r="BV161" s="103"/>
      <c r="BW161" s="63"/>
      <c r="BX161" s="63"/>
      <c r="BY161" s="63"/>
      <c r="BZ161" s="63"/>
      <c r="CA161" s="103"/>
      <c r="CB161" s="103"/>
      <c r="CC161" s="103"/>
      <c r="CD161" s="103"/>
      <c r="CE161" s="63"/>
      <c r="CF161" s="63"/>
      <c r="CG161" s="63"/>
      <c r="CH161" s="63"/>
      <c r="CI161" s="103"/>
      <c r="CJ161" s="103"/>
      <c r="CK161" s="103"/>
      <c r="CL161" s="103"/>
    </row>
    <row r="162" spans="2:90" ht="13" x14ac:dyDescent="0.15">
      <c r="B162" s="13"/>
      <c r="C162" s="13"/>
      <c r="D162" s="13"/>
      <c r="E162" s="13"/>
      <c r="F162" s="13"/>
      <c r="G162" s="103"/>
      <c r="H162" s="103"/>
      <c r="I162" s="103"/>
      <c r="J162" s="103"/>
      <c r="K162" s="63"/>
      <c r="L162" s="63"/>
      <c r="M162" s="63"/>
      <c r="N162" s="63"/>
      <c r="O162" s="103"/>
      <c r="P162" s="103"/>
      <c r="Q162" s="103"/>
      <c r="R162" s="103"/>
      <c r="S162" s="63"/>
      <c r="T162" s="63"/>
      <c r="U162" s="63"/>
      <c r="V162" s="63"/>
      <c r="W162" s="103"/>
      <c r="X162" s="103"/>
      <c r="Y162" s="103"/>
      <c r="Z162" s="103"/>
      <c r="AA162" s="63"/>
      <c r="AB162" s="63"/>
      <c r="AC162" s="63"/>
      <c r="AD162" s="63"/>
      <c r="AE162" s="103"/>
      <c r="AF162" s="103"/>
      <c r="AG162" s="103"/>
      <c r="AH162" s="103"/>
      <c r="AI162" s="63"/>
      <c r="AJ162" s="63"/>
      <c r="AK162" s="63"/>
      <c r="AL162" s="63"/>
      <c r="AM162" s="103"/>
      <c r="AN162" s="103"/>
      <c r="AO162" s="103"/>
      <c r="AP162" s="103"/>
      <c r="AQ162" s="63"/>
      <c r="AR162" s="63"/>
      <c r="AS162" s="63"/>
      <c r="AT162" s="63"/>
      <c r="AU162" s="103"/>
      <c r="AV162" s="103"/>
      <c r="AW162" s="103"/>
      <c r="AX162" s="103"/>
      <c r="AY162" s="63"/>
      <c r="AZ162" s="63"/>
      <c r="BA162" s="63"/>
      <c r="BB162" s="63"/>
      <c r="BC162" s="103"/>
      <c r="BD162" s="103"/>
      <c r="BE162" s="103"/>
      <c r="BF162" s="103"/>
      <c r="BG162" s="63"/>
      <c r="BH162" s="63"/>
      <c r="BI162" s="63"/>
      <c r="BJ162" s="63"/>
      <c r="BK162" s="103"/>
      <c r="BL162" s="103"/>
      <c r="BM162" s="103"/>
      <c r="BN162" s="103"/>
      <c r="BO162" s="63"/>
      <c r="BP162" s="63"/>
      <c r="BQ162" s="63"/>
      <c r="BR162" s="63"/>
      <c r="BS162" s="103"/>
      <c r="BT162" s="103"/>
      <c r="BU162" s="103"/>
      <c r="BV162" s="103"/>
      <c r="BW162" s="63"/>
      <c r="BX162" s="63"/>
      <c r="BY162" s="63"/>
      <c r="BZ162" s="63"/>
      <c r="CA162" s="103"/>
      <c r="CB162" s="103"/>
      <c r="CC162" s="103"/>
      <c r="CD162" s="103"/>
      <c r="CE162" s="63"/>
      <c r="CF162" s="63"/>
      <c r="CG162" s="63"/>
      <c r="CH162" s="63"/>
      <c r="CI162" s="103"/>
      <c r="CJ162" s="103"/>
      <c r="CK162" s="103"/>
      <c r="CL162" s="103"/>
    </row>
    <row r="163" spans="2:90" ht="13" x14ac:dyDescent="0.15">
      <c r="B163" s="13"/>
      <c r="C163" s="13"/>
      <c r="D163" s="13"/>
      <c r="E163" s="13"/>
      <c r="F163" s="13"/>
      <c r="G163" s="103"/>
      <c r="H163" s="103"/>
      <c r="I163" s="103"/>
      <c r="J163" s="103"/>
      <c r="K163" s="63"/>
      <c r="L163" s="63"/>
      <c r="M163" s="63"/>
      <c r="N163" s="63"/>
      <c r="O163" s="103"/>
      <c r="P163" s="103"/>
      <c r="Q163" s="103"/>
      <c r="R163" s="103"/>
      <c r="S163" s="63"/>
      <c r="T163" s="63"/>
      <c r="U163" s="63"/>
      <c r="V163" s="63"/>
      <c r="W163" s="103"/>
      <c r="X163" s="103"/>
      <c r="Y163" s="103"/>
      <c r="Z163" s="103"/>
      <c r="AA163" s="63"/>
      <c r="AB163" s="63"/>
      <c r="AC163" s="63"/>
      <c r="AD163" s="63"/>
      <c r="AE163" s="103"/>
      <c r="AF163" s="103"/>
      <c r="AG163" s="103"/>
      <c r="AH163" s="103"/>
      <c r="AI163" s="63"/>
      <c r="AJ163" s="63"/>
      <c r="AK163" s="63"/>
      <c r="AL163" s="63"/>
      <c r="AM163" s="103"/>
      <c r="AN163" s="103"/>
      <c r="AO163" s="103"/>
      <c r="AP163" s="103"/>
      <c r="AQ163" s="63"/>
      <c r="AR163" s="63"/>
      <c r="AS163" s="63"/>
      <c r="AT163" s="63"/>
      <c r="AU163" s="103"/>
      <c r="AV163" s="103"/>
      <c r="AW163" s="103"/>
      <c r="AX163" s="103"/>
      <c r="AY163" s="63"/>
      <c r="AZ163" s="63"/>
      <c r="BA163" s="63"/>
      <c r="BB163" s="63"/>
      <c r="BC163" s="103"/>
      <c r="BD163" s="103"/>
      <c r="BE163" s="103"/>
      <c r="BF163" s="103"/>
      <c r="BG163" s="63"/>
      <c r="BH163" s="63"/>
      <c r="BI163" s="63"/>
      <c r="BJ163" s="63"/>
      <c r="BK163" s="103"/>
      <c r="BL163" s="103"/>
      <c r="BM163" s="103"/>
      <c r="BN163" s="103"/>
      <c r="BO163" s="63"/>
      <c r="BP163" s="63"/>
      <c r="BQ163" s="63"/>
      <c r="BR163" s="63"/>
      <c r="BS163" s="103"/>
      <c r="BT163" s="103"/>
      <c r="BU163" s="103"/>
      <c r="BV163" s="103"/>
      <c r="BW163" s="63"/>
      <c r="BX163" s="63"/>
      <c r="BY163" s="63"/>
      <c r="BZ163" s="63"/>
      <c r="CA163" s="103"/>
      <c r="CB163" s="103"/>
      <c r="CC163" s="103"/>
      <c r="CD163" s="103"/>
      <c r="CE163" s="63"/>
      <c r="CF163" s="63"/>
      <c r="CG163" s="63"/>
      <c r="CH163" s="63"/>
      <c r="CI163" s="103"/>
      <c r="CJ163" s="103"/>
      <c r="CK163" s="103"/>
      <c r="CL163" s="103"/>
    </row>
    <row r="164" spans="2:90" ht="13" x14ac:dyDescent="0.15">
      <c r="B164" s="13"/>
      <c r="C164" s="13"/>
      <c r="D164" s="13"/>
      <c r="E164" s="13"/>
      <c r="F164" s="13"/>
      <c r="G164" s="103"/>
      <c r="H164" s="103"/>
      <c r="I164" s="103"/>
      <c r="J164" s="103"/>
      <c r="K164" s="63"/>
      <c r="L164" s="63"/>
      <c r="M164" s="63"/>
      <c r="N164" s="63"/>
      <c r="O164" s="103"/>
      <c r="P164" s="103"/>
      <c r="Q164" s="103"/>
      <c r="R164" s="103"/>
      <c r="S164" s="63"/>
      <c r="T164" s="63"/>
      <c r="U164" s="63"/>
      <c r="V164" s="63"/>
      <c r="W164" s="103"/>
      <c r="X164" s="103"/>
      <c r="Y164" s="103"/>
      <c r="Z164" s="103"/>
      <c r="AA164" s="63"/>
      <c r="AB164" s="63"/>
      <c r="AC164" s="63"/>
      <c r="AD164" s="63"/>
      <c r="AE164" s="103"/>
      <c r="AF164" s="103"/>
      <c r="AG164" s="103"/>
      <c r="AH164" s="103"/>
      <c r="AI164" s="63"/>
      <c r="AJ164" s="63"/>
      <c r="AK164" s="63"/>
      <c r="AL164" s="63"/>
      <c r="AM164" s="103"/>
      <c r="AN164" s="103"/>
      <c r="AO164" s="103"/>
      <c r="AP164" s="103"/>
      <c r="AQ164" s="63"/>
      <c r="AR164" s="63"/>
      <c r="AS164" s="63"/>
      <c r="AT164" s="63"/>
      <c r="AU164" s="103"/>
      <c r="AV164" s="103"/>
      <c r="AW164" s="103"/>
      <c r="AX164" s="103"/>
      <c r="AY164" s="63"/>
      <c r="AZ164" s="63"/>
      <c r="BA164" s="63"/>
      <c r="BB164" s="63"/>
      <c r="BC164" s="103"/>
      <c r="BD164" s="103"/>
      <c r="BE164" s="103"/>
      <c r="BF164" s="103"/>
      <c r="BG164" s="63"/>
      <c r="BH164" s="63"/>
      <c r="BI164" s="63"/>
      <c r="BJ164" s="63"/>
      <c r="BK164" s="103"/>
      <c r="BL164" s="103"/>
      <c r="BM164" s="103"/>
      <c r="BN164" s="103"/>
      <c r="BO164" s="63"/>
      <c r="BP164" s="63"/>
      <c r="BQ164" s="63"/>
      <c r="BR164" s="63"/>
      <c r="BS164" s="103"/>
      <c r="BT164" s="103"/>
      <c r="BU164" s="103"/>
      <c r="BV164" s="103"/>
      <c r="BW164" s="63"/>
      <c r="BX164" s="63"/>
      <c r="BY164" s="63"/>
      <c r="BZ164" s="63"/>
      <c r="CA164" s="103"/>
      <c r="CB164" s="103"/>
      <c r="CC164" s="103"/>
      <c r="CD164" s="103"/>
      <c r="CE164" s="63"/>
      <c r="CF164" s="63"/>
      <c r="CG164" s="63"/>
      <c r="CH164" s="63"/>
      <c r="CI164" s="103"/>
      <c r="CJ164" s="103"/>
      <c r="CK164" s="103"/>
      <c r="CL164" s="103"/>
    </row>
    <row r="165" spans="2:90" ht="13" x14ac:dyDescent="0.15">
      <c r="B165" s="13"/>
      <c r="C165" s="13"/>
      <c r="D165" s="13"/>
      <c r="E165" s="13"/>
      <c r="F165" s="13"/>
      <c r="G165" s="103"/>
      <c r="H165" s="103"/>
      <c r="I165" s="103"/>
      <c r="J165" s="103"/>
      <c r="K165" s="63"/>
      <c r="L165" s="63"/>
      <c r="M165" s="63"/>
      <c r="N165" s="63"/>
      <c r="O165" s="103"/>
      <c r="P165" s="103"/>
      <c r="Q165" s="103"/>
      <c r="R165" s="103"/>
      <c r="S165" s="63"/>
      <c r="T165" s="63"/>
      <c r="U165" s="63"/>
      <c r="V165" s="63"/>
      <c r="W165" s="103"/>
      <c r="X165" s="103"/>
      <c r="Y165" s="103"/>
      <c r="Z165" s="103"/>
      <c r="AA165" s="63"/>
      <c r="AB165" s="63"/>
      <c r="AC165" s="63"/>
      <c r="AD165" s="63"/>
      <c r="AE165" s="103"/>
      <c r="AF165" s="103"/>
      <c r="AG165" s="103"/>
      <c r="AH165" s="103"/>
      <c r="AI165" s="63"/>
      <c r="AJ165" s="63"/>
      <c r="AK165" s="63"/>
      <c r="AL165" s="63"/>
      <c r="AM165" s="103"/>
      <c r="AN165" s="103"/>
      <c r="AO165" s="103"/>
      <c r="AP165" s="103"/>
      <c r="AQ165" s="63"/>
      <c r="AR165" s="63"/>
      <c r="AS165" s="63"/>
      <c r="AT165" s="63"/>
      <c r="AU165" s="103"/>
      <c r="AV165" s="103"/>
      <c r="AW165" s="103"/>
      <c r="AX165" s="103"/>
      <c r="AY165" s="63"/>
      <c r="AZ165" s="63"/>
      <c r="BA165" s="63"/>
      <c r="BB165" s="63"/>
      <c r="BC165" s="103"/>
      <c r="BD165" s="103"/>
      <c r="BE165" s="103"/>
      <c r="BF165" s="103"/>
      <c r="BG165" s="63"/>
      <c r="BH165" s="63"/>
      <c r="BI165" s="63"/>
      <c r="BJ165" s="63"/>
      <c r="BK165" s="103"/>
      <c r="BL165" s="103"/>
      <c r="BM165" s="103"/>
      <c r="BN165" s="103"/>
      <c r="BO165" s="63"/>
      <c r="BP165" s="63"/>
      <c r="BQ165" s="63"/>
      <c r="BR165" s="63"/>
      <c r="BS165" s="103"/>
      <c r="BT165" s="103"/>
      <c r="BU165" s="103"/>
      <c r="BV165" s="103"/>
      <c r="BW165" s="63"/>
      <c r="BX165" s="63"/>
      <c r="BY165" s="63"/>
      <c r="BZ165" s="63"/>
      <c r="CA165" s="103"/>
      <c r="CB165" s="103"/>
      <c r="CC165" s="103"/>
      <c r="CD165" s="103"/>
      <c r="CE165" s="63"/>
      <c r="CF165" s="63"/>
      <c r="CG165" s="63"/>
      <c r="CH165" s="63"/>
      <c r="CI165" s="103"/>
      <c r="CJ165" s="103"/>
      <c r="CK165" s="103"/>
      <c r="CL165" s="103"/>
    </row>
    <row r="166" spans="2:90" ht="13" x14ac:dyDescent="0.15">
      <c r="B166" s="13"/>
      <c r="C166" s="13"/>
      <c r="D166" s="13"/>
      <c r="E166" s="13"/>
      <c r="F166" s="13"/>
      <c r="G166" s="103"/>
      <c r="H166" s="103"/>
      <c r="I166" s="103"/>
      <c r="J166" s="103"/>
      <c r="K166" s="63"/>
      <c r="L166" s="63"/>
      <c r="M166" s="63"/>
      <c r="N166" s="63"/>
      <c r="O166" s="103"/>
      <c r="P166" s="103"/>
      <c r="Q166" s="103"/>
      <c r="R166" s="103"/>
      <c r="S166" s="63"/>
      <c r="T166" s="63"/>
      <c r="U166" s="63"/>
      <c r="V166" s="63"/>
      <c r="W166" s="103"/>
      <c r="X166" s="103"/>
      <c r="Y166" s="103"/>
      <c r="Z166" s="103"/>
      <c r="AA166" s="63"/>
      <c r="AB166" s="63"/>
      <c r="AC166" s="63"/>
      <c r="AD166" s="63"/>
      <c r="AE166" s="103"/>
      <c r="AF166" s="103"/>
      <c r="AG166" s="103"/>
      <c r="AH166" s="103"/>
      <c r="AI166" s="63"/>
      <c r="AJ166" s="63"/>
      <c r="AK166" s="63"/>
      <c r="AL166" s="63"/>
      <c r="AM166" s="103"/>
      <c r="AN166" s="103"/>
      <c r="AO166" s="103"/>
      <c r="AP166" s="103"/>
      <c r="AQ166" s="63"/>
      <c r="AR166" s="63"/>
      <c r="AS166" s="63"/>
      <c r="AT166" s="63"/>
      <c r="AU166" s="103"/>
      <c r="AV166" s="103"/>
      <c r="AW166" s="103"/>
      <c r="AX166" s="103"/>
      <c r="AY166" s="63"/>
      <c r="AZ166" s="63"/>
      <c r="BA166" s="63"/>
      <c r="BB166" s="63"/>
      <c r="BC166" s="103"/>
      <c r="BD166" s="103"/>
      <c r="BE166" s="103"/>
      <c r="BF166" s="103"/>
      <c r="BG166" s="63"/>
      <c r="BH166" s="63"/>
      <c r="BI166" s="63"/>
      <c r="BJ166" s="63"/>
      <c r="BK166" s="103"/>
      <c r="BL166" s="103"/>
      <c r="BM166" s="103"/>
      <c r="BN166" s="103"/>
      <c r="BO166" s="63"/>
      <c r="BP166" s="63"/>
      <c r="BQ166" s="63"/>
      <c r="BR166" s="63"/>
      <c r="BS166" s="103"/>
      <c r="BT166" s="103"/>
      <c r="BU166" s="103"/>
      <c r="BV166" s="103"/>
      <c r="BW166" s="63"/>
      <c r="BX166" s="63"/>
      <c r="BY166" s="63"/>
      <c r="BZ166" s="63"/>
      <c r="CA166" s="103"/>
      <c r="CB166" s="103"/>
      <c r="CC166" s="103"/>
      <c r="CD166" s="103"/>
      <c r="CE166" s="63"/>
      <c r="CF166" s="63"/>
      <c r="CG166" s="63"/>
      <c r="CH166" s="63"/>
      <c r="CI166" s="103"/>
      <c r="CJ166" s="103"/>
      <c r="CK166" s="103"/>
      <c r="CL166" s="103"/>
    </row>
    <row r="167" spans="2:90" ht="13" x14ac:dyDescent="0.15">
      <c r="B167" s="13"/>
      <c r="C167" s="13"/>
      <c r="D167" s="13"/>
      <c r="E167" s="13"/>
      <c r="F167" s="13"/>
      <c r="G167" s="103"/>
      <c r="H167" s="103"/>
      <c r="I167" s="103"/>
      <c r="J167" s="103"/>
      <c r="K167" s="63"/>
      <c r="L167" s="63"/>
      <c r="M167" s="63"/>
      <c r="N167" s="63"/>
      <c r="O167" s="103"/>
      <c r="P167" s="103"/>
      <c r="Q167" s="103"/>
      <c r="R167" s="103"/>
      <c r="S167" s="63"/>
      <c r="T167" s="63"/>
      <c r="U167" s="63"/>
      <c r="V167" s="63"/>
      <c r="W167" s="103"/>
      <c r="X167" s="103"/>
      <c r="Y167" s="103"/>
      <c r="Z167" s="103"/>
      <c r="AA167" s="63"/>
      <c r="AB167" s="63"/>
      <c r="AC167" s="63"/>
      <c r="AD167" s="63"/>
      <c r="AE167" s="103"/>
      <c r="AF167" s="103"/>
      <c r="AG167" s="103"/>
      <c r="AH167" s="103"/>
      <c r="AI167" s="63"/>
      <c r="AJ167" s="63"/>
      <c r="AK167" s="63"/>
      <c r="AL167" s="63"/>
      <c r="AM167" s="103"/>
      <c r="AN167" s="103"/>
      <c r="AO167" s="103"/>
      <c r="AP167" s="103"/>
      <c r="AQ167" s="63"/>
      <c r="AR167" s="63"/>
      <c r="AS167" s="63"/>
      <c r="AT167" s="63"/>
      <c r="AU167" s="103"/>
      <c r="AV167" s="103"/>
      <c r="AW167" s="103"/>
      <c r="AX167" s="103"/>
      <c r="AY167" s="63"/>
      <c r="AZ167" s="63"/>
      <c r="BA167" s="63"/>
      <c r="BB167" s="63"/>
      <c r="BC167" s="103"/>
      <c r="BD167" s="103"/>
      <c r="BE167" s="103"/>
      <c r="BF167" s="103"/>
      <c r="BG167" s="63"/>
      <c r="BH167" s="63"/>
      <c r="BI167" s="63"/>
      <c r="BJ167" s="63"/>
      <c r="BK167" s="103"/>
      <c r="BL167" s="103"/>
      <c r="BM167" s="103"/>
      <c r="BN167" s="103"/>
      <c r="BO167" s="63"/>
      <c r="BP167" s="63"/>
      <c r="BQ167" s="63"/>
      <c r="BR167" s="63"/>
      <c r="BS167" s="103"/>
      <c r="BT167" s="103"/>
      <c r="BU167" s="103"/>
      <c r="BV167" s="103"/>
      <c r="BW167" s="63"/>
      <c r="BX167" s="63"/>
      <c r="BY167" s="63"/>
      <c r="BZ167" s="63"/>
      <c r="CA167" s="103"/>
      <c r="CB167" s="103"/>
      <c r="CC167" s="103"/>
      <c r="CD167" s="103"/>
      <c r="CE167" s="63"/>
      <c r="CF167" s="63"/>
      <c r="CG167" s="63"/>
      <c r="CH167" s="63"/>
      <c r="CI167" s="103"/>
      <c r="CJ167" s="103"/>
      <c r="CK167" s="103"/>
      <c r="CL167" s="103"/>
    </row>
    <row r="168" spans="2:90" ht="13" x14ac:dyDescent="0.15">
      <c r="B168" s="13"/>
      <c r="C168" s="13"/>
      <c r="D168" s="13"/>
      <c r="E168" s="13"/>
      <c r="F168" s="13"/>
      <c r="G168" s="103"/>
      <c r="H168" s="103"/>
      <c r="I168" s="103"/>
      <c r="J168" s="103"/>
      <c r="K168" s="63"/>
      <c r="L168" s="63"/>
      <c r="M168" s="63"/>
      <c r="N168" s="63"/>
      <c r="O168" s="103"/>
      <c r="P168" s="103"/>
      <c r="Q168" s="103"/>
      <c r="R168" s="103"/>
      <c r="S168" s="63"/>
      <c r="T168" s="63"/>
      <c r="U168" s="63"/>
      <c r="V168" s="63"/>
      <c r="W168" s="103"/>
      <c r="X168" s="103"/>
      <c r="Y168" s="103"/>
      <c r="Z168" s="103"/>
      <c r="AA168" s="63"/>
      <c r="AB168" s="63"/>
      <c r="AC168" s="63"/>
      <c r="AD168" s="63"/>
      <c r="AE168" s="103"/>
      <c r="AF168" s="103"/>
      <c r="AG168" s="103"/>
      <c r="AH168" s="103"/>
      <c r="AI168" s="63"/>
      <c r="AJ168" s="63"/>
      <c r="AK168" s="63"/>
      <c r="AL168" s="63"/>
      <c r="AM168" s="103"/>
      <c r="AN168" s="103"/>
      <c r="AO168" s="103"/>
      <c r="AP168" s="103"/>
      <c r="AQ168" s="63"/>
      <c r="AR168" s="63"/>
      <c r="AS168" s="63"/>
      <c r="AT168" s="63"/>
      <c r="AU168" s="103"/>
      <c r="AV168" s="103"/>
      <c r="AW168" s="103"/>
      <c r="AX168" s="103"/>
      <c r="AY168" s="63"/>
      <c r="AZ168" s="63"/>
      <c r="BA168" s="63"/>
      <c r="BB168" s="63"/>
      <c r="BC168" s="103"/>
      <c r="BD168" s="103"/>
      <c r="BE168" s="103"/>
      <c r="BF168" s="103"/>
      <c r="BG168" s="63"/>
      <c r="BH168" s="63"/>
      <c r="BI168" s="63"/>
      <c r="BJ168" s="63"/>
      <c r="BK168" s="103"/>
      <c r="BL168" s="103"/>
      <c r="BM168" s="103"/>
      <c r="BN168" s="103"/>
      <c r="BO168" s="63"/>
      <c r="BP168" s="63"/>
      <c r="BQ168" s="63"/>
      <c r="BR168" s="63"/>
      <c r="BS168" s="103"/>
      <c r="BT168" s="103"/>
      <c r="BU168" s="103"/>
      <c r="BV168" s="103"/>
      <c r="BW168" s="63"/>
      <c r="BX168" s="63"/>
      <c r="BY168" s="63"/>
      <c r="BZ168" s="63"/>
      <c r="CA168" s="103"/>
      <c r="CB168" s="103"/>
      <c r="CC168" s="103"/>
      <c r="CD168" s="103"/>
      <c r="CE168" s="63"/>
      <c r="CF168" s="63"/>
      <c r="CG168" s="63"/>
      <c r="CH168" s="63"/>
      <c r="CI168" s="103"/>
      <c r="CJ168" s="103"/>
      <c r="CK168" s="103"/>
      <c r="CL168" s="103"/>
    </row>
    <row r="169" spans="2:90" ht="13" x14ac:dyDescent="0.15">
      <c r="B169" s="13"/>
      <c r="C169" s="13"/>
      <c r="D169" s="13"/>
      <c r="E169" s="13"/>
      <c r="F169" s="13"/>
      <c r="G169" s="103"/>
      <c r="H169" s="103"/>
      <c r="I169" s="103"/>
      <c r="J169" s="103"/>
      <c r="K169" s="63"/>
      <c r="L169" s="63"/>
      <c r="M169" s="63"/>
      <c r="N169" s="63"/>
      <c r="O169" s="103"/>
      <c r="P169" s="103"/>
      <c r="Q169" s="103"/>
      <c r="R169" s="103"/>
      <c r="S169" s="63"/>
      <c r="T169" s="63"/>
      <c r="U169" s="63"/>
      <c r="V169" s="63"/>
      <c r="W169" s="103"/>
      <c r="X169" s="103"/>
      <c r="Y169" s="103"/>
      <c r="Z169" s="103"/>
      <c r="AA169" s="63"/>
      <c r="AB169" s="63"/>
      <c r="AC169" s="63"/>
      <c r="AD169" s="63"/>
      <c r="AE169" s="103"/>
      <c r="AF169" s="103"/>
      <c r="AG169" s="103"/>
      <c r="AH169" s="103"/>
      <c r="AI169" s="63"/>
      <c r="AJ169" s="63"/>
      <c r="AK169" s="63"/>
      <c r="AL169" s="63"/>
      <c r="AM169" s="103"/>
      <c r="AN169" s="103"/>
      <c r="AO169" s="103"/>
      <c r="AP169" s="103"/>
      <c r="AQ169" s="63"/>
      <c r="AR169" s="63"/>
      <c r="AS169" s="63"/>
      <c r="AT169" s="63"/>
      <c r="AU169" s="103"/>
      <c r="AV169" s="103"/>
      <c r="AW169" s="103"/>
      <c r="AX169" s="103"/>
      <c r="AY169" s="63"/>
      <c r="AZ169" s="63"/>
      <c r="BA169" s="63"/>
      <c r="BB169" s="63"/>
      <c r="BC169" s="103"/>
      <c r="BD169" s="103"/>
      <c r="BE169" s="103"/>
      <c r="BF169" s="103"/>
      <c r="BG169" s="63"/>
      <c r="BH169" s="63"/>
      <c r="BI169" s="63"/>
      <c r="BJ169" s="63"/>
      <c r="BK169" s="103"/>
      <c r="BL169" s="103"/>
      <c r="BM169" s="103"/>
      <c r="BN169" s="103"/>
      <c r="BO169" s="63"/>
      <c r="BP169" s="63"/>
      <c r="BQ169" s="63"/>
      <c r="BR169" s="63"/>
      <c r="BS169" s="103"/>
      <c r="BT169" s="103"/>
      <c r="BU169" s="103"/>
      <c r="BV169" s="103"/>
      <c r="BW169" s="63"/>
      <c r="BX169" s="63"/>
      <c r="BY169" s="63"/>
      <c r="BZ169" s="63"/>
      <c r="CA169" s="103"/>
      <c r="CB169" s="103"/>
      <c r="CC169" s="103"/>
      <c r="CD169" s="103"/>
      <c r="CE169" s="63"/>
      <c r="CF169" s="63"/>
      <c r="CG169" s="63"/>
      <c r="CH169" s="63"/>
      <c r="CI169" s="103"/>
      <c r="CJ169" s="103"/>
      <c r="CK169" s="103"/>
      <c r="CL169" s="103"/>
    </row>
    <row r="170" spans="2:90" ht="13" x14ac:dyDescent="0.15">
      <c r="B170" s="13"/>
      <c r="C170" s="13"/>
      <c r="D170" s="13"/>
      <c r="E170" s="13"/>
      <c r="F170" s="13"/>
      <c r="G170" s="103"/>
      <c r="H170" s="103"/>
      <c r="I170" s="103"/>
      <c r="J170" s="103"/>
      <c r="K170" s="63"/>
      <c r="L170" s="63"/>
      <c r="M170" s="63"/>
      <c r="N170" s="63"/>
      <c r="O170" s="103"/>
      <c r="P170" s="103"/>
      <c r="Q170" s="103"/>
      <c r="R170" s="103"/>
      <c r="S170" s="63"/>
      <c r="T170" s="63"/>
      <c r="U170" s="63"/>
      <c r="V170" s="63"/>
      <c r="W170" s="103"/>
      <c r="X170" s="103"/>
      <c r="Y170" s="103"/>
      <c r="Z170" s="103"/>
      <c r="AA170" s="63"/>
      <c r="AB170" s="63"/>
      <c r="AC170" s="63"/>
      <c r="AD170" s="63"/>
      <c r="AE170" s="103"/>
      <c r="AF170" s="103"/>
      <c r="AG170" s="103"/>
      <c r="AH170" s="103"/>
      <c r="AI170" s="63"/>
      <c r="AJ170" s="63"/>
      <c r="AK170" s="63"/>
      <c r="AL170" s="63"/>
      <c r="AM170" s="103"/>
      <c r="AN170" s="103"/>
      <c r="AO170" s="103"/>
      <c r="AP170" s="103"/>
      <c r="AQ170" s="63"/>
      <c r="AR170" s="63"/>
      <c r="AS170" s="63"/>
      <c r="AT170" s="63"/>
      <c r="AU170" s="103"/>
      <c r="AV170" s="103"/>
      <c r="AW170" s="103"/>
      <c r="AX170" s="103"/>
      <c r="AY170" s="63"/>
      <c r="AZ170" s="63"/>
      <c r="BA170" s="63"/>
      <c r="BB170" s="63"/>
      <c r="BC170" s="103"/>
      <c r="BD170" s="103"/>
      <c r="BE170" s="103"/>
      <c r="BF170" s="103"/>
      <c r="BG170" s="63"/>
      <c r="BH170" s="63"/>
      <c r="BI170" s="63"/>
      <c r="BJ170" s="63"/>
      <c r="BK170" s="103"/>
      <c r="BL170" s="103"/>
      <c r="BM170" s="103"/>
      <c r="BN170" s="103"/>
      <c r="BO170" s="63"/>
      <c r="BP170" s="63"/>
      <c r="BQ170" s="63"/>
      <c r="BR170" s="63"/>
      <c r="BS170" s="103"/>
      <c r="BT170" s="103"/>
      <c r="BU170" s="103"/>
      <c r="BV170" s="103"/>
      <c r="BW170" s="63"/>
      <c r="BX170" s="63"/>
      <c r="BY170" s="63"/>
      <c r="BZ170" s="63"/>
      <c r="CA170" s="103"/>
      <c r="CB170" s="103"/>
      <c r="CC170" s="103"/>
      <c r="CD170" s="103"/>
      <c r="CE170" s="63"/>
      <c r="CF170" s="63"/>
      <c r="CG170" s="63"/>
      <c r="CH170" s="63"/>
      <c r="CI170" s="103"/>
      <c r="CJ170" s="103"/>
      <c r="CK170" s="103"/>
      <c r="CL170" s="103"/>
    </row>
    <row r="171" spans="2:90" ht="13" x14ac:dyDescent="0.15">
      <c r="B171" s="13"/>
      <c r="C171" s="13"/>
      <c r="D171" s="13"/>
      <c r="E171" s="13"/>
      <c r="F171" s="13"/>
      <c r="G171" s="103"/>
      <c r="H171" s="103"/>
      <c r="I171" s="103"/>
      <c r="J171" s="103"/>
      <c r="K171" s="63"/>
      <c r="L171" s="63"/>
      <c r="M171" s="63"/>
      <c r="N171" s="63"/>
      <c r="O171" s="103"/>
      <c r="P171" s="103"/>
      <c r="Q171" s="103"/>
      <c r="R171" s="103"/>
      <c r="S171" s="63"/>
      <c r="T171" s="63"/>
      <c r="U171" s="63"/>
      <c r="V171" s="63"/>
      <c r="W171" s="103"/>
      <c r="X171" s="103"/>
      <c r="Y171" s="103"/>
      <c r="Z171" s="103"/>
      <c r="AA171" s="63"/>
      <c r="AB171" s="63"/>
      <c r="AC171" s="63"/>
      <c r="AD171" s="63"/>
      <c r="AE171" s="103"/>
      <c r="AF171" s="103"/>
      <c r="AG171" s="103"/>
      <c r="AH171" s="103"/>
      <c r="AI171" s="63"/>
      <c r="AJ171" s="63"/>
      <c r="AK171" s="63"/>
      <c r="AL171" s="63"/>
      <c r="AM171" s="103"/>
      <c r="AN171" s="103"/>
      <c r="AO171" s="103"/>
      <c r="AP171" s="103"/>
      <c r="AQ171" s="63"/>
      <c r="AR171" s="63"/>
      <c r="AS171" s="63"/>
      <c r="AT171" s="63"/>
      <c r="AU171" s="103"/>
      <c r="AV171" s="103"/>
      <c r="AW171" s="103"/>
      <c r="AX171" s="103"/>
      <c r="AY171" s="63"/>
      <c r="AZ171" s="63"/>
      <c r="BA171" s="63"/>
      <c r="BB171" s="63"/>
      <c r="BC171" s="103"/>
      <c r="BD171" s="103"/>
      <c r="BE171" s="103"/>
      <c r="BF171" s="103"/>
      <c r="BG171" s="63"/>
      <c r="BH171" s="63"/>
      <c r="BI171" s="63"/>
      <c r="BJ171" s="63"/>
      <c r="BK171" s="103"/>
      <c r="BL171" s="103"/>
      <c r="BM171" s="103"/>
      <c r="BN171" s="103"/>
      <c r="BO171" s="63"/>
      <c r="BP171" s="63"/>
      <c r="BQ171" s="63"/>
      <c r="BR171" s="63"/>
      <c r="BS171" s="103"/>
      <c r="BT171" s="103"/>
      <c r="BU171" s="103"/>
      <c r="BV171" s="103"/>
      <c r="BW171" s="63"/>
      <c r="BX171" s="63"/>
      <c r="BY171" s="63"/>
      <c r="BZ171" s="63"/>
      <c r="CA171" s="103"/>
      <c r="CB171" s="103"/>
      <c r="CC171" s="103"/>
      <c r="CD171" s="103"/>
      <c r="CE171" s="63"/>
      <c r="CF171" s="63"/>
      <c r="CG171" s="63"/>
      <c r="CH171" s="63"/>
      <c r="CI171" s="103"/>
      <c r="CJ171" s="103"/>
      <c r="CK171" s="103"/>
      <c r="CL171" s="103"/>
    </row>
    <row r="172" spans="2:90" ht="13" x14ac:dyDescent="0.15">
      <c r="B172" s="13"/>
      <c r="C172" s="13"/>
      <c r="D172" s="13"/>
      <c r="E172" s="13"/>
      <c r="F172" s="13"/>
      <c r="G172" s="103"/>
      <c r="H172" s="103"/>
      <c r="I172" s="103"/>
      <c r="J172" s="103"/>
      <c r="K172" s="63"/>
      <c r="L172" s="63"/>
      <c r="M172" s="63"/>
      <c r="N172" s="63"/>
      <c r="O172" s="103"/>
      <c r="P172" s="103"/>
      <c r="Q172" s="103"/>
      <c r="R172" s="103"/>
      <c r="S172" s="63"/>
      <c r="T172" s="63"/>
      <c r="U172" s="63"/>
      <c r="V172" s="63"/>
      <c r="W172" s="103"/>
      <c r="X172" s="103"/>
      <c r="Y172" s="103"/>
      <c r="Z172" s="103"/>
      <c r="AA172" s="63"/>
      <c r="AB172" s="63"/>
      <c r="AC172" s="63"/>
      <c r="AD172" s="63"/>
      <c r="AE172" s="103"/>
      <c r="AF172" s="103"/>
      <c r="AG172" s="103"/>
      <c r="AH172" s="103"/>
      <c r="AI172" s="63"/>
      <c r="AJ172" s="63"/>
      <c r="AK172" s="63"/>
      <c r="AL172" s="63"/>
      <c r="AM172" s="103"/>
      <c r="AN172" s="103"/>
      <c r="AO172" s="103"/>
      <c r="AP172" s="103"/>
      <c r="AQ172" s="63"/>
      <c r="AR172" s="63"/>
      <c r="AS172" s="63"/>
      <c r="AT172" s="63"/>
      <c r="AU172" s="103"/>
      <c r="AV172" s="103"/>
      <c r="AW172" s="103"/>
      <c r="AX172" s="103"/>
      <c r="AY172" s="63"/>
      <c r="AZ172" s="63"/>
      <c r="BA172" s="63"/>
      <c r="BB172" s="63"/>
      <c r="BC172" s="103"/>
      <c r="BD172" s="103"/>
      <c r="BE172" s="103"/>
      <c r="BF172" s="103"/>
      <c r="BG172" s="63"/>
      <c r="BH172" s="63"/>
      <c r="BI172" s="63"/>
      <c r="BJ172" s="63"/>
      <c r="BK172" s="103"/>
      <c r="BL172" s="103"/>
      <c r="BM172" s="103"/>
      <c r="BN172" s="103"/>
      <c r="BO172" s="63"/>
      <c r="BP172" s="63"/>
      <c r="BQ172" s="63"/>
      <c r="BR172" s="63"/>
      <c r="BS172" s="103"/>
      <c r="BT172" s="103"/>
      <c r="BU172" s="103"/>
      <c r="BV172" s="103"/>
      <c r="BW172" s="63"/>
      <c r="BX172" s="63"/>
      <c r="BY172" s="63"/>
      <c r="BZ172" s="63"/>
      <c r="CA172" s="103"/>
      <c r="CB172" s="103"/>
      <c r="CC172" s="103"/>
      <c r="CD172" s="103"/>
      <c r="CE172" s="63"/>
      <c r="CF172" s="63"/>
      <c r="CG172" s="63"/>
      <c r="CH172" s="63"/>
      <c r="CI172" s="103"/>
      <c r="CJ172" s="103"/>
      <c r="CK172" s="103"/>
      <c r="CL172" s="103"/>
    </row>
    <row r="173" spans="2:90" ht="13" x14ac:dyDescent="0.15">
      <c r="B173" s="13"/>
      <c r="C173" s="13"/>
      <c r="D173" s="13"/>
      <c r="E173" s="13"/>
      <c r="F173" s="13"/>
      <c r="G173" s="103"/>
      <c r="H173" s="103"/>
      <c r="I173" s="103"/>
      <c r="J173" s="103"/>
      <c r="K173" s="63"/>
      <c r="L173" s="63"/>
      <c r="M173" s="63"/>
      <c r="N173" s="63"/>
      <c r="O173" s="103"/>
      <c r="P173" s="103"/>
      <c r="Q173" s="103"/>
      <c r="R173" s="103"/>
      <c r="S173" s="63"/>
      <c r="T173" s="63"/>
      <c r="U173" s="63"/>
      <c r="V173" s="63"/>
      <c r="W173" s="103"/>
      <c r="X173" s="103"/>
      <c r="Y173" s="103"/>
      <c r="Z173" s="103"/>
      <c r="AA173" s="63"/>
      <c r="AB173" s="63"/>
      <c r="AC173" s="63"/>
      <c r="AD173" s="63"/>
      <c r="AE173" s="103"/>
      <c r="AF173" s="103"/>
      <c r="AG173" s="103"/>
      <c r="AH173" s="103"/>
      <c r="AI173" s="63"/>
      <c r="AJ173" s="63"/>
      <c r="AK173" s="63"/>
      <c r="AL173" s="63"/>
      <c r="AM173" s="103"/>
      <c r="AN173" s="103"/>
      <c r="AO173" s="103"/>
      <c r="AP173" s="103"/>
      <c r="AQ173" s="63"/>
      <c r="AR173" s="63"/>
      <c r="AS173" s="63"/>
      <c r="AT173" s="63"/>
      <c r="AU173" s="103"/>
      <c r="AV173" s="103"/>
      <c r="AW173" s="103"/>
      <c r="AX173" s="103"/>
      <c r="AY173" s="63"/>
      <c r="AZ173" s="63"/>
      <c r="BA173" s="63"/>
      <c r="BB173" s="63"/>
      <c r="BC173" s="103"/>
      <c r="BD173" s="103"/>
      <c r="BE173" s="103"/>
      <c r="BF173" s="103"/>
      <c r="BG173" s="63"/>
      <c r="BH173" s="63"/>
      <c r="BI173" s="63"/>
      <c r="BJ173" s="63"/>
      <c r="BK173" s="103"/>
      <c r="BL173" s="103"/>
      <c r="BM173" s="103"/>
      <c r="BN173" s="103"/>
      <c r="BO173" s="63"/>
      <c r="BP173" s="63"/>
      <c r="BQ173" s="63"/>
      <c r="BR173" s="63"/>
      <c r="BS173" s="103"/>
      <c r="BT173" s="103"/>
      <c r="BU173" s="103"/>
      <c r="BV173" s="103"/>
      <c r="BW173" s="63"/>
      <c r="BX173" s="63"/>
      <c r="BY173" s="63"/>
      <c r="BZ173" s="63"/>
      <c r="CA173" s="103"/>
      <c r="CB173" s="103"/>
      <c r="CC173" s="103"/>
      <c r="CD173" s="103"/>
      <c r="CE173" s="63"/>
      <c r="CF173" s="63"/>
      <c r="CG173" s="63"/>
      <c r="CH173" s="63"/>
      <c r="CI173" s="103"/>
      <c r="CJ173" s="103"/>
      <c r="CK173" s="103"/>
      <c r="CL173" s="103"/>
    </row>
    <row r="174" spans="2:90" ht="13" x14ac:dyDescent="0.15">
      <c r="B174" s="13"/>
      <c r="C174" s="13"/>
      <c r="D174" s="13"/>
      <c r="E174" s="13"/>
      <c r="F174" s="13"/>
      <c r="G174" s="103"/>
      <c r="H174" s="103"/>
      <c r="I174" s="103"/>
      <c r="J174" s="103"/>
      <c r="K174" s="63"/>
      <c r="L174" s="63"/>
      <c r="M174" s="63"/>
      <c r="N174" s="63"/>
      <c r="O174" s="103"/>
      <c r="P174" s="103"/>
      <c r="Q174" s="103"/>
      <c r="R174" s="103"/>
      <c r="S174" s="63"/>
      <c r="T174" s="63"/>
      <c r="U174" s="63"/>
      <c r="V174" s="63"/>
      <c r="W174" s="103"/>
      <c r="X174" s="103"/>
      <c r="Y174" s="103"/>
      <c r="Z174" s="103"/>
      <c r="AA174" s="63"/>
      <c r="AB174" s="63"/>
      <c r="AC174" s="63"/>
      <c r="AD174" s="63"/>
      <c r="AE174" s="103"/>
      <c r="AF174" s="103"/>
      <c r="AG174" s="103"/>
      <c r="AH174" s="103"/>
      <c r="AI174" s="63"/>
      <c r="AJ174" s="63"/>
      <c r="AK174" s="63"/>
      <c r="AL174" s="63"/>
      <c r="AM174" s="103"/>
      <c r="AN174" s="103"/>
      <c r="AO174" s="103"/>
      <c r="AP174" s="103"/>
      <c r="AQ174" s="63"/>
      <c r="AR174" s="63"/>
      <c r="AS174" s="63"/>
      <c r="AT174" s="63"/>
      <c r="AU174" s="103"/>
      <c r="AV174" s="103"/>
      <c r="AW174" s="103"/>
      <c r="AX174" s="103"/>
      <c r="AY174" s="63"/>
      <c r="AZ174" s="63"/>
      <c r="BA174" s="63"/>
      <c r="BB174" s="63"/>
      <c r="BC174" s="103"/>
      <c r="BD174" s="103"/>
      <c r="BE174" s="103"/>
      <c r="BF174" s="103"/>
      <c r="BG174" s="63"/>
      <c r="BH174" s="63"/>
      <c r="BI174" s="63"/>
      <c r="BJ174" s="63"/>
      <c r="BK174" s="103"/>
      <c r="BL174" s="103"/>
      <c r="BM174" s="103"/>
      <c r="BN174" s="103"/>
      <c r="BO174" s="63"/>
      <c r="BP174" s="63"/>
      <c r="BQ174" s="63"/>
      <c r="BR174" s="63"/>
      <c r="BS174" s="103"/>
      <c r="BT174" s="103"/>
      <c r="BU174" s="103"/>
      <c r="BV174" s="103"/>
      <c r="BW174" s="63"/>
      <c r="BX174" s="63"/>
      <c r="BY174" s="63"/>
      <c r="BZ174" s="63"/>
      <c r="CA174" s="103"/>
      <c r="CB174" s="103"/>
      <c r="CC174" s="103"/>
      <c r="CD174" s="103"/>
      <c r="CE174" s="63"/>
      <c r="CF174" s="63"/>
      <c r="CG174" s="63"/>
      <c r="CH174" s="63"/>
      <c r="CI174" s="103"/>
      <c r="CJ174" s="103"/>
      <c r="CK174" s="103"/>
      <c r="CL174" s="103"/>
    </row>
    <row r="175" spans="2:90" ht="13" x14ac:dyDescent="0.15">
      <c r="B175" s="13"/>
      <c r="C175" s="13"/>
      <c r="D175" s="13"/>
      <c r="E175" s="13"/>
      <c r="F175" s="13"/>
      <c r="G175" s="103"/>
      <c r="H175" s="103"/>
      <c r="I175" s="103"/>
      <c r="J175" s="103"/>
      <c r="K175" s="63"/>
      <c r="L175" s="63"/>
      <c r="M175" s="63"/>
      <c r="N175" s="63"/>
      <c r="O175" s="103"/>
      <c r="P175" s="103"/>
      <c r="Q175" s="103"/>
      <c r="R175" s="103"/>
      <c r="S175" s="63"/>
      <c r="T175" s="63"/>
      <c r="U175" s="63"/>
      <c r="V175" s="63"/>
      <c r="W175" s="103"/>
      <c r="X175" s="103"/>
      <c r="Y175" s="103"/>
      <c r="Z175" s="103"/>
      <c r="AA175" s="63"/>
      <c r="AB175" s="63"/>
      <c r="AC175" s="63"/>
      <c r="AD175" s="63"/>
      <c r="AE175" s="103"/>
      <c r="AF175" s="103"/>
      <c r="AG175" s="103"/>
      <c r="AH175" s="103"/>
      <c r="AI175" s="63"/>
      <c r="AJ175" s="63"/>
      <c r="AK175" s="63"/>
      <c r="AL175" s="63"/>
      <c r="AM175" s="103"/>
      <c r="AN175" s="103"/>
      <c r="AO175" s="103"/>
      <c r="AP175" s="103"/>
      <c r="AQ175" s="63"/>
      <c r="AR175" s="63"/>
      <c r="AS175" s="63"/>
      <c r="AT175" s="63"/>
      <c r="AU175" s="103"/>
      <c r="AV175" s="103"/>
      <c r="AW175" s="103"/>
      <c r="AX175" s="103"/>
      <c r="AY175" s="63"/>
      <c r="AZ175" s="63"/>
      <c r="BA175" s="63"/>
      <c r="BB175" s="63"/>
      <c r="BC175" s="103"/>
      <c r="BD175" s="103"/>
      <c r="BE175" s="103"/>
      <c r="BF175" s="103"/>
      <c r="BG175" s="63"/>
      <c r="BH175" s="63"/>
      <c r="BI175" s="63"/>
      <c r="BJ175" s="63"/>
      <c r="BK175" s="103"/>
      <c r="BL175" s="103"/>
      <c r="BM175" s="103"/>
      <c r="BN175" s="103"/>
      <c r="BO175" s="63"/>
      <c r="BP175" s="63"/>
      <c r="BQ175" s="63"/>
      <c r="BR175" s="63"/>
      <c r="BS175" s="103"/>
      <c r="BT175" s="103"/>
      <c r="BU175" s="103"/>
      <c r="BV175" s="103"/>
      <c r="BW175" s="63"/>
      <c r="BX175" s="63"/>
      <c r="BY175" s="63"/>
      <c r="BZ175" s="63"/>
      <c r="CA175" s="103"/>
      <c r="CB175" s="103"/>
      <c r="CC175" s="103"/>
      <c r="CD175" s="103"/>
      <c r="CE175" s="63"/>
      <c r="CF175" s="63"/>
      <c r="CG175" s="63"/>
      <c r="CH175" s="63"/>
      <c r="CI175" s="103"/>
      <c r="CJ175" s="103"/>
      <c r="CK175" s="103"/>
      <c r="CL175" s="103"/>
    </row>
    <row r="176" spans="2:90" ht="13" x14ac:dyDescent="0.15">
      <c r="B176" s="13"/>
      <c r="C176" s="13"/>
      <c r="D176" s="13"/>
      <c r="E176" s="13"/>
      <c r="F176" s="13"/>
      <c r="G176" s="103"/>
      <c r="H176" s="103"/>
      <c r="I176" s="103"/>
      <c r="J176" s="103"/>
      <c r="K176" s="63"/>
      <c r="L176" s="63"/>
      <c r="M176" s="63"/>
      <c r="N176" s="63"/>
      <c r="O176" s="103"/>
      <c r="P176" s="103"/>
      <c r="Q176" s="103"/>
      <c r="R176" s="103"/>
      <c r="S176" s="63"/>
      <c r="T176" s="63"/>
      <c r="U176" s="63"/>
      <c r="V176" s="63"/>
      <c r="W176" s="103"/>
      <c r="X176" s="103"/>
      <c r="Y176" s="103"/>
      <c r="Z176" s="103"/>
      <c r="AA176" s="63"/>
      <c r="AB176" s="63"/>
      <c r="AC176" s="63"/>
      <c r="AD176" s="63"/>
      <c r="AE176" s="103"/>
      <c r="AF176" s="103"/>
      <c r="AG176" s="103"/>
      <c r="AH176" s="103"/>
      <c r="AI176" s="63"/>
      <c r="AJ176" s="63"/>
      <c r="AK176" s="63"/>
      <c r="AL176" s="63"/>
      <c r="AM176" s="103"/>
      <c r="AN176" s="103"/>
      <c r="AO176" s="103"/>
      <c r="AP176" s="103"/>
      <c r="AQ176" s="63"/>
      <c r="AR176" s="63"/>
      <c r="AS176" s="63"/>
      <c r="AT176" s="63"/>
      <c r="AU176" s="103"/>
      <c r="AV176" s="103"/>
      <c r="AW176" s="103"/>
      <c r="AX176" s="103"/>
      <c r="AY176" s="63"/>
      <c r="AZ176" s="63"/>
      <c r="BA176" s="63"/>
      <c r="BB176" s="63"/>
      <c r="BC176" s="103"/>
      <c r="BD176" s="103"/>
      <c r="BE176" s="103"/>
      <c r="BF176" s="103"/>
      <c r="BG176" s="63"/>
      <c r="BH176" s="63"/>
      <c r="BI176" s="63"/>
      <c r="BJ176" s="63"/>
      <c r="BK176" s="103"/>
      <c r="BL176" s="103"/>
      <c r="BM176" s="103"/>
      <c r="BN176" s="103"/>
      <c r="BO176" s="63"/>
      <c r="BP176" s="63"/>
      <c r="BQ176" s="63"/>
      <c r="BR176" s="63"/>
      <c r="BS176" s="103"/>
      <c r="BT176" s="103"/>
      <c r="BU176" s="103"/>
      <c r="BV176" s="103"/>
      <c r="BW176" s="63"/>
      <c r="BX176" s="63"/>
      <c r="BY176" s="63"/>
      <c r="BZ176" s="63"/>
      <c r="CA176" s="103"/>
      <c r="CB176" s="103"/>
      <c r="CC176" s="103"/>
      <c r="CD176" s="103"/>
      <c r="CE176" s="63"/>
      <c r="CF176" s="63"/>
      <c r="CG176" s="63"/>
      <c r="CH176" s="63"/>
      <c r="CI176" s="103"/>
      <c r="CJ176" s="103"/>
      <c r="CK176" s="103"/>
      <c r="CL176" s="103"/>
    </row>
    <row r="177" spans="2:90" ht="13" x14ac:dyDescent="0.15">
      <c r="B177" s="13"/>
      <c r="C177" s="13"/>
      <c r="D177" s="13"/>
      <c r="E177" s="13"/>
      <c r="F177" s="13"/>
      <c r="G177" s="103"/>
      <c r="H177" s="103"/>
      <c r="I177" s="103"/>
      <c r="J177" s="103"/>
      <c r="K177" s="63"/>
      <c r="L177" s="63"/>
      <c r="M177" s="63"/>
      <c r="N177" s="63"/>
      <c r="O177" s="103"/>
      <c r="P177" s="103"/>
      <c r="Q177" s="103"/>
      <c r="R177" s="103"/>
      <c r="S177" s="63"/>
      <c r="T177" s="63"/>
      <c r="U177" s="63"/>
      <c r="V177" s="63"/>
      <c r="W177" s="103"/>
      <c r="X177" s="103"/>
      <c r="Y177" s="103"/>
      <c r="Z177" s="103"/>
      <c r="AA177" s="63"/>
      <c r="AB177" s="63"/>
      <c r="AC177" s="63"/>
      <c r="AD177" s="63"/>
      <c r="AE177" s="103"/>
      <c r="AF177" s="103"/>
      <c r="AG177" s="103"/>
      <c r="AH177" s="103"/>
      <c r="AI177" s="63"/>
      <c r="AJ177" s="63"/>
      <c r="AK177" s="63"/>
      <c r="AL177" s="63"/>
      <c r="AM177" s="103"/>
      <c r="AN177" s="103"/>
      <c r="AO177" s="103"/>
      <c r="AP177" s="103"/>
      <c r="AQ177" s="63"/>
      <c r="AR177" s="63"/>
      <c r="AS177" s="63"/>
      <c r="AT177" s="63"/>
      <c r="AU177" s="103"/>
      <c r="AV177" s="103"/>
      <c r="AW177" s="103"/>
      <c r="AX177" s="103"/>
      <c r="AY177" s="63"/>
      <c r="AZ177" s="63"/>
      <c r="BA177" s="63"/>
      <c r="BB177" s="63"/>
      <c r="BC177" s="103"/>
      <c r="BD177" s="103"/>
      <c r="BE177" s="103"/>
      <c r="BF177" s="103"/>
      <c r="BG177" s="63"/>
      <c r="BH177" s="63"/>
      <c r="BI177" s="63"/>
      <c r="BJ177" s="63"/>
      <c r="BK177" s="103"/>
      <c r="BL177" s="103"/>
      <c r="BM177" s="103"/>
      <c r="BN177" s="103"/>
      <c r="BO177" s="63"/>
      <c r="BP177" s="63"/>
      <c r="BQ177" s="63"/>
      <c r="BR177" s="63"/>
      <c r="BS177" s="103"/>
      <c r="BT177" s="103"/>
      <c r="BU177" s="103"/>
      <c r="BV177" s="103"/>
      <c r="BW177" s="63"/>
      <c r="BX177" s="63"/>
      <c r="BY177" s="63"/>
      <c r="BZ177" s="63"/>
      <c r="CA177" s="103"/>
      <c r="CB177" s="103"/>
      <c r="CC177" s="103"/>
      <c r="CD177" s="103"/>
      <c r="CE177" s="63"/>
      <c r="CF177" s="63"/>
      <c r="CG177" s="63"/>
      <c r="CH177" s="63"/>
      <c r="CI177" s="103"/>
      <c r="CJ177" s="103"/>
      <c r="CK177" s="103"/>
      <c r="CL177" s="103"/>
    </row>
    <row r="178" spans="2:90" ht="13" x14ac:dyDescent="0.15">
      <c r="B178" s="13"/>
      <c r="C178" s="13"/>
      <c r="D178" s="13"/>
      <c r="E178" s="13"/>
      <c r="F178" s="13"/>
      <c r="G178" s="103"/>
      <c r="H178" s="103"/>
      <c r="I178" s="103"/>
      <c r="J178" s="103"/>
      <c r="K178" s="63"/>
      <c r="L178" s="63"/>
      <c r="M178" s="63"/>
      <c r="N178" s="63"/>
      <c r="O178" s="103"/>
      <c r="P178" s="103"/>
      <c r="Q178" s="103"/>
      <c r="R178" s="103"/>
      <c r="S178" s="63"/>
      <c r="T178" s="63"/>
      <c r="U178" s="63"/>
      <c r="V178" s="63"/>
      <c r="W178" s="103"/>
      <c r="X178" s="103"/>
      <c r="Y178" s="103"/>
      <c r="Z178" s="103"/>
      <c r="AA178" s="63"/>
      <c r="AB178" s="63"/>
      <c r="AC178" s="63"/>
      <c r="AD178" s="63"/>
      <c r="AE178" s="103"/>
      <c r="AF178" s="103"/>
      <c r="AG178" s="103"/>
      <c r="AH178" s="103"/>
      <c r="AI178" s="63"/>
      <c r="AJ178" s="63"/>
      <c r="AK178" s="63"/>
      <c r="AL178" s="63"/>
      <c r="AM178" s="103"/>
      <c r="AN178" s="103"/>
      <c r="AO178" s="103"/>
      <c r="AP178" s="103"/>
      <c r="AQ178" s="63"/>
      <c r="AR178" s="63"/>
      <c r="AS178" s="63"/>
      <c r="AT178" s="63"/>
      <c r="AU178" s="103"/>
      <c r="AV178" s="103"/>
      <c r="AW178" s="103"/>
      <c r="AX178" s="103"/>
      <c r="AY178" s="63"/>
      <c r="AZ178" s="63"/>
      <c r="BA178" s="63"/>
      <c r="BB178" s="63"/>
      <c r="BC178" s="103"/>
      <c r="BD178" s="103"/>
      <c r="BE178" s="103"/>
      <c r="BF178" s="103"/>
      <c r="BG178" s="63"/>
      <c r="BH178" s="63"/>
      <c r="BI178" s="63"/>
      <c r="BJ178" s="63"/>
      <c r="BK178" s="103"/>
      <c r="BL178" s="103"/>
      <c r="BM178" s="103"/>
      <c r="BN178" s="103"/>
      <c r="BO178" s="63"/>
      <c r="BP178" s="63"/>
      <c r="BQ178" s="63"/>
      <c r="BR178" s="63"/>
      <c r="BS178" s="103"/>
      <c r="BT178" s="103"/>
      <c r="BU178" s="103"/>
      <c r="BV178" s="103"/>
      <c r="BW178" s="63"/>
      <c r="BX178" s="63"/>
      <c r="BY178" s="63"/>
      <c r="BZ178" s="63"/>
      <c r="CA178" s="103"/>
      <c r="CB178" s="103"/>
      <c r="CC178" s="103"/>
      <c r="CD178" s="103"/>
      <c r="CE178" s="63"/>
      <c r="CF178" s="63"/>
      <c r="CG178" s="63"/>
      <c r="CH178" s="63"/>
      <c r="CI178" s="103"/>
      <c r="CJ178" s="103"/>
      <c r="CK178" s="103"/>
      <c r="CL178" s="103"/>
    </row>
    <row r="179" spans="2:90" ht="13" x14ac:dyDescent="0.15">
      <c r="B179" s="13"/>
      <c r="C179" s="13"/>
      <c r="D179" s="13"/>
      <c r="E179" s="13"/>
      <c r="F179" s="13"/>
      <c r="G179" s="103"/>
      <c r="H179" s="103"/>
      <c r="I179" s="103"/>
      <c r="J179" s="103"/>
      <c r="K179" s="63"/>
      <c r="L179" s="63"/>
      <c r="M179" s="63"/>
      <c r="N179" s="63"/>
      <c r="O179" s="103"/>
      <c r="P179" s="103"/>
      <c r="Q179" s="103"/>
      <c r="R179" s="103"/>
      <c r="S179" s="63"/>
      <c r="T179" s="63"/>
      <c r="U179" s="63"/>
      <c r="V179" s="63"/>
      <c r="W179" s="103"/>
      <c r="X179" s="103"/>
      <c r="Y179" s="103"/>
      <c r="Z179" s="103"/>
      <c r="AA179" s="63"/>
      <c r="AB179" s="63"/>
      <c r="AC179" s="63"/>
      <c r="AD179" s="63"/>
      <c r="AE179" s="103"/>
      <c r="AF179" s="103"/>
      <c r="AG179" s="103"/>
      <c r="AH179" s="103"/>
      <c r="AI179" s="63"/>
      <c r="AJ179" s="63"/>
      <c r="AK179" s="63"/>
      <c r="AL179" s="63"/>
      <c r="AM179" s="103"/>
      <c r="AN179" s="103"/>
      <c r="AO179" s="103"/>
      <c r="AP179" s="103"/>
      <c r="AQ179" s="63"/>
      <c r="AR179" s="63"/>
      <c r="AS179" s="63"/>
      <c r="AT179" s="63"/>
      <c r="AU179" s="103"/>
      <c r="AV179" s="103"/>
      <c r="AW179" s="103"/>
      <c r="AX179" s="103"/>
      <c r="AY179" s="63"/>
      <c r="AZ179" s="63"/>
      <c r="BA179" s="63"/>
      <c r="BB179" s="63"/>
      <c r="BC179" s="103"/>
      <c r="BD179" s="103"/>
      <c r="BE179" s="103"/>
      <c r="BF179" s="103"/>
      <c r="BG179" s="63"/>
      <c r="BH179" s="63"/>
      <c r="BI179" s="63"/>
      <c r="BJ179" s="63"/>
      <c r="BK179" s="103"/>
      <c r="BL179" s="103"/>
      <c r="BM179" s="103"/>
      <c r="BN179" s="103"/>
      <c r="BO179" s="63"/>
      <c r="BP179" s="63"/>
      <c r="BQ179" s="63"/>
      <c r="BR179" s="63"/>
      <c r="BS179" s="103"/>
      <c r="BT179" s="103"/>
      <c r="BU179" s="103"/>
      <c r="BV179" s="103"/>
      <c r="BW179" s="63"/>
      <c r="BX179" s="63"/>
      <c r="BY179" s="63"/>
      <c r="BZ179" s="63"/>
      <c r="CA179" s="103"/>
      <c r="CB179" s="103"/>
      <c r="CC179" s="103"/>
      <c r="CD179" s="103"/>
      <c r="CE179" s="63"/>
      <c r="CF179" s="63"/>
      <c r="CG179" s="63"/>
      <c r="CH179" s="63"/>
      <c r="CI179" s="103"/>
      <c r="CJ179" s="103"/>
      <c r="CK179" s="103"/>
      <c r="CL179" s="103"/>
    </row>
    <row r="180" spans="2:90" ht="13" x14ac:dyDescent="0.15">
      <c r="B180" s="13"/>
      <c r="C180" s="13"/>
      <c r="D180" s="13"/>
      <c r="E180" s="13"/>
      <c r="F180" s="13"/>
      <c r="G180" s="103"/>
      <c r="H180" s="103"/>
      <c r="I180" s="103"/>
      <c r="J180" s="103"/>
      <c r="K180" s="63"/>
      <c r="L180" s="63"/>
      <c r="M180" s="63"/>
      <c r="N180" s="63"/>
      <c r="O180" s="103"/>
      <c r="P180" s="103"/>
      <c r="Q180" s="103"/>
      <c r="R180" s="103"/>
      <c r="S180" s="63"/>
      <c r="T180" s="63"/>
      <c r="U180" s="63"/>
      <c r="V180" s="63"/>
      <c r="W180" s="103"/>
      <c r="X180" s="103"/>
      <c r="Y180" s="103"/>
      <c r="Z180" s="103"/>
      <c r="AA180" s="63"/>
      <c r="AB180" s="63"/>
      <c r="AC180" s="63"/>
      <c r="AD180" s="63"/>
      <c r="AE180" s="103"/>
      <c r="AF180" s="103"/>
      <c r="AG180" s="103"/>
      <c r="AH180" s="103"/>
      <c r="AI180" s="63"/>
      <c r="AJ180" s="63"/>
      <c r="AK180" s="63"/>
      <c r="AL180" s="63"/>
      <c r="AM180" s="103"/>
      <c r="AN180" s="103"/>
      <c r="AO180" s="103"/>
      <c r="AP180" s="103"/>
      <c r="AQ180" s="63"/>
      <c r="AR180" s="63"/>
      <c r="AS180" s="63"/>
      <c r="AT180" s="63"/>
      <c r="AU180" s="103"/>
      <c r="AV180" s="103"/>
      <c r="AW180" s="103"/>
      <c r="AX180" s="103"/>
      <c r="AY180" s="63"/>
      <c r="AZ180" s="63"/>
      <c r="BA180" s="63"/>
      <c r="BB180" s="63"/>
      <c r="BC180" s="103"/>
      <c r="BD180" s="103"/>
      <c r="BE180" s="103"/>
      <c r="BF180" s="103"/>
      <c r="BG180" s="63"/>
      <c r="BH180" s="63"/>
      <c r="BI180" s="63"/>
      <c r="BJ180" s="63"/>
      <c r="BK180" s="103"/>
      <c r="BL180" s="103"/>
      <c r="BM180" s="103"/>
      <c r="BN180" s="103"/>
      <c r="BO180" s="63"/>
      <c r="BP180" s="63"/>
      <c r="BQ180" s="63"/>
      <c r="BR180" s="63"/>
      <c r="BS180" s="103"/>
      <c r="BT180" s="103"/>
      <c r="BU180" s="103"/>
      <c r="BV180" s="103"/>
      <c r="BW180" s="63"/>
      <c r="BX180" s="63"/>
      <c r="BY180" s="63"/>
      <c r="BZ180" s="63"/>
      <c r="CA180" s="103"/>
      <c r="CB180" s="103"/>
      <c r="CC180" s="103"/>
      <c r="CD180" s="103"/>
      <c r="CE180" s="63"/>
      <c r="CF180" s="63"/>
      <c r="CG180" s="63"/>
      <c r="CH180" s="63"/>
      <c r="CI180" s="103"/>
      <c r="CJ180" s="103"/>
      <c r="CK180" s="103"/>
      <c r="CL180" s="103"/>
    </row>
    <row r="181" spans="2:90" ht="13" x14ac:dyDescent="0.15">
      <c r="B181" s="13"/>
      <c r="C181" s="13"/>
      <c r="D181" s="13"/>
      <c r="E181" s="13"/>
      <c r="F181" s="13"/>
      <c r="G181" s="103"/>
      <c r="H181" s="103"/>
      <c r="I181" s="103"/>
      <c r="J181" s="103"/>
      <c r="K181" s="63"/>
      <c r="L181" s="63"/>
      <c r="M181" s="63"/>
      <c r="N181" s="63"/>
      <c r="O181" s="103"/>
      <c r="P181" s="103"/>
      <c r="Q181" s="103"/>
      <c r="R181" s="103"/>
      <c r="S181" s="63"/>
      <c r="T181" s="63"/>
      <c r="U181" s="63"/>
      <c r="V181" s="63"/>
      <c r="W181" s="103"/>
      <c r="X181" s="103"/>
      <c r="Y181" s="103"/>
      <c r="Z181" s="103"/>
      <c r="AA181" s="63"/>
      <c r="AB181" s="63"/>
      <c r="AC181" s="63"/>
      <c r="AD181" s="63"/>
      <c r="AE181" s="103"/>
      <c r="AF181" s="103"/>
      <c r="AG181" s="103"/>
      <c r="AH181" s="103"/>
      <c r="AI181" s="63"/>
      <c r="AJ181" s="63"/>
      <c r="AK181" s="63"/>
      <c r="AL181" s="63"/>
      <c r="AM181" s="103"/>
      <c r="AN181" s="103"/>
      <c r="AO181" s="103"/>
      <c r="AP181" s="103"/>
      <c r="AQ181" s="63"/>
      <c r="AR181" s="63"/>
      <c r="AS181" s="63"/>
      <c r="AT181" s="63"/>
      <c r="AU181" s="103"/>
      <c r="AV181" s="103"/>
      <c r="AW181" s="103"/>
      <c r="AX181" s="103"/>
      <c r="AY181" s="63"/>
      <c r="AZ181" s="63"/>
      <c r="BA181" s="63"/>
      <c r="BB181" s="63"/>
      <c r="BC181" s="103"/>
      <c r="BD181" s="103"/>
      <c r="BE181" s="103"/>
      <c r="BF181" s="103"/>
      <c r="BG181" s="63"/>
      <c r="BH181" s="63"/>
      <c r="BI181" s="63"/>
      <c r="BJ181" s="63"/>
      <c r="BK181" s="103"/>
      <c r="BL181" s="103"/>
      <c r="BM181" s="103"/>
      <c r="BN181" s="103"/>
      <c r="BO181" s="63"/>
      <c r="BP181" s="63"/>
      <c r="BQ181" s="63"/>
      <c r="BR181" s="63"/>
      <c r="BS181" s="103"/>
      <c r="BT181" s="103"/>
      <c r="BU181" s="103"/>
      <c r="BV181" s="103"/>
      <c r="BW181" s="63"/>
      <c r="BX181" s="63"/>
      <c r="BY181" s="63"/>
      <c r="BZ181" s="63"/>
      <c r="CA181" s="103"/>
      <c r="CB181" s="103"/>
      <c r="CC181" s="103"/>
      <c r="CD181" s="103"/>
      <c r="CE181" s="63"/>
      <c r="CF181" s="63"/>
      <c r="CG181" s="63"/>
      <c r="CH181" s="63"/>
      <c r="CI181" s="103"/>
      <c r="CJ181" s="103"/>
      <c r="CK181" s="103"/>
      <c r="CL181" s="103"/>
    </row>
    <row r="182" spans="2:90" ht="13" x14ac:dyDescent="0.15">
      <c r="B182" s="13"/>
      <c r="C182" s="13"/>
      <c r="D182" s="13"/>
      <c r="E182" s="13"/>
      <c r="F182" s="13"/>
      <c r="G182" s="103"/>
      <c r="H182" s="103"/>
      <c r="I182" s="103"/>
      <c r="J182" s="103"/>
      <c r="K182" s="63"/>
      <c r="L182" s="63"/>
      <c r="M182" s="63"/>
      <c r="N182" s="63"/>
      <c r="O182" s="103"/>
      <c r="P182" s="103"/>
      <c r="Q182" s="103"/>
      <c r="R182" s="103"/>
      <c r="S182" s="63"/>
      <c r="T182" s="63"/>
      <c r="U182" s="63"/>
      <c r="V182" s="63"/>
      <c r="W182" s="103"/>
      <c r="X182" s="103"/>
      <c r="Y182" s="103"/>
      <c r="Z182" s="103"/>
      <c r="AA182" s="63"/>
      <c r="AB182" s="63"/>
      <c r="AC182" s="63"/>
      <c r="AD182" s="63"/>
      <c r="AE182" s="103"/>
      <c r="AF182" s="103"/>
      <c r="AG182" s="103"/>
      <c r="AH182" s="103"/>
      <c r="AI182" s="63"/>
      <c r="AJ182" s="63"/>
      <c r="AK182" s="63"/>
      <c r="AL182" s="63"/>
      <c r="AM182" s="103"/>
      <c r="AN182" s="103"/>
      <c r="AO182" s="103"/>
      <c r="AP182" s="103"/>
      <c r="AQ182" s="63"/>
      <c r="AR182" s="63"/>
      <c r="AS182" s="63"/>
      <c r="AT182" s="63"/>
      <c r="AU182" s="103"/>
      <c r="AV182" s="103"/>
      <c r="AW182" s="103"/>
      <c r="AX182" s="103"/>
      <c r="AY182" s="63"/>
      <c r="AZ182" s="63"/>
      <c r="BA182" s="63"/>
      <c r="BB182" s="63"/>
      <c r="BC182" s="103"/>
      <c r="BD182" s="103"/>
      <c r="BE182" s="103"/>
      <c r="BF182" s="103"/>
      <c r="BG182" s="63"/>
      <c r="BH182" s="63"/>
      <c r="BI182" s="63"/>
      <c r="BJ182" s="63"/>
      <c r="BK182" s="103"/>
      <c r="BL182" s="103"/>
      <c r="BM182" s="103"/>
      <c r="BN182" s="103"/>
      <c r="BO182" s="63"/>
      <c r="BP182" s="63"/>
      <c r="BQ182" s="63"/>
      <c r="BR182" s="63"/>
      <c r="BS182" s="103"/>
      <c r="BT182" s="103"/>
      <c r="BU182" s="103"/>
      <c r="BV182" s="103"/>
      <c r="BW182" s="63"/>
      <c r="BX182" s="63"/>
      <c r="BY182" s="63"/>
      <c r="BZ182" s="63"/>
      <c r="CA182" s="103"/>
      <c r="CB182" s="103"/>
      <c r="CC182" s="103"/>
      <c r="CD182" s="103"/>
      <c r="CE182" s="63"/>
      <c r="CF182" s="63"/>
      <c r="CG182" s="63"/>
      <c r="CH182" s="63"/>
      <c r="CI182" s="103"/>
      <c r="CJ182" s="103"/>
      <c r="CK182" s="103"/>
      <c r="CL182" s="103"/>
    </row>
    <row r="183" spans="2:90" ht="13" x14ac:dyDescent="0.15">
      <c r="B183" s="13"/>
      <c r="C183" s="13"/>
      <c r="D183" s="13"/>
      <c r="E183" s="13"/>
      <c r="F183" s="13"/>
      <c r="G183" s="103"/>
      <c r="H183" s="103"/>
      <c r="I183" s="103"/>
      <c r="J183" s="103"/>
      <c r="K183" s="63"/>
      <c r="L183" s="63"/>
      <c r="M183" s="63"/>
      <c r="N183" s="63"/>
      <c r="O183" s="103"/>
      <c r="P183" s="103"/>
      <c r="Q183" s="103"/>
      <c r="R183" s="103"/>
      <c r="S183" s="63"/>
      <c r="T183" s="63"/>
      <c r="U183" s="63"/>
      <c r="V183" s="63"/>
      <c r="W183" s="103"/>
      <c r="X183" s="103"/>
      <c r="Y183" s="103"/>
      <c r="Z183" s="103"/>
      <c r="AA183" s="63"/>
      <c r="AB183" s="63"/>
      <c r="AC183" s="63"/>
      <c r="AD183" s="63"/>
      <c r="AE183" s="103"/>
      <c r="AF183" s="103"/>
      <c r="AG183" s="103"/>
      <c r="AH183" s="103"/>
      <c r="AI183" s="63"/>
      <c r="AJ183" s="63"/>
      <c r="AK183" s="63"/>
      <c r="AL183" s="63"/>
      <c r="AM183" s="103"/>
      <c r="AN183" s="103"/>
      <c r="AO183" s="103"/>
      <c r="AP183" s="103"/>
      <c r="AQ183" s="63"/>
      <c r="AR183" s="63"/>
      <c r="AS183" s="63"/>
      <c r="AT183" s="63"/>
      <c r="AU183" s="103"/>
      <c r="AV183" s="103"/>
      <c r="AW183" s="103"/>
      <c r="AX183" s="103"/>
      <c r="AY183" s="63"/>
      <c r="AZ183" s="63"/>
      <c r="BA183" s="63"/>
      <c r="BB183" s="63"/>
      <c r="BC183" s="103"/>
      <c r="BD183" s="103"/>
      <c r="BE183" s="103"/>
      <c r="BF183" s="103"/>
      <c r="BG183" s="63"/>
      <c r="BH183" s="63"/>
      <c r="BI183" s="63"/>
      <c r="BJ183" s="63"/>
      <c r="BK183" s="103"/>
      <c r="BL183" s="103"/>
      <c r="BM183" s="103"/>
      <c r="BN183" s="103"/>
      <c r="BO183" s="63"/>
      <c r="BP183" s="63"/>
      <c r="BQ183" s="63"/>
      <c r="BR183" s="63"/>
      <c r="BS183" s="103"/>
      <c r="BT183" s="103"/>
      <c r="BU183" s="103"/>
      <c r="BV183" s="103"/>
      <c r="BW183" s="63"/>
      <c r="BX183" s="63"/>
      <c r="BY183" s="63"/>
      <c r="BZ183" s="63"/>
      <c r="CA183" s="103"/>
      <c r="CB183" s="103"/>
      <c r="CC183" s="103"/>
      <c r="CD183" s="103"/>
      <c r="CE183" s="63"/>
      <c r="CF183" s="63"/>
      <c r="CG183" s="63"/>
      <c r="CH183" s="63"/>
      <c r="CI183" s="103"/>
      <c r="CJ183" s="103"/>
      <c r="CK183" s="103"/>
      <c r="CL183" s="103"/>
    </row>
    <row r="184" spans="2:90" ht="13" x14ac:dyDescent="0.15">
      <c r="B184" s="13"/>
      <c r="C184" s="13"/>
      <c r="D184" s="13"/>
      <c r="E184" s="13"/>
      <c r="F184" s="13"/>
      <c r="G184" s="103"/>
      <c r="H184" s="103"/>
      <c r="I184" s="103"/>
      <c r="J184" s="103"/>
      <c r="K184" s="63"/>
      <c r="L184" s="63"/>
      <c r="M184" s="63"/>
      <c r="N184" s="63"/>
      <c r="O184" s="103"/>
      <c r="P184" s="103"/>
      <c r="Q184" s="103"/>
      <c r="R184" s="103"/>
      <c r="S184" s="63"/>
      <c r="T184" s="63"/>
      <c r="U184" s="63"/>
      <c r="V184" s="63"/>
      <c r="W184" s="103"/>
      <c r="X184" s="103"/>
      <c r="Y184" s="103"/>
      <c r="Z184" s="103"/>
      <c r="AA184" s="63"/>
      <c r="AB184" s="63"/>
      <c r="AC184" s="63"/>
      <c r="AD184" s="63"/>
      <c r="AE184" s="103"/>
      <c r="AF184" s="103"/>
      <c r="AG184" s="103"/>
      <c r="AH184" s="103"/>
      <c r="AI184" s="63"/>
      <c r="AJ184" s="63"/>
      <c r="AK184" s="63"/>
      <c r="AL184" s="63"/>
      <c r="AM184" s="103"/>
      <c r="AN184" s="103"/>
      <c r="AO184" s="103"/>
      <c r="AP184" s="103"/>
      <c r="AQ184" s="63"/>
      <c r="AR184" s="63"/>
      <c r="AS184" s="63"/>
      <c r="AT184" s="63"/>
      <c r="AU184" s="103"/>
      <c r="AV184" s="103"/>
      <c r="AW184" s="103"/>
      <c r="AX184" s="103"/>
      <c r="AY184" s="63"/>
      <c r="AZ184" s="63"/>
      <c r="BA184" s="63"/>
      <c r="BB184" s="63"/>
      <c r="BC184" s="103"/>
      <c r="BD184" s="103"/>
      <c r="BE184" s="103"/>
      <c r="BF184" s="103"/>
      <c r="BG184" s="63"/>
      <c r="BH184" s="63"/>
      <c r="BI184" s="63"/>
      <c r="BJ184" s="63"/>
      <c r="BK184" s="103"/>
      <c r="BL184" s="103"/>
      <c r="BM184" s="103"/>
      <c r="BN184" s="103"/>
      <c r="BO184" s="63"/>
      <c r="BP184" s="63"/>
      <c r="BQ184" s="63"/>
      <c r="BR184" s="63"/>
      <c r="BS184" s="103"/>
      <c r="BT184" s="103"/>
      <c r="BU184" s="103"/>
      <c r="BV184" s="103"/>
      <c r="BW184" s="63"/>
      <c r="BX184" s="63"/>
      <c r="BY184" s="63"/>
      <c r="BZ184" s="63"/>
      <c r="CA184" s="103"/>
      <c r="CB184" s="103"/>
      <c r="CC184" s="103"/>
      <c r="CD184" s="103"/>
      <c r="CE184" s="63"/>
      <c r="CF184" s="63"/>
      <c r="CG184" s="63"/>
      <c r="CH184" s="63"/>
      <c r="CI184" s="103"/>
      <c r="CJ184" s="103"/>
      <c r="CK184" s="103"/>
      <c r="CL184" s="103"/>
    </row>
    <row r="185" spans="2:90" ht="13" x14ac:dyDescent="0.15">
      <c r="B185" s="13"/>
      <c r="C185" s="13"/>
      <c r="D185" s="13"/>
      <c r="E185" s="13"/>
      <c r="F185" s="13"/>
      <c r="G185" s="103"/>
      <c r="H185" s="103"/>
      <c r="I185" s="103"/>
      <c r="J185" s="103"/>
      <c r="K185" s="63"/>
      <c r="L185" s="63"/>
      <c r="M185" s="63"/>
      <c r="N185" s="63"/>
      <c r="O185" s="103"/>
      <c r="P185" s="103"/>
      <c r="Q185" s="103"/>
      <c r="R185" s="103"/>
      <c r="S185" s="63"/>
      <c r="T185" s="63"/>
      <c r="U185" s="63"/>
      <c r="V185" s="63"/>
      <c r="W185" s="103"/>
      <c r="X185" s="103"/>
      <c r="Y185" s="103"/>
      <c r="Z185" s="103"/>
      <c r="AA185" s="63"/>
      <c r="AB185" s="63"/>
      <c r="AC185" s="63"/>
      <c r="AD185" s="63"/>
      <c r="AE185" s="103"/>
      <c r="AF185" s="103"/>
      <c r="AG185" s="103"/>
      <c r="AH185" s="103"/>
      <c r="AI185" s="63"/>
      <c r="AJ185" s="63"/>
      <c r="AK185" s="63"/>
      <c r="AL185" s="63"/>
      <c r="AM185" s="103"/>
      <c r="AN185" s="103"/>
      <c r="AO185" s="103"/>
      <c r="AP185" s="103"/>
      <c r="AQ185" s="63"/>
      <c r="AR185" s="63"/>
      <c r="AS185" s="63"/>
      <c r="AT185" s="63"/>
      <c r="AU185" s="103"/>
      <c r="AV185" s="103"/>
      <c r="AW185" s="103"/>
      <c r="AX185" s="103"/>
      <c r="AY185" s="63"/>
      <c r="AZ185" s="63"/>
      <c r="BA185" s="63"/>
      <c r="BB185" s="63"/>
      <c r="BC185" s="103"/>
      <c r="BD185" s="103"/>
      <c r="BE185" s="103"/>
      <c r="BF185" s="103"/>
      <c r="BG185" s="63"/>
      <c r="BH185" s="63"/>
      <c r="BI185" s="63"/>
      <c r="BJ185" s="63"/>
      <c r="BK185" s="103"/>
      <c r="BL185" s="103"/>
      <c r="BM185" s="103"/>
      <c r="BN185" s="103"/>
      <c r="BO185" s="63"/>
      <c r="BP185" s="63"/>
      <c r="BQ185" s="63"/>
      <c r="BR185" s="63"/>
      <c r="BS185" s="103"/>
      <c r="BT185" s="103"/>
      <c r="BU185" s="103"/>
      <c r="BV185" s="103"/>
      <c r="BW185" s="63"/>
      <c r="BX185" s="63"/>
      <c r="BY185" s="63"/>
      <c r="BZ185" s="63"/>
      <c r="CA185" s="103"/>
      <c r="CB185" s="103"/>
      <c r="CC185" s="103"/>
      <c r="CD185" s="103"/>
      <c r="CE185" s="63"/>
      <c r="CF185" s="63"/>
      <c r="CG185" s="63"/>
      <c r="CH185" s="63"/>
      <c r="CI185" s="103"/>
      <c r="CJ185" s="103"/>
      <c r="CK185" s="103"/>
      <c r="CL185" s="103"/>
    </row>
    <row r="186" spans="2:90" ht="13" x14ac:dyDescent="0.15">
      <c r="B186" s="13"/>
      <c r="C186" s="13"/>
      <c r="D186" s="13"/>
      <c r="E186" s="13"/>
      <c r="F186" s="13"/>
      <c r="G186" s="103"/>
      <c r="H186" s="103"/>
      <c r="I186" s="103"/>
      <c r="J186" s="103"/>
      <c r="K186" s="63"/>
      <c r="L186" s="63"/>
      <c r="M186" s="63"/>
      <c r="N186" s="63"/>
      <c r="O186" s="103"/>
      <c r="P186" s="103"/>
      <c r="Q186" s="103"/>
      <c r="R186" s="103"/>
      <c r="S186" s="63"/>
      <c r="T186" s="63"/>
      <c r="U186" s="63"/>
      <c r="V186" s="63"/>
      <c r="W186" s="103"/>
      <c r="X186" s="103"/>
      <c r="Y186" s="103"/>
      <c r="Z186" s="103"/>
      <c r="AA186" s="63"/>
      <c r="AB186" s="63"/>
      <c r="AC186" s="63"/>
      <c r="AD186" s="63"/>
      <c r="AE186" s="103"/>
      <c r="AF186" s="103"/>
      <c r="AG186" s="103"/>
      <c r="AH186" s="103"/>
      <c r="AI186" s="63"/>
      <c r="AJ186" s="63"/>
      <c r="AK186" s="63"/>
      <c r="AL186" s="63"/>
      <c r="AM186" s="103"/>
      <c r="AN186" s="103"/>
      <c r="AO186" s="103"/>
      <c r="AP186" s="103"/>
      <c r="AQ186" s="63"/>
      <c r="AR186" s="63"/>
      <c r="AS186" s="63"/>
      <c r="AT186" s="63"/>
      <c r="AU186" s="103"/>
      <c r="AV186" s="103"/>
      <c r="AW186" s="103"/>
      <c r="AX186" s="103"/>
      <c r="AY186" s="63"/>
      <c r="AZ186" s="63"/>
      <c r="BA186" s="63"/>
      <c r="BB186" s="63"/>
      <c r="BC186" s="103"/>
      <c r="BD186" s="103"/>
      <c r="BE186" s="103"/>
      <c r="BF186" s="103"/>
      <c r="BG186" s="63"/>
      <c r="BH186" s="63"/>
      <c r="BI186" s="63"/>
      <c r="BJ186" s="63"/>
      <c r="BK186" s="103"/>
      <c r="BL186" s="103"/>
      <c r="BM186" s="103"/>
      <c r="BN186" s="103"/>
      <c r="BO186" s="63"/>
      <c r="BP186" s="63"/>
      <c r="BQ186" s="63"/>
      <c r="BR186" s="63"/>
      <c r="BS186" s="103"/>
      <c r="BT186" s="103"/>
      <c r="BU186" s="103"/>
      <c r="BV186" s="103"/>
      <c r="BW186" s="63"/>
      <c r="BX186" s="63"/>
      <c r="BY186" s="63"/>
      <c r="BZ186" s="63"/>
      <c r="CA186" s="103"/>
      <c r="CB186" s="103"/>
      <c r="CC186" s="103"/>
      <c r="CD186" s="103"/>
      <c r="CE186" s="63"/>
      <c r="CF186" s="63"/>
      <c r="CG186" s="63"/>
      <c r="CH186" s="63"/>
      <c r="CI186" s="103"/>
      <c r="CJ186" s="103"/>
      <c r="CK186" s="103"/>
      <c r="CL186" s="103"/>
    </row>
    <row r="187" spans="2:90" ht="13" x14ac:dyDescent="0.15">
      <c r="B187" s="13"/>
      <c r="C187" s="13"/>
      <c r="D187" s="13"/>
      <c r="E187" s="13"/>
      <c r="F187" s="13"/>
      <c r="G187" s="103"/>
      <c r="H187" s="103"/>
      <c r="I187" s="103"/>
      <c r="J187" s="103"/>
      <c r="K187" s="63"/>
      <c r="L187" s="63"/>
      <c r="M187" s="63"/>
      <c r="N187" s="63"/>
      <c r="O187" s="103"/>
      <c r="P187" s="103"/>
      <c r="Q187" s="103"/>
      <c r="R187" s="103"/>
      <c r="S187" s="63"/>
      <c r="T187" s="63"/>
      <c r="U187" s="63"/>
      <c r="V187" s="63"/>
      <c r="W187" s="103"/>
      <c r="X187" s="103"/>
      <c r="Y187" s="103"/>
      <c r="Z187" s="103"/>
      <c r="AA187" s="63"/>
      <c r="AB187" s="63"/>
      <c r="AC187" s="63"/>
      <c r="AD187" s="63"/>
      <c r="AE187" s="103"/>
      <c r="AF187" s="103"/>
      <c r="AG187" s="103"/>
      <c r="AH187" s="103"/>
      <c r="AI187" s="63"/>
      <c r="AJ187" s="63"/>
      <c r="AK187" s="63"/>
      <c r="AL187" s="63"/>
      <c r="AM187" s="103"/>
      <c r="AN187" s="103"/>
      <c r="AO187" s="103"/>
      <c r="AP187" s="103"/>
      <c r="AQ187" s="63"/>
      <c r="AR187" s="63"/>
      <c r="AS187" s="63"/>
      <c r="AT187" s="63"/>
      <c r="AU187" s="103"/>
      <c r="AV187" s="103"/>
      <c r="AW187" s="103"/>
      <c r="AX187" s="103"/>
      <c r="AY187" s="63"/>
      <c r="AZ187" s="63"/>
      <c r="BA187" s="63"/>
      <c r="BB187" s="63"/>
      <c r="BC187" s="103"/>
      <c r="BD187" s="103"/>
      <c r="BE187" s="103"/>
      <c r="BF187" s="103"/>
      <c r="BG187" s="63"/>
      <c r="BH187" s="63"/>
      <c r="BI187" s="63"/>
      <c r="BJ187" s="63"/>
      <c r="BK187" s="103"/>
      <c r="BL187" s="103"/>
      <c r="BM187" s="103"/>
      <c r="BN187" s="103"/>
      <c r="BO187" s="63"/>
      <c r="BP187" s="63"/>
      <c r="BQ187" s="63"/>
      <c r="BR187" s="63"/>
      <c r="BS187" s="103"/>
      <c r="BT187" s="103"/>
      <c r="BU187" s="103"/>
      <c r="BV187" s="103"/>
      <c r="BW187" s="63"/>
      <c r="BX187" s="63"/>
      <c r="BY187" s="63"/>
      <c r="BZ187" s="63"/>
      <c r="CA187" s="103"/>
      <c r="CB187" s="103"/>
      <c r="CC187" s="103"/>
      <c r="CD187" s="103"/>
      <c r="CE187" s="63"/>
      <c r="CF187" s="63"/>
      <c r="CG187" s="63"/>
      <c r="CH187" s="63"/>
      <c r="CI187" s="103"/>
      <c r="CJ187" s="103"/>
      <c r="CK187" s="103"/>
      <c r="CL187" s="103"/>
    </row>
    <row r="188" spans="2:90" ht="13" x14ac:dyDescent="0.15">
      <c r="B188" s="13"/>
      <c r="C188" s="13"/>
      <c r="D188" s="13"/>
      <c r="E188" s="13"/>
      <c r="F188" s="13"/>
      <c r="G188" s="103"/>
      <c r="H188" s="103"/>
      <c r="I188" s="103"/>
      <c r="J188" s="103"/>
      <c r="K188" s="63"/>
      <c r="L188" s="63"/>
      <c r="M188" s="63"/>
      <c r="N188" s="63"/>
      <c r="O188" s="103"/>
      <c r="P188" s="103"/>
      <c r="Q188" s="103"/>
      <c r="R188" s="103"/>
      <c r="S188" s="63"/>
      <c r="T188" s="63"/>
      <c r="U188" s="63"/>
      <c r="V188" s="63"/>
      <c r="W188" s="103"/>
      <c r="X188" s="103"/>
      <c r="Y188" s="103"/>
      <c r="Z188" s="103"/>
      <c r="AA188" s="63"/>
      <c r="AB188" s="63"/>
      <c r="AC188" s="63"/>
      <c r="AD188" s="63"/>
      <c r="AE188" s="103"/>
      <c r="AF188" s="103"/>
      <c r="AG188" s="103"/>
      <c r="AH188" s="103"/>
      <c r="AI188" s="63"/>
      <c r="AJ188" s="63"/>
      <c r="AK188" s="63"/>
      <c r="AL188" s="63"/>
      <c r="AM188" s="103"/>
      <c r="AN188" s="103"/>
      <c r="AO188" s="103"/>
      <c r="AP188" s="103"/>
      <c r="AQ188" s="63"/>
      <c r="AR188" s="63"/>
      <c r="AS188" s="63"/>
      <c r="AT188" s="63"/>
      <c r="AU188" s="103"/>
      <c r="AV188" s="103"/>
      <c r="AW188" s="103"/>
      <c r="AX188" s="103"/>
      <c r="AY188" s="63"/>
      <c r="AZ188" s="63"/>
      <c r="BA188" s="63"/>
      <c r="BB188" s="63"/>
      <c r="BC188" s="103"/>
      <c r="BD188" s="103"/>
      <c r="BE188" s="103"/>
      <c r="BF188" s="103"/>
      <c r="BG188" s="63"/>
      <c r="BH188" s="63"/>
      <c r="BI188" s="63"/>
      <c r="BJ188" s="63"/>
      <c r="BK188" s="103"/>
      <c r="BL188" s="103"/>
      <c r="BM188" s="103"/>
      <c r="BN188" s="103"/>
      <c r="BO188" s="63"/>
      <c r="BP188" s="63"/>
      <c r="BQ188" s="63"/>
      <c r="BR188" s="63"/>
      <c r="BS188" s="103"/>
      <c r="BT188" s="103"/>
      <c r="BU188" s="103"/>
      <c r="BV188" s="103"/>
      <c r="BW188" s="63"/>
      <c r="BX188" s="63"/>
      <c r="BY188" s="63"/>
      <c r="BZ188" s="63"/>
      <c r="CA188" s="103"/>
      <c r="CB188" s="103"/>
      <c r="CC188" s="103"/>
      <c r="CD188" s="103"/>
      <c r="CE188" s="63"/>
      <c r="CF188" s="63"/>
      <c r="CG188" s="63"/>
      <c r="CH188" s="63"/>
      <c r="CI188" s="103"/>
      <c r="CJ188" s="103"/>
      <c r="CK188" s="103"/>
      <c r="CL188" s="103"/>
    </row>
    <row r="189" spans="2:90" ht="13" x14ac:dyDescent="0.15">
      <c r="B189" s="13"/>
      <c r="C189" s="13"/>
      <c r="D189" s="13"/>
      <c r="E189" s="13"/>
      <c r="F189" s="13"/>
      <c r="G189" s="103"/>
      <c r="H189" s="103"/>
      <c r="I189" s="103"/>
      <c r="J189" s="103"/>
      <c r="K189" s="63"/>
      <c r="L189" s="63"/>
      <c r="M189" s="63"/>
      <c r="N189" s="63"/>
      <c r="O189" s="103"/>
      <c r="P189" s="103"/>
      <c r="Q189" s="103"/>
      <c r="R189" s="103"/>
      <c r="S189" s="63"/>
      <c r="T189" s="63"/>
      <c r="U189" s="63"/>
      <c r="V189" s="63"/>
      <c r="W189" s="103"/>
      <c r="X189" s="103"/>
      <c r="Y189" s="103"/>
      <c r="Z189" s="103"/>
      <c r="AA189" s="63"/>
      <c r="AB189" s="63"/>
      <c r="AC189" s="63"/>
      <c r="AD189" s="63"/>
      <c r="AE189" s="103"/>
      <c r="AF189" s="103"/>
      <c r="AG189" s="103"/>
      <c r="AH189" s="103"/>
      <c r="AI189" s="63"/>
      <c r="AJ189" s="63"/>
      <c r="AK189" s="63"/>
      <c r="AL189" s="63"/>
      <c r="AM189" s="103"/>
      <c r="AN189" s="103"/>
      <c r="AO189" s="103"/>
      <c r="AP189" s="103"/>
      <c r="AQ189" s="63"/>
      <c r="AR189" s="63"/>
      <c r="AS189" s="63"/>
      <c r="AT189" s="63"/>
      <c r="AU189" s="103"/>
      <c r="AV189" s="103"/>
      <c r="AW189" s="103"/>
      <c r="AX189" s="103"/>
      <c r="AY189" s="63"/>
      <c r="AZ189" s="63"/>
      <c r="BA189" s="63"/>
      <c r="BB189" s="63"/>
      <c r="BC189" s="103"/>
      <c r="BD189" s="103"/>
      <c r="BE189" s="103"/>
      <c r="BF189" s="103"/>
      <c r="BG189" s="63"/>
      <c r="BH189" s="63"/>
      <c r="BI189" s="63"/>
      <c r="BJ189" s="63"/>
      <c r="BK189" s="103"/>
      <c r="BL189" s="103"/>
      <c r="BM189" s="103"/>
      <c r="BN189" s="103"/>
      <c r="BO189" s="63"/>
      <c r="BP189" s="63"/>
      <c r="BQ189" s="63"/>
      <c r="BR189" s="63"/>
      <c r="BS189" s="103"/>
      <c r="BT189" s="103"/>
      <c r="BU189" s="103"/>
      <c r="BV189" s="103"/>
      <c r="BW189" s="63"/>
      <c r="BX189" s="63"/>
      <c r="BY189" s="63"/>
      <c r="BZ189" s="63"/>
      <c r="CA189" s="103"/>
      <c r="CB189" s="103"/>
      <c r="CC189" s="103"/>
      <c r="CD189" s="103"/>
      <c r="CE189" s="63"/>
      <c r="CF189" s="63"/>
      <c r="CG189" s="63"/>
      <c r="CH189" s="63"/>
      <c r="CI189" s="103"/>
      <c r="CJ189" s="103"/>
      <c r="CK189" s="103"/>
      <c r="CL189" s="103"/>
    </row>
    <row r="190" spans="2:90" ht="13" x14ac:dyDescent="0.15">
      <c r="B190" s="13"/>
      <c r="C190" s="13"/>
      <c r="D190" s="13"/>
      <c r="E190" s="13"/>
      <c r="F190" s="13"/>
      <c r="G190" s="103"/>
      <c r="H190" s="103"/>
      <c r="I190" s="103"/>
      <c r="J190" s="103"/>
      <c r="K190" s="63"/>
      <c r="L190" s="63"/>
      <c r="M190" s="63"/>
      <c r="N190" s="63"/>
      <c r="O190" s="103"/>
      <c r="P190" s="103"/>
      <c r="Q190" s="103"/>
      <c r="R190" s="103"/>
      <c r="S190" s="63"/>
      <c r="T190" s="63"/>
      <c r="U190" s="63"/>
      <c r="V190" s="63"/>
      <c r="W190" s="103"/>
      <c r="X190" s="103"/>
      <c r="Y190" s="103"/>
      <c r="Z190" s="103"/>
      <c r="AA190" s="63"/>
      <c r="AB190" s="63"/>
      <c r="AC190" s="63"/>
      <c r="AD190" s="63"/>
      <c r="AE190" s="103"/>
      <c r="AF190" s="103"/>
      <c r="AG190" s="103"/>
      <c r="AH190" s="103"/>
      <c r="AI190" s="63"/>
      <c r="AJ190" s="63"/>
      <c r="AK190" s="63"/>
      <c r="AL190" s="63"/>
      <c r="AM190" s="103"/>
      <c r="AN190" s="103"/>
      <c r="AO190" s="103"/>
      <c r="AP190" s="103"/>
      <c r="AQ190" s="63"/>
      <c r="AR190" s="63"/>
      <c r="AS190" s="63"/>
      <c r="AT190" s="63"/>
      <c r="AU190" s="103"/>
      <c r="AV190" s="103"/>
      <c r="AW190" s="103"/>
      <c r="AX190" s="103"/>
      <c r="AY190" s="63"/>
      <c r="AZ190" s="63"/>
      <c r="BA190" s="63"/>
      <c r="BB190" s="63"/>
      <c r="BC190" s="103"/>
      <c r="BD190" s="103"/>
      <c r="BE190" s="103"/>
      <c r="BF190" s="103"/>
      <c r="BG190" s="63"/>
      <c r="BH190" s="63"/>
      <c r="BI190" s="63"/>
      <c r="BJ190" s="63"/>
      <c r="BK190" s="103"/>
      <c r="BL190" s="103"/>
      <c r="BM190" s="103"/>
      <c r="BN190" s="103"/>
      <c r="BO190" s="63"/>
      <c r="BP190" s="63"/>
      <c r="BQ190" s="63"/>
      <c r="BR190" s="63"/>
      <c r="BS190" s="103"/>
      <c r="BT190" s="103"/>
      <c r="BU190" s="103"/>
      <c r="BV190" s="103"/>
      <c r="BW190" s="63"/>
      <c r="BX190" s="63"/>
      <c r="BY190" s="63"/>
      <c r="BZ190" s="63"/>
      <c r="CA190" s="103"/>
      <c r="CB190" s="103"/>
      <c r="CC190" s="103"/>
      <c r="CD190" s="103"/>
      <c r="CE190" s="63"/>
      <c r="CF190" s="63"/>
      <c r="CG190" s="63"/>
      <c r="CH190" s="63"/>
      <c r="CI190" s="103"/>
      <c r="CJ190" s="103"/>
      <c r="CK190" s="103"/>
      <c r="CL190" s="103"/>
    </row>
    <row r="191" spans="2:90" ht="13" x14ac:dyDescent="0.15">
      <c r="B191" s="13"/>
      <c r="C191" s="13"/>
      <c r="D191" s="13"/>
      <c r="E191" s="13"/>
      <c r="F191" s="13"/>
      <c r="G191" s="103"/>
      <c r="H191" s="103"/>
      <c r="I191" s="103"/>
      <c r="J191" s="103"/>
      <c r="K191" s="63"/>
      <c r="L191" s="63"/>
      <c r="M191" s="63"/>
      <c r="N191" s="63"/>
      <c r="O191" s="103"/>
      <c r="P191" s="103"/>
      <c r="Q191" s="103"/>
      <c r="R191" s="103"/>
      <c r="S191" s="63"/>
      <c r="T191" s="63"/>
      <c r="U191" s="63"/>
      <c r="V191" s="63"/>
      <c r="W191" s="103"/>
      <c r="X191" s="103"/>
      <c r="Y191" s="103"/>
      <c r="Z191" s="103"/>
      <c r="AA191" s="63"/>
      <c r="AB191" s="63"/>
      <c r="AC191" s="63"/>
      <c r="AD191" s="63"/>
      <c r="AE191" s="103"/>
      <c r="AF191" s="103"/>
      <c r="AG191" s="103"/>
      <c r="AH191" s="103"/>
      <c r="AI191" s="63"/>
      <c r="AJ191" s="63"/>
      <c r="AK191" s="63"/>
      <c r="AL191" s="63"/>
      <c r="AM191" s="103"/>
      <c r="AN191" s="103"/>
      <c r="AO191" s="103"/>
      <c r="AP191" s="103"/>
      <c r="AQ191" s="63"/>
      <c r="AR191" s="63"/>
      <c r="AS191" s="63"/>
      <c r="AT191" s="63"/>
      <c r="AU191" s="103"/>
      <c r="AV191" s="103"/>
      <c r="AW191" s="103"/>
      <c r="AX191" s="103"/>
      <c r="AY191" s="63"/>
      <c r="AZ191" s="63"/>
      <c r="BA191" s="63"/>
      <c r="BB191" s="63"/>
      <c r="BC191" s="103"/>
      <c r="BD191" s="103"/>
      <c r="BE191" s="103"/>
      <c r="BF191" s="103"/>
      <c r="BG191" s="63"/>
      <c r="BH191" s="63"/>
      <c r="BI191" s="63"/>
      <c r="BJ191" s="63"/>
      <c r="BK191" s="103"/>
      <c r="BL191" s="103"/>
      <c r="BM191" s="103"/>
      <c r="BN191" s="103"/>
      <c r="BO191" s="63"/>
      <c r="BP191" s="63"/>
      <c r="BQ191" s="63"/>
      <c r="BR191" s="63"/>
      <c r="BS191" s="103"/>
      <c r="BT191" s="103"/>
      <c r="BU191" s="103"/>
      <c r="BV191" s="103"/>
      <c r="BW191" s="63"/>
      <c r="BX191" s="63"/>
      <c r="BY191" s="63"/>
      <c r="BZ191" s="63"/>
      <c r="CA191" s="103"/>
      <c r="CB191" s="103"/>
      <c r="CC191" s="103"/>
      <c r="CD191" s="103"/>
      <c r="CE191" s="63"/>
      <c r="CF191" s="63"/>
      <c r="CG191" s="63"/>
      <c r="CH191" s="63"/>
      <c r="CI191" s="103"/>
      <c r="CJ191" s="103"/>
      <c r="CK191" s="103"/>
      <c r="CL191" s="103"/>
    </row>
    <row r="192" spans="2:90" ht="13" x14ac:dyDescent="0.15">
      <c r="B192" s="13"/>
      <c r="C192" s="13"/>
      <c r="D192" s="13"/>
      <c r="E192" s="13"/>
      <c r="F192" s="13"/>
      <c r="G192" s="103"/>
      <c r="H192" s="103"/>
      <c r="I192" s="103"/>
      <c r="J192" s="103"/>
      <c r="K192" s="63"/>
      <c r="L192" s="63"/>
      <c r="M192" s="63"/>
      <c r="N192" s="63"/>
      <c r="O192" s="103"/>
      <c r="P192" s="103"/>
      <c r="Q192" s="103"/>
      <c r="R192" s="103"/>
      <c r="S192" s="63"/>
      <c r="T192" s="63"/>
      <c r="U192" s="63"/>
      <c r="V192" s="63"/>
      <c r="W192" s="103"/>
      <c r="X192" s="103"/>
      <c r="Y192" s="103"/>
      <c r="Z192" s="103"/>
      <c r="AA192" s="63"/>
      <c r="AB192" s="63"/>
      <c r="AC192" s="63"/>
      <c r="AD192" s="63"/>
      <c r="AE192" s="103"/>
      <c r="AF192" s="103"/>
      <c r="AG192" s="103"/>
      <c r="AH192" s="103"/>
      <c r="AI192" s="63"/>
      <c r="AJ192" s="63"/>
      <c r="AK192" s="63"/>
      <c r="AL192" s="63"/>
      <c r="AM192" s="103"/>
      <c r="AN192" s="103"/>
      <c r="AO192" s="103"/>
      <c r="AP192" s="103"/>
      <c r="AQ192" s="63"/>
      <c r="AR192" s="63"/>
      <c r="AS192" s="63"/>
      <c r="AT192" s="63"/>
      <c r="AU192" s="103"/>
      <c r="AV192" s="103"/>
      <c r="AW192" s="103"/>
      <c r="AX192" s="103"/>
      <c r="AY192" s="63"/>
      <c r="AZ192" s="63"/>
      <c r="BA192" s="63"/>
      <c r="BB192" s="63"/>
      <c r="BC192" s="103"/>
      <c r="BD192" s="103"/>
      <c r="BE192" s="103"/>
      <c r="BF192" s="103"/>
      <c r="BG192" s="63"/>
      <c r="BH192" s="63"/>
      <c r="BI192" s="63"/>
      <c r="BJ192" s="63"/>
      <c r="BK192" s="103"/>
      <c r="BL192" s="103"/>
      <c r="BM192" s="103"/>
      <c r="BN192" s="103"/>
      <c r="BO192" s="63"/>
      <c r="BP192" s="63"/>
      <c r="BQ192" s="63"/>
      <c r="BR192" s="63"/>
      <c r="BS192" s="103"/>
      <c r="BT192" s="103"/>
      <c r="BU192" s="103"/>
      <c r="BV192" s="103"/>
      <c r="BW192" s="63"/>
      <c r="BX192" s="63"/>
      <c r="BY192" s="63"/>
      <c r="BZ192" s="63"/>
      <c r="CA192" s="103"/>
      <c r="CB192" s="103"/>
      <c r="CC192" s="103"/>
      <c r="CD192" s="103"/>
      <c r="CE192" s="63"/>
      <c r="CF192" s="63"/>
      <c r="CG192" s="63"/>
      <c r="CH192" s="63"/>
      <c r="CI192" s="103"/>
      <c r="CJ192" s="103"/>
      <c r="CK192" s="103"/>
      <c r="CL192" s="103"/>
    </row>
    <row r="193" spans="2:90" ht="13" x14ac:dyDescent="0.15">
      <c r="B193" s="13"/>
      <c r="C193" s="13"/>
      <c r="D193" s="13"/>
      <c r="E193" s="13"/>
      <c r="F193" s="13"/>
      <c r="G193" s="103"/>
      <c r="H193" s="103"/>
      <c r="I193" s="103"/>
      <c r="J193" s="103"/>
      <c r="K193" s="63"/>
      <c r="L193" s="63"/>
      <c r="M193" s="63"/>
      <c r="N193" s="63"/>
      <c r="O193" s="103"/>
      <c r="P193" s="103"/>
      <c r="Q193" s="103"/>
      <c r="R193" s="103"/>
      <c r="S193" s="63"/>
      <c r="T193" s="63"/>
      <c r="U193" s="63"/>
      <c r="V193" s="63"/>
      <c r="W193" s="103"/>
      <c r="X193" s="103"/>
      <c r="Y193" s="103"/>
      <c r="Z193" s="103"/>
      <c r="AA193" s="63"/>
      <c r="AB193" s="63"/>
      <c r="AC193" s="63"/>
      <c r="AD193" s="63"/>
      <c r="AE193" s="103"/>
      <c r="AF193" s="103"/>
      <c r="AG193" s="103"/>
      <c r="AH193" s="103"/>
      <c r="AI193" s="63"/>
      <c r="AJ193" s="63"/>
      <c r="AK193" s="63"/>
      <c r="AL193" s="63"/>
      <c r="AM193" s="103"/>
      <c r="AN193" s="103"/>
      <c r="AO193" s="103"/>
      <c r="AP193" s="103"/>
      <c r="AQ193" s="63"/>
      <c r="AR193" s="63"/>
      <c r="AS193" s="63"/>
      <c r="AT193" s="63"/>
      <c r="AU193" s="103"/>
      <c r="AV193" s="103"/>
      <c r="AW193" s="103"/>
      <c r="AX193" s="103"/>
      <c r="AY193" s="63"/>
      <c r="AZ193" s="63"/>
      <c r="BA193" s="63"/>
      <c r="BB193" s="63"/>
      <c r="BC193" s="103"/>
      <c r="BD193" s="103"/>
      <c r="BE193" s="103"/>
      <c r="BF193" s="103"/>
      <c r="BG193" s="63"/>
      <c r="BH193" s="63"/>
      <c r="BI193" s="63"/>
      <c r="BJ193" s="63"/>
      <c r="BK193" s="103"/>
      <c r="BL193" s="103"/>
      <c r="BM193" s="103"/>
      <c r="BN193" s="103"/>
      <c r="BO193" s="63"/>
      <c r="BP193" s="63"/>
      <c r="BQ193" s="63"/>
      <c r="BR193" s="63"/>
      <c r="BS193" s="103"/>
      <c r="BT193" s="103"/>
      <c r="BU193" s="103"/>
      <c r="BV193" s="103"/>
      <c r="BW193" s="63"/>
      <c r="BX193" s="63"/>
      <c r="BY193" s="63"/>
      <c r="BZ193" s="63"/>
      <c r="CA193" s="103"/>
      <c r="CB193" s="103"/>
      <c r="CC193" s="103"/>
      <c r="CD193" s="103"/>
      <c r="CE193" s="63"/>
      <c r="CF193" s="63"/>
      <c r="CG193" s="63"/>
      <c r="CH193" s="63"/>
      <c r="CI193" s="103"/>
      <c r="CJ193" s="103"/>
      <c r="CK193" s="103"/>
      <c r="CL193" s="103"/>
    </row>
    <row r="194" spans="2:90" ht="13" x14ac:dyDescent="0.15">
      <c r="B194" s="13"/>
      <c r="C194" s="13"/>
      <c r="D194" s="13"/>
      <c r="E194" s="13"/>
      <c r="F194" s="13"/>
      <c r="G194" s="103"/>
      <c r="H194" s="103"/>
      <c r="I194" s="103"/>
      <c r="J194" s="103"/>
      <c r="K194" s="63"/>
      <c r="L194" s="63"/>
      <c r="M194" s="63"/>
      <c r="N194" s="63"/>
      <c r="O194" s="103"/>
      <c r="P194" s="103"/>
      <c r="Q194" s="103"/>
      <c r="R194" s="103"/>
      <c r="S194" s="63"/>
      <c r="T194" s="63"/>
      <c r="U194" s="63"/>
      <c r="V194" s="63"/>
      <c r="W194" s="103"/>
      <c r="X194" s="103"/>
      <c r="Y194" s="103"/>
      <c r="Z194" s="103"/>
      <c r="AA194" s="63"/>
      <c r="AB194" s="63"/>
      <c r="AC194" s="63"/>
      <c r="AD194" s="63"/>
      <c r="AE194" s="103"/>
      <c r="AF194" s="103"/>
      <c r="AG194" s="103"/>
      <c r="AH194" s="103"/>
      <c r="AI194" s="63"/>
      <c r="AJ194" s="63"/>
      <c r="AK194" s="63"/>
      <c r="AL194" s="63"/>
      <c r="AM194" s="103"/>
      <c r="AN194" s="103"/>
      <c r="AO194" s="103"/>
      <c r="AP194" s="103"/>
      <c r="AQ194" s="63"/>
      <c r="AR194" s="63"/>
      <c r="AS194" s="63"/>
      <c r="AT194" s="63"/>
      <c r="AU194" s="103"/>
      <c r="AV194" s="103"/>
      <c r="AW194" s="103"/>
      <c r="AX194" s="103"/>
      <c r="AY194" s="63"/>
      <c r="AZ194" s="63"/>
      <c r="BA194" s="63"/>
      <c r="BB194" s="63"/>
      <c r="BC194" s="103"/>
      <c r="BD194" s="103"/>
      <c r="BE194" s="103"/>
      <c r="BF194" s="103"/>
      <c r="BG194" s="63"/>
      <c r="BH194" s="63"/>
      <c r="BI194" s="63"/>
      <c r="BJ194" s="63"/>
      <c r="BK194" s="103"/>
      <c r="BL194" s="103"/>
      <c r="BM194" s="103"/>
      <c r="BN194" s="103"/>
      <c r="BO194" s="63"/>
      <c r="BP194" s="63"/>
      <c r="BQ194" s="63"/>
      <c r="BR194" s="63"/>
      <c r="BS194" s="103"/>
      <c r="BT194" s="103"/>
      <c r="BU194" s="103"/>
      <c r="BV194" s="103"/>
      <c r="BW194" s="63"/>
      <c r="BX194" s="63"/>
      <c r="BY194" s="63"/>
      <c r="BZ194" s="63"/>
      <c r="CA194" s="103"/>
      <c r="CB194" s="103"/>
      <c r="CC194" s="103"/>
      <c r="CD194" s="103"/>
      <c r="CE194" s="63"/>
      <c r="CF194" s="63"/>
      <c r="CG194" s="63"/>
      <c r="CH194" s="63"/>
      <c r="CI194" s="103"/>
      <c r="CJ194" s="103"/>
      <c r="CK194" s="103"/>
      <c r="CL194" s="103"/>
    </row>
    <row r="195" spans="2:90" ht="13" x14ac:dyDescent="0.15">
      <c r="B195" s="13"/>
      <c r="C195" s="13"/>
      <c r="D195" s="13"/>
      <c r="E195" s="13"/>
      <c r="F195" s="13"/>
      <c r="G195" s="103"/>
      <c r="H195" s="103"/>
      <c r="I195" s="103"/>
      <c r="J195" s="103"/>
      <c r="K195" s="63"/>
      <c r="L195" s="63"/>
      <c r="M195" s="63"/>
      <c r="N195" s="63"/>
      <c r="O195" s="103"/>
      <c r="P195" s="103"/>
      <c r="Q195" s="103"/>
      <c r="R195" s="103"/>
      <c r="S195" s="63"/>
      <c r="T195" s="63"/>
      <c r="U195" s="63"/>
      <c r="V195" s="63"/>
      <c r="W195" s="103"/>
      <c r="X195" s="103"/>
      <c r="Y195" s="103"/>
      <c r="Z195" s="103"/>
      <c r="AA195" s="63"/>
      <c r="AB195" s="63"/>
      <c r="AC195" s="63"/>
      <c r="AD195" s="63"/>
      <c r="AE195" s="103"/>
      <c r="AF195" s="103"/>
      <c r="AG195" s="103"/>
      <c r="AH195" s="103"/>
      <c r="AI195" s="63"/>
      <c r="AJ195" s="63"/>
      <c r="AK195" s="63"/>
      <c r="AL195" s="63"/>
      <c r="AM195" s="103"/>
      <c r="AN195" s="103"/>
      <c r="AO195" s="103"/>
      <c r="AP195" s="103"/>
      <c r="AQ195" s="63"/>
      <c r="AR195" s="63"/>
      <c r="AS195" s="63"/>
      <c r="AT195" s="63"/>
      <c r="AU195" s="103"/>
      <c r="AV195" s="103"/>
      <c r="AW195" s="103"/>
      <c r="AX195" s="103"/>
      <c r="AY195" s="63"/>
      <c r="AZ195" s="63"/>
      <c r="BA195" s="63"/>
      <c r="BB195" s="63"/>
      <c r="BC195" s="103"/>
      <c r="BD195" s="103"/>
      <c r="BE195" s="103"/>
      <c r="BF195" s="103"/>
      <c r="BG195" s="63"/>
      <c r="BH195" s="63"/>
      <c r="BI195" s="63"/>
      <c r="BJ195" s="63"/>
      <c r="BK195" s="103"/>
      <c r="BL195" s="103"/>
      <c r="BM195" s="103"/>
      <c r="BN195" s="103"/>
      <c r="BO195" s="63"/>
      <c r="BP195" s="63"/>
      <c r="BQ195" s="63"/>
      <c r="BR195" s="63"/>
      <c r="BS195" s="103"/>
      <c r="BT195" s="103"/>
      <c r="BU195" s="103"/>
      <c r="BV195" s="103"/>
      <c r="BW195" s="63"/>
      <c r="BX195" s="63"/>
      <c r="BY195" s="63"/>
      <c r="BZ195" s="63"/>
      <c r="CA195" s="103"/>
      <c r="CB195" s="103"/>
      <c r="CC195" s="103"/>
      <c r="CD195" s="103"/>
      <c r="CE195" s="63"/>
      <c r="CF195" s="63"/>
      <c r="CG195" s="63"/>
      <c r="CH195" s="63"/>
      <c r="CI195" s="103"/>
      <c r="CJ195" s="103"/>
      <c r="CK195" s="103"/>
      <c r="CL195" s="103"/>
    </row>
    <row r="196" spans="2:90" ht="13" x14ac:dyDescent="0.15">
      <c r="B196" s="13"/>
      <c r="C196" s="13"/>
      <c r="D196" s="13"/>
      <c r="E196" s="13"/>
      <c r="F196" s="13"/>
      <c r="G196" s="103"/>
      <c r="H196" s="103"/>
      <c r="I196" s="103"/>
      <c r="J196" s="103"/>
      <c r="K196" s="63"/>
      <c r="L196" s="63"/>
      <c r="M196" s="63"/>
      <c r="N196" s="63"/>
      <c r="O196" s="103"/>
      <c r="P196" s="103"/>
      <c r="Q196" s="103"/>
      <c r="R196" s="103"/>
      <c r="S196" s="63"/>
      <c r="T196" s="63"/>
      <c r="U196" s="63"/>
      <c r="V196" s="63"/>
      <c r="W196" s="103"/>
      <c r="X196" s="103"/>
      <c r="Y196" s="103"/>
      <c r="Z196" s="103"/>
      <c r="AA196" s="63"/>
      <c r="AB196" s="63"/>
      <c r="AC196" s="63"/>
      <c r="AD196" s="63"/>
      <c r="AE196" s="103"/>
      <c r="AF196" s="103"/>
      <c r="AG196" s="103"/>
      <c r="AH196" s="103"/>
      <c r="AI196" s="63"/>
      <c r="AJ196" s="63"/>
      <c r="AK196" s="63"/>
      <c r="AL196" s="63"/>
      <c r="AM196" s="103"/>
      <c r="AN196" s="103"/>
      <c r="AO196" s="103"/>
      <c r="AP196" s="103"/>
      <c r="AQ196" s="63"/>
      <c r="AR196" s="63"/>
      <c r="AS196" s="63"/>
      <c r="AT196" s="63"/>
      <c r="AU196" s="103"/>
      <c r="AV196" s="103"/>
      <c r="AW196" s="103"/>
      <c r="AX196" s="103"/>
      <c r="AY196" s="63"/>
      <c r="AZ196" s="63"/>
      <c r="BA196" s="63"/>
      <c r="BB196" s="63"/>
      <c r="BC196" s="103"/>
      <c r="BD196" s="103"/>
      <c r="BE196" s="103"/>
      <c r="BF196" s="103"/>
      <c r="BG196" s="63"/>
      <c r="BH196" s="63"/>
      <c r="BI196" s="63"/>
      <c r="BJ196" s="63"/>
      <c r="BK196" s="103"/>
      <c r="BL196" s="103"/>
      <c r="BM196" s="103"/>
      <c r="BN196" s="103"/>
      <c r="BO196" s="63"/>
      <c r="BP196" s="63"/>
      <c r="BQ196" s="63"/>
      <c r="BR196" s="63"/>
      <c r="BS196" s="103"/>
      <c r="BT196" s="103"/>
      <c r="BU196" s="103"/>
      <c r="BV196" s="103"/>
      <c r="BW196" s="63"/>
      <c r="BX196" s="63"/>
      <c r="BY196" s="63"/>
      <c r="BZ196" s="63"/>
      <c r="CA196" s="103"/>
      <c r="CB196" s="103"/>
      <c r="CC196" s="103"/>
      <c r="CD196" s="103"/>
      <c r="CE196" s="63"/>
      <c r="CF196" s="63"/>
      <c r="CG196" s="63"/>
      <c r="CH196" s="63"/>
      <c r="CI196" s="103"/>
      <c r="CJ196" s="103"/>
      <c r="CK196" s="103"/>
      <c r="CL196" s="103"/>
    </row>
    <row r="197" spans="2:90" ht="13" x14ac:dyDescent="0.15">
      <c r="B197" s="13"/>
      <c r="C197" s="13"/>
      <c r="D197" s="13"/>
      <c r="E197" s="13"/>
      <c r="F197" s="13"/>
      <c r="G197" s="103"/>
      <c r="H197" s="103"/>
      <c r="I197" s="103"/>
      <c r="J197" s="103"/>
      <c r="K197" s="63"/>
      <c r="L197" s="63"/>
      <c r="M197" s="63"/>
      <c r="N197" s="63"/>
      <c r="O197" s="103"/>
      <c r="P197" s="103"/>
      <c r="Q197" s="103"/>
      <c r="R197" s="103"/>
      <c r="S197" s="63"/>
      <c r="T197" s="63"/>
      <c r="U197" s="63"/>
      <c r="V197" s="63"/>
      <c r="W197" s="103"/>
      <c r="X197" s="103"/>
      <c r="Y197" s="103"/>
      <c r="Z197" s="103"/>
      <c r="AA197" s="63"/>
      <c r="AB197" s="63"/>
      <c r="AC197" s="63"/>
      <c r="AD197" s="63"/>
      <c r="AE197" s="103"/>
      <c r="AF197" s="103"/>
      <c r="AG197" s="103"/>
      <c r="AH197" s="103"/>
      <c r="AI197" s="63"/>
      <c r="AJ197" s="63"/>
      <c r="AK197" s="63"/>
      <c r="AL197" s="63"/>
      <c r="AM197" s="103"/>
      <c r="AN197" s="103"/>
      <c r="AO197" s="103"/>
      <c r="AP197" s="103"/>
      <c r="AQ197" s="63"/>
      <c r="AR197" s="63"/>
      <c r="AS197" s="63"/>
      <c r="AT197" s="63"/>
      <c r="AU197" s="103"/>
      <c r="AV197" s="103"/>
      <c r="AW197" s="103"/>
      <c r="AX197" s="103"/>
      <c r="AY197" s="63"/>
      <c r="AZ197" s="63"/>
      <c r="BA197" s="63"/>
      <c r="BB197" s="63"/>
      <c r="BC197" s="103"/>
      <c r="BD197" s="103"/>
      <c r="BE197" s="103"/>
      <c r="BF197" s="103"/>
      <c r="BG197" s="63"/>
      <c r="BH197" s="63"/>
      <c r="BI197" s="63"/>
      <c r="BJ197" s="63"/>
      <c r="BK197" s="103"/>
      <c r="BL197" s="103"/>
      <c r="BM197" s="103"/>
      <c r="BN197" s="103"/>
      <c r="BO197" s="63"/>
      <c r="BP197" s="63"/>
      <c r="BQ197" s="63"/>
      <c r="BR197" s="63"/>
      <c r="BS197" s="103"/>
      <c r="BT197" s="103"/>
      <c r="BU197" s="103"/>
      <c r="BV197" s="103"/>
      <c r="BW197" s="63"/>
      <c r="BX197" s="63"/>
      <c r="BY197" s="63"/>
      <c r="BZ197" s="63"/>
      <c r="CA197" s="103"/>
      <c r="CB197" s="103"/>
      <c r="CC197" s="103"/>
      <c r="CD197" s="103"/>
      <c r="CE197" s="63"/>
      <c r="CF197" s="63"/>
      <c r="CG197" s="63"/>
      <c r="CH197" s="63"/>
      <c r="CI197" s="103"/>
      <c r="CJ197" s="103"/>
      <c r="CK197" s="103"/>
      <c r="CL197" s="103"/>
    </row>
    <row r="198" spans="2:90" ht="13" x14ac:dyDescent="0.15">
      <c r="B198" s="13"/>
      <c r="C198" s="13"/>
      <c r="D198" s="13"/>
      <c r="E198" s="13"/>
      <c r="F198" s="13"/>
      <c r="G198" s="103"/>
      <c r="H198" s="103"/>
      <c r="I198" s="103"/>
      <c r="J198" s="103"/>
      <c r="K198" s="63"/>
      <c r="L198" s="63"/>
      <c r="M198" s="63"/>
      <c r="N198" s="63"/>
      <c r="O198" s="103"/>
      <c r="P198" s="103"/>
      <c r="Q198" s="103"/>
      <c r="R198" s="103"/>
      <c r="S198" s="63"/>
      <c r="T198" s="63"/>
      <c r="U198" s="63"/>
      <c r="V198" s="63"/>
      <c r="W198" s="103"/>
      <c r="X198" s="103"/>
      <c r="Y198" s="103"/>
      <c r="Z198" s="103"/>
      <c r="AA198" s="63"/>
      <c r="AB198" s="63"/>
      <c r="AC198" s="63"/>
      <c r="AD198" s="63"/>
      <c r="AE198" s="103"/>
      <c r="AF198" s="103"/>
      <c r="AG198" s="103"/>
      <c r="AH198" s="103"/>
      <c r="AI198" s="63"/>
      <c r="AJ198" s="63"/>
      <c r="AK198" s="63"/>
      <c r="AL198" s="63"/>
      <c r="AM198" s="103"/>
      <c r="AN198" s="103"/>
      <c r="AO198" s="103"/>
      <c r="AP198" s="103"/>
      <c r="AQ198" s="63"/>
      <c r="AR198" s="63"/>
      <c r="AS198" s="63"/>
      <c r="AT198" s="63"/>
      <c r="AU198" s="103"/>
      <c r="AV198" s="103"/>
      <c r="AW198" s="103"/>
      <c r="AX198" s="103"/>
      <c r="AY198" s="63"/>
      <c r="AZ198" s="63"/>
      <c r="BA198" s="63"/>
      <c r="BB198" s="63"/>
      <c r="BC198" s="103"/>
      <c r="BD198" s="103"/>
      <c r="BE198" s="103"/>
      <c r="BF198" s="103"/>
      <c r="BG198" s="63"/>
      <c r="BH198" s="63"/>
      <c r="BI198" s="63"/>
      <c r="BJ198" s="63"/>
      <c r="BK198" s="103"/>
      <c r="BL198" s="103"/>
      <c r="BM198" s="103"/>
      <c r="BN198" s="103"/>
      <c r="BO198" s="63"/>
      <c r="BP198" s="63"/>
      <c r="BQ198" s="63"/>
      <c r="BR198" s="63"/>
      <c r="BS198" s="103"/>
      <c r="BT198" s="103"/>
      <c r="BU198" s="103"/>
      <c r="BV198" s="103"/>
      <c r="BW198" s="63"/>
      <c r="BX198" s="63"/>
      <c r="BY198" s="63"/>
      <c r="BZ198" s="63"/>
      <c r="CA198" s="103"/>
      <c r="CB198" s="103"/>
      <c r="CC198" s="103"/>
      <c r="CD198" s="103"/>
      <c r="CE198" s="63"/>
      <c r="CF198" s="63"/>
      <c r="CG198" s="63"/>
      <c r="CH198" s="63"/>
      <c r="CI198" s="103"/>
      <c r="CJ198" s="103"/>
      <c r="CK198" s="103"/>
      <c r="CL198" s="103"/>
    </row>
    <row r="199" spans="2:90" ht="13" x14ac:dyDescent="0.15">
      <c r="B199" s="13"/>
      <c r="C199" s="13"/>
      <c r="D199" s="13"/>
      <c r="E199" s="13"/>
      <c r="F199" s="13"/>
      <c r="G199" s="103"/>
      <c r="H199" s="103"/>
      <c r="I199" s="103"/>
      <c r="J199" s="103"/>
      <c r="K199" s="63"/>
      <c r="L199" s="63"/>
      <c r="M199" s="63"/>
      <c r="N199" s="63"/>
      <c r="O199" s="103"/>
      <c r="P199" s="103"/>
      <c r="Q199" s="103"/>
      <c r="R199" s="103"/>
      <c r="S199" s="63"/>
      <c r="T199" s="63"/>
      <c r="U199" s="63"/>
      <c r="V199" s="63"/>
      <c r="W199" s="103"/>
      <c r="X199" s="103"/>
      <c r="Y199" s="103"/>
      <c r="Z199" s="103"/>
      <c r="AA199" s="63"/>
      <c r="AB199" s="63"/>
      <c r="AC199" s="63"/>
      <c r="AD199" s="63"/>
      <c r="AE199" s="103"/>
      <c r="AF199" s="103"/>
      <c r="AG199" s="103"/>
      <c r="AH199" s="103"/>
      <c r="AI199" s="63"/>
      <c r="AJ199" s="63"/>
      <c r="AK199" s="63"/>
      <c r="AL199" s="63"/>
      <c r="AM199" s="103"/>
      <c r="AN199" s="103"/>
      <c r="AO199" s="103"/>
      <c r="AP199" s="103"/>
      <c r="AQ199" s="63"/>
      <c r="AR199" s="63"/>
      <c r="AS199" s="63"/>
      <c r="AT199" s="63"/>
      <c r="AU199" s="103"/>
      <c r="AV199" s="103"/>
      <c r="AW199" s="103"/>
      <c r="AX199" s="103"/>
      <c r="AY199" s="63"/>
      <c r="AZ199" s="63"/>
      <c r="BA199" s="63"/>
      <c r="BB199" s="63"/>
      <c r="BC199" s="103"/>
      <c r="BD199" s="103"/>
      <c r="BE199" s="103"/>
      <c r="BF199" s="103"/>
      <c r="BG199" s="63"/>
      <c r="BH199" s="63"/>
      <c r="BI199" s="63"/>
      <c r="BJ199" s="63"/>
      <c r="BK199" s="103"/>
      <c r="BL199" s="103"/>
      <c r="BM199" s="103"/>
      <c r="BN199" s="103"/>
      <c r="BO199" s="63"/>
      <c r="BP199" s="63"/>
      <c r="BQ199" s="63"/>
      <c r="BR199" s="63"/>
      <c r="BS199" s="103"/>
      <c r="BT199" s="103"/>
      <c r="BU199" s="103"/>
      <c r="BV199" s="103"/>
      <c r="BW199" s="63"/>
      <c r="BX199" s="63"/>
      <c r="BY199" s="63"/>
      <c r="BZ199" s="63"/>
      <c r="CA199" s="103"/>
      <c r="CB199" s="103"/>
      <c r="CC199" s="103"/>
      <c r="CD199" s="103"/>
      <c r="CE199" s="63"/>
      <c r="CF199" s="63"/>
      <c r="CG199" s="63"/>
      <c r="CH199" s="63"/>
      <c r="CI199" s="103"/>
      <c r="CJ199" s="103"/>
      <c r="CK199" s="103"/>
      <c r="CL199" s="103"/>
    </row>
    <row r="200" spans="2:90" ht="13" x14ac:dyDescent="0.15">
      <c r="B200" s="13"/>
      <c r="C200" s="13"/>
      <c r="D200" s="13"/>
      <c r="E200" s="13"/>
      <c r="F200" s="13"/>
      <c r="G200" s="103"/>
      <c r="H200" s="103"/>
      <c r="I200" s="103"/>
      <c r="J200" s="103"/>
      <c r="K200" s="63"/>
      <c r="L200" s="63"/>
      <c r="M200" s="63"/>
      <c r="N200" s="63"/>
      <c r="O200" s="103"/>
      <c r="P200" s="103"/>
      <c r="Q200" s="103"/>
      <c r="R200" s="103"/>
      <c r="S200" s="63"/>
      <c r="T200" s="63"/>
      <c r="U200" s="63"/>
      <c r="V200" s="63"/>
      <c r="W200" s="103"/>
      <c r="X200" s="103"/>
      <c r="Y200" s="103"/>
      <c r="Z200" s="103"/>
      <c r="AA200" s="63"/>
      <c r="AB200" s="63"/>
      <c r="AC200" s="63"/>
      <c r="AD200" s="63"/>
      <c r="AE200" s="103"/>
      <c r="AF200" s="103"/>
      <c r="AG200" s="103"/>
      <c r="AH200" s="103"/>
      <c r="AI200" s="63"/>
      <c r="AJ200" s="63"/>
      <c r="AK200" s="63"/>
      <c r="AL200" s="63"/>
      <c r="AM200" s="103"/>
      <c r="AN200" s="103"/>
      <c r="AO200" s="103"/>
      <c r="AP200" s="103"/>
      <c r="AQ200" s="63"/>
      <c r="AR200" s="63"/>
      <c r="AS200" s="63"/>
      <c r="AT200" s="63"/>
      <c r="AU200" s="103"/>
      <c r="AV200" s="103"/>
      <c r="AW200" s="103"/>
      <c r="AX200" s="103"/>
      <c r="AY200" s="63"/>
      <c r="AZ200" s="63"/>
      <c r="BA200" s="63"/>
      <c r="BB200" s="63"/>
      <c r="BC200" s="103"/>
      <c r="BD200" s="103"/>
      <c r="BE200" s="103"/>
      <c r="BF200" s="103"/>
      <c r="BG200" s="63"/>
      <c r="BH200" s="63"/>
      <c r="BI200" s="63"/>
      <c r="BJ200" s="63"/>
      <c r="BK200" s="103"/>
      <c r="BL200" s="103"/>
      <c r="BM200" s="103"/>
      <c r="BN200" s="103"/>
      <c r="BO200" s="63"/>
      <c r="BP200" s="63"/>
      <c r="BQ200" s="63"/>
      <c r="BR200" s="63"/>
      <c r="BS200" s="103"/>
      <c r="BT200" s="103"/>
      <c r="BU200" s="103"/>
      <c r="BV200" s="103"/>
      <c r="BW200" s="63"/>
      <c r="BX200" s="63"/>
      <c r="BY200" s="63"/>
      <c r="BZ200" s="63"/>
      <c r="CA200" s="103"/>
      <c r="CB200" s="103"/>
      <c r="CC200" s="103"/>
      <c r="CD200" s="103"/>
      <c r="CE200" s="63"/>
      <c r="CF200" s="63"/>
      <c r="CG200" s="63"/>
      <c r="CH200" s="63"/>
      <c r="CI200" s="103"/>
      <c r="CJ200" s="103"/>
      <c r="CK200" s="103"/>
      <c r="CL200" s="103"/>
    </row>
    <row r="201" spans="2:90" ht="13" x14ac:dyDescent="0.15">
      <c r="B201" s="13"/>
      <c r="C201" s="13"/>
      <c r="D201" s="13"/>
      <c r="E201" s="13"/>
      <c r="F201" s="13"/>
      <c r="G201" s="103"/>
      <c r="H201" s="103"/>
      <c r="I201" s="103"/>
      <c r="J201" s="103"/>
      <c r="K201" s="63"/>
      <c r="L201" s="63"/>
      <c r="M201" s="63"/>
      <c r="N201" s="63"/>
      <c r="O201" s="103"/>
      <c r="P201" s="103"/>
      <c r="Q201" s="103"/>
      <c r="R201" s="103"/>
      <c r="S201" s="63"/>
      <c r="T201" s="63"/>
      <c r="U201" s="63"/>
      <c r="V201" s="63"/>
      <c r="W201" s="103"/>
      <c r="X201" s="103"/>
      <c r="Y201" s="103"/>
      <c r="Z201" s="103"/>
      <c r="AA201" s="63"/>
      <c r="AB201" s="63"/>
      <c r="AC201" s="63"/>
      <c r="AD201" s="63"/>
      <c r="AE201" s="103"/>
      <c r="AF201" s="103"/>
      <c r="AG201" s="103"/>
      <c r="AH201" s="103"/>
      <c r="AI201" s="63"/>
      <c r="AJ201" s="63"/>
      <c r="AK201" s="63"/>
      <c r="AL201" s="63"/>
      <c r="AM201" s="103"/>
      <c r="AN201" s="103"/>
      <c r="AO201" s="103"/>
      <c r="AP201" s="103"/>
      <c r="AQ201" s="63"/>
      <c r="AR201" s="63"/>
      <c r="AS201" s="63"/>
      <c r="AT201" s="63"/>
      <c r="AU201" s="103"/>
      <c r="AV201" s="103"/>
      <c r="AW201" s="103"/>
      <c r="AX201" s="103"/>
      <c r="AY201" s="63"/>
      <c r="AZ201" s="63"/>
      <c r="BA201" s="63"/>
      <c r="BB201" s="63"/>
      <c r="BC201" s="103"/>
      <c r="BD201" s="103"/>
      <c r="BE201" s="103"/>
      <c r="BF201" s="103"/>
      <c r="BG201" s="63"/>
      <c r="BH201" s="63"/>
      <c r="BI201" s="63"/>
      <c r="BJ201" s="63"/>
      <c r="BK201" s="103"/>
      <c r="BL201" s="103"/>
      <c r="BM201" s="103"/>
      <c r="BN201" s="103"/>
      <c r="BO201" s="63"/>
      <c r="BP201" s="63"/>
      <c r="BQ201" s="63"/>
      <c r="BR201" s="63"/>
      <c r="BS201" s="103"/>
      <c r="BT201" s="103"/>
      <c r="BU201" s="103"/>
      <c r="BV201" s="103"/>
      <c r="BW201" s="63"/>
      <c r="BX201" s="63"/>
      <c r="BY201" s="63"/>
      <c r="BZ201" s="63"/>
      <c r="CA201" s="103"/>
      <c r="CB201" s="103"/>
      <c r="CC201" s="103"/>
      <c r="CD201" s="103"/>
      <c r="CE201" s="63"/>
      <c r="CF201" s="63"/>
      <c r="CG201" s="63"/>
      <c r="CH201" s="63"/>
      <c r="CI201" s="103"/>
      <c r="CJ201" s="103"/>
      <c r="CK201" s="103"/>
      <c r="CL201" s="103"/>
    </row>
    <row r="202" spans="2:90" ht="13" x14ac:dyDescent="0.15">
      <c r="B202" s="13"/>
      <c r="C202" s="13"/>
      <c r="D202" s="13"/>
      <c r="E202" s="13"/>
      <c r="F202" s="13"/>
      <c r="G202" s="103"/>
      <c r="H202" s="103"/>
      <c r="I202" s="103"/>
      <c r="J202" s="103"/>
      <c r="K202" s="63"/>
      <c r="L202" s="63"/>
      <c r="M202" s="63"/>
      <c r="N202" s="63"/>
      <c r="O202" s="103"/>
      <c r="P202" s="103"/>
      <c r="Q202" s="103"/>
      <c r="R202" s="103"/>
      <c r="S202" s="63"/>
      <c r="T202" s="63"/>
      <c r="U202" s="63"/>
      <c r="V202" s="63"/>
      <c r="W202" s="103"/>
      <c r="X202" s="103"/>
      <c r="Y202" s="103"/>
      <c r="Z202" s="103"/>
      <c r="AA202" s="63"/>
      <c r="AB202" s="63"/>
      <c r="AC202" s="63"/>
      <c r="AD202" s="63"/>
      <c r="AE202" s="103"/>
      <c r="AF202" s="103"/>
      <c r="AG202" s="103"/>
      <c r="AH202" s="103"/>
      <c r="AI202" s="63"/>
      <c r="AJ202" s="63"/>
      <c r="AK202" s="63"/>
      <c r="AL202" s="63"/>
      <c r="AM202" s="103"/>
      <c r="AN202" s="103"/>
      <c r="AO202" s="103"/>
      <c r="AP202" s="103"/>
      <c r="AQ202" s="63"/>
      <c r="AR202" s="63"/>
      <c r="AS202" s="63"/>
      <c r="AT202" s="63"/>
      <c r="AU202" s="103"/>
      <c r="AV202" s="103"/>
      <c r="AW202" s="103"/>
      <c r="AX202" s="103"/>
      <c r="AY202" s="63"/>
      <c r="AZ202" s="63"/>
      <c r="BA202" s="63"/>
      <c r="BB202" s="63"/>
      <c r="BC202" s="103"/>
      <c r="BD202" s="103"/>
      <c r="BE202" s="103"/>
      <c r="BF202" s="103"/>
      <c r="BG202" s="63"/>
      <c r="BH202" s="63"/>
      <c r="BI202" s="63"/>
      <c r="BJ202" s="63"/>
      <c r="BK202" s="103"/>
      <c r="BL202" s="103"/>
      <c r="BM202" s="103"/>
      <c r="BN202" s="103"/>
      <c r="BO202" s="63"/>
      <c r="BP202" s="63"/>
      <c r="BQ202" s="63"/>
      <c r="BR202" s="63"/>
      <c r="BS202" s="103"/>
      <c r="BT202" s="103"/>
      <c r="BU202" s="103"/>
      <c r="BV202" s="103"/>
      <c r="BW202" s="63"/>
      <c r="BX202" s="63"/>
      <c r="BY202" s="63"/>
      <c r="BZ202" s="63"/>
      <c r="CA202" s="103"/>
      <c r="CB202" s="103"/>
      <c r="CC202" s="103"/>
      <c r="CD202" s="103"/>
      <c r="CE202" s="63"/>
      <c r="CF202" s="63"/>
      <c r="CG202" s="63"/>
      <c r="CH202" s="63"/>
      <c r="CI202" s="103"/>
      <c r="CJ202" s="103"/>
      <c r="CK202" s="103"/>
      <c r="CL202" s="103"/>
    </row>
    <row r="203" spans="2:90" ht="13" x14ac:dyDescent="0.15">
      <c r="B203" s="13"/>
      <c r="C203" s="13"/>
      <c r="D203" s="13"/>
      <c r="E203" s="13"/>
      <c r="F203" s="13"/>
      <c r="G203" s="103"/>
      <c r="H203" s="103"/>
      <c r="I203" s="103"/>
      <c r="J203" s="103"/>
      <c r="K203" s="63"/>
      <c r="L203" s="63"/>
      <c r="M203" s="63"/>
      <c r="N203" s="63"/>
      <c r="O203" s="103"/>
      <c r="P203" s="103"/>
      <c r="Q203" s="103"/>
      <c r="R203" s="103"/>
      <c r="S203" s="63"/>
      <c r="T203" s="63"/>
      <c r="U203" s="63"/>
      <c r="V203" s="63"/>
      <c r="W203" s="103"/>
      <c r="X203" s="103"/>
      <c r="Y203" s="103"/>
      <c r="Z203" s="103"/>
      <c r="AA203" s="63"/>
      <c r="AB203" s="63"/>
      <c r="AC203" s="63"/>
      <c r="AD203" s="63"/>
      <c r="AE203" s="103"/>
      <c r="AF203" s="103"/>
      <c r="AG203" s="103"/>
      <c r="AH203" s="103"/>
      <c r="AI203" s="63"/>
      <c r="AJ203" s="63"/>
      <c r="AK203" s="63"/>
      <c r="AL203" s="63"/>
      <c r="AM203" s="103"/>
      <c r="AN203" s="103"/>
      <c r="AO203" s="103"/>
      <c r="AP203" s="103"/>
      <c r="AQ203" s="63"/>
      <c r="AR203" s="63"/>
      <c r="AS203" s="63"/>
      <c r="AT203" s="63"/>
      <c r="AU203" s="103"/>
      <c r="AV203" s="103"/>
      <c r="AW203" s="103"/>
      <c r="AX203" s="103"/>
      <c r="AY203" s="63"/>
      <c r="AZ203" s="63"/>
      <c r="BA203" s="63"/>
      <c r="BB203" s="63"/>
      <c r="BC203" s="103"/>
      <c r="BD203" s="103"/>
      <c r="BE203" s="103"/>
      <c r="BF203" s="103"/>
      <c r="BG203" s="63"/>
      <c r="BH203" s="63"/>
      <c r="BI203" s="63"/>
      <c r="BJ203" s="63"/>
      <c r="BK203" s="103"/>
      <c r="BL203" s="103"/>
      <c r="BM203" s="103"/>
      <c r="BN203" s="103"/>
      <c r="BO203" s="63"/>
      <c r="BP203" s="63"/>
      <c r="BQ203" s="63"/>
      <c r="BR203" s="63"/>
      <c r="BS203" s="103"/>
      <c r="BT203" s="103"/>
      <c r="BU203" s="103"/>
      <c r="BV203" s="103"/>
      <c r="BW203" s="63"/>
      <c r="BX203" s="63"/>
      <c r="BY203" s="63"/>
      <c r="BZ203" s="63"/>
      <c r="CA203" s="103"/>
      <c r="CB203" s="103"/>
      <c r="CC203" s="103"/>
      <c r="CD203" s="103"/>
      <c r="CE203" s="63"/>
      <c r="CF203" s="63"/>
      <c r="CG203" s="63"/>
      <c r="CH203" s="63"/>
      <c r="CI203" s="103"/>
      <c r="CJ203" s="103"/>
      <c r="CK203" s="103"/>
      <c r="CL203" s="103"/>
    </row>
    <row r="204" spans="2:90" ht="13" x14ac:dyDescent="0.15">
      <c r="B204" s="13"/>
      <c r="C204" s="13"/>
      <c r="D204" s="13"/>
      <c r="E204" s="13"/>
      <c r="F204" s="13"/>
      <c r="G204" s="103"/>
      <c r="H204" s="103"/>
      <c r="I204" s="103"/>
      <c r="J204" s="103"/>
      <c r="K204" s="63"/>
      <c r="L204" s="63"/>
      <c r="M204" s="63"/>
      <c r="N204" s="63"/>
      <c r="O204" s="103"/>
      <c r="P204" s="103"/>
      <c r="Q204" s="103"/>
      <c r="R204" s="103"/>
      <c r="S204" s="63"/>
      <c r="T204" s="63"/>
      <c r="U204" s="63"/>
      <c r="V204" s="63"/>
      <c r="W204" s="103"/>
      <c r="X204" s="103"/>
      <c r="Y204" s="103"/>
      <c r="Z204" s="103"/>
      <c r="AA204" s="63"/>
      <c r="AB204" s="63"/>
      <c r="AC204" s="63"/>
      <c r="AD204" s="63"/>
      <c r="AE204" s="103"/>
      <c r="AF204" s="103"/>
      <c r="AG204" s="103"/>
      <c r="AH204" s="103"/>
      <c r="AI204" s="63"/>
      <c r="AJ204" s="63"/>
      <c r="AK204" s="63"/>
      <c r="AL204" s="63"/>
      <c r="AM204" s="103"/>
      <c r="AN204" s="103"/>
      <c r="AO204" s="103"/>
      <c r="AP204" s="103"/>
      <c r="AQ204" s="63"/>
      <c r="AR204" s="63"/>
      <c r="AS204" s="63"/>
      <c r="AT204" s="63"/>
      <c r="AU204" s="103"/>
      <c r="AV204" s="103"/>
      <c r="AW204" s="103"/>
      <c r="AX204" s="103"/>
      <c r="AY204" s="63"/>
      <c r="AZ204" s="63"/>
      <c r="BA204" s="63"/>
      <c r="BB204" s="63"/>
      <c r="BC204" s="103"/>
      <c r="BD204" s="103"/>
      <c r="BE204" s="103"/>
      <c r="BF204" s="103"/>
      <c r="BG204" s="63"/>
      <c r="BH204" s="63"/>
      <c r="BI204" s="63"/>
      <c r="BJ204" s="63"/>
      <c r="BK204" s="103"/>
      <c r="BL204" s="103"/>
      <c r="BM204" s="103"/>
      <c r="BN204" s="103"/>
      <c r="BO204" s="63"/>
      <c r="BP204" s="63"/>
      <c r="BQ204" s="63"/>
      <c r="BR204" s="63"/>
      <c r="BS204" s="103"/>
      <c r="BT204" s="103"/>
      <c r="BU204" s="103"/>
      <c r="BV204" s="103"/>
      <c r="BW204" s="63"/>
      <c r="BX204" s="63"/>
      <c r="BY204" s="63"/>
      <c r="BZ204" s="63"/>
      <c r="CA204" s="103"/>
      <c r="CB204" s="103"/>
      <c r="CC204" s="103"/>
      <c r="CD204" s="103"/>
      <c r="CE204" s="63"/>
      <c r="CF204" s="63"/>
      <c r="CG204" s="63"/>
      <c r="CH204" s="63"/>
      <c r="CI204" s="103"/>
      <c r="CJ204" s="103"/>
      <c r="CK204" s="103"/>
      <c r="CL204" s="103"/>
    </row>
    <row r="205" spans="2:90" ht="13" x14ac:dyDescent="0.15">
      <c r="B205" s="13"/>
      <c r="C205" s="13"/>
      <c r="D205" s="13"/>
      <c r="E205" s="13"/>
      <c r="F205" s="13"/>
      <c r="G205" s="103"/>
      <c r="H205" s="103"/>
      <c r="I205" s="103"/>
      <c r="J205" s="103"/>
      <c r="K205" s="63"/>
      <c r="L205" s="63"/>
      <c r="M205" s="63"/>
      <c r="N205" s="63"/>
      <c r="O205" s="103"/>
      <c r="P205" s="103"/>
      <c r="Q205" s="103"/>
      <c r="R205" s="103"/>
      <c r="S205" s="63"/>
      <c r="T205" s="63"/>
      <c r="U205" s="63"/>
      <c r="V205" s="63"/>
      <c r="W205" s="103"/>
      <c r="X205" s="103"/>
      <c r="Y205" s="103"/>
      <c r="Z205" s="103"/>
      <c r="AA205" s="63"/>
      <c r="AB205" s="63"/>
      <c r="AC205" s="63"/>
      <c r="AD205" s="63"/>
      <c r="AE205" s="103"/>
      <c r="AF205" s="103"/>
      <c r="AG205" s="103"/>
      <c r="AH205" s="103"/>
      <c r="AI205" s="63"/>
      <c r="AJ205" s="63"/>
      <c r="AK205" s="63"/>
      <c r="AL205" s="63"/>
      <c r="AM205" s="103"/>
      <c r="AN205" s="103"/>
      <c r="AO205" s="103"/>
      <c r="AP205" s="103"/>
      <c r="AQ205" s="63"/>
      <c r="AR205" s="63"/>
      <c r="AS205" s="63"/>
      <c r="AT205" s="63"/>
      <c r="AU205" s="103"/>
      <c r="AV205" s="103"/>
      <c r="AW205" s="103"/>
      <c r="AX205" s="103"/>
      <c r="AY205" s="63"/>
      <c r="AZ205" s="63"/>
      <c r="BA205" s="63"/>
      <c r="BB205" s="63"/>
      <c r="BC205" s="103"/>
      <c r="BD205" s="103"/>
      <c r="BE205" s="103"/>
      <c r="BF205" s="103"/>
      <c r="BG205" s="63"/>
      <c r="BH205" s="63"/>
      <c r="BI205" s="63"/>
      <c r="BJ205" s="63"/>
      <c r="BK205" s="103"/>
      <c r="BL205" s="103"/>
      <c r="BM205" s="103"/>
      <c r="BN205" s="103"/>
      <c r="BO205" s="63"/>
      <c r="BP205" s="63"/>
      <c r="BQ205" s="63"/>
      <c r="BR205" s="63"/>
      <c r="BS205" s="103"/>
      <c r="BT205" s="103"/>
      <c r="BU205" s="103"/>
      <c r="BV205" s="103"/>
      <c r="BW205" s="63"/>
      <c r="BX205" s="63"/>
      <c r="BY205" s="63"/>
      <c r="BZ205" s="63"/>
      <c r="CA205" s="103"/>
      <c r="CB205" s="103"/>
      <c r="CC205" s="103"/>
      <c r="CD205" s="103"/>
      <c r="CE205" s="63"/>
      <c r="CF205" s="63"/>
      <c r="CG205" s="63"/>
      <c r="CH205" s="63"/>
      <c r="CI205" s="103"/>
      <c r="CJ205" s="103"/>
      <c r="CK205" s="103"/>
      <c r="CL205" s="103"/>
    </row>
    <row r="206" spans="2:90" ht="13" x14ac:dyDescent="0.15">
      <c r="B206" s="13"/>
      <c r="C206" s="13"/>
      <c r="D206" s="13"/>
      <c r="E206" s="13"/>
      <c r="F206" s="13"/>
      <c r="G206" s="103"/>
      <c r="H206" s="103"/>
      <c r="I206" s="103"/>
      <c r="J206" s="103"/>
      <c r="K206" s="63"/>
      <c r="L206" s="63"/>
      <c r="M206" s="63"/>
      <c r="N206" s="63"/>
      <c r="O206" s="103"/>
      <c r="P206" s="103"/>
      <c r="Q206" s="103"/>
      <c r="R206" s="103"/>
      <c r="S206" s="63"/>
      <c r="T206" s="63"/>
      <c r="U206" s="63"/>
      <c r="V206" s="63"/>
      <c r="W206" s="103"/>
      <c r="X206" s="103"/>
      <c r="Y206" s="103"/>
      <c r="Z206" s="103"/>
      <c r="AA206" s="63"/>
      <c r="AB206" s="63"/>
      <c r="AC206" s="63"/>
      <c r="AD206" s="63"/>
      <c r="AE206" s="103"/>
      <c r="AF206" s="103"/>
      <c r="AG206" s="103"/>
      <c r="AH206" s="103"/>
      <c r="AI206" s="63"/>
      <c r="AJ206" s="63"/>
      <c r="AK206" s="63"/>
      <c r="AL206" s="63"/>
      <c r="AM206" s="103"/>
      <c r="AN206" s="103"/>
      <c r="AO206" s="103"/>
      <c r="AP206" s="103"/>
      <c r="AQ206" s="63"/>
      <c r="AR206" s="63"/>
      <c r="AS206" s="63"/>
      <c r="AT206" s="63"/>
      <c r="AU206" s="103"/>
      <c r="AV206" s="103"/>
      <c r="AW206" s="103"/>
      <c r="AX206" s="103"/>
      <c r="AY206" s="63"/>
      <c r="AZ206" s="63"/>
      <c r="BA206" s="63"/>
      <c r="BB206" s="63"/>
      <c r="BC206" s="103"/>
      <c r="BD206" s="103"/>
      <c r="BE206" s="103"/>
      <c r="BF206" s="103"/>
      <c r="BG206" s="63"/>
      <c r="BH206" s="63"/>
      <c r="BI206" s="63"/>
      <c r="BJ206" s="63"/>
      <c r="BK206" s="103"/>
      <c r="BL206" s="103"/>
      <c r="BM206" s="103"/>
      <c r="BN206" s="103"/>
      <c r="BO206" s="63"/>
      <c r="BP206" s="63"/>
      <c r="BQ206" s="63"/>
      <c r="BR206" s="63"/>
      <c r="BS206" s="103"/>
      <c r="BT206" s="103"/>
      <c r="BU206" s="103"/>
      <c r="BV206" s="103"/>
      <c r="BW206" s="63"/>
      <c r="BX206" s="63"/>
      <c r="BY206" s="63"/>
      <c r="BZ206" s="63"/>
      <c r="CA206" s="103"/>
      <c r="CB206" s="103"/>
      <c r="CC206" s="103"/>
      <c r="CD206" s="103"/>
      <c r="CE206" s="63"/>
      <c r="CF206" s="63"/>
      <c r="CG206" s="63"/>
      <c r="CH206" s="63"/>
      <c r="CI206" s="103"/>
      <c r="CJ206" s="103"/>
      <c r="CK206" s="103"/>
      <c r="CL206" s="103"/>
    </row>
    <row r="207" spans="2:90" ht="13" x14ac:dyDescent="0.15">
      <c r="B207" s="13"/>
      <c r="C207" s="13"/>
      <c r="D207" s="13"/>
      <c r="E207" s="13"/>
      <c r="F207" s="13"/>
      <c r="G207" s="103"/>
      <c r="H207" s="103"/>
      <c r="I207" s="103"/>
      <c r="J207" s="103"/>
      <c r="K207" s="63"/>
      <c r="L207" s="63"/>
      <c r="M207" s="63"/>
      <c r="N207" s="63"/>
      <c r="O207" s="103"/>
      <c r="P207" s="103"/>
      <c r="Q207" s="103"/>
      <c r="R207" s="103"/>
      <c r="S207" s="63"/>
      <c r="T207" s="63"/>
      <c r="U207" s="63"/>
      <c r="V207" s="63"/>
      <c r="W207" s="103"/>
      <c r="X207" s="103"/>
      <c r="Y207" s="103"/>
      <c r="Z207" s="103"/>
      <c r="AA207" s="63"/>
      <c r="AB207" s="63"/>
      <c r="AC207" s="63"/>
      <c r="AD207" s="63"/>
      <c r="AE207" s="103"/>
      <c r="AF207" s="103"/>
      <c r="AG207" s="103"/>
      <c r="AH207" s="103"/>
      <c r="AI207" s="63"/>
      <c r="AJ207" s="63"/>
      <c r="AK207" s="63"/>
      <c r="AL207" s="63"/>
      <c r="AM207" s="103"/>
      <c r="AN207" s="103"/>
      <c r="AO207" s="103"/>
      <c r="AP207" s="103"/>
      <c r="AQ207" s="63"/>
      <c r="AR207" s="63"/>
      <c r="AS207" s="63"/>
      <c r="AT207" s="63"/>
      <c r="AU207" s="103"/>
      <c r="AV207" s="103"/>
      <c r="AW207" s="103"/>
      <c r="AX207" s="103"/>
      <c r="AY207" s="63"/>
      <c r="AZ207" s="63"/>
      <c r="BA207" s="63"/>
      <c r="BB207" s="63"/>
      <c r="BC207" s="103"/>
      <c r="BD207" s="103"/>
      <c r="BE207" s="103"/>
      <c r="BF207" s="103"/>
      <c r="BG207" s="63"/>
      <c r="BH207" s="63"/>
      <c r="BI207" s="63"/>
      <c r="BJ207" s="63"/>
      <c r="BK207" s="103"/>
      <c r="BL207" s="103"/>
      <c r="BM207" s="103"/>
      <c r="BN207" s="103"/>
      <c r="BO207" s="63"/>
      <c r="BP207" s="63"/>
      <c r="BQ207" s="63"/>
      <c r="BR207" s="63"/>
      <c r="BS207" s="103"/>
      <c r="BT207" s="103"/>
      <c r="BU207" s="103"/>
      <c r="BV207" s="103"/>
      <c r="BW207" s="63"/>
      <c r="BX207" s="63"/>
      <c r="BY207" s="63"/>
      <c r="BZ207" s="63"/>
      <c r="CA207" s="103"/>
      <c r="CB207" s="103"/>
      <c r="CC207" s="103"/>
      <c r="CD207" s="103"/>
      <c r="CE207" s="63"/>
      <c r="CF207" s="63"/>
      <c r="CG207" s="63"/>
      <c r="CH207" s="63"/>
      <c r="CI207" s="103"/>
      <c r="CJ207" s="103"/>
      <c r="CK207" s="103"/>
      <c r="CL207" s="103"/>
    </row>
    <row r="208" spans="2:90" ht="13" x14ac:dyDescent="0.15">
      <c r="B208" s="13"/>
      <c r="C208" s="13"/>
      <c r="D208" s="13"/>
      <c r="E208" s="13"/>
      <c r="F208" s="13"/>
      <c r="G208" s="103"/>
      <c r="H208" s="103"/>
      <c r="I208" s="103"/>
      <c r="J208" s="103"/>
      <c r="K208" s="63"/>
      <c r="L208" s="63"/>
      <c r="M208" s="63"/>
      <c r="N208" s="63"/>
      <c r="O208" s="103"/>
      <c r="P208" s="103"/>
      <c r="Q208" s="103"/>
      <c r="R208" s="103"/>
      <c r="S208" s="63"/>
      <c r="T208" s="63"/>
      <c r="U208" s="63"/>
      <c r="V208" s="63"/>
      <c r="W208" s="103"/>
      <c r="X208" s="103"/>
      <c r="Y208" s="103"/>
      <c r="Z208" s="103"/>
      <c r="AA208" s="63"/>
      <c r="AB208" s="63"/>
      <c r="AC208" s="63"/>
      <c r="AD208" s="63"/>
      <c r="AE208" s="103"/>
      <c r="AF208" s="103"/>
      <c r="AG208" s="103"/>
      <c r="AH208" s="103"/>
      <c r="AI208" s="63"/>
      <c r="AJ208" s="63"/>
      <c r="AK208" s="63"/>
      <c r="AL208" s="63"/>
      <c r="AM208" s="103"/>
      <c r="AN208" s="103"/>
      <c r="AO208" s="103"/>
      <c r="AP208" s="103"/>
      <c r="AQ208" s="63"/>
      <c r="AR208" s="63"/>
      <c r="AS208" s="63"/>
      <c r="AT208" s="63"/>
      <c r="AU208" s="103"/>
      <c r="AV208" s="103"/>
      <c r="AW208" s="103"/>
      <c r="AX208" s="103"/>
      <c r="AY208" s="63"/>
      <c r="AZ208" s="63"/>
      <c r="BA208" s="63"/>
      <c r="BB208" s="63"/>
      <c r="BC208" s="103"/>
      <c r="BD208" s="103"/>
      <c r="BE208" s="103"/>
      <c r="BF208" s="103"/>
      <c r="BG208" s="63"/>
      <c r="BH208" s="63"/>
      <c r="BI208" s="63"/>
      <c r="BJ208" s="63"/>
      <c r="BK208" s="103"/>
      <c r="BL208" s="103"/>
      <c r="BM208" s="103"/>
      <c r="BN208" s="103"/>
      <c r="BO208" s="63"/>
      <c r="BP208" s="63"/>
      <c r="BQ208" s="63"/>
      <c r="BR208" s="63"/>
      <c r="BS208" s="103"/>
      <c r="BT208" s="103"/>
      <c r="BU208" s="103"/>
      <c r="BV208" s="103"/>
      <c r="BW208" s="63"/>
      <c r="BX208" s="63"/>
      <c r="BY208" s="63"/>
      <c r="BZ208" s="63"/>
      <c r="CA208" s="103"/>
      <c r="CB208" s="103"/>
      <c r="CC208" s="103"/>
      <c r="CD208" s="103"/>
      <c r="CE208" s="63"/>
      <c r="CF208" s="63"/>
      <c r="CG208" s="63"/>
      <c r="CH208" s="63"/>
      <c r="CI208" s="103"/>
      <c r="CJ208" s="103"/>
      <c r="CK208" s="103"/>
      <c r="CL208" s="103"/>
    </row>
    <row r="209" spans="2:90" ht="13" x14ac:dyDescent="0.15">
      <c r="B209" s="13"/>
      <c r="C209" s="13"/>
      <c r="D209" s="13"/>
      <c r="E209" s="13"/>
      <c r="F209" s="13"/>
      <c r="G209" s="103"/>
      <c r="H209" s="103"/>
      <c r="I209" s="103"/>
      <c r="J209" s="103"/>
      <c r="K209" s="63"/>
      <c r="L209" s="63"/>
      <c r="M209" s="63"/>
      <c r="N209" s="63"/>
      <c r="O209" s="103"/>
      <c r="P209" s="103"/>
      <c r="Q209" s="103"/>
      <c r="R209" s="103"/>
      <c r="S209" s="63"/>
      <c r="T209" s="63"/>
      <c r="U209" s="63"/>
      <c r="V209" s="63"/>
      <c r="W209" s="103"/>
      <c r="X209" s="103"/>
      <c r="Y209" s="103"/>
      <c r="Z209" s="103"/>
      <c r="AA209" s="63"/>
      <c r="AB209" s="63"/>
      <c r="AC209" s="63"/>
      <c r="AD209" s="63"/>
      <c r="AE209" s="103"/>
      <c r="AF209" s="103"/>
      <c r="AG209" s="103"/>
      <c r="AH209" s="103"/>
      <c r="AI209" s="63"/>
      <c r="AJ209" s="63"/>
      <c r="AK209" s="63"/>
      <c r="AL209" s="63"/>
      <c r="AM209" s="103"/>
      <c r="AN209" s="103"/>
      <c r="AO209" s="103"/>
      <c r="AP209" s="103"/>
      <c r="AQ209" s="63"/>
      <c r="AR209" s="63"/>
      <c r="AS209" s="63"/>
      <c r="AT209" s="63"/>
      <c r="AU209" s="103"/>
      <c r="AV209" s="103"/>
      <c r="AW209" s="103"/>
      <c r="AX209" s="103"/>
      <c r="AY209" s="63"/>
      <c r="AZ209" s="63"/>
      <c r="BA209" s="63"/>
      <c r="BB209" s="63"/>
      <c r="BC209" s="103"/>
      <c r="BD209" s="103"/>
      <c r="BE209" s="103"/>
      <c r="BF209" s="103"/>
      <c r="BG209" s="63"/>
      <c r="BH209" s="63"/>
      <c r="BI209" s="63"/>
      <c r="BJ209" s="63"/>
      <c r="BK209" s="103"/>
      <c r="BL209" s="103"/>
      <c r="BM209" s="103"/>
      <c r="BN209" s="103"/>
      <c r="BO209" s="63"/>
      <c r="BP209" s="63"/>
      <c r="BQ209" s="63"/>
      <c r="BR209" s="63"/>
      <c r="BS209" s="103"/>
      <c r="BT209" s="103"/>
      <c r="BU209" s="103"/>
      <c r="BV209" s="103"/>
      <c r="BW209" s="63"/>
      <c r="BX209" s="63"/>
      <c r="BY209" s="63"/>
      <c r="BZ209" s="63"/>
      <c r="CA209" s="103"/>
      <c r="CB209" s="103"/>
      <c r="CC209" s="103"/>
      <c r="CD209" s="103"/>
      <c r="CE209" s="63"/>
      <c r="CF209" s="63"/>
      <c r="CG209" s="63"/>
      <c r="CH209" s="63"/>
      <c r="CI209" s="103"/>
      <c r="CJ209" s="103"/>
      <c r="CK209" s="103"/>
      <c r="CL209" s="103"/>
    </row>
    <row r="210" spans="2:90" ht="13" x14ac:dyDescent="0.15">
      <c r="B210" s="13"/>
      <c r="C210" s="13"/>
      <c r="D210" s="13"/>
      <c r="E210" s="13"/>
      <c r="F210" s="13"/>
      <c r="G210" s="103"/>
      <c r="H210" s="103"/>
      <c r="I210" s="103"/>
      <c r="J210" s="103"/>
      <c r="K210" s="63"/>
      <c r="L210" s="63"/>
      <c r="M210" s="63"/>
      <c r="N210" s="63"/>
      <c r="O210" s="103"/>
      <c r="P210" s="103"/>
      <c r="Q210" s="103"/>
      <c r="R210" s="103"/>
      <c r="S210" s="63"/>
      <c r="T210" s="63"/>
      <c r="U210" s="63"/>
      <c r="V210" s="63"/>
      <c r="W210" s="103"/>
      <c r="X210" s="103"/>
      <c r="Y210" s="103"/>
      <c r="Z210" s="103"/>
      <c r="AA210" s="63"/>
      <c r="AB210" s="63"/>
      <c r="AC210" s="63"/>
      <c r="AD210" s="63"/>
      <c r="AE210" s="103"/>
      <c r="AF210" s="103"/>
      <c r="AG210" s="103"/>
      <c r="AH210" s="103"/>
      <c r="AI210" s="63"/>
      <c r="AJ210" s="63"/>
      <c r="AK210" s="63"/>
      <c r="AL210" s="63"/>
      <c r="AM210" s="103"/>
      <c r="AN210" s="103"/>
      <c r="AO210" s="103"/>
      <c r="AP210" s="103"/>
      <c r="AQ210" s="63"/>
      <c r="AR210" s="63"/>
      <c r="AS210" s="63"/>
      <c r="AT210" s="63"/>
      <c r="AU210" s="103"/>
      <c r="AV210" s="103"/>
      <c r="AW210" s="103"/>
      <c r="AX210" s="103"/>
      <c r="AY210" s="63"/>
      <c r="AZ210" s="63"/>
      <c r="BA210" s="63"/>
      <c r="BB210" s="63"/>
      <c r="BC210" s="103"/>
      <c r="BD210" s="103"/>
      <c r="BE210" s="103"/>
      <c r="BF210" s="103"/>
      <c r="BG210" s="63"/>
      <c r="BH210" s="63"/>
      <c r="BI210" s="63"/>
      <c r="BJ210" s="63"/>
      <c r="BK210" s="103"/>
      <c r="BL210" s="103"/>
      <c r="BM210" s="103"/>
      <c r="BN210" s="103"/>
      <c r="BO210" s="63"/>
      <c r="BP210" s="63"/>
      <c r="BQ210" s="63"/>
      <c r="BR210" s="63"/>
      <c r="BS210" s="103"/>
      <c r="BT210" s="103"/>
      <c r="BU210" s="103"/>
      <c r="BV210" s="103"/>
      <c r="BW210" s="63"/>
      <c r="BX210" s="63"/>
      <c r="BY210" s="63"/>
      <c r="BZ210" s="63"/>
      <c r="CA210" s="103"/>
      <c r="CB210" s="103"/>
      <c r="CC210" s="103"/>
      <c r="CD210" s="103"/>
      <c r="CE210" s="63"/>
      <c r="CF210" s="63"/>
      <c r="CG210" s="63"/>
      <c r="CH210" s="63"/>
      <c r="CI210" s="103"/>
      <c r="CJ210" s="103"/>
      <c r="CK210" s="103"/>
      <c r="CL210" s="103"/>
    </row>
    <row r="211" spans="2:90" ht="13" x14ac:dyDescent="0.15">
      <c r="B211" s="13"/>
      <c r="C211" s="13"/>
      <c r="D211" s="13"/>
      <c r="E211" s="13"/>
      <c r="F211" s="13"/>
      <c r="G211" s="103"/>
      <c r="H211" s="103"/>
      <c r="I211" s="103"/>
      <c r="J211" s="103"/>
      <c r="K211" s="63"/>
      <c r="L211" s="63"/>
      <c r="M211" s="63"/>
      <c r="N211" s="63"/>
      <c r="O211" s="103"/>
      <c r="P211" s="103"/>
      <c r="Q211" s="103"/>
      <c r="R211" s="103"/>
      <c r="S211" s="63"/>
      <c r="T211" s="63"/>
      <c r="U211" s="63"/>
      <c r="V211" s="63"/>
      <c r="W211" s="103"/>
      <c r="X211" s="103"/>
      <c r="Y211" s="103"/>
      <c r="Z211" s="103"/>
      <c r="AA211" s="63"/>
      <c r="AB211" s="63"/>
      <c r="AC211" s="63"/>
      <c r="AD211" s="63"/>
      <c r="AE211" s="103"/>
      <c r="AF211" s="103"/>
      <c r="AG211" s="103"/>
      <c r="AH211" s="103"/>
      <c r="AI211" s="63"/>
      <c r="AJ211" s="63"/>
      <c r="AK211" s="63"/>
      <c r="AL211" s="63"/>
      <c r="AM211" s="103"/>
      <c r="AN211" s="103"/>
      <c r="AO211" s="103"/>
      <c r="AP211" s="103"/>
      <c r="AQ211" s="63"/>
      <c r="AR211" s="63"/>
      <c r="AS211" s="63"/>
      <c r="AT211" s="63"/>
      <c r="AU211" s="103"/>
      <c r="AV211" s="103"/>
      <c r="AW211" s="103"/>
      <c r="AX211" s="103"/>
      <c r="AY211" s="63"/>
      <c r="AZ211" s="63"/>
      <c r="BA211" s="63"/>
      <c r="BB211" s="63"/>
      <c r="BC211" s="103"/>
      <c r="BD211" s="103"/>
      <c r="BE211" s="103"/>
      <c r="BF211" s="103"/>
      <c r="BG211" s="63"/>
      <c r="BH211" s="63"/>
      <c r="BI211" s="63"/>
      <c r="BJ211" s="63"/>
      <c r="BK211" s="103"/>
      <c r="BL211" s="103"/>
      <c r="BM211" s="103"/>
      <c r="BN211" s="103"/>
      <c r="BO211" s="63"/>
      <c r="BP211" s="63"/>
      <c r="BQ211" s="63"/>
      <c r="BR211" s="63"/>
      <c r="BS211" s="103"/>
      <c r="BT211" s="103"/>
      <c r="BU211" s="103"/>
      <c r="BV211" s="103"/>
      <c r="BW211" s="63"/>
      <c r="BX211" s="63"/>
      <c r="BY211" s="63"/>
      <c r="BZ211" s="63"/>
      <c r="CA211" s="103"/>
      <c r="CB211" s="103"/>
      <c r="CC211" s="103"/>
      <c r="CD211" s="103"/>
      <c r="CE211" s="63"/>
      <c r="CF211" s="63"/>
      <c r="CG211" s="63"/>
      <c r="CH211" s="63"/>
      <c r="CI211" s="103"/>
      <c r="CJ211" s="103"/>
      <c r="CK211" s="103"/>
      <c r="CL211" s="103"/>
    </row>
    <row r="212" spans="2:90" ht="13" x14ac:dyDescent="0.15">
      <c r="B212" s="13"/>
      <c r="C212" s="13"/>
      <c r="D212" s="13"/>
      <c r="E212" s="13"/>
      <c r="F212" s="13"/>
      <c r="G212" s="103"/>
      <c r="H212" s="103"/>
      <c r="I212" s="103"/>
      <c r="J212" s="103"/>
      <c r="K212" s="63"/>
      <c r="L212" s="63"/>
      <c r="M212" s="63"/>
      <c r="N212" s="63"/>
      <c r="O212" s="103"/>
      <c r="P212" s="103"/>
      <c r="Q212" s="103"/>
      <c r="R212" s="103"/>
      <c r="S212" s="63"/>
      <c r="T212" s="63"/>
      <c r="U212" s="63"/>
      <c r="V212" s="63"/>
      <c r="W212" s="103"/>
      <c r="X212" s="103"/>
      <c r="Y212" s="103"/>
      <c r="Z212" s="103"/>
      <c r="AA212" s="63"/>
      <c r="AB212" s="63"/>
      <c r="AC212" s="63"/>
      <c r="AD212" s="63"/>
      <c r="AE212" s="103"/>
      <c r="AF212" s="103"/>
      <c r="AG212" s="103"/>
      <c r="AH212" s="103"/>
      <c r="AI212" s="63"/>
      <c r="AJ212" s="63"/>
      <c r="AK212" s="63"/>
      <c r="AL212" s="63"/>
      <c r="AM212" s="103"/>
      <c r="AN212" s="103"/>
      <c r="AO212" s="103"/>
      <c r="AP212" s="103"/>
      <c r="AQ212" s="63"/>
      <c r="AR212" s="63"/>
      <c r="AS212" s="63"/>
      <c r="AT212" s="63"/>
      <c r="AU212" s="103"/>
      <c r="AV212" s="103"/>
      <c r="AW212" s="103"/>
      <c r="AX212" s="103"/>
      <c r="AY212" s="63"/>
      <c r="AZ212" s="63"/>
      <c r="BA212" s="63"/>
      <c r="BB212" s="63"/>
      <c r="BC212" s="103"/>
      <c r="BD212" s="103"/>
      <c r="BE212" s="103"/>
      <c r="BF212" s="103"/>
      <c r="BG212" s="63"/>
      <c r="BH212" s="63"/>
      <c r="BI212" s="63"/>
      <c r="BJ212" s="63"/>
      <c r="BK212" s="103"/>
      <c r="BL212" s="103"/>
      <c r="BM212" s="103"/>
      <c r="BN212" s="103"/>
      <c r="BO212" s="63"/>
      <c r="BP212" s="63"/>
      <c r="BQ212" s="63"/>
      <c r="BR212" s="63"/>
      <c r="BS212" s="103"/>
      <c r="BT212" s="103"/>
      <c r="BU212" s="103"/>
      <c r="BV212" s="103"/>
      <c r="BW212" s="63"/>
      <c r="BX212" s="63"/>
      <c r="BY212" s="63"/>
      <c r="BZ212" s="63"/>
      <c r="CA212" s="103"/>
      <c r="CB212" s="103"/>
      <c r="CC212" s="103"/>
      <c r="CD212" s="103"/>
      <c r="CE212" s="63"/>
      <c r="CF212" s="63"/>
      <c r="CG212" s="63"/>
      <c r="CH212" s="63"/>
      <c r="CI212" s="103"/>
      <c r="CJ212" s="103"/>
      <c r="CK212" s="103"/>
      <c r="CL212" s="103"/>
    </row>
    <row r="213" spans="2:90" ht="13" x14ac:dyDescent="0.15">
      <c r="B213" s="13"/>
      <c r="C213" s="13"/>
      <c r="D213" s="13"/>
      <c r="E213" s="13"/>
      <c r="F213" s="13"/>
      <c r="G213" s="103"/>
      <c r="H213" s="103"/>
      <c r="I213" s="103"/>
      <c r="J213" s="103"/>
      <c r="K213" s="63"/>
      <c r="L213" s="63"/>
      <c r="M213" s="63"/>
      <c r="N213" s="63"/>
      <c r="O213" s="103"/>
      <c r="P213" s="103"/>
      <c r="Q213" s="103"/>
      <c r="R213" s="103"/>
      <c r="S213" s="63"/>
      <c r="T213" s="63"/>
      <c r="U213" s="63"/>
      <c r="V213" s="63"/>
      <c r="W213" s="103"/>
      <c r="X213" s="103"/>
      <c r="Y213" s="103"/>
      <c r="Z213" s="103"/>
      <c r="AA213" s="63"/>
      <c r="AB213" s="63"/>
      <c r="AC213" s="63"/>
      <c r="AD213" s="63"/>
      <c r="AE213" s="103"/>
      <c r="AF213" s="103"/>
      <c r="AG213" s="103"/>
      <c r="AH213" s="103"/>
      <c r="AI213" s="63"/>
      <c r="AJ213" s="63"/>
      <c r="AK213" s="63"/>
      <c r="AL213" s="63"/>
      <c r="AM213" s="103"/>
      <c r="AN213" s="103"/>
      <c r="AO213" s="103"/>
      <c r="AP213" s="103"/>
      <c r="AQ213" s="63"/>
      <c r="AR213" s="63"/>
      <c r="AS213" s="63"/>
      <c r="AT213" s="63"/>
      <c r="AU213" s="103"/>
      <c r="AV213" s="103"/>
      <c r="AW213" s="103"/>
      <c r="AX213" s="103"/>
      <c r="AY213" s="63"/>
      <c r="AZ213" s="63"/>
      <c r="BA213" s="63"/>
      <c r="BB213" s="63"/>
      <c r="BC213" s="103"/>
      <c r="BD213" s="103"/>
      <c r="BE213" s="103"/>
      <c r="BF213" s="103"/>
      <c r="BG213" s="63"/>
      <c r="BH213" s="63"/>
      <c r="BI213" s="63"/>
      <c r="BJ213" s="63"/>
      <c r="BK213" s="103"/>
      <c r="BL213" s="103"/>
      <c r="BM213" s="103"/>
      <c r="BN213" s="103"/>
      <c r="BO213" s="63"/>
      <c r="BP213" s="63"/>
      <c r="BQ213" s="63"/>
      <c r="BR213" s="63"/>
      <c r="BS213" s="103"/>
      <c r="BT213" s="103"/>
      <c r="BU213" s="103"/>
      <c r="BV213" s="103"/>
      <c r="BW213" s="63"/>
      <c r="BX213" s="63"/>
      <c r="BY213" s="63"/>
      <c r="BZ213" s="63"/>
      <c r="CA213" s="103"/>
      <c r="CB213" s="103"/>
      <c r="CC213" s="103"/>
      <c r="CD213" s="103"/>
      <c r="CE213" s="63"/>
      <c r="CF213" s="63"/>
      <c r="CG213" s="63"/>
      <c r="CH213" s="63"/>
      <c r="CI213" s="103"/>
      <c r="CJ213" s="103"/>
      <c r="CK213" s="103"/>
      <c r="CL213" s="103"/>
    </row>
    <row r="214" spans="2:90" ht="13" x14ac:dyDescent="0.15">
      <c r="B214" s="13"/>
      <c r="C214" s="13"/>
      <c r="D214" s="13"/>
      <c r="E214" s="13"/>
      <c r="F214" s="13"/>
      <c r="G214" s="103"/>
      <c r="H214" s="103"/>
      <c r="I214" s="103"/>
      <c r="J214" s="103"/>
      <c r="K214" s="63"/>
      <c r="L214" s="63"/>
      <c r="M214" s="63"/>
      <c r="N214" s="63"/>
      <c r="O214" s="103"/>
      <c r="P214" s="103"/>
      <c r="Q214" s="103"/>
      <c r="R214" s="103"/>
      <c r="S214" s="63"/>
      <c r="T214" s="63"/>
      <c r="U214" s="63"/>
      <c r="V214" s="63"/>
      <c r="W214" s="103"/>
      <c r="X214" s="103"/>
      <c r="Y214" s="103"/>
      <c r="Z214" s="103"/>
      <c r="AA214" s="63"/>
      <c r="AB214" s="63"/>
      <c r="AC214" s="63"/>
      <c r="AD214" s="63"/>
      <c r="AE214" s="103"/>
      <c r="AF214" s="103"/>
      <c r="AG214" s="103"/>
      <c r="AH214" s="103"/>
      <c r="AI214" s="63"/>
      <c r="AJ214" s="63"/>
      <c r="AK214" s="63"/>
      <c r="AL214" s="63"/>
      <c r="AM214" s="103"/>
      <c r="AN214" s="103"/>
      <c r="AO214" s="103"/>
      <c r="AP214" s="103"/>
      <c r="AQ214" s="63"/>
      <c r="AR214" s="63"/>
      <c r="AS214" s="63"/>
      <c r="AT214" s="63"/>
      <c r="AU214" s="103"/>
      <c r="AV214" s="103"/>
      <c r="AW214" s="103"/>
      <c r="AX214" s="103"/>
      <c r="AY214" s="63"/>
      <c r="AZ214" s="63"/>
      <c r="BA214" s="63"/>
      <c r="BB214" s="63"/>
      <c r="BC214" s="103"/>
      <c r="BD214" s="103"/>
      <c r="BE214" s="103"/>
      <c r="BF214" s="103"/>
      <c r="BG214" s="63"/>
      <c r="BH214" s="63"/>
      <c r="BI214" s="63"/>
      <c r="BJ214" s="63"/>
      <c r="BK214" s="103"/>
      <c r="BL214" s="103"/>
      <c r="BM214" s="103"/>
      <c r="BN214" s="103"/>
      <c r="BO214" s="63"/>
      <c r="BP214" s="63"/>
      <c r="BQ214" s="63"/>
      <c r="BR214" s="63"/>
      <c r="BS214" s="103"/>
      <c r="BT214" s="103"/>
      <c r="BU214" s="103"/>
      <c r="BV214" s="103"/>
      <c r="BW214" s="63"/>
      <c r="BX214" s="63"/>
      <c r="BY214" s="63"/>
      <c r="BZ214" s="63"/>
      <c r="CA214" s="103"/>
      <c r="CB214" s="103"/>
      <c r="CC214" s="103"/>
      <c r="CD214" s="103"/>
      <c r="CE214" s="63"/>
      <c r="CF214" s="63"/>
      <c r="CG214" s="63"/>
      <c r="CH214" s="63"/>
      <c r="CI214" s="103"/>
      <c r="CJ214" s="103"/>
      <c r="CK214" s="103"/>
      <c r="CL214" s="103"/>
    </row>
    <row r="215" spans="2:90" ht="13" x14ac:dyDescent="0.15">
      <c r="B215" s="13"/>
      <c r="C215" s="13"/>
      <c r="D215" s="13"/>
      <c r="E215" s="13"/>
      <c r="F215" s="13"/>
      <c r="G215" s="103"/>
      <c r="H215" s="103"/>
      <c r="I215" s="103"/>
      <c r="J215" s="103"/>
      <c r="K215" s="63"/>
      <c r="L215" s="63"/>
      <c r="M215" s="63"/>
      <c r="N215" s="63"/>
      <c r="O215" s="103"/>
      <c r="P215" s="103"/>
      <c r="Q215" s="103"/>
      <c r="R215" s="103"/>
      <c r="S215" s="63"/>
      <c r="T215" s="63"/>
      <c r="U215" s="63"/>
      <c r="V215" s="63"/>
      <c r="W215" s="103"/>
      <c r="X215" s="103"/>
      <c r="Y215" s="103"/>
      <c r="Z215" s="103"/>
      <c r="AA215" s="63"/>
      <c r="AB215" s="63"/>
      <c r="AC215" s="63"/>
      <c r="AD215" s="63"/>
      <c r="AE215" s="103"/>
      <c r="AF215" s="103"/>
      <c r="AG215" s="103"/>
      <c r="AH215" s="103"/>
      <c r="AI215" s="63"/>
      <c r="AJ215" s="63"/>
      <c r="AK215" s="63"/>
      <c r="AL215" s="63"/>
      <c r="AM215" s="103"/>
      <c r="AN215" s="103"/>
      <c r="AO215" s="103"/>
      <c r="AP215" s="103"/>
      <c r="AQ215" s="63"/>
      <c r="AR215" s="63"/>
      <c r="AS215" s="63"/>
      <c r="AT215" s="63"/>
      <c r="AU215" s="103"/>
      <c r="AV215" s="103"/>
      <c r="AW215" s="103"/>
      <c r="AX215" s="103"/>
      <c r="AY215" s="63"/>
      <c r="AZ215" s="63"/>
      <c r="BA215" s="63"/>
      <c r="BB215" s="63"/>
      <c r="BC215" s="103"/>
      <c r="BD215" s="103"/>
      <c r="BE215" s="103"/>
      <c r="BF215" s="103"/>
      <c r="BG215" s="63"/>
      <c r="BH215" s="63"/>
      <c r="BI215" s="63"/>
      <c r="BJ215" s="63"/>
      <c r="BK215" s="103"/>
      <c r="BL215" s="103"/>
      <c r="BM215" s="103"/>
      <c r="BN215" s="103"/>
      <c r="BO215" s="63"/>
      <c r="BP215" s="63"/>
      <c r="BQ215" s="63"/>
      <c r="BR215" s="63"/>
      <c r="BS215" s="103"/>
      <c r="BT215" s="103"/>
      <c r="BU215" s="103"/>
      <c r="BV215" s="103"/>
      <c r="BW215" s="63"/>
      <c r="BX215" s="63"/>
      <c r="BY215" s="63"/>
      <c r="BZ215" s="63"/>
      <c r="CA215" s="103"/>
      <c r="CB215" s="103"/>
      <c r="CC215" s="103"/>
      <c r="CD215" s="103"/>
      <c r="CE215" s="63"/>
      <c r="CF215" s="63"/>
      <c r="CG215" s="63"/>
      <c r="CH215" s="63"/>
      <c r="CI215" s="103"/>
      <c r="CJ215" s="103"/>
      <c r="CK215" s="103"/>
      <c r="CL215" s="103"/>
    </row>
    <row r="216" spans="2:90" ht="13" x14ac:dyDescent="0.15">
      <c r="B216" s="13"/>
      <c r="C216" s="13"/>
      <c r="D216" s="13"/>
      <c r="E216" s="13"/>
      <c r="F216" s="13"/>
      <c r="G216" s="103"/>
      <c r="H216" s="103"/>
      <c r="I216" s="103"/>
      <c r="J216" s="103"/>
      <c r="K216" s="63"/>
      <c r="L216" s="63"/>
      <c r="M216" s="63"/>
      <c r="N216" s="63"/>
      <c r="O216" s="103"/>
      <c r="P216" s="103"/>
      <c r="Q216" s="103"/>
      <c r="R216" s="103"/>
      <c r="S216" s="63"/>
      <c r="T216" s="63"/>
      <c r="U216" s="63"/>
      <c r="V216" s="63"/>
      <c r="W216" s="103"/>
      <c r="X216" s="103"/>
      <c r="Y216" s="103"/>
      <c r="Z216" s="103"/>
      <c r="AA216" s="63"/>
      <c r="AB216" s="63"/>
      <c r="AC216" s="63"/>
      <c r="AD216" s="63"/>
      <c r="AE216" s="103"/>
      <c r="AF216" s="103"/>
      <c r="AG216" s="103"/>
      <c r="AH216" s="103"/>
      <c r="AI216" s="63"/>
      <c r="AJ216" s="63"/>
      <c r="AK216" s="63"/>
      <c r="AL216" s="63"/>
      <c r="AM216" s="103"/>
      <c r="AN216" s="103"/>
      <c r="AO216" s="103"/>
      <c r="AP216" s="103"/>
      <c r="AQ216" s="63"/>
      <c r="AR216" s="63"/>
      <c r="AS216" s="63"/>
      <c r="AT216" s="63"/>
      <c r="AU216" s="103"/>
      <c r="AV216" s="103"/>
      <c r="AW216" s="103"/>
      <c r="AX216" s="103"/>
      <c r="AY216" s="63"/>
      <c r="AZ216" s="63"/>
      <c r="BA216" s="63"/>
      <c r="BB216" s="63"/>
      <c r="BC216" s="103"/>
      <c r="BD216" s="103"/>
      <c r="BE216" s="103"/>
      <c r="BF216" s="103"/>
      <c r="BG216" s="63"/>
      <c r="BH216" s="63"/>
      <c r="BI216" s="63"/>
      <c r="BJ216" s="63"/>
      <c r="BK216" s="103"/>
      <c r="BL216" s="103"/>
      <c r="BM216" s="103"/>
      <c r="BN216" s="103"/>
      <c r="BO216" s="63"/>
      <c r="BP216" s="63"/>
      <c r="BQ216" s="63"/>
      <c r="BR216" s="63"/>
      <c r="BS216" s="103"/>
      <c r="BT216" s="103"/>
      <c r="BU216" s="103"/>
      <c r="BV216" s="103"/>
      <c r="BW216" s="63"/>
      <c r="BX216" s="63"/>
      <c r="BY216" s="63"/>
      <c r="BZ216" s="63"/>
      <c r="CA216" s="103"/>
      <c r="CB216" s="103"/>
      <c r="CC216" s="103"/>
      <c r="CD216" s="103"/>
      <c r="CE216" s="63"/>
      <c r="CF216" s="63"/>
      <c r="CG216" s="63"/>
      <c r="CH216" s="63"/>
      <c r="CI216" s="103"/>
      <c r="CJ216" s="103"/>
      <c r="CK216" s="103"/>
      <c r="CL216" s="103"/>
    </row>
    <row r="217" spans="2:90" ht="13" x14ac:dyDescent="0.15">
      <c r="B217" s="13"/>
      <c r="C217" s="13"/>
      <c r="D217" s="13"/>
      <c r="E217" s="13"/>
      <c r="F217" s="13"/>
      <c r="G217" s="103"/>
      <c r="H217" s="103"/>
      <c r="I217" s="103"/>
      <c r="J217" s="103"/>
      <c r="K217" s="63"/>
      <c r="L217" s="63"/>
      <c r="M217" s="63"/>
      <c r="N217" s="63"/>
      <c r="O217" s="103"/>
      <c r="P217" s="103"/>
      <c r="Q217" s="103"/>
      <c r="R217" s="103"/>
      <c r="S217" s="63"/>
      <c r="T217" s="63"/>
      <c r="U217" s="63"/>
      <c r="V217" s="63"/>
      <c r="W217" s="103"/>
      <c r="X217" s="103"/>
      <c r="Y217" s="103"/>
      <c r="Z217" s="103"/>
      <c r="AA217" s="63"/>
      <c r="AB217" s="63"/>
      <c r="AC217" s="63"/>
      <c r="AD217" s="63"/>
      <c r="AE217" s="103"/>
      <c r="AF217" s="103"/>
      <c r="AG217" s="103"/>
      <c r="AH217" s="103"/>
      <c r="AI217" s="63"/>
      <c r="AJ217" s="63"/>
      <c r="AK217" s="63"/>
      <c r="AL217" s="63"/>
      <c r="AM217" s="103"/>
      <c r="AN217" s="103"/>
      <c r="AO217" s="103"/>
      <c r="AP217" s="103"/>
      <c r="AQ217" s="63"/>
      <c r="AR217" s="63"/>
      <c r="AS217" s="63"/>
      <c r="AT217" s="63"/>
      <c r="AU217" s="103"/>
      <c r="AV217" s="103"/>
      <c r="AW217" s="103"/>
      <c r="AX217" s="103"/>
      <c r="AY217" s="63"/>
      <c r="AZ217" s="63"/>
      <c r="BA217" s="63"/>
      <c r="BB217" s="63"/>
      <c r="BC217" s="103"/>
      <c r="BD217" s="103"/>
      <c r="BE217" s="103"/>
      <c r="BF217" s="103"/>
      <c r="BG217" s="63"/>
      <c r="BH217" s="63"/>
      <c r="BI217" s="63"/>
      <c r="BJ217" s="63"/>
      <c r="BK217" s="103"/>
      <c r="BL217" s="103"/>
      <c r="BM217" s="103"/>
      <c r="BN217" s="103"/>
      <c r="BO217" s="63"/>
      <c r="BP217" s="63"/>
      <c r="BQ217" s="63"/>
      <c r="BR217" s="63"/>
      <c r="BS217" s="103"/>
      <c r="BT217" s="103"/>
      <c r="BU217" s="103"/>
      <c r="BV217" s="103"/>
      <c r="BW217" s="63"/>
      <c r="BX217" s="63"/>
      <c r="BY217" s="63"/>
      <c r="BZ217" s="63"/>
      <c r="CA217" s="103"/>
      <c r="CB217" s="103"/>
      <c r="CC217" s="103"/>
      <c r="CD217" s="103"/>
      <c r="CE217" s="63"/>
      <c r="CF217" s="63"/>
      <c r="CG217" s="63"/>
      <c r="CH217" s="63"/>
      <c r="CI217" s="103"/>
      <c r="CJ217" s="103"/>
      <c r="CK217" s="103"/>
      <c r="CL217" s="103"/>
    </row>
    <row r="218" spans="2:90" ht="13" x14ac:dyDescent="0.15">
      <c r="B218" s="13"/>
      <c r="C218" s="13"/>
      <c r="D218" s="13"/>
      <c r="E218" s="13"/>
      <c r="F218" s="13"/>
      <c r="G218" s="103"/>
      <c r="H218" s="103"/>
      <c r="I218" s="103"/>
      <c r="J218" s="103"/>
      <c r="K218" s="63"/>
      <c r="L218" s="63"/>
      <c r="M218" s="63"/>
      <c r="N218" s="63"/>
      <c r="O218" s="103"/>
      <c r="P218" s="103"/>
      <c r="Q218" s="103"/>
      <c r="R218" s="103"/>
      <c r="S218" s="63"/>
      <c r="T218" s="63"/>
      <c r="U218" s="63"/>
      <c r="V218" s="63"/>
      <c r="W218" s="103"/>
      <c r="X218" s="103"/>
      <c r="Y218" s="103"/>
      <c r="Z218" s="103"/>
      <c r="AA218" s="63"/>
      <c r="AB218" s="63"/>
      <c r="AC218" s="63"/>
      <c r="AD218" s="63"/>
      <c r="AE218" s="103"/>
      <c r="AF218" s="103"/>
      <c r="AG218" s="103"/>
      <c r="AH218" s="103"/>
      <c r="AI218" s="63"/>
      <c r="AJ218" s="63"/>
      <c r="AK218" s="63"/>
      <c r="AL218" s="63"/>
      <c r="AM218" s="103"/>
      <c r="AN218" s="103"/>
      <c r="AO218" s="103"/>
      <c r="AP218" s="103"/>
      <c r="AQ218" s="63"/>
      <c r="AR218" s="63"/>
      <c r="AS218" s="63"/>
      <c r="AT218" s="63"/>
      <c r="AU218" s="103"/>
      <c r="AV218" s="103"/>
      <c r="AW218" s="103"/>
      <c r="AX218" s="103"/>
      <c r="AY218" s="63"/>
      <c r="AZ218" s="63"/>
      <c r="BA218" s="63"/>
      <c r="BB218" s="63"/>
      <c r="BC218" s="103"/>
      <c r="BD218" s="103"/>
      <c r="BE218" s="103"/>
      <c r="BF218" s="103"/>
      <c r="BG218" s="63"/>
      <c r="BH218" s="63"/>
      <c r="BI218" s="63"/>
      <c r="BJ218" s="63"/>
      <c r="BK218" s="103"/>
      <c r="BL218" s="103"/>
      <c r="BM218" s="103"/>
      <c r="BN218" s="103"/>
      <c r="BO218" s="63"/>
      <c r="BP218" s="63"/>
      <c r="BQ218" s="63"/>
      <c r="BR218" s="63"/>
      <c r="BS218" s="103"/>
      <c r="BT218" s="103"/>
      <c r="BU218" s="103"/>
      <c r="BV218" s="103"/>
      <c r="BW218" s="63"/>
      <c r="BX218" s="63"/>
      <c r="BY218" s="63"/>
      <c r="BZ218" s="63"/>
      <c r="CA218" s="103"/>
      <c r="CB218" s="103"/>
      <c r="CC218" s="103"/>
      <c r="CD218" s="103"/>
      <c r="CE218" s="63"/>
      <c r="CF218" s="63"/>
      <c r="CG218" s="63"/>
      <c r="CH218" s="63"/>
      <c r="CI218" s="103"/>
      <c r="CJ218" s="103"/>
      <c r="CK218" s="103"/>
      <c r="CL218" s="103"/>
    </row>
    <row r="219" spans="2:90" ht="13" x14ac:dyDescent="0.15">
      <c r="B219" s="13"/>
      <c r="C219" s="13"/>
      <c r="D219" s="13"/>
      <c r="E219" s="13"/>
      <c r="F219" s="13"/>
      <c r="G219" s="103"/>
      <c r="H219" s="103"/>
      <c r="I219" s="103"/>
      <c r="J219" s="103"/>
      <c r="K219" s="63"/>
      <c r="L219" s="63"/>
      <c r="M219" s="63"/>
      <c r="N219" s="63"/>
      <c r="O219" s="103"/>
      <c r="P219" s="103"/>
      <c r="Q219" s="103"/>
      <c r="R219" s="103"/>
      <c r="S219" s="63"/>
      <c r="T219" s="63"/>
      <c r="U219" s="63"/>
      <c r="V219" s="63"/>
      <c r="W219" s="103"/>
      <c r="X219" s="103"/>
      <c r="Y219" s="103"/>
      <c r="Z219" s="103"/>
      <c r="AA219" s="63"/>
      <c r="AB219" s="63"/>
      <c r="AC219" s="63"/>
      <c r="AD219" s="63"/>
      <c r="AE219" s="103"/>
      <c r="AF219" s="103"/>
      <c r="AG219" s="103"/>
      <c r="AH219" s="103"/>
      <c r="AI219" s="63"/>
      <c r="AJ219" s="63"/>
      <c r="AK219" s="63"/>
      <c r="AL219" s="63"/>
      <c r="AM219" s="103"/>
      <c r="AN219" s="103"/>
      <c r="AO219" s="103"/>
      <c r="AP219" s="103"/>
      <c r="AQ219" s="63"/>
      <c r="AR219" s="63"/>
      <c r="AS219" s="63"/>
      <c r="AT219" s="63"/>
      <c r="AU219" s="103"/>
      <c r="AV219" s="103"/>
      <c r="AW219" s="103"/>
      <c r="AX219" s="103"/>
      <c r="AY219" s="63"/>
      <c r="AZ219" s="63"/>
      <c r="BA219" s="63"/>
      <c r="BB219" s="63"/>
      <c r="BC219" s="103"/>
      <c r="BD219" s="103"/>
      <c r="BE219" s="103"/>
      <c r="BF219" s="103"/>
      <c r="BG219" s="63"/>
      <c r="BH219" s="63"/>
      <c r="BI219" s="63"/>
      <c r="BJ219" s="63"/>
      <c r="BK219" s="103"/>
      <c r="BL219" s="103"/>
      <c r="BM219" s="103"/>
      <c r="BN219" s="103"/>
      <c r="BO219" s="63"/>
      <c r="BP219" s="63"/>
      <c r="BQ219" s="63"/>
      <c r="BR219" s="63"/>
      <c r="BS219" s="103"/>
      <c r="BT219" s="103"/>
      <c r="BU219" s="103"/>
      <c r="BV219" s="103"/>
      <c r="BW219" s="63"/>
      <c r="BX219" s="63"/>
      <c r="BY219" s="63"/>
      <c r="BZ219" s="63"/>
      <c r="CA219" s="103"/>
      <c r="CB219" s="103"/>
      <c r="CC219" s="103"/>
      <c r="CD219" s="103"/>
      <c r="CE219" s="63"/>
      <c r="CF219" s="63"/>
      <c r="CG219" s="63"/>
      <c r="CH219" s="63"/>
      <c r="CI219" s="103"/>
      <c r="CJ219" s="103"/>
      <c r="CK219" s="103"/>
      <c r="CL219" s="103"/>
    </row>
    <row r="220" spans="2:90" ht="13" x14ac:dyDescent="0.15">
      <c r="B220" s="13"/>
      <c r="C220" s="13"/>
      <c r="D220" s="13"/>
      <c r="E220" s="13"/>
      <c r="F220" s="13"/>
      <c r="G220" s="103"/>
      <c r="H220" s="103"/>
      <c r="I220" s="103"/>
      <c r="J220" s="103"/>
      <c r="K220" s="63"/>
      <c r="L220" s="63"/>
      <c r="M220" s="63"/>
      <c r="N220" s="63"/>
      <c r="O220" s="103"/>
      <c r="P220" s="103"/>
      <c r="Q220" s="103"/>
      <c r="R220" s="103"/>
      <c r="S220" s="63"/>
      <c r="T220" s="63"/>
      <c r="U220" s="63"/>
      <c r="V220" s="63"/>
      <c r="W220" s="103"/>
      <c r="X220" s="103"/>
      <c r="Y220" s="103"/>
      <c r="Z220" s="103"/>
      <c r="AA220" s="63"/>
      <c r="AB220" s="63"/>
      <c r="AC220" s="63"/>
      <c r="AD220" s="63"/>
      <c r="AE220" s="103"/>
      <c r="AF220" s="103"/>
      <c r="AG220" s="103"/>
      <c r="AH220" s="103"/>
      <c r="AI220" s="63"/>
      <c r="AJ220" s="63"/>
      <c r="AK220" s="63"/>
      <c r="AL220" s="63"/>
      <c r="AM220" s="103"/>
      <c r="AN220" s="103"/>
      <c r="AO220" s="103"/>
      <c r="AP220" s="103"/>
      <c r="AQ220" s="63"/>
      <c r="AR220" s="63"/>
      <c r="AS220" s="63"/>
      <c r="AT220" s="63"/>
      <c r="AU220" s="103"/>
      <c r="AV220" s="103"/>
      <c r="AW220" s="103"/>
      <c r="AX220" s="103"/>
      <c r="AY220" s="63"/>
      <c r="AZ220" s="63"/>
      <c r="BA220" s="63"/>
      <c r="BB220" s="63"/>
      <c r="BC220" s="103"/>
      <c r="BD220" s="103"/>
      <c r="BE220" s="103"/>
      <c r="BF220" s="103"/>
      <c r="BG220" s="63"/>
      <c r="BH220" s="63"/>
      <c r="BI220" s="63"/>
      <c r="BJ220" s="63"/>
      <c r="BK220" s="103"/>
      <c r="BL220" s="103"/>
      <c r="BM220" s="103"/>
      <c r="BN220" s="103"/>
      <c r="BO220" s="63"/>
      <c r="BP220" s="63"/>
      <c r="BQ220" s="63"/>
      <c r="BR220" s="63"/>
      <c r="BS220" s="103"/>
      <c r="BT220" s="103"/>
      <c r="BU220" s="103"/>
      <c r="BV220" s="103"/>
      <c r="BW220" s="63"/>
      <c r="BX220" s="63"/>
      <c r="BY220" s="63"/>
      <c r="BZ220" s="63"/>
      <c r="CA220" s="103"/>
      <c r="CB220" s="103"/>
      <c r="CC220" s="103"/>
      <c r="CD220" s="103"/>
      <c r="CE220" s="63"/>
      <c r="CF220" s="63"/>
      <c r="CG220" s="63"/>
      <c r="CH220" s="63"/>
      <c r="CI220" s="103"/>
      <c r="CJ220" s="103"/>
      <c r="CK220" s="103"/>
      <c r="CL220" s="103"/>
    </row>
    <row r="221" spans="2:90" ht="13" x14ac:dyDescent="0.15">
      <c r="B221" s="13"/>
      <c r="C221" s="13"/>
      <c r="D221" s="13"/>
      <c r="E221" s="13"/>
      <c r="F221" s="13"/>
      <c r="G221" s="103"/>
      <c r="H221" s="103"/>
      <c r="I221" s="103"/>
      <c r="J221" s="103"/>
      <c r="K221" s="63"/>
      <c r="L221" s="63"/>
      <c r="M221" s="63"/>
      <c r="N221" s="63"/>
      <c r="O221" s="103"/>
      <c r="P221" s="103"/>
      <c r="Q221" s="103"/>
      <c r="R221" s="103"/>
      <c r="S221" s="63"/>
      <c r="T221" s="63"/>
      <c r="U221" s="63"/>
      <c r="V221" s="63"/>
      <c r="W221" s="103"/>
      <c r="X221" s="103"/>
      <c r="Y221" s="103"/>
      <c r="Z221" s="103"/>
      <c r="AA221" s="63"/>
      <c r="AB221" s="63"/>
      <c r="AC221" s="63"/>
      <c r="AD221" s="63"/>
      <c r="AE221" s="103"/>
      <c r="AF221" s="103"/>
      <c r="AG221" s="103"/>
      <c r="AH221" s="103"/>
      <c r="AI221" s="63"/>
      <c r="AJ221" s="63"/>
      <c r="AK221" s="63"/>
      <c r="AL221" s="63"/>
      <c r="AM221" s="103"/>
      <c r="AN221" s="103"/>
      <c r="AO221" s="103"/>
      <c r="AP221" s="103"/>
      <c r="AQ221" s="63"/>
      <c r="AR221" s="63"/>
      <c r="AS221" s="63"/>
      <c r="AT221" s="63"/>
      <c r="AU221" s="103"/>
      <c r="AV221" s="103"/>
      <c r="AW221" s="103"/>
      <c r="AX221" s="103"/>
      <c r="AY221" s="63"/>
      <c r="AZ221" s="63"/>
      <c r="BA221" s="63"/>
      <c r="BB221" s="63"/>
      <c r="BC221" s="103"/>
      <c r="BD221" s="103"/>
      <c r="BE221" s="103"/>
      <c r="BF221" s="103"/>
      <c r="BG221" s="63"/>
      <c r="BH221" s="63"/>
      <c r="BI221" s="63"/>
      <c r="BJ221" s="63"/>
      <c r="BK221" s="103"/>
      <c r="BL221" s="103"/>
      <c r="BM221" s="103"/>
      <c r="BN221" s="103"/>
      <c r="BO221" s="63"/>
      <c r="BP221" s="63"/>
      <c r="BQ221" s="63"/>
      <c r="BR221" s="63"/>
      <c r="BS221" s="103"/>
      <c r="BT221" s="103"/>
      <c r="BU221" s="103"/>
      <c r="BV221" s="103"/>
      <c r="BW221" s="63"/>
      <c r="BX221" s="63"/>
      <c r="BY221" s="63"/>
      <c r="BZ221" s="63"/>
      <c r="CA221" s="103"/>
      <c r="CB221" s="103"/>
      <c r="CC221" s="103"/>
      <c r="CD221" s="103"/>
      <c r="CE221" s="63"/>
      <c r="CF221" s="63"/>
      <c r="CG221" s="63"/>
      <c r="CH221" s="63"/>
      <c r="CI221" s="103"/>
      <c r="CJ221" s="103"/>
      <c r="CK221" s="103"/>
      <c r="CL221" s="103"/>
    </row>
    <row r="222" spans="2:90" ht="13" x14ac:dyDescent="0.15">
      <c r="B222" s="13"/>
      <c r="C222" s="13"/>
      <c r="D222" s="13"/>
      <c r="E222" s="13"/>
      <c r="F222" s="13"/>
      <c r="G222" s="103"/>
      <c r="H222" s="103"/>
      <c r="I222" s="103"/>
      <c r="J222" s="103"/>
      <c r="K222" s="63"/>
      <c r="L222" s="63"/>
      <c r="M222" s="63"/>
      <c r="N222" s="63"/>
      <c r="O222" s="103"/>
      <c r="P222" s="103"/>
      <c r="Q222" s="103"/>
      <c r="R222" s="103"/>
      <c r="S222" s="63"/>
      <c r="T222" s="63"/>
      <c r="U222" s="63"/>
      <c r="V222" s="63"/>
      <c r="W222" s="103"/>
      <c r="X222" s="103"/>
      <c r="Y222" s="103"/>
      <c r="Z222" s="103"/>
      <c r="AA222" s="63"/>
      <c r="AB222" s="63"/>
      <c r="AC222" s="63"/>
      <c r="AD222" s="63"/>
      <c r="AE222" s="103"/>
      <c r="AF222" s="103"/>
      <c r="AG222" s="103"/>
      <c r="AH222" s="103"/>
      <c r="AI222" s="63"/>
      <c r="AJ222" s="63"/>
      <c r="AK222" s="63"/>
      <c r="AL222" s="63"/>
      <c r="AM222" s="103"/>
      <c r="AN222" s="103"/>
      <c r="AO222" s="103"/>
      <c r="AP222" s="103"/>
      <c r="AQ222" s="63"/>
      <c r="AR222" s="63"/>
      <c r="AS222" s="63"/>
      <c r="AT222" s="63"/>
      <c r="AU222" s="103"/>
      <c r="AV222" s="103"/>
      <c r="AW222" s="103"/>
      <c r="AX222" s="103"/>
      <c r="AY222" s="63"/>
      <c r="AZ222" s="63"/>
      <c r="BA222" s="63"/>
      <c r="BB222" s="63"/>
      <c r="BC222" s="103"/>
      <c r="BD222" s="103"/>
      <c r="BE222" s="103"/>
      <c r="BF222" s="103"/>
      <c r="BG222" s="63"/>
      <c r="BH222" s="63"/>
      <c r="BI222" s="63"/>
      <c r="BJ222" s="63"/>
      <c r="BK222" s="103"/>
      <c r="BL222" s="103"/>
      <c r="BM222" s="103"/>
      <c r="BN222" s="103"/>
      <c r="BO222" s="63"/>
      <c r="BP222" s="63"/>
      <c r="BQ222" s="63"/>
      <c r="BR222" s="63"/>
      <c r="BS222" s="103"/>
      <c r="BT222" s="103"/>
      <c r="BU222" s="103"/>
      <c r="BV222" s="103"/>
      <c r="BW222" s="63"/>
      <c r="BX222" s="63"/>
      <c r="BY222" s="63"/>
      <c r="BZ222" s="63"/>
      <c r="CA222" s="103"/>
      <c r="CB222" s="103"/>
      <c r="CC222" s="103"/>
      <c r="CD222" s="103"/>
      <c r="CE222" s="63"/>
      <c r="CF222" s="63"/>
      <c r="CG222" s="63"/>
      <c r="CH222" s="63"/>
      <c r="CI222" s="103"/>
      <c r="CJ222" s="103"/>
      <c r="CK222" s="103"/>
      <c r="CL222" s="103"/>
    </row>
    <row r="223" spans="2:90" ht="13" x14ac:dyDescent="0.15">
      <c r="B223" s="13"/>
      <c r="C223" s="13"/>
      <c r="D223" s="13"/>
      <c r="E223" s="13"/>
      <c r="F223" s="13"/>
      <c r="G223" s="103"/>
      <c r="H223" s="103"/>
      <c r="I223" s="103"/>
      <c r="J223" s="103"/>
      <c r="K223" s="63"/>
      <c r="L223" s="63"/>
      <c r="M223" s="63"/>
      <c r="N223" s="63"/>
      <c r="O223" s="103"/>
      <c r="P223" s="103"/>
      <c r="Q223" s="103"/>
      <c r="R223" s="103"/>
      <c r="S223" s="63"/>
      <c r="T223" s="63"/>
      <c r="U223" s="63"/>
      <c r="V223" s="63"/>
      <c r="W223" s="103"/>
      <c r="X223" s="103"/>
      <c r="Y223" s="103"/>
      <c r="Z223" s="103"/>
      <c r="AA223" s="63"/>
      <c r="AB223" s="63"/>
      <c r="AC223" s="63"/>
      <c r="AD223" s="63"/>
      <c r="AE223" s="103"/>
      <c r="AF223" s="103"/>
      <c r="AG223" s="103"/>
      <c r="AH223" s="103"/>
      <c r="AI223" s="63"/>
      <c r="AJ223" s="63"/>
      <c r="AK223" s="63"/>
      <c r="AL223" s="63"/>
      <c r="AM223" s="103"/>
      <c r="AN223" s="103"/>
      <c r="AO223" s="103"/>
      <c r="AP223" s="103"/>
      <c r="AQ223" s="63"/>
      <c r="AR223" s="63"/>
      <c r="AS223" s="63"/>
      <c r="AT223" s="63"/>
      <c r="AU223" s="103"/>
      <c r="AV223" s="103"/>
      <c r="AW223" s="103"/>
      <c r="AX223" s="103"/>
      <c r="AY223" s="63"/>
      <c r="AZ223" s="63"/>
      <c r="BA223" s="63"/>
      <c r="BB223" s="63"/>
      <c r="BC223" s="103"/>
      <c r="BD223" s="103"/>
      <c r="BE223" s="103"/>
      <c r="BF223" s="103"/>
      <c r="BG223" s="63"/>
      <c r="BH223" s="63"/>
      <c r="BI223" s="63"/>
      <c r="BJ223" s="63"/>
      <c r="BK223" s="103"/>
      <c r="BL223" s="103"/>
      <c r="BM223" s="103"/>
      <c r="BN223" s="103"/>
      <c r="BO223" s="63"/>
      <c r="BP223" s="63"/>
      <c r="BQ223" s="63"/>
      <c r="BR223" s="63"/>
      <c r="BS223" s="103"/>
      <c r="BT223" s="103"/>
      <c r="BU223" s="103"/>
      <c r="BV223" s="103"/>
      <c r="BW223" s="63"/>
      <c r="BX223" s="63"/>
      <c r="BY223" s="63"/>
      <c r="BZ223" s="63"/>
      <c r="CA223" s="103"/>
      <c r="CB223" s="103"/>
      <c r="CC223" s="103"/>
      <c r="CD223" s="103"/>
      <c r="CE223" s="63"/>
      <c r="CF223" s="63"/>
      <c r="CG223" s="63"/>
      <c r="CH223" s="63"/>
      <c r="CI223" s="103"/>
      <c r="CJ223" s="103"/>
      <c r="CK223" s="103"/>
      <c r="CL223" s="103"/>
    </row>
    <row r="224" spans="2:90" ht="13" x14ac:dyDescent="0.15">
      <c r="B224" s="13"/>
      <c r="C224" s="13"/>
      <c r="D224" s="13"/>
      <c r="E224" s="13"/>
      <c r="F224" s="13"/>
      <c r="G224" s="103"/>
      <c r="H224" s="103"/>
      <c r="I224" s="103"/>
      <c r="J224" s="103"/>
      <c r="K224" s="63"/>
      <c r="L224" s="63"/>
      <c r="M224" s="63"/>
      <c r="N224" s="63"/>
      <c r="O224" s="103"/>
      <c r="P224" s="103"/>
      <c r="Q224" s="103"/>
      <c r="R224" s="103"/>
      <c r="S224" s="63"/>
      <c r="T224" s="63"/>
      <c r="U224" s="63"/>
      <c r="V224" s="63"/>
      <c r="W224" s="103"/>
      <c r="X224" s="103"/>
      <c r="Y224" s="103"/>
      <c r="Z224" s="103"/>
      <c r="AA224" s="63"/>
      <c r="AB224" s="63"/>
      <c r="AC224" s="63"/>
      <c r="AD224" s="63"/>
      <c r="AE224" s="103"/>
      <c r="AF224" s="103"/>
      <c r="AG224" s="103"/>
      <c r="AH224" s="103"/>
      <c r="AI224" s="63"/>
      <c r="AJ224" s="63"/>
      <c r="AK224" s="63"/>
      <c r="AL224" s="63"/>
      <c r="AM224" s="103"/>
      <c r="AN224" s="103"/>
      <c r="AO224" s="103"/>
      <c r="AP224" s="103"/>
      <c r="AQ224" s="63"/>
      <c r="AR224" s="63"/>
      <c r="AS224" s="63"/>
      <c r="AT224" s="63"/>
      <c r="AU224" s="103"/>
      <c r="AV224" s="103"/>
      <c r="AW224" s="103"/>
      <c r="AX224" s="103"/>
      <c r="AY224" s="63"/>
      <c r="AZ224" s="63"/>
      <c r="BA224" s="63"/>
      <c r="BB224" s="63"/>
      <c r="BC224" s="103"/>
      <c r="BD224" s="103"/>
      <c r="BE224" s="103"/>
      <c r="BF224" s="103"/>
      <c r="BG224" s="63"/>
      <c r="BH224" s="63"/>
      <c r="BI224" s="63"/>
      <c r="BJ224" s="63"/>
      <c r="BK224" s="103"/>
      <c r="BL224" s="103"/>
      <c r="BM224" s="103"/>
      <c r="BN224" s="103"/>
      <c r="BO224" s="63"/>
      <c r="BP224" s="63"/>
      <c r="BQ224" s="63"/>
      <c r="BR224" s="63"/>
      <c r="BS224" s="103"/>
      <c r="BT224" s="103"/>
      <c r="BU224" s="103"/>
      <c r="BV224" s="103"/>
      <c r="BW224" s="63"/>
      <c r="BX224" s="63"/>
      <c r="BY224" s="63"/>
      <c r="BZ224" s="63"/>
      <c r="CA224" s="103"/>
      <c r="CB224" s="103"/>
      <c r="CC224" s="103"/>
      <c r="CD224" s="103"/>
      <c r="CE224" s="63"/>
      <c r="CF224" s="63"/>
      <c r="CG224" s="63"/>
      <c r="CH224" s="63"/>
      <c r="CI224" s="103"/>
      <c r="CJ224" s="103"/>
      <c r="CK224" s="103"/>
      <c r="CL224" s="103"/>
    </row>
    <row r="225" spans="2:90" ht="13" x14ac:dyDescent="0.15">
      <c r="B225" s="13"/>
      <c r="C225" s="13"/>
      <c r="D225" s="13"/>
      <c r="E225" s="13"/>
      <c r="F225" s="13"/>
      <c r="G225" s="103"/>
      <c r="H225" s="103"/>
      <c r="I225" s="103"/>
      <c r="J225" s="103"/>
      <c r="K225" s="63"/>
      <c r="L225" s="63"/>
      <c r="M225" s="63"/>
      <c r="N225" s="63"/>
      <c r="O225" s="103"/>
      <c r="P225" s="103"/>
      <c r="Q225" s="103"/>
      <c r="R225" s="103"/>
      <c r="S225" s="63"/>
      <c r="T225" s="63"/>
      <c r="U225" s="63"/>
      <c r="V225" s="63"/>
      <c r="W225" s="103"/>
      <c r="X225" s="103"/>
      <c r="Y225" s="103"/>
      <c r="Z225" s="103"/>
      <c r="AA225" s="63"/>
      <c r="AB225" s="63"/>
      <c r="AC225" s="63"/>
      <c r="AD225" s="63"/>
      <c r="AE225" s="103"/>
      <c r="AF225" s="103"/>
      <c r="AG225" s="103"/>
      <c r="AH225" s="103"/>
      <c r="AI225" s="63"/>
      <c r="AJ225" s="63"/>
      <c r="AK225" s="63"/>
      <c r="AL225" s="63"/>
      <c r="AM225" s="103"/>
      <c r="AN225" s="103"/>
      <c r="AO225" s="103"/>
      <c r="AP225" s="103"/>
      <c r="AQ225" s="63"/>
      <c r="AR225" s="63"/>
      <c r="AS225" s="63"/>
      <c r="AT225" s="63"/>
      <c r="AU225" s="103"/>
      <c r="AV225" s="103"/>
      <c r="AW225" s="103"/>
      <c r="AX225" s="103"/>
      <c r="AY225" s="63"/>
      <c r="AZ225" s="63"/>
      <c r="BA225" s="63"/>
      <c r="BB225" s="63"/>
      <c r="BC225" s="103"/>
      <c r="BD225" s="103"/>
      <c r="BE225" s="103"/>
      <c r="BF225" s="103"/>
      <c r="BG225" s="63"/>
      <c r="BH225" s="63"/>
      <c r="BI225" s="63"/>
      <c r="BJ225" s="63"/>
      <c r="BK225" s="103"/>
      <c r="BL225" s="103"/>
      <c r="BM225" s="103"/>
      <c r="BN225" s="103"/>
      <c r="BO225" s="63"/>
      <c r="BP225" s="63"/>
      <c r="BQ225" s="63"/>
      <c r="BR225" s="63"/>
      <c r="BS225" s="103"/>
      <c r="BT225" s="103"/>
      <c r="BU225" s="103"/>
      <c r="BV225" s="103"/>
      <c r="BW225" s="63"/>
      <c r="BX225" s="63"/>
      <c r="BY225" s="63"/>
      <c r="BZ225" s="63"/>
      <c r="CA225" s="103"/>
      <c r="CB225" s="103"/>
      <c r="CC225" s="103"/>
      <c r="CD225" s="103"/>
      <c r="CE225" s="63"/>
      <c r="CF225" s="63"/>
      <c r="CG225" s="63"/>
      <c r="CH225" s="63"/>
      <c r="CI225" s="103"/>
      <c r="CJ225" s="103"/>
      <c r="CK225" s="103"/>
      <c r="CL225" s="103"/>
    </row>
    <row r="226" spans="2:90" ht="13" x14ac:dyDescent="0.15">
      <c r="B226" s="13"/>
      <c r="C226" s="13"/>
      <c r="D226" s="13"/>
      <c r="E226" s="13"/>
      <c r="F226" s="13"/>
      <c r="G226" s="103"/>
      <c r="H226" s="103"/>
      <c r="I226" s="103"/>
      <c r="J226" s="103"/>
      <c r="K226" s="63"/>
      <c r="L226" s="63"/>
      <c r="M226" s="63"/>
      <c r="N226" s="63"/>
      <c r="O226" s="103"/>
      <c r="P226" s="103"/>
      <c r="Q226" s="103"/>
      <c r="R226" s="103"/>
      <c r="S226" s="63"/>
      <c r="T226" s="63"/>
      <c r="U226" s="63"/>
      <c r="V226" s="63"/>
      <c r="W226" s="103"/>
      <c r="X226" s="103"/>
      <c r="Y226" s="103"/>
      <c r="Z226" s="103"/>
      <c r="AA226" s="63"/>
      <c r="AB226" s="63"/>
      <c r="AC226" s="63"/>
      <c r="AD226" s="63"/>
      <c r="AE226" s="103"/>
      <c r="AF226" s="103"/>
      <c r="AG226" s="103"/>
      <c r="AH226" s="103"/>
      <c r="AI226" s="63"/>
      <c r="AJ226" s="63"/>
      <c r="AK226" s="63"/>
      <c r="AL226" s="63"/>
      <c r="AM226" s="103"/>
      <c r="AN226" s="103"/>
      <c r="AO226" s="103"/>
      <c r="AP226" s="103"/>
      <c r="AQ226" s="63"/>
      <c r="AR226" s="63"/>
      <c r="AS226" s="63"/>
      <c r="AT226" s="63"/>
      <c r="AU226" s="103"/>
      <c r="AV226" s="103"/>
      <c r="AW226" s="103"/>
      <c r="AX226" s="103"/>
      <c r="AY226" s="63"/>
      <c r="AZ226" s="63"/>
      <c r="BA226" s="63"/>
      <c r="BB226" s="63"/>
      <c r="BC226" s="103"/>
      <c r="BD226" s="103"/>
      <c r="BE226" s="103"/>
      <c r="BF226" s="103"/>
      <c r="BG226" s="63"/>
      <c r="BH226" s="63"/>
      <c r="BI226" s="63"/>
      <c r="BJ226" s="63"/>
      <c r="BK226" s="103"/>
      <c r="BL226" s="103"/>
      <c r="BM226" s="103"/>
      <c r="BN226" s="103"/>
      <c r="BO226" s="63"/>
      <c r="BP226" s="63"/>
      <c r="BQ226" s="63"/>
      <c r="BR226" s="63"/>
      <c r="BS226" s="103"/>
      <c r="BT226" s="103"/>
      <c r="BU226" s="103"/>
      <c r="BV226" s="103"/>
      <c r="BW226" s="63"/>
      <c r="BX226" s="63"/>
      <c r="BY226" s="63"/>
      <c r="BZ226" s="63"/>
      <c r="CA226" s="103"/>
      <c r="CB226" s="103"/>
      <c r="CC226" s="103"/>
      <c r="CD226" s="103"/>
      <c r="CE226" s="63"/>
      <c r="CF226" s="63"/>
      <c r="CG226" s="63"/>
      <c r="CH226" s="63"/>
      <c r="CI226" s="103"/>
      <c r="CJ226" s="103"/>
      <c r="CK226" s="103"/>
      <c r="CL226" s="103"/>
    </row>
    <row r="227" spans="2:90" ht="13" x14ac:dyDescent="0.15">
      <c r="B227" s="13"/>
      <c r="C227" s="13"/>
      <c r="D227" s="13"/>
      <c r="E227" s="13"/>
      <c r="F227" s="13"/>
      <c r="G227" s="103"/>
      <c r="H227" s="103"/>
      <c r="I227" s="103"/>
      <c r="J227" s="103"/>
      <c r="K227" s="63"/>
      <c r="L227" s="63"/>
      <c r="M227" s="63"/>
      <c r="N227" s="63"/>
      <c r="O227" s="103"/>
      <c r="P227" s="103"/>
      <c r="Q227" s="103"/>
      <c r="R227" s="103"/>
      <c r="S227" s="63"/>
      <c r="T227" s="63"/>
      <c r="U227" s="63"/>
      <c r="V227" s="63"/>
      <c r="W227" s="103"/>
      <c r="X227" s="103"/>
      <c r="Y227" s="103"/>
      <c r="Z227" s="103"/>
      <c r="AA227" s="63"/>
      <c r="AB227" s="63"/>
      <c r="AC227" s="63"/>
      <c r="AD227" s="63"/>
      <c r="AE227" s="103"/>
      <c r="AF227" s="103"/>
      <c r="AG227" s="103"/>
      <c r="AH227" s="103"/>
      <c r="AI227" s="63"/>
      <c r="AJ227" s="63"/>
      <c r="AK227" s="63"/>
      <c r="AL227" s="63"/>
      <c r="AM227" s="103"/>
      <c r="AN227" s="103"/>
      <c r="AO227" s="103"/>
      <c r="AP227" s="103"/>
      <c r="AQ227" s="63"/>
      <c r="AR227" s="63"/>
      <c r="AS227" s="63"/>
      <c r="AT227" s="63"/>
      <c r="AU227" s="103"/>
      <c r="AV227" s="103"/>
      <c r="AW227" s="103"/>
      <c r="AX227" s="103"/>
      <c r="AY227" s="63"/>
      <c r="AZ227" s="63"/>
      <c r="BA227" s="63"/>
      <c r="BB227" s="63"/>
      <c r="BC227" s="103"/>
      <c r="BD227" s="103"/>
      <c r="BE227" s="103"/>
      <c r="BF227" s="103"/>
      <c r="BG227" s="63"/>
      <c r="BH227" s="63"/>
      <c r="BI227" s="63"/>
      <c r="BJ227" s="63"/>
      <c r="BK227" s="103"/>
      <c r="BL227" s="103"/>
      <c r="BM227" s="103"/>
      <c r="BN227" s="103"/>
      <c r="BO227" s="63"/>
      <c r="BP227" s="63"/>
      <c r="BQ227" s="63"/>
      <c r="BR227" s="63"/>
      <c r="BS227" s="103"/>
      <c r="BT227" s="103"/>
      <c r="BU227" s="103"/>
      <c r="BV227" s="103"/>
      <c r="BW227" s="63"/>
      <c r="BX227" s="63"/>
      <c r="BY227" s="63"/>
      <c r="BZ227" s="63"/>
      <c r="CA227" s="103"/>
      <c r="CB227" s="103"/>
      <c r="CC227" s="103"/>
      <c r="CD227" s="103"/>
      <c r="CE227" s="63"/>
      <c r="CF227" s="63"/>
      <c r="CG227" s="63"/>
      <c r="CH227" s="63"/>
      <c r="CI227" s="103"/>
      <c r="CJ227" s="103"/>
      <c r="CK227" s="103"/>
      <c r="CL227" s="103"/>
    </row>
    <row r="228" spans="2:90" ht="13" x14ac:dyDescent="0.15">
      <c r="B228" s="13"/>
      <c r="C228" s="13"/>
      <c r="D228" s="13"/>
      <c r="E228" s="13"/>
      <c r="F228" s="13"/>
      <c r="G228" s="103"/>
      <c r="H228" s="103"/>
      <c r="I228" s="103"/>
      <c r="J228" s="103"/>
      <c r="K228" s="63"/>
      <c r="L228" s="63"/>
      <c r="M228" s="63"/>
      <c r="N228" s="63"/>
      <c r="O228" s="103"/>
      <c r="P228" s="103"/>
      <c r="Q228" s="103"/>
      <c r="R228" s="103"/>
      <c r="S228" s="63"/>
      <c r="T228" s="63"/>
      <c r="U228" s="63"/>
      <c r="V228" s="63"/>
      <c r="W228" s="103"/>
      <c r="X228" s="103"/>
      <c r="Y228" s="103"/>
      <c r="Z228" s="103"/>
      <c r="AA228" s="63"/>
      <c r="AB228" s="63"/>
      <c r="AC228" s="63"/>
      <c r="AD228" s="63"/>
      <c r="AE228" s="103"/>
      <c r="AF228" s="103"/>
      <c r="AG228" s="103"/>
      <c r="AH228" s="103"/>
      <c r="AI228" s="63"/>
      <c r="AJ228" s="63"/>
      <c r="AK228" s="63"/>
      <c r="AL228" s="63"/>
      <c r="AM228" s="103"/>
      <c r="AN228" s="103"/>
      <c r="AO228" s="103"/>
      <c r="AP228" s="103"/>
      <c r="AQ228" s="63"/>
      <c r="AR228" s="63"/>
      <c r="AS228" s="63"/>
      <c r="AT228" s="63"/>
      <c r="AU228" s="103"/>
      <c r="AV228" s="103"/>
      <c r="AW228" s="103"/>
      <c r="AX228" s="103"/>
      <c r="AY228" s="63"/>
      <c r="AZ228" s="63"/>
      <c r="BA228" s="63"/>
      <c r="BB228" s="63"/>
      <c r="BC228" s="103"/>
      <c r="BD228" s="103"/>
      <c r="BE228" s="103"/>
      <c r="BF228" s="103"/>
      <c r="BG228" s="63"/>
      <c r="BH228" s="63"/>
      <c r="BI228" s="63"/>
      <c r="BJ228" s="63"/>
      <c r="BK228" s="103"/>
      <c r="BL228" s="103"/>
      <c r="BM228" s="103"/>
      <c r="BN228" s="103"/>
      <c r="BO228" s="63"/>
      <c r="BP228" s="63"/>
      <c r="BQ228" s="63"/>
      <c r="BR228" s="63"/>
      <c r="BS228" s="103"/>
      <c r="BT228" s="103"/>
      <c r="BU228" s="103"/>
      <c r="BV228" s="103"/>
      <c r="BW228" s="63"/>
      <c r="BX228" s="63"/>
      <c r="BY228" s="63"/>
      <c r="BZ228" s="63"/>
      <c r="CA228" s="103"/>
      <c r="CB228" s="103"/>
      <c r="CC228" s="103"/>
      <c r="CD228" s="103"/>
      <c r="CE228" s="63"/>
      <c r="CF228" s="63"/>
      <c r="CG228" s="63"/>
      <c r="CH228" s="63"/>
      <c r="CI228" s="103"/>
      <c r="CJ228" s="103"/>
      <c r="CK228" s="103"/>
      <c r="CL228" s="103"/>
    </row>
    <row r="229" spans="2:90" ht="13" x14ac:dyDescent="0.15">
      <c r="B229" s="13"/>
      <c r="C229" s="13"/>
      <c r="D229" s="13"/>
      <c r="E229" s="13"/>
      <c r="F229" s="13"/>
      <c r="G229" s="103"/>
      <c r="H229" s="103"/>
      <c r="I229" s="103"/>
      <c r="J229" s="103"/>
      <c r="K229" s="63"/>
      <c r="L229" s="63"/>
      <c r="M229" s="63"/>
      <c r="N229" s="63"/>
      <c r="O229" s="103"/>
      <c r="P229" s="103"/>
      <c r="Q229" s="103"/>
      <c r="R229" s="103"/>
      <c r="S229" s="63"/>
      <c r="T229" s="63"/>
      <c r="U229" s="63"/>
      <c r="V229" s="63"/>
      <c r="W229" s="103"/>
      <c r="X229" s="103"/>
      <c r="Y229" s="103"/>
      <c r="Z229" s="103"/>
      <c r="AA229" s="63"/>
      <c r="AB229" s="63"/>
      <c r="AC229" s="63"/>
      <c r="AD229" s="63"/>
      <c r="AE229" s="103"/>
      <c r="AF229" s="103"/>
      <c r="AG229" s="103"/>
      <c r="AH229" s="103"/>
      <c r="AI229" s="63"/>
      <c r="AJ229" s="63"/>
      <c r="AK229" s="63"/>
      <c r="AL229" s="63"/>
      <c r="AM229" s="103"/>
      <c r="AN229" s="103"/>
      <c r="AO229" s="103"/>
      <c r="AP229" s="103"/>
      <c r="AQ229" s="63"/>
      <c r="AR229" s="63"/>
      <c r="AS229" s="63"/>
      <c r="AT229" s="63"/>
      <c r="AU229" s="103"/>
      <c r="AV229" s="103"/>
      <c r="AW229" s="103"/>
      <c r="AX229" s="103"/>
      <c r="AY229" s="63"/>
      <c r="AZ229" s="63"/>
      <c r="BA229" s="63"/>
      <c r="BB229" s="63"/>
      <c r="BC229" s="103"/>
      <c r="BD229" s="103"/>
      <c r="BE229" s="103"/>
      <c r="BF229" s="103"/>
      <c r="BG229" s="63"/>
      <c r="BH229" s="63"/>
      <c r="BI229" s="63"/>
      <c r="BJ229" s="63"/>
      <c r="BK229" s="103"/>
      <c r="BL229" s="103"/>
      <c r="BM229" s="103"/>
      <c r="BN229" s="103"/>
      <c r="BO229" s="63"/>
      <c r="BP229" s="63"/>
      <c r="BQ229" s="63"/>
      <c r="BR229" s="63"/>
      <c r="BS229" s="103"/>
      <c r="BT229" s="103"/>
      <c r="BU229" s="103"/>
      <c r="BV229" s="103"/>
      <c r="BW229" s="63"/>
      <c r="BX229" s="63"/>
      <c r="BY229" s="63"/>
      <c r="BZ229" s="63"/>
      <c r="CA229" s="103"/>
      <c r="CB229" s="103"/>
      <c r="CC229" s="103"/>
      <c r="CD229" s="103"/>
      <c r="CE229" s="63"/>
      <c r="CF229" s="63"/>
      <c r="CG229" s="63"/>
      <c r="CH229" s="63"/>
      <c r="CI229" s="103"/>
      <c r="CJ229" s="103"/>
      <c r="CK229" s="103"/>
      <c r="CL229" s="103"/>
    </row>
    <row r="230" spans="2:90" ht="13" x14ac:dyDescent="0.15">
      <c r="B230" s="13"/>
      <c r="C230" s="13"/>
      <c r="D230" s="13"/>
      <c r="E230" s="13"/>
      <c r="F230" s="13"/>
      <c r="G230" s="103"/>
      <c r="H230" s="103"/>
      <c r="I230" s="103"/>
      <c r="J230" s="103"/>
      <c r="K230" s="63"/>
      <c r="L230" s="63"/>
      <c r="M230" s="63"/>
      <c r="N230" s="63"/>
      <c r="O230" s="103"/>
      <c r="P230" s="103"/>
      <c r="Q230" s="103"/>
      <c r="R230" s="103"/>
      <c r="S230" s="63"/>
      <c r="T230" s="63"/>
      <c r="U230" s="63"/>
      <c r="V230" s="63"/>
      <c r="W230" s="103"/>
      <c r="X230" s="103"/>
      <c r="Y230" s="103"/>
      <c r="Z230" s="103"/>
      <c r="AA230" s="63"/>
      <c r="AB230" s="63"/>
      <c r="AC230" s="63"/>
      <c r="AD230" s="63"/>
      <c r="AE230" s="103"/>
      <c r="AF230" s="103"/>
      <c r="AG230" s="103"/>
      <c r="AH230" s="103"/>
      <c r="AI230" s="63"/>
      <c r="AJ230" s="63"/>
      <c r="AK230" s="63"/>
      <c r="AL230" s="63"/>
      <c r="AM230" s="103"/>
      <c r="AN230" s="103"/>
      <c r="AO230" s="103"/>
      <c r="AP230" s="103"/>
      <c r="AQ230" s="63"/>
      <c r="AR230" s="63"/>
      <c r="AS230" s="63"/>
      <c r="AT230" s="63"/>
      <c r="AU230" s="103"/>
      <c r="AV230" s="103"/>
      <c r="AW230" s="103"/>
      <c r="AX230" s="103"/>
      <c r="AY230" s="63"/>
      <c r="AZ230" s="63"/>
      <c r="BA230" s="63"/>
      <c r="BB230" s="63"/>
      <c r="BC230" s="103"/>
      <c r="BD230" s="103"/>
      <c r="BE230" s="103"/>
      <c r="BF230" s="103"/>
      <c r="BG230" s="63"/>
      <c r="BH230" s="63"/>
      <c r="BI230" s="63"/>
      <c r="BJ230" s="63"/>
      <c r="BK230" s="103"/>
      <c r="BL230" s="103"/>
      <c r="BM230" s="103"/>
      <c r="BN230" s="103"/>
      <c r="BO230" s="63"/>
      <c r="BP230" s="63"/>
      <c r="BQ230" s="63"/>
      <c r="BR230" s="63"/>
      <c r="BS230" s="103"/>
      <c r="BT230" s="103"/>
      <c r="BU230" s="103"/>
      <c r="BV230" s="103"/>
      <c r="BW230" s="63"/>
      <c r="BX230" s="63"/>
      <c r="BY230" s="63"/>
      <c r="BZ230" s="63"/>
      <c r="CA230" s="103"/>
      <c r="CB230" s="103"/>
      <c r="CC230" s="103"/>
      <c r="CD230" s="103"/>
      <c r="CE230" s="63"/>
      <c r="CF230" s="63"/>
      <c r="CG230" s="63"/>
      <c r="CH230" s="63"/>
      <c r="CI230" s="103"/>
      <c r="CJ230" s="103"/>
      <c r="CK230" s="103"/>
      <c r="CL230" s="103"/>
    </row>
    <row r="231" spans="2:90" ht="13" x14ac:dyDescent="0.15">
      <c r="B231" s="13"/>
      <c r="C231" s="13"/>
      <c r="D231" s="13"/>
      <c r="E231" s="13"/>
      <c r="F231" s="13"/>
      <c r="G231" s="103"/>
      <c r="H231" s="103"/>
      <c r="I231" s="103"/>
      <c r="J231" s="103"/>
      <c r="K231" s="63"/>
      <c r="L231" s="63"/>
      <c r="M231" s="63"/>
      <c r="N231" s="63"/>
      <c r="O231" s="103"/>
      <c r="P231" s="103"/>
      <c r="Q231" s="103"/>
      <c r="R231" s="103"/>
      <c r="S231" s="63"/>
      <c r="T231" s="63"/>
      <c r="U231" s="63"/>
      <c r="V231" s="63"/>
      <c r="W231" s="103"/>
      <c r="X231" s="103"/>
      <c r="Y231" s="103"/>
      <c r="Z231" s="103"/>
      <c r="AA231" s="63"/>
      <c r="AB231" s="63"/>
      <c r="AC231" s="63"/>
      <c r="AD231" s="63"/>
      <c r="AE231" s="103"/>
      <c r="AF231" s="103"/>
      <c r="AG231" s="103"/>
      <c r="AH231" s="103"/>
      <c r="AI231" s="63"/>
      <c r="AJ231" s="63"/>
      <c r="AK231" s="63"/>
      <c r="AL231" s="63"/>
      <c r="AM231" s="103"/>
      <c r="AN231" s="103"/>
      <c r="AO231" s="103"/>
      <c r="AP231" s="103"/>
      <c r="AQ231" s="63"/>
      <c r="AR231" s="63"/>
      <c r="AS231" s="63"/>
      <c r="AT231" s="63"/>
      <c r="AU231" s="103"/>
      <c r="AV231" s="103"/>
      <c r="AW231" s="103"/>
      <c r="AX231" s="103"/>
      <c r="AY231" s="63"/>
      <c r="AZ231" s="63"/>
      <c r="BA231" s="63"/>
      <c r="BB231" s="63"/>
      <c r="BC231" s="103"/>
      <c r="BD231" s="103"/>
      <c r="BE231" s="103"/>
      <c r="BF231" s="103"/>
      <c r="BG231" s="63"/>
      <c r="BH231" s="63"/>
      <c r="BI231" s="63"/>
      <c r="BJ231" s="63"/>
      <c r="BK231" s="103"/>
      <c r="BL231" s="103"/>
      <c r="BM231" s="103"/>
      <c r="BN231" s="103"/>
      <c r="BO231" s="63"/>
      <c r="BP231" s="63"/>
      <c r="BQ231" s="63"/>
      <c r="BR231" s="63"/>
      <c r="BS231" s="103"/>
      <c r="BT231" s="103"/>
      <c r="BU231" s="103"/>
      <c r="BV231" s="103"/>
      <c r="BW231" s="63"/>
      <c r="BX231" s="63"/>
      <c r="BY231" s="63"/>
      <c r="BZ231" s="63"/>
      <c r="CA231" s="103"/>
      <c r="CB231" s="103"/>
      <c r="CC231" s="103"/>
      <c r="CD231" s="103"/>
      <c r="CE231" s="63"/>
      <c r="CF231" s="63"/>
      <c r="CG231" s="63"/>
      <c r="CH231" s="63"/>
      <c r="CI231" s="103"/>
      <c r="CJ231" s="103"/>
      <c r="CK231" s="103"/>
      <c r="CL231" s="103"/>
    </row>
    <row r="232" spans="2:90" ht="13" x14ac:dyDescent="0.15">
      <c r="B232" s="13"/>
      <c r="C232" s="13"/>
      <c r="D232" s="13"/>
      <c r="E232" s="13"/>
      <c r="F232" s="13"/>
      <c r="G232" s="103"/>
      <c r="H232" s="103"/>
      <c r="I232" s="103"/>
      <c r="J232" s="103"/>
      <c r="K232" s="63"/>
      <c r="L232" s="63"/>
      <c r="M232" s="63"/>
      <c r="N232" s="63"/>
      <c r="O232" s="103"/>
      <c r="P232" s="103"/>
      <c r="Q232" s="103"/>
      <c r="R232" s="103"/>
      <c r="S232" s="63"/>
      <c r="T232" s="63"/>
      <c r="U232" s="63"/>
      <c r="V232" s="63"/>
      <c r="W232" s="103"/>
      <c r="X232" s="103"/>
      <c r="Y232" s="103"/>
      <c r="Z232" s="103"/>
      <c r="AA232" s="63"/>
      <c r="AB232" s="63"/>
      <c r="AC232" s="63"/>
      <c r="AD232" s="63"/>
      <c r="AE232" s="103"/>
      <c r="AF232" s="103"/>
      <c r="AG232" s="103"/>
      <c r="AH232" s="103"/>
      <c r="AI232" s="63"/>
      <c r="AJ232" s="63"/>
      <c r="AK232" s="63"/>
      <c r="AL232" s="63"/>
      <c r="AM232" s="103"/>
      <c r="AN232" s="103"/>
      <c r="AO232" s="103"/>
      <c r="AP232" s="103"/>
      <c r="AQ232" s="63"/>
      <c r="AR232" s="63"/>
      <c r="AS232" s="63"/>
      <c r="AT232" s="63"/>
      <c r="AU232" s="103"/>
      <c r="AV232" s="103"/>
      <c r="AW232" s="103"/>
      <c r="AX232" s="103"/>
      <c r="AY232" s="63"/>
      <c r="AZ232" s="63"/>
      <c r="BA232" s="63"/>
      <c r="BB232" s="63"/>
      <c r="BC232" s="103"/>
      <c r="BD232" s="103"/>
      <c r="BE232" s="103"/>
      <c r="BF232" s="103"/>
      <c r="BG232" s="63"/>
      <c r="BH232" s="63"/>
      <c r="BI232" s="63"/>
      <c r="BJ232" s="63"/>
      <c r="BK232" s="103"/>
      <c r="BL232" s="103"/>
      <c r="BM232" s="103"/>
      <c r="BN232" s="103"/>
      <c r="BO232" s="63"/>
      <c r="BP232" s="63"/>
      <c r="BQ232" s="63"/>
      <c r="BR232" s="63"/>
      <c r="BS232" s="103"/>
      <c r="BT232" s="103"/>
      <c r="BU232" s="103"/>
      <c r="BV232" s="103"/>
      <c r="BW232" s="63"/>
      <c r="BX232" s="63"/>
      <c r="BY232" s="63"/>
      <c r="BZ232" s="63"/>
      <c r="CA232" s="103"/>
      <c r="CB232" s="103"/>
      <c r="CC232" s="103"/>
      <c r="CD232" s="103"/>
      <c r="CE232" s="63"/>
      <c r="CF232" s="63"/>
      <c r="CG232" s="63"/>
      <c r="CH232" s="63"/>
      <c r="CI232" s="103"/>
      <c r="CJ232" s="103"/>
      <c r="CK232" s="103"/>
      <c r="CL232" s="103"/>
    </row>
    <row r="233" spans="2:90" ht="13" x14ac:dyDescent="0.15">
      <c r="B233" s="13"/>
      <c r="C233" s="13"/>
      <c r="D233" s="13"/>
      <c r="E233" s="13"/>
      <c r="F233" s="13"/>
      <c r="G233" s="103"/>
      <c r="H233" s="103"/>
      <c r="I233" s="103"/>
      <c r="J233" s="103"/>
      <c r="K233" s="63"/>
      <c r="L233" s="63"/>
      <c r="M233" s="63"/>
      <c r="N233" s="63"/>
      <c r="O233" s="103"/>
      <c r="P233" s="103"/>
      <c r="Q233" s="103"/>
      <c r="R233" s="103"/>
      <c r="S233" s="63"/>
      <c r="T233" s="63"/>
      <c r="U233" s="63"/>
      <c r="V233" s="63"/>
      <c r="W233" s="103"/>
      <c r="X233" s="103"/>
      <c r="Y233" s="103"/>
      <c r="Z233" s="103"/>
      <c r="AA233" s="63"/>
      <c r="AB233" s="63"/>
      <c r="AC233" s="63"/>
      <c r="AD233" s="63"/>
      <c r="AE233" s="103"/>
      <c r="AF233" s="103"/>
      <c r="AG233" s="103"/>
      <c r="AH233" s="103"/>
      <c r="AI233" s="63"/>
      <c r="AJ233" s="63"/>
      <c r="AK233" s="63"/>
      <c r="AL233" s="63"/>
      <c r="AM233" s="103"/>
      <c r="AN233" s="103"/>
      <c r="AO233" s="103"/>
      <c r="AP233" s="103"/>
      <c r="AQ233" s="63"/>
      <c r="AR233" s="63"/>
      <c r="AS233" s="63"/>
      <c r="AT233" s="63"/>
      <c r="AU233" s="103"/>
      <c r="AV233" s="103"/>
      <c r="AW233" s="103"/>
      <c r="AX233" s="103"/>
      <c r="AY233" s="63"/>
      <c r="AZ233" s="63"/>
      <c r="BA233" s="63"/>
      <c r="BB233" s="63"/>
      <c r="BC233" s="103"/>
      <c r="BD233" s="103"/>
      <c r="BE233" s="103"/>
      <c r="BF233" s="103"/>
      <c r="BG233" s="63"/>
      <c r="BH233" s="63"/>
      <c r="BI233" s="63"/>
      <c r="BJ233" s="63"/>
      <c r="BK233" s="103"/>
      <c r="BL233" s="103"/>
      <c r="BM233" s="103"/>
      <c r="BN233" s="103"/>
      <c r="BO233" s="63"/>
      <c r="BP233" s="63"/>
      <c r="BQ233" s="63"/>
      <c r="BR233" s="63"/>
      <c r="BS233" s="103"/>
      <c r="BT233" s="103"/>
      <c r="BU233" s="103"/>
      <c r="BV233" s="103"/>
      <c r="BW233" s="63"/>
      <c r="BX233" s="63"/>
      <c r="BY233" s="63"/>
      <c r="BZ233" s="63"/>
      <c r="CA233" s="103"/>
      <c r="CB233" s="103"/>
      <c r="CC233" s="103"/>
      <c r="CD233" s="103"/>
      <c r="CE233" s="63"/>
      <c r="CF233" s="63"/>
      <c r="CG233" s="63"/>
      <c r="CH233" s="63"/>
      <c r="CI233" s="103"/>
      <c r="CJ233" s="103"/>
      <c r="CK233" s="103"/>
      <c r="CL233" s="103"/>
    </row>
    <row r="234" spans="2:90" ht="13" x14ac:dyDescent="0.15">
      <c r="B234" s="13"/>
      <c r="C234" s="13"/>
      <c r="D234" s="13"/>
      <c r="E234" s="13"/>
      <c r="F234" s="13"/>
      <c r="G234" s="103"/>
      <c r="H234" s="103"/>
      <c r="I234" s="103"/>
      <c r="J234" s="103"/>
      <c r="K234" s="63"/>
      <c r="L234" s="63"/>
      <c r="M234" s="63"/>
      <c r="N234" s="63"/>
      <c r="O234" s="103"/>
      <c r="P234" s="103"/>
      <c r="Q234" s="103"/>
      <c r="R234" s="103"/>
      <c r="S234" s="63"/>
      <c r="T234" s="63"/>
      <c r="U234" s="63"/>
      <c r="V234" s="63"/>
      <c r="W234" s="103"/>
      <c r="X234" s="103"/>
      <c r="Y234" s="103"/>
      <c r="Z234" s="103"/>
      <c r="AA234" s="63"/>
      <c r="AB234" s="63"/>
      <c r="AC234" s="63"/>
      <c r="AD234" s="63"/>
      <c r="AE234" s="103"/>
      <c r="AF234" s="103"/>
      <c r="AG234" s="103"/>
      <c r="AH234" s="103"/>
      <c r="AI234" s="63"/>
      <c r="AJ234" s="63"/>
      <c r="AK234" s="63"/>
      <c r="AL234" s="63"/>
      <c r="AM234" s="103"/>
      <c r="AN234" s="103"/>
      <c r="AO234" s="103"/>
      <c r="AP234" s="103"/>
      <c r="AQ234" s="63"/>
      <c r="AR234" s="63"/>
      <c r="AS234" s="63"/>
      <c r="AT234" s="63"/>
      <c r="AU234" s="103"/>
      <c r="AV234" s="103"/>
      <c r="AW234" s="103"/>
      <c r="AX234" s="103"/>
      <c r="AY234" s="63"/>
      <c r="AZ234" s="63"/>
      <c r="BA234" s="63"/>
      <c r="BB234" s="63"/>
      <c r="BC234" s="103"/>
      <c r="BD234" s="103"/>
      <c r="BE234" s="103"/>
      <c r="BF234" s="103"/>
      <c r="BG234" s="63"/>
      <c r="BH234" s="63"/>
      <c r="BI234" s="63"/>
      <c r="BJ234" s="63"/>
      <c r="BK234" s="103"/>
      <c r="BL234" s="103"/>
      <c r="BM234" s="103"/>
      <c r="BN234" s="103"/>
      <c r="BO234" s="63"/>
      <c r="BP234" s="63"/>
      <c r="BQ234" s="63"/>
      <c r="BR234" s="63"/>
      <c r="BS234" s="103"/>
      <c r="BT234" s="103"/>
      <c r="BU234" s="103"/>
      <c r="BV234" s="103"/>
      <c r="BW234" s="63"/>
      <c r="BX234" s="63"/>
      <c r="BY234" s="63"/>
      <c r="BZ234" s="63"/>
      <c r="CA234" s="103"/>
      <c r="CB234" s="103"/>
      <c r="CC234" s="103"/>
      <c r="CD234" s="103"/>
      <c r="CE234" s="63"/>
      <c r="CF234" s="63"/>
      <c r="CG234" s="63"/>
      <c r="CH234" s="63"/>
      <c r="CI234" s="103"/>
      <c r="CJ234" s="103"/>
      <c r="CK234" s="103"/>
      <c r="CL234" s="103"/>
    </row>
    <row r="235" spans="2:90" ht="13" x14ac:dyDescent="0.15">
      <c r="B235" s="13"/>
      <c r="C235" s="13"/>
      <c r="D235" s="13"/>
      <c r="E235" s="13"/>
      <c r="F235" s="13"/>
      <c r="G235" s="103"/>
      <c r="H235" s="103"/>
      <c r="I235" s="103"/>
      <c r="J235" s="103"/>
      <c r="K235" s="63"/>
      <c r="L235" s="63"/>
      <c r="M235" s="63"/>
      <c r="N235" s="63"/>
      <c r="O235" s="103"/>
      <c r="P235" s="103"/>
      <c r="Q235" s="103"/>
      <c r="R235" s="103"/>
      <c r="S235" s="63"/>
      <c r="T235" s="63"/>
      <c r="U235" s="63"/>
      <c r="V235" s="63"/>
      <c r="W235" s="103"/>
      <c r="X235" s="103"/>
      <c r="Y235" s="103"/>
      <c r="Z235" s="103"/>
      <c r="AA235" s="63"/>
      <c r="AB235" s="63"/>
      <c r="AC235" s="63"/>
      <c r="AD235" s="63"/>
      <c r="AE235" s="103"/>
      <c r="AF235" s="103"/>
      <c r="AG235" s="103"/>
      <c r="AH235" s="103"/>
      <c r="AI235" s="63"/>
      <c r="AJ235" s="63"/>
      <c r="AK235" s="63"/>
      <c r="AL235" s="63"/>
      <c r="AM235" s="103"/>
      <c r="AN235" s="103"/>
      <c r="AO235" s="103"/>
      <c r="AP235" s="103"/>
      <c r="AQ235" s="63"/>
      <c r="AR235" s="63"/>
      <c r="AS235" s="63"/>
      <c r="AT235" s="63"/>
      <c r="AU235" s="103"/>
      <c r="AV235" s="103"/>
      <c r="AW235" s="103"/>
      <c r="AX235" s="103"/>
      <c r="AY235" s="63"/>
      <c r="AZ235" s="63"/>
      <c r="BA235" s="63"/>
      <c r="BB235" s="63"/>
      <c r="BC235" s="103"/>
      <c r="BD235" s="103"/>
      <c r="BE235" s="103"/>
      <c r="BF235" s="103"/>
      <c r="BG235" s="63"/>
      <c r="BH235" s="63"/>
      <c r="BI235" s="63"/>
      <c r="BJ235" s="63"/>
      <c r="BK235" s="103"/>
      <c r="BL235" s="103"/>
      <c r="BM235" s="103"/>
      <c r="BN235" s="103"/>
      <c r="BO235" s="63"/>
      <c r="BP235" s="63"/>
      <c r="BQ235" s="63"/>
      <c r="BR235" s="63"/>
      <c r="BS235" s="103"/>
      <c r="BT235" s="103"/>
      <c r="BU235" s="103"/>
      <c r="BV235" s="103"/>
      <c r="BW235" s="63"/>
      <c r="BX235" s="63"/>
      <c r="BY235" s="63"/>
      <c r="BZ235" s="63"/>
      <c r="CA235" s="103"/>
      <c r="CB235" s="103"/>
      <c r="CC235" s="103"/>
      <c r="CD235" s="103"/>
      <c r="CE235" s="63"/>
      <c r="CF235" s="63"/>
      <c r="CG235" s="63"/>
      <c r="CH235" s="63"/>
      <c r="CI235" s="103"/>
      <c r="CJ235" s="103"/>
      <c r="CK235" s="103"/>
      <c r="CL235" s="103"/>
    </row>
    <row r="236" spans="2:90" ht="13" x14ac:dyDescent="0.15">
      <c r="B236" s="13"/>
      <c r="C236" s="13"/>
      <c r="D236" s="13"/>
      <c r="E236" s="13"/>
      <c r="F236" s="13"/>
      <c r="G236" s="103"/>
      <c r="H236" s="103"/>
      <c r="I236" s="103"/>
      <c r="J236" s="103"/>
      <c r="K236" s="63"/>
      <c r="L236" s="63"/>
      <c r="M236" s="63"/>
      <c r="N236" s="63"/>
      <c r="O236" s="103"/>
      <c r="P236" s="103"/>
      <c r="Q236" s="103"/>
      <c r="R236" s="103"/>
      <c r="S236" s="63"/>
      <c r="T236" s="63"/>
      <c r="U236" s="63"/>
      <c r="V236" s="63"/>
      <c r="W236" s="103"/>
      <c r="X236" s="103"/>
      <c r="Y236" s="103"/>
      <c r="Z236" s="103"/>
      <c r="AA236" s="63"/>
      <c r="AB236" s="63"/>
      <c r="AC236" s="63"/>
      <c r="AD236" s="63"/>
      <c r="AE236" s="103"/>
      <c r="AF236" s="103"/>
      <c r="AG236" s="103"/>
      <c r="AH236" s="103"/>
      <c r="AI236" s="63"/>
      <c r="AJ236" s="63"/>
      <c r="AK236" s="63"/>
      <c r="AL236" s="63"/>
      <c r="AM236" s="103"/>
      <c r="AN236" s="103"/>
      <c r="AO236" s="103"/>
      <c r="AP236" s="103"/>
      <c r="AQ236" s="63"/>
      <c r="AR236" s="63"/>
      <c r="AS236" s="63"/>
      <c r="AT236" s="63"/>
      <c r="AU236" s="103"/>
      <c r="AV236" s="103"/>
      <c r="AW236" s="103"/>
      <c r="AX236" s="103"/>
      <c r="AY236" s="63"/>
      <c r="AZ236" s="63"/>
      <c r="BA236" s="63"/>
      <c r="BB236" s="63"/>
      <c r="BC236" s="103"/>
      <c r="BD236" s="103"/>
      <c r="BE236" s="103"/>
      <c r="BF236" s="103"/>
      <c r="BG236" s="63"/>
      <c r="BH236" s="63"/>
      <c r="BI236" s="63"/>
      <c r="BJ236" s="63"/>
      <c r="BK236" s="103"/>
      <c r="BL236" s="103"/>
      <c r="BM236" s="103"/>
      <c r="BN236" s="103"/>
      <c r="BO236" s="63"/>
      <c r="BP236" s="63"/>
      <c r="BQ236" s="63"/>
      <c r="BR236" s="63"/>
      <c r="BS236" s="103"/>
      <c r="BT236" s="103"/>
      <c r="BU236" s="103"/>
      <c r="BV236" s="103"/>
      <c r="BW236" s="63"/>
      <c r="BX236" s="63"/>
      <c r="BY236" s="63"/>
      <c r="BZ236" s="63"/>
      <c r="CA236" s="103"/>
      <c r="CB236" s="103"/>
      <c r="CC236" s="103"/>
      <c r="CD236" s="103"/>
      <c r="CE236" s="63"/>
      <c r="CF236" s="63"/>
      <c r="CG236" s="63"/>
      <c r="CH236" s="63"/>
      <c r="CI236" s="103"/>
      <c r="CJ236" s="103"/>
      <c r="CK236" s="103"/>
      <c r="CL236" s="103"/>
    </row>
    <row r="237" spans="2:90" ht="13" x14ac:dyDescent="0.15">
      <c r="B237" s="13"/>
      <c r="C237" s="13"/>
      <c r="D237" s="13"/>
      <c r="E237" s="13"/>
      <c r="F237" s="13"/>
      <c r="G237" s="103"/>
      <c r="H237" s="103"/>
      <c r="I237" s="103"/>
      <c r="J237" s="103"/>
      <c r="K237" s="63"/>
      <c r="L237" s="63"/>
      <c r="M237" s="63"/>
      <c r="N237" s="63"/>
      <c r="O237" s="103"/>
      <c r="P237" s="103"/>
      <c r="Q237" s="103"/>
      <c r="R237" s="103"/>
      <c r="S237" s="63"/>
      <c r="T237" s="63"/>
      <c r="U237" s="63"/>
      <c r="V237" s="63"/>
      <c r="W237" s="103"/>
      <c r="X237" s="103"/>
      <c r="Y237" s="103"/>
      <c r="Z237" s="103"/>
      <c r="AA237" s="63"/>
      <c r="AB237" s="63"/>
      <c r="AC237" s="63"/>
      <c r="AD237" s="63"/>
      <c r="AE237" s="103"/>
      <c r="AF237" s="103"/>
      <c r="AG237" s="103"/>
      <c r="AH237" s="103"/>
      <c r="AI237" s="63"/>
      <c r="AJ237" s="63"/>
      <c r="AK237" s="63"/>
      <c r="AL237" s="63"/>
      <c r="AM237" s="103"/>
      <c r="AN237" s="103"/>
      <c r="AO237" s="103"/>
      <c r="AP237" s="103"/>
      <c r="AQ237" s="63"/>
      <c r="AR237" s="63"/>
      <c r="AS237" s="63"/>
      <c r="AT237" s="63"/>
      <c r="AU237" s="103"/>
      <c r="AV237" s="103"/>
      <c r="AW237" s="103"/>
      <c r="AX237" s="103"/>
      <c r="AY237" s="63"/>
      <c r="AZ237" s="63"/>
      <c r="BA237" s="63"/>
      <c r="BB237" s="63"/>
      <c r="BC237" s="103"/>
      <c r="BD237" s="103"/>
      <c r="BE237" s="103"/>
      <c r="BF237" s="103"/>
      <c r="BG237" s="63"/>
      <c r="BH237" s="63"/>
      <c r="BI237" s="63"/>
      <c r="BJ237" s="63"/>
      <c r="BK237" s="103"/>
      <c r="BL237" s="103"/>
      <c r="BM237" s="103"/>
      <c r="BN237" s="103"/>
      <c r="BO237" s="63"/>
      <c r="BP237" s="63"/>
      <c r="BQ237" s="63"/>
      <c r="BR237" s="63"/>
      <c r="BS237" s="103"/>
      <c r="BT237" s="103"/>
      <c r="BU237" s="103"/>
      <c r="BV237" s="103"/>
      <c r="BW237" s="63"/>
      <c r="BX237" s="63"/>
      <c r="BY237" s="63"/>
      <c r="BZ237" s="63"/>
      <c r="CA237" s="103"/>
      <c r="CB237" s="103"/>
      <c r="CC237" s="103"/>
      <c r="CD237" s="103"/>
      <c r="CE237" s="63"/>
      <c r="CF237" s="63"/>
      <c r="CG237" s="63"/>
      <c r="CH237" s="63"/>
      <c r="CI237" s="103"/>
      <c r="CJ237" s="103"/>
      <c r="CK237" s="103"/>
      <c r="CL237" s="103"/>
    </row>
    <row r="238" spans="2:90" ht="13" x14ac:dyDescent="0.15">
      <c r="B238" s="13"/>
      <c r="C238" s="13"/>
      <c r="D238" s="13"/>
      <c r="E238" s="13"/>
      <c r="F238" s="13"/>
      <c r="G238" s="103"/>
      <c r="H238" s="103"/>
      <c r="I238" s="103"/>
      <c r="J238" s="103"/>
      <c r="K238" s="63"/>
      <c r="L238" s="63"/>
      <c r="M238" s="63"/>
      <c r="N238" s="63"/>
      <c r="O238" s="103"/>
      <c r="P238" s="103"/>
      <c r="Q238" s="103"/>
      <c r="R238" s="103"/>
      <c r="S238" s="63"/>
      <c r="T238" s="63"/>
      <c r="U238" s="63"/>
      <c r="V238" s="63"/>
      <c r="W238" s="103"/>
      <c r="X238" s="103"/>
      <c r="Y238" s="103"/>
      <c r="Z238" s="103"/>
      <c r="AA238" s="63"/>
      <c r="AB238" s="63"/>
      <c r="AC238" s="63"/>
      <c r="AD238" s="63"/>
      <c r="AE238" s="103"/>
      <c r="AF238" s="103"/>
      <c r="AG238" s="103"/>
      <c r="AH238" s="103"/>
      <c r="AI238" s="63"/>
      <c r="AJ238" s="63"/>
      <c r="AK238" s="63"/>
      <c r="AL238" s="63"/>
      <c r="AM238" s="103"/>
      <c r="AN238" s="103"/>
      <c r="AO238" s="103"/>
      <c r="AP238" s="103"/>
      <c r="AQ238" s="63"/>
      <c r="AR238" s="63"/>
      <c r="AS238" s="63"/>
      <c r="AT238" s="63"/>
      <c r="AU238" s="103"/>
      <c r="AV238" s="103"/>
      <c r="AW238" s="103"/>
      <c r="AX238" s="103"/>
      <c r="AY238" s="63"/>
      <c r="AZ238" s="63"/>
      <c r="BA238" s="63"/>
      <c r="BB238" s="63"/>
      <c r="BC238" s="103"/>
      <c r="BD238" s="103"/>
      <c r="BE238" s="103"/>
      <c r="BF238" s="103"/>
      <c r="BG238" s="63"/>
      <c r="BH238" s="63"/>
      <c r="BI238" s="63"/>
      <c r="BJ238" s="63"/>
      <c r="BK238" s="103"/>
      <c r="BL238" s="103"/>
      <c r="BM238" s="103"/>
      <c r="BN238" s="103"/>
      <c r="BO238" s="63"/>
      <c r="BP238" s="63"/>
      <c r="BQ238" s="63"/>
      <c r="BR238" s="63"/>
      <c r="BS238" s="103"/>
      <c r="BT238" s="103"/>
      <c r="BU238" s="103"/>
      <c r="BV238" s="103"/>
      <c r="BW238" s="63"/>
      <c r="BX238" s="63"/>
      <c r="BY238" s="63"/>
      <c r="BZ238" s="63"/>
      <c r="CA238" s="103"/>
      <c r="CB238" s="103"/>
      <c r="CC238" s="103"/>
      <c r="CD238" s="103"/>
      <c r="CE238" s="63"/>
      <c r="CF238" s="63"/>
      <c r="CG238" s="63"/>
      <c r="CH238" s="63"/>
      <c r="CI238" s="103"/>
      <c r="CJ238" s="103"/>
      <c r="CK238" s="103"/>
      <c r="CL238" s="103"/>
    </row>
    <row r="239" spans="2:90" ht="13" x14ac:dyDescent="0.15">
      <c r="B239" s="13"/>
      <c r="C239" s="13"/>
      <c r="D239" s="13"/>
      <c r="E239" s="13"/>
      <c r="F239" s="13"/>
      <c r="G239" s="103"/>
      <c r="H239" s="103"/>
      <c r="I239" s="103"/>
      <c r="J239" s="103"/>
      <c r="K239" s="63"/>
      <c r="L239" s="63"/>
      <c r="M239" s="63"/>
      <c r="N239" s="63"/>
      <c r="O239" s="103"/>
      <c r="P239" s="103"/>
      <c r="Q239" s="103"/>
      <c r="R239" s="103"/>
      <c r="S239" s="63"/>
      <c r="T239" s="63"/>
      <c r="U239" s="63"/>
      <c r="V239" s="63"/>
      <c r="W239" s="103"/>
      <c r="X239" s="103"/>
      <c r="Y239" s="103"/>
      <c r="Z239" s="103"/>
      <c r="AA239" s="63"/>
      <c r="AB239" s="63"/>
      <c r="AC239" s="63"/>
      <c r="AD239" s="63"/>
      <c r="AE239" s="103"/>
      <c r="AF239" s="103"/>
      <c r="AG239" s="103"/>
      <c r="AH239" s="103"/>
      <c r="AI239" s="63"/>
      <c r="AJ239" s="63"/>
      <c r="AK239" s="63"/>
      <c r="AL239" s="63"/>
      <c r="AM239" s="103"/>
      <c r="AN239" s="103"/>
      <c r="AO239" s="103"/>
      <c r="AP239" s="103"/>
      <c r="AQ239" s="63"/>
      <c r="AR239" s="63"/>
      <c r="AS239" s="63"/>
      <c r="AT239" s="63"/>
      <c r="AU239" s="103"/>
      <c r="AV239" s="103"/>
      <c r="AW239" s="103"/>
      <c r="AX239" s="103"/>
      <c r="AY239" s="63"/>
      <c r="AZ239" s="63"/>
      <c r="BA239" s="63"/>
      <c r="BB239" s="63"/>
      <c r="BC239" s="103"/>
      <c r="BD239" s="103"/>
      <c r="BE239" s="103"/>
      <c r="BF239" s="103"/>
      <c r="BG239" s="63"/>
      <c r="BH239" s="63"/>
      <c r="BI239" s="63"/>
      <c r="BJ239" s="63"/>
      <c r="BK239" s="103"/>
      <c r="BL239" s="103"/>
      <c r="BM239" s="103"/>
      <c r="BN239" s="103"/>
      <c r="BO239" s="63"/>
      <c r="BP239" s="63"/>
      <c r="BQ239" s="63"/>
      <c r="BR239" s="63"/>
      <c r="BS239" s="103"/>
      <c r="BT239" s="103"/>
      <c r="BU239" s="103"/>
      <c r="BV239" s="103"/>
      <c r="BW239" s="63"/>
      <c r="BX239" s="63"/>
      <c r="BY239" s="63"/>
      <c r="BZ239" s="63"/>
      <c r="CA239" s="103"/>
      <c r="CB239" s="103"/>
      <c r="CC239" s="103"/>
      <c r="CD239" s="103"/>
      <c r="CE239" s="63"/>
      <c r="CF239" s="63"/>
      <c r="CG239" s="63"/>
      <c r="CH239" s="63"/>
      <c r="CI239" s="103"/>
      <c r="CJ239" s="103"/>
      <c r="CK239" s="103"/>
      <c r="CL239" s="103"/>
    </row>
    <row r="240" spans="2:90" ht="13" x14ac:dyDescent="0.15">
      <c r="B240" s="13"/>
      <c r="C240" s="13"/>
      <c r="D240" s="13"/>
      <c r="E240" s="13"/>
      <c r="F240" s="13"/>
      <c r="G240" s="103"/>
      <c r="H240" s="103"/>
      <c r="I240" s="103"/>
      <c r="J240" s="103"/>
      <c r="K240" s="63"/>
      <c r="L240" s="63"/>
      <c r="M240" s="63"/>
      <c r="N240" s="63"/>
      <c r="O240" s="103"/>
      <c r="P240" s="103"/>
      <c r="Q240" s="103"/>
      <c r="R240" s="103"/>
      <c r="S240" s="63"/>
      <c r="T240" s="63"/>
      <c r="U240" s="63"/>
      <c r="V240" s="63"/>
      <c r="W240" s="103"/>
      <c r="X240" s="103"/>
      <c r="Y240" s="103"/>
      <c r="Z240" s="103"/>
      <c r="AA240" s="63"/>
      <c r="AB240" s="63"/>
      <c r="AC240" s="63"/>
      <c r="AD240" s="63"/>
      <c r="AE240" s="103"/>
      <c r="AF240" s="103"/>
      <c r="AG240" s="103"/>
      <c r="AH240" s="103"/>
      <c r="AI240" s="63"/>
      <c r="AJ240" s="63"/>
      <c r="AK240" s="63"/>
      <c r="AL240" s="63"/>
      <c r="AM240" s="103"/>
      <c r="AN240" s="103"/>
      <c r="AO240" s="103"/>
      <c r="AP240" s="103"/>
      <c r="AQ240" s="63"/>
      <c r="AR240" s="63"/>
      <c r="AS240" s="63"/>
      <c r="AT240" s="63"/>
      <c r="AU240" s="103"/>
      <c r="AV240" s="103"/>
      <c r="AW240" s="103"/>
      <c r="AX240" s="103"/>
      <c r="AY240" s="63"/>
      <c r="AZ240" s="63"/>
      <c r="BA240" s="63"/>
      <c r="BB240" s="63"/>
      <c r="BC240" s="103"/>
      <c r="BD240" s="103"/>
      <c r="BE240" s="103"/>
      <c r="BF240" s="103"/>
      <c r="BG240" s="63"/>
      <c r="BH240" s="63"/>
      <c r="BI240" s="63"/>
      <c r="BJ240" s="63"/>
      <c r="BK240" s="103"/>
      <c r="BL240" s="103"/>
      <c r="BM240" s="103"/>
      <c r="BN240" s="103"/>
      <c r="BO240" s="63"/>
      <c r="BP240" s="63"/>
      <c r="BQ240" s="63"/>
      <c r="BR240" s="63"/>
      <c r="BS240" s="103"/>
      <c r="BT240" s="103"/>
      <c r="BU240" s="103"/>
      <c r="BV240" s="103"/>
      <c r="BW240" s="63"/>
      <c r="BX240" s="63"/>
      <c r="BY240" s="63"/>
      <c r="BZ240" s="63"/>
      <c r="CA240" s="103"/>
      <c r="CB240" s="103"/>
      <c r="CC240" s="103"/>
      <c r="CD240" s="103"/>
      <c r="CE240" s="63"/>
      <c r="CF240" s="63"/>
      <c r="CG240" s="63"/>
      <c r="CH240" s="63"/>
      <c r="CI240" s="103"/>
      <c r="CJ240" s="103"/>
      <c r="CK240" s="103"/>
      <c r="CL240" s="103"/>
    </row>
    <row r="241" spans="2:90" ht="13" x14ac:dyDescent="0.15">
      <c r="B241" s="13"/>
      <c r="C241" s="13"/>
      <c r="D241" s="13"/>
      <c r="E241" s="13"/>
      <c r="F241" s="13"/>
      <c r="G241" s="103"/>
      <c r="H241" s="103"/>
      <c r="I241" s="103"/>
      <c r="J241" s="103"/>
      <c r="K241" s="63"/>
      <c r="L241" s="63"/>
      <c r="M241" s="63"/>
      <c r="N241" s="63"/>
      <c r="O241" s="103"/>
      <c r="P241" s="103"/>
      <c r="Q241" s="103"/>
      <c r="R241" s="103"/>
      <c r="S241" s="63"/>
      <c r="T241" s="63"/>
      <c r="U241" s="63"/>
      <c r="V241" s="63"/>
      <c r="W241" s="103"/>
      <c r="X241" s="103"/>
      <c r="Y241" s="103"/>
      <c r="Z241" s="103"/>
      <c r="AA241" s="63"/>
      <c r="AB241" s="63"/>
      <c r="AC241" s="63"/>
      <c r="AD241" s="63"/>
      <c r="AE241" s="103"/>
      <c r="AF241" s="103"/>
      <c r="AG241" s="103"/>
      <c r="AH241" s="103"/>
      <c r="AI241" s="63"/>
      <c r="AJ241" s="63"/>
      <c r="AK241" s="63"/>
      <c r="AL241" s="63"/>
      <c r="AM241" s="103"/>
      <c r="AN241" s="103"/>
      <c r="AO241" s="103"/>
      <c r="AP241" s="103"/>
      <c r="AQ241" s="63"/>
      <c r="AR241" s="63"/>
      <c r="AS241" s="63"/>
      <c r="AT241" s="63"/>
      <c r="AU241" s="103"/>
      <c r="AV241" s="103"/>
      <c r="AW241" s="103"/>
      <c r="AX241" s="103"/>
      <c r="AY241" s="63"/>
      <c r="AZ241" s="63"/>
      <c r="BA241" s="63"/>
      <c r="BB241" s="63"/>
      <c r="BC241" s="103"/>
      <c r="BD241" s="103"/>
      <c r="BE241" s="103"/>
      <c r="BF241" s="103"/>
      <c r="BG241" s="63"/>
      <c r="BH241" s="63"/>
      <c r="BI241" s="63"/>
      <c r="BJ241" s="63"/>
      <c r="BK241" s="103"/>
      <c r="BL241" s="103"/>
      <c r="BM241" s="103"/>
      <c r="BN241" s="103"/>
      <c r="BO241" s="63"/>
      <c r="BP241" s="63"/>
      <c r="BQ241" s="63"/>
      <c r="BR241" s="63"/>
      <c r="BS241" s="103"/>
      <c r="BT241" s="103"/>
      <c r="BU241" s="103"/>
      <c r="BV241" s="103"/>
      <c r="BW241" s="63"/>
      <c r="BX241" s="63"/>
      <c r="BY241" s="63"/>
      <c r="BZ241" s="63"/>
      <c r="CA241" s="103"/>
      <c r="CB241" s="103"/>
      <c r="CC241" s="103"/>
      <c r="CD241" s="103"/>
      <c r="CE241" s="63"/>
      <c r="CF241" s="63"/>
      <c r="CG241" s="63"/>
      <c r="CH241" s="63"/>
      <c r="CI241" s="103"/>
      <c r="CJ241" s="103"/>
      <c r="CK241" s="103"/>
      <c r="CL241" s="103"/>
    </row>
    <row r="242" spans="2:90" ht="13" x14ac:dyDescent="0.15">
      <c r="B242" s="13"/>
      <c r="C242" s="13"/>
      <c r="D242" s="13"/>
      <c r="E242" s="13"/>
      <c r="F242" s="13"/>
      <c r="G242" s="103"/>
      <c r="H242" s="103"/>
      <c r="I242" s="103"/>
      <c r="J242" s="103"/>
      <c r="K242" s="63"/>
      <c r="L242" s="63"/>
      <c r="M242" s="63"/>
      <c r="N242" s="63"/>
      <c r="O242" s="103"/>
      <c r="P242" s="103"/>
      <c r="Q242" s="103"/>
      <c r="R242" s="103"/>
      <c r="S242" s="63"/>
      <c r="T242" s="63"/>
      <c r="U242" s="63"/>
      <c r="V242" s="63"/>
      <c r="W242" s="103"/>
      <c r="X242" s="103"/>
      <c r="Y242" s="103"/>
      <c r="Z242" s="103"/>
      <c r="AA242" s="63"/>
      <c r="AB242" s="63"/>
      <c r="AC242" s="63"/>
      <c r="AD242" s="63"/>
      <c r="AE242" s="103"/>
      <c r="AF242" s="103"/>
      <c r="AG242" s="103"/>
      <c r="AH242" s="103"/>
      <c r="AI242" s="63"/>
      <c r="AJ242" s="63"/>
      <c r="AK242" s="63"/>
      <c r="AL242" s="63"/>
      <c r="AM242" s="103"/>
      <c r="AN242" s="103"/>
      <c r="AO242" s="103"/>
      <c r="AP242" s="103"/>
      <c r="AQ242" s="63"/>
      <c r="AR242" s="63"/>
      <c r="AS242" s="63"/>
      <c r="AT242" s="63"/>
      <c r="AU242" s="103"/>
      <c r="AV242" s="103"/>
      <c r="AW242" s="103"/>
      <c r="AX242" s="103"/>
      <c r="AY242" s="63"/>
      <c r="AZ242" s="63"/>
      <c r="BA242" s="63"/>
      <c r="BB242" s="63"/>
      <c r="BC242" s="103"/>
      <c r="BD242" s="103"/>
      <c r="BE242" s="103"/>
      <c r="BF242" s="103"/>
      <c r="BG242" s="63"/>
      <c r="BH242" s="63"/>
      <c r="BI242" s="63"/>
      <c r="BJ242" s="63"/>
      <c r="BK242" s="103"/>
      <c r="BL242" s="103"/>
      <c r="BM242" s="103"/>
      <c r="BN242" s="103"/>
      <c r="BO242" s="63"/>
      <c r="BP242" s="63"/>
      <c r="BQ242" s="63"/>
      <c r="BR242" s="63"/>
      <c r="BS242" s="103"/>
      <c r="BT242" s="103"/>
      <c r="BU242" s="103"/>
      <c r="BV242" s="103"/>
      <c r="BW242" s="63"/>
      <c r="BX242" s="63"/>
      <c r="BY242" s="63"/>
      <c r="BZ242" s="63"/>
      <c r="CA242" s="103"/>
      <c r="CB242" s="103"/>
      <c r="CC242" s="103"/>
      <c r="CD242" s="103"/>
      <c r="CE242" s="63"/>
      <c r="CF242" s="63"/>
      <c r="CG242" s="63"/>
      <c r="CH242" s="63"/>
      <c r="CI242" s="103"/>
      <c r="CJ242" s="103"/>
      <c r="CK242" s="103"/>
      <c r="CL242" s="103"/>
    </row>
    <row r="243" spans="2:90" ht="13" x14ac:dyDescent="0.15">
      <c r="B243" s="13"/>
      <c r="C243" s="13"/>
      <c r="D243" s="13"/>
      <c r="E243" s="13"/>
      <c r="F243" s="13"/>
      <c r="G243" s="103"/>
      <c r="H243" s="103"/>
      <c r="I243" s="103"/>
      <c r="J243" s="103"/>
      <c r="K243" s="63"/>
      <c r="L243" s="63"/>
      <c r="M243" s="63"/>
      <c r="N243" s="63"/>
      <c r="O243" s="103"/>
      <c r="P243" s="103"/>
      <c r="Q243" s="103"/>
      <c r="R243" s="103"/>
      <c r="S243" s="63"/>
      <c r="T243" s="63"/>
      <c r="U243" s="63"/>
      <c r="V243" s="63"/>
      <c r="W243" s="103"/>
      <c r="X243" s="103"/>
      <c r="Y243" s="103"/>
      <c r="Z243" s="103"/>
      <c r="AA243" s="63"/>
      <c r="AB243" s="63"/>
      <c r="AC243" s="63"/>
      <c r="AD243" s="63"/>
      <c r="AE243" s="103"/>
      <c r="AF243" s="103"/>
      <c r="AG243" s="103"/>
      <c r="AH243" s="103"/>
      <c r="AI243" s="63"/>
      <c r="AJ243" s="63"/>
      <c r="AK243" s="63"/>
      <c r="AL243" s="63"/>
      <c r="AM243" s="103"/>
      <c r="AN243" s="103"/>
      <c r="AO243" s="103"/>
      <c r="AP243" s="103"/>
      <c r="AQ243" s="63"/>
      <c r="AR243" s="63"/>
      <c r="AS243" s="63"/>
      <c r="AT243" s="63"/>
      <c r="AU243" s="103"/>
      <c r="AV243" s="103"/>
      <c r="AW243" s="103"/>
      <c r="AX243" s="103"/>
      <c r="AY243" s="63"/>
      <c r="AZ243" s="63"/>
      <c r="BA243" s="63"/>
      <c r="BB243" s="63"/>
      <c r="BC243" s="103"/>
      <c r="BD243" s="103"/>
      <c r="BE243" s="103"/>
      <c r="BF243" s="103"/>
      <c r="BG243" s="63"/>
      <c r="BH243" s="63"/>
      <c r="BI243" s="63"/>
      <c r="BJ243" s="63"/>
      <c r="BK243" s="103"/>
      <c r="BL243" s="103"/>
      <c r="BM243" s="103"/>
      <c r="BN243" s="103"/>
      <c r="BO243" s="63"/>
      <c r="BP243" s="63"/>
      <c r="BQ243" s="63"/>
      <c r="BR243" s="63"/>
      <c r="BS243" s="103"/>
      <c r="BT243" s="103"/>
      <c r="BU243" s="103"/>
      <c r="BV243" s="103"/>
      <c r="BW243" s="63"/>
      <c r="BX243" s="63"/>
      <c r="BY243" s="63"/>
      <c r="BZ243" s="63"/>
      <c r="CA243" s="103"/>
      <c r="CB243" s="103"/>
      <c r="CC243" s="103"/>
      <c r="CD243" s="103"/>
      <c r="CE243" s="63"/>
      <c r="CF243" s="63"/>
      <c r="CG243" s="63"/>
      <c r="CH243" s="63"/>
      <c r="CI243" s="103"/>
      <c r="CJ243" s="103"/>
      <c r="CK243" s="103"/>
      <c r="CL243" s="103"/>
    </row>
    <row r="244" spans="2:90" ht="13" x14ac:dyDescent="0.15">
      <c r="B244" s="13"/>
      <c r="C244" s="13"/>
      <c r="D244" s="13"/>
      <c r="E244" s="13"/>
      <c r="F244" s="13"/>
      <c r="G244" s="103"/>
      <c r="H244" s="103"/>
      <c r="I244" s="103"/>
      <c r="J244" s="103"/>
      <c r="K244" s="63"/>
      <c r="L244" s="63"/>
      <c r="M244" s="63"/>
      <c r="N244" s="63"/>
      <c r="O244" s="103"/>
      <c r="P244" s="103"/>
      <c r="Q244" s="103"/>
      <c r="R244" s="103"/>
      <c r="S244" s="63"/>
      <c r="T244" s="63"/>
      <c r="U244" s="63"/>
      <c r="V244" s="63"/>
      <c r="W244" s="103"/>
      <c r="X244" s="103"/>
      <c r="Y244" s="103"/>
      <c r="Z244" s="103"/>
      <c r="AA244" s="63"/>
      <c r="AB244" s="63"/>
      <c r="AC244" s="63"/>
      <c r="AD244" s="63"/>
      <c r="AE244" s="103"/>
      <c r="AF244" s="103"/>
      <c r="AG244" s="103"/>
      <c r="AH244" s="103"/>
      <c r="AI244" s="63"/>
      <c r="AJ244" s="63"/>
      <c r="AK244" s="63"/>
      <c r="AL244" s="63"/>
      <c r="AM244" s="103"/>
      <c r="AN244" s="103"/>
      <c r="AO244" s="103"/>
      <c r="AP244" s="103"/>
      <c r="AQ244" s="63"/>
      <c r="AR244" s="63"/>
      <c r="AS244" s="63"/>
      <c r="AT244" s="63"/>
      <c r="AU244" s="103"/>
      <c r="AV244" s="103"/>
      <c r="AW244" s="103"/>
      <c r="AX244" s="103"/>
      <c r="AY244" s="63"/>
      <c r="AZ244" s="63"/>
      <c r="BA244" s="63"/>
      <c r="BB244" s="63"/>
      <c r="BC244" s="103"/>
      <c r="BD244" s="103"/>
      <c r="BE244" s="103"/>
      <c r="BF244" s="103"/>
      <c r="BG244" s="63"/>
      <c r="BH244" s="63"/>
      <c r="BI244" s="63"/>
      <c r="BJ244" s="63"/>
      <c r="BK244" s="103"/>
      <c r="BL244" s="103"/>
      <c r="BM244" s="103"/>
      <c r="BN244" s="103"/>
      <c r="BO244" s="63"/>
      <c r="BP244" s="63"/>
      <c r="BQ244" s="63"/>
      <c r="BR244" s="63"/>
      <c r="BS244" s="103"/>
      <c r="BT244" s="103"/>
      <c r="BU244" s="103"/>
      <c r="BV244" s="103"/>
      <c r="BW244" s="63"/>
      <c r="BX244" s="63"/>
      <c r="BY244" s="63"/>
      <c r="BZ244" s="63"/>
      <c r="CA244" s="103"/>
      <c r="CB244" s="103"/>
      <c r="CC244" s="103"/>
      <c r="CD244" s="103"/>
      <c r="CE244" s="63"/>
      <c r="CF244" s="63"/>
      <c r="CG244" s="63"/>
      <c r="CH244" s="63"/>
      <c r="CI244" s="103"/>
      <c r="CJ244" s="103"/>
      <c r="CK244" s="103"/>
      <c r="CL244" s="103"/>
    </row>
    <row r="245" spans="2:90" ht="13" x14ac:dyDescent="0.15">
      <c r="B245" s="13"/>
      <c r="C245" s="13"/>
      <c r="D245" s="13"/>
      <c r="E245" s="13"/>
      <c r="F245" s="13"/>
      <c r="G245" s="103"/>
      <c r="H245" s="103"/>
      <c r="I245" s="103"/>
      <c r="J245" s="103"/>
      <c r="K245" s="63"/>
      <c r="L245" s="63"/>
      <c r="M245" s="63"/>
      <c r="N245" s="63"/>
      <c r="O245" s="103"/>
      <c r="P245" s="103"/>
      <c r="Q245" s="103"/>
      <c r="R245" s="103"/>
      <c r="S245" s="63"/>
      <c r="T245" s="63"/>
      <c r="U245" s="63"/>
      <c r="V245" s="63"/>
      <c r="W245" s="103"/>
      <c r="X245" s="103"/>
      <c r="Y245" s="103"/>
      <c r="Z245" s="103"/>
      <c r="AA245" s="63"/>
      <c r="AB245" s="63"/>
      <c r="AC245" s="63"/>
      <c r="AD245" s="63"/>
      <c r="AE245" s="103"/>
      <c r="AF245" s="103"/>
      <c r="AG245" s="103"/>
      <c r="AH245" s="103"/>
      <c r="AI245" s="63"/>
      <c r="AJ245" s="63"/>
      <c r="AK245" s="63"/>
      <c r="AL245" s="63"/>
      <c r="AM245" s="103"/>
      <c r="AN245" s="103"/>
      <c r="AO245" s="103"/>
      <c r="AP245" s="103"/>
      <c r="AQ245" s="63"/>
      <c r="AR245" s="63"/>
      <c r="AS245" s="63"/>
      <c r="AT245" s="63"/>
      <c r="AU245" s="103"/>
      <c r="AV245" s="103"/>
      <c r="AW245" s="103"/>
      <c r="AX245" s="103"/>
      <c r="AY245" s="63"/>
      <c r="AZ245" s="63"/>
      <c r="BA245" s="63"/>
      <c r="BB245" s="63"/>
      <c r="BC245" s="103"/>
      <c r="BD245" s="103"/>
      <c r="BE245" s="103"/>
      <c r="BF245" s="103"/>
      <c r="BG245" s="63"/>
      <c r="BH245" s="63"/>
      <c r="BI245" s="63"/>
      <c r="BJ245" s="63"/>
      <c r="BK245" s="103"/>
      <c r="BL245" s="103"/>
      <c r="BM245" s="103"/>
      <c r="BN245" s="103"/>
      <c r="BO245" s="63"/>
      <c r="BP245" s="63"/>
      <c r="BQ245" s="63"/>
      <c r="BR245" s="63"/>
      <c r="BS245" s="103"/>
      <c r="BT245" s="103"/>
      <c r="BU245" s="103"/>
      <c r="BV245" s="103"/>
      <c r="BW245" s="63"/>
      <c r="BX245" s="63"/>
      <c r="BY245" s="63"/>
      <c r="BZ245" s="63"/>
      <c r="CA245" s="103"/>
      <c r="CB245" s="103"/>
      <c r="CC245" s="103"/>
      <c r="CD245" s="103"/>
      <c r="CE245" s="63"/>
      <c r="CF245" s="63"/>
      <c r="CG245" s="63"/>
      <c r="CH245" s="63"/>
      <c r="CI245" s="103"/>
      <c r="CJ245" s="103"/>
      <c r="CK245" s="103"/>
      <c r="CL245" s="103"/>
    </row>
    <row r="246" spans="2:90" ht="13" x14ac:dyDescent="0.15">
      <c r="B246" s="13"/>
      <c r="C246" s="13"/>
      <c r="D246" s="13"/>
      <c r="E246" s="13"/>
      <c r="F246" s="13"/>
      <c r="G246" s="103"/>
      <c r="H246" s="103"/>
      <c r="I246" s="103"/>
      <c r="J246" s="103"/>
      <c r="K246" s="63"/>
      <c r="L246" s="63"/>
      <c r="M246" s="63"/>
      <c r="N246" s="63"/>
      <c r="O246" s="103"/>
      <c r="P246" s="103"/>
      <c r="Q246" s="103"/>
      <c r="R246" s="103"/>
      <c r="S246" s="63"/>
      <c r="T246" s="63"/>
      <c r="U246" s="63"/>
      <c r="V246" s="63"/>
      <c r="W246" s="103"/>
      <c r="X246" s="103"/>
      <c r="Y246" s="103"/>
      <c r="Z246" s="103"/>
      <c r="AA246" s="63"/>
      <c r="AB246" s="63"/>
      <c r="AC246" s="63"/>
      <c r="AD246" s="63"/>
      <c r="AE246" s="103"/>
      <c r="AF246" s="103"/>
      <c r="AG246" s="103"/>
      <c r="AH246" s="103"/>
      <c r="AI246" s="63"/>
      <c r="AJ246" s="63"/>
      <c r="AK246" s="63"/>
      <c r="AL246" s="63"/>
      <c r="AM246" s="103"/>
      <c r="AN246" s="103"/>
      <c r="AO246" s="103"/>
      <c r="AP246" s="103"/>
      <c r="AQ246" s="63"/>
      <c r="AR246" s="63"/>
      <c r="AS246" s="63"/>
      <c r="AT246" s="63"/>
      <c r="AU246" s="103"/>
      <c r="AV246" s="103"/>
      <c r="AW246" s="103"/>
      <c r="AX246" s="103"/>
      <c r="AY246" s="63"/>
      <c r="AZ246" s="63"/>
      <c r="BA246" s="63"/>
      <c r="BB246" s="63"/>
      <c r="BC246" s="103"/>
      <c r="BD246" s="103"/>
      <c r="BE246" s="103"/>
      <c r="BF246" s="103"/>
      <c r="BG246" s="63"/>
      <c r="BH246" s="63"/>
      <c r="BI246" s="63"/>
      <c r="BJ246" s="63"/>
      <c r="BK246" s="103"/>
      <c r="BL246" s="103"/>
      <c r="BM246" s="103"/>
      <c r="BN246" s="103"/>
      <c r="BO246" s="63"/>
      <c r="BP246" s="63"/>
      <c r="BQ246" s="63"/>
      <c r="BR246" s="63"/>
      <c r="BS246" s="103"/>
      <c r="BT246" s="103"/>
      <c r="BU246" s="103"/>
      <c r="BV246" s="103"/>
      <c r="BW246" s="63"/>
      <c r="BX246" s="63"/>
      <c r="BY246" s="63"/>
      <c r="BZ246" s="63"/>
      <c r="CA246" s="103"/>
      <c r="CB246" s="103"/>
      <c r="CC246" s="103"/>
      <c r="CD246" s="103"/>
      <c r="CE246" s="63"/>
      <c r="CF246" s="63"/>
      <c r="CG246" s="63"/>
      <c r="CH246" s="63"/>
      <c r="CI246" s="103"/>
      <c r="CJ246" s="103"/>
      <c r="CK246" s="103"/>
      <c r="CL246" s="103"/>
    </row>
    <row r="247" spans="2:90" ht="13" x14ac:dyDescent="0.15">
      <c r="B247" s="13"/>
      <c r="C247" s="13"/>
      <c r="D247" s="13"/>
      <c r="E247" s="13"/>
      <c r="F247" s="13"/>
      <c r="G247" s="103"/>
      <c r="H247" s="103"/>
      <c r="I247" s="103"/>
      <c r="J247" s="103"/>
      <c r="K247" s="63"/>
      <c r="L247" s="63"/>
      <c r="M247" s="63"/>
      <c r="N247" s="63"/>
      <c r="O247" s="103"/>
      <c r="P247" s="103"/>
      <c r="Q247" s="103"/>
      <c r="R247" s="103"/>
      <c r="S247" s="63"/>
      <c r="T247" s="63"/>
      <c r="U247" s="63"/>
      <c r="V247" s="63"/>
      <c r="W247" s="103"/>
      <c r="X247" s="103"/>
      <c r="Y247" s="103"/>
      <c r="Z247" s="103"/>
      <c r="AA247" s="63"/>
      <c r="AB247" s="63"/>
      <c r="AC247" s="63"/>
      <c r="AD247" s="63"/>
      <c r="AE247" s="103"/>
      <c r="AF247" s="103"/>
      <c r="AG247" s="103"/>
      <c r="AH247" s="103"/>
      <c r="AI247" s="63"/>
      <c r="AJ247" s="63"/>
      <c r="AK247" s="63"/>
      <c r="AL247" s="63"/>
      <c r="AM247" s="103"/>
      <c r="AN247" s="103"/>
      <c r="AO247" s="103"/>
      <c r="AP247" s="103"/>
      <c r="AQ247" s="63"/>
      <c r="AR247" s="63"/>
      <c r="AS247" s="63"/>
      <c r="AT247" s="63"/>
      <c r="AU247" s="103"/>
      <c r="AV247" s="103"/>
      <c r="AW247" s="103"/>
      <c r="AX247" s="103"/>
      <c r="AY247" s="63"/>
      <c r="AZ247" s="63"/>
      <c r="BA247" s="63"/>
      <c r="BB247" s="63"/>
      <c r="BC247" s="103"/>
      <c r="BD247" s="103"/>
      <c r="BE247" s="103"/>
      <c r="BF247" s="103"/>
      <c r="BG247" s="63"/>
      <c r="BH247" s="63"/>
      <c r="BI247" s="63"/>
      <c r="BJ247" s="63"/>
      <c r="BK247" s="103"/>
      <c r="BL247" s="103"/>
      <c r="BM247" s="103"/>
      <c r="BN247" s="103"/>
      <c r="BO247" s="63"/>
      <c r="BP247" s="63"/>
      <c r="BQ247" s="63"/>
      <c r="BR247" s="63"/>
      <c r="BS247" s="103"/>
      <c r="BT247" s="103"/>
      <c r="BU247" s="103"/>
      <c r="BV247" s="103"/>
      <c r="BW247" s="63"/>
      <c r="BX247" s="63"/>
      <c r="BY247" s="63"/>
      <c r="BZ247" s="63"/>
      <c r="CA247" s="103"/>
      <c r="CB247" s="103"/>
      <c r="CC247" s="103"/>
      <c r="CD247" s="103"/>
      <c r="CE247" s="63"/>
      <c r="CF247" s="63"/>
      <c r="CG247" s="63"/>
      <c r="CH247" s="63"/>
      <c r="CI247" s="103"/>
      <c r="CJ247" s="103"/>
      <c r="CK247" s="103"/>
      <c r="CL247" s="103"/>
    </row>
    <row r="248" spans="2:90" ht="13" x14ac:dyDescent="0.15">
      <c r="B248" s="13"/>
      <c r="C248" s="13"/>
      <c r="D248" s="13"/>
      <c r="E248" s="13"/>
      <c r="F248" s="13"/>
      <c r="G248" s="103"/>
      <c r="H248" s="103"/>
      <c r="I248" s="103"/>
      <c r="J248" s="103"/>
      <c r="K248" s="63"/>
      <c r="L248" s="63"/>
      <c r="M248" s="63"/>
      <c r="N248" s="63"/>
      <c r="O248" s="103"/>
      <c r="P248" s="103"/>
      <c r="Q248" s="103"/>
      <c r="R248" s="103"/>
      <c r="S248" s="63"/>
      <c r="T248" s="63"/>
      <c r="U248" s="63"/>
      <c r="V248" s="63"/>
      <c r="W248" s="103"/>
      <c r="X248" s="103"/>
      <c r="Y248" s="103"/>
      <c r="Z248" s="103"/>
      <c r="AA248" s="63"/>
      <c r="AB248" s="63"/>
      <c r="AC248" s="63"/>
      <c r="AD248" s="63"/>
      <c r="AE248" s="103"/>
      <c r="AF248" s="103"/>
      <c r="AG248" s="103"/>
      <c r="AH248" s="103"/>
      <c r="AI248" s="63"/>
      <c r="AJ248" s="63"/>
      <c r="AK248" s="63"/>
      <c r="AL248" s="63"/>
      <c r="AM248" s="103"/>
      <c r="AN248" s="103"/>
      <c r="AO248" s="103"/>
      <c r="AP248" s="103"/>
      <c r="AQ248" s="63"/>
      <c r="AR248" s="63"/>
      <c r="AS248" s="63"/>
      <c r="AT248" s="63"/>
      <c r="AU248" s="103"/>
      <c r="AV248" s="103"/>
      <c r="AW248" s="103"/>
      <c r="AX248" s="103"/>
      <c r="AY248" s="63"/>
      <c r="AZ248" s="63"/>
      <c r="BA248" s="63"/>
      <c r="BB248" s="63"/>
      <c r="BC248" s="103"/>
      <c r="BD248" s="103"/>
      <c r="BE248" s="103"/>
      <c r="BF248" s="103"/>
      <c r="BG248" s="63"/>
      <c r="BH248" s="63"/>
      <c r="BI248" s="63"/>
      <c r="BJ248" s="63"/>
      <c r="BK248" s="103"/>
      <c r="BL248" s="103"/>
      <c r="BM248" s="103"/>
      <c r="BN248" s="103"/>
      <c r="BO248" s="63"/>
      <c r="BP248" s="63"/>
      <c r="BQ248" s="63"/>
      <c r="BR248" s="63"/>
      <c r="BS248" s="103"/>
      <c r="BT248" s="103"/>
      <c r="BU248" s="103"/>
      <c r="BV248" s="103"/>
      <c r="BW248" s="63"/>
      <c r="BX248" s="63"/>
      <c r="BY248" s="63"/>
      <c r="BZ248" s="63"/>
      <c r="CA248" s="103"/>
      <c r="CB248" s="103"/>
      <c r="CC248" s="103"/>
      <c r="CD248" s="103"/>
      <c r="CE248" s="63"/>
      <c r="CF248" s="63"/>
      <c r="CG248" s="63"/>
      <c r="CH248" s="63"/>
      <c r="CI248" s="103"/>
      <c r="CJ248" s="103"/>
      <c r="CK248" s="103"/>
      <c r="CL248" s="103"/>
    </row>
    <row r="249" spans="2:90" ht="13" x14ac:dyDescent="0.15">
      <c r="B249" s="13"/>
      <c r="C249" s="13"/>
      <c r="D249" s="13"/>
      <c r="E249" s="13"/>
      <c r="F249" s="13"/>
      <c r="G249" s="103"/>
      <c r="H249" s="103"/>
      <c r="I249" s="103"/>
      <c r="J249" s="103"/>
      <c r="K249" s="63"/>
      <c r="L249" s="63"/>
      <c r="M249" s="63"/>
      <c r="N249" s="63"/>
      <c r="O249" s="103"/>
      <c r="P249" s="103"/>
      <c r="Q249" s="103"/>
      <c r="R249" s="103"/>
      <c r="S249" s="63"/>
      <c r="T249" s="63"/>
      <c r="U249" s="63"/>
      <c r="V249" s="63"/>
      <c r="W249" s="103"/>
      <c r="X249" s="103"/>
      <c r="Y249" s="103"/>
      <c r="Z249" s="103"/>
      <c r="AA249" s="63"/>
      <c r="AB249" s="63"/>
      <c r="AC249" s="63"/>
      <c r="AD249" s="63"/>
      <c r="AE249" s="103"/>
      <c r="AF249" s="103"/>
      <c r="AG249" s="103"/>
      <c r="AH249" s="103"/>
      <c r="AI249" s="63"/>
      <c r="AJ249" s="63"/>
      <c r="AK249" s="63"/>
      <c r="AL249" s="63"/>
      <c r="AM249" s="103"/>
      <c r="AN249" s="103"/>
      <c r="AO249" s="103"/>
      <c r="AP249" s="103"/>
      <c r="AQ249" s="63"/>
      <c r="AR249" s="63"/>
      <c r="AS249" s="63"/>
      <c r="AT249" s="63"/>
      <c r="AU249" s="103"/>
      <c r="AV249" s="103"/>
      <c r="AW249" s="103"/>
      <c r="AX249" s="103"/>
      <c r="AY249" s="63"/>
      <c r="AZ249" s="63"/>
      <c r="BA249" s="63"/>
      <c r="BB249" s="63"/>
      <c r="BC249" s="103"/>
      <c r="BD249" s="103"/>
      <c r="BE249" s="103"/>
      <c r="BF249" s="103"/>
      <c r="BG249" s="63"/>
      <c r="BH249" s="63"/>
      <c r="BI249" s="63"/>
      <c r="BJ249" s="63"/>
      <c r="BK249" s="103"/>
      <c r="BL249" s="103"/>
      <c r="BM249" s="103"/>
      <c r="BN249" s="103"/>
      <c r="BO249" s="63"/>
      <c r="BP249" s="63"/>
      <c r="BQ249" s="63"/>
      <c r="BR249" s="63"/>
      <c r="BS249" s="103"/>
      <c r="BT249" s="103"/>
      <c r="BU249" s="103"/>
      <c r="BV249" s="103"/>
      <c r="BW249" s="63"/>
      <c r="BX249" s="63"/>
      <c r="BY249" s="63"/>
      <c r="BZ249" s="63"/>
      <c r="CA249" s="103"/>
      <c r="CB249" s="103"/>
      <c r="CC249" s="103"/>
      <c r="CD249" s="103"/>
      <c r="CE249" s="63"/>
      <c r="CF249" s="63"/>
      <c r="CG249" s="63"/>
      <c r="CH249" s="63"/>
      <c r="CI249" s="103"/>
      <c r="CJ249" s="103"/>
      <c r="CK249" s="103"/>
      <c r="CL249" s="103"/>
    </row>
    <row r="250" spans="2:90" ht="13" x14ac:dyDescent="0.15">
      <c r="B250" s="13"/>
      <c r="C250" s="13"/>
      <c r="D250" s="13"/>
      <c r="E250" s="13"/>
      <c r="F250" s="13"/>
      <c r="G250" s="103"/>
      <c r="H250" s="103"/>
      <c r="I250" s="103"/>
      <c r="J250" s="103"/>
      <c r="K250" s="63"/>
      <c r="L250" s="63"/>
      <c r="M250" s="63"/>
      <c r="N250" s="63"/>
      <c r="O250" s="103"/>
      <c r="P250" s="103"/>
      <c r="Q250" s="103"/>
      <c r="R250" s="103"/>
      <c r="S250" s="63"/>
      <c r="T250" s="63"/>
      <c r="U250" s="63"/>
      <c r="V250" s="63"/>
      <c r="W250" s="103"/>
      <c r="X250" s="103"/>
      <c r="Y250" s="103"/>
      <c r="Z250" s="103"/>
      <c r="AA250" s="63"/>
      <c r="AB250" s="63"/>
      <c r="AC250" s="63"/>
      <c r="AD250" s="63"/>
      <c r="AE250" s="103"/>
      <c r="AF250" s="103"/>
      <c r="AG250" s="103"/>
      <c r="AH250" s="103"/>
      <c r="AI250" s="63"/>
      <c r="AJ250" s="63"/>
      <c r="AK250" s="63"/>
      <c r="AL250" s="63"/>
      <c r="AM250" s="103"/>
      <c r="AN250" s="103"/>
      <c r="AO250" s="103"/>
      <c r="AP250" s="103"/>
      <c r="AQ250" s="63"/>
      <c r="AR250" s="63"/>
      <c r="AS250" s="63"/>
      <c r="AT250" s="63"/>
      <c r="AU250" s="103"/>
      <c r="AV250" s="103"/>
      <c r="AW250" s="103"/>
      <c r="AX250" s="103"/>
      <c r="AY250" s="63"/>
      <c r="AZ250" s="63"/>
      <c r="BA250" s="63"/>
      <c r="BB250" s="63"/>
      <c r="BC250" s="103"/>
      <c r="BD250" s="103"/>
      <c r="BE250" s="103"/>
      <c r="BF250" s="103"/>
      <c r="BG250" s="63"/>
      <c r="BH250" s="63"/>
      <c r="BI250" s="63"/>
      <c r="BJ250" s="63"/>
      <c r="BK250" s="103"/>
      <c r="BL250" s="103"/>
      <c r="BM250" s="103"/>
      <c r="BN250" s="103"/>
      <c r="BO250" s="63"/>
      <c r="BP250" s="63"/>
      <c r="BQ250" s="63"/>
      <c r="BR250" s="63"/>
      <c r="BS250" s="103"/>
      <c r="BT250" s="103"/>
      <c r="BU250" s="103"/>
      <c r="BV250" s="103"/>
      <c r="BW250" s="63"/>
      <c r="BX250" s="63"/>
      <c r="BY250" s="63"/>
      <c r="BZ250" s="63"/>
      <c r="CA250" s="103"/>
      <c r="CB250" s="103"/>
      <c r="CC250" s="103"/>
      <c r="CD250" s="103"/>
      <c r="CE250" s="63"/>
      <c r="CF250" s="63"/>
      <c r="CG250" s="63"/>
      <c r="CH250" s="63"/>
      <c r="CI250" s="103"/>
      <c r="CJ250" s="103"/>
      <c r="CK250" s="103"/>
      <c r="CL250" s="103"/>
    </row>
    <row r="251" spans="2:90" ht="13" x14ac:dyDescent="0.15">
      <c r="B251" s="13"/>
      <c r="C251" s="13"/>
      <c r="D251" s="13"/>
      <c r="E251" s="13"/>
      <c r="F251" s="13"/>
      <c r="G251" s="103"/>
      <c r="H251" s="103"/>
      <c r="I251" s="103"/>
      <c r="J251" s="103"/>
      <c r="K251" s="63"/>
      <c r="L251" s="63"/>
      <c r="M251" s="63"/>
      <c r="N251" s="63"/>
      <c r="O251" s="103"/>
      <c r="P251" s="103"/>
      <c r="Q251" s="103"/>
      <c r="R251" s="103"/>
      <c r="S251" s="63"/>
      <c r="T251" s="63"/>
      <c r="U251" s="63"/>
      <c r="V251" s="63"/>
      <c r="W251" s="103"/>
      <c r="X251" s="103"/>
      <c r="Y251" s="103"/>
      <c r="Z251" s="103"/>
      <c r="AA251" s="63"/>
      <c r="AB251" s="63"/>
      <c r="AC251" s="63"/>
      <c r="AD251" s="63"/>
      <c r="AE251" s="103"/>
      <c r="AF251" s="103"/>
      <c r="AG251" s="103"/>
      <c r="AH251" s="103"/>
      <c r="AI251" s="63"/>
      <c r="AJ251" s="63"/>
      <c r="AK251" s="63"/>
      <c r="AL251" s="63"/>
      <c r="AM251" s="103"/>
      <c r="AN251" s="103"/>
      <c r="AO251" s="103"/>
      <c r="AP251" s="103"/>
      <c r="AQ251" s="63"/>
      <c r="AR251" s="63"/>
      <c r="AS251" s="63"/>
      <c r="AT251" s="63"/>
      <c r="AU251" s="103"/>
      <c r="AV251" s="103"/>
      <c r="AW251" s="103"/>
      <c r="AX251" s="103"/>
      <c r="AY251" s="63"/>
      <c r="AZ251" s="63"/>
      <c r="BA251" s="63"/>
      <c r="BB251" s="63"/>
      <c r="BC251" s="103"/>
      <c r="BD251" s="103"/>
      <c r="BE251" s="103"/>
      <c r="BF251" s="103"/>
      <c r="BG251" s="63"/>
      <c r="BH251" s="63"/>
      <c r="BI251" s="63"/>
      <c r="BJ251" s="63"/>
      <c r="BK251" s="103"/>
      <c r="BL251" s="103"/>
      <c r="BM251" s="103"/>
      <c r="BN251" s="103"/>
      <c r="BO251" s="63"/>
      <c r="BP251" s="63"/>
      <c r="BQ251" s="63"/>
      <c r="BR251" s="63"/>
      <c r="BS251" s="103"/>
      <c r="BT251" s="103"/>
      <c r="BU251" s="103"/>
      <c r="BV251" s="103"/>
      <c r="BW251" s="63"/>
      <c r="BX251" s="63"/>
      <c r="BY251" s="63"/>
      <c r="BZ251" s="63"/>
      <c r="CA251" s="103"/>
      <c r="CB251" s="103"/>
      <c r="CC251" s="103"/>
      <c r="CD251" s="103"/>
      <c r="CE251" s="63"/>
      <c r="CF251" s="63"/>
      <c r="CG251" s="63"/>
      <c r="CH251" s="63"/>
      <c r="CI251" s="103"/>
      <c r="CJ251" s="103"/>
      <c r="CK251" s="103"/>
      <c r="CL251" s="103"/>
    </row>
    <row r="252" spans="2:90" ht="13" x14ac:dyDescent="0.15">
      <c r="B252" s="13"/>
      <c r="C252" s="13"/>
      <c r="D252" s="13"/>
      <c r="E252" s="13"/>
      <c r="F252" s="13"/>
      <c r="G252" s="103"/>
      <c r="H252" s="103"/>
      <c r="I252" s="103"/>
      <c r="J252" s="103"/>
      <c r="K252" s="63"/>
      <c r="L252" s="63"/>
      <c r="M252" s="63"/>
      <c r="N252" s="63"/>
      <c r="O252" s="103"/>
      <c r="P252" s="103"/>
      <c r="Q252" s="103"/>
      <c r="R252" s="103"/>
      <c r="S252" s="63"/>
      <c r="T252" s="63"/>
      <c r="U252" s="63"/>
      <c r="V252" s="63"/>
      <c r="W252" s="103"/>
      <c r="X252" s="103"/>
      <c r="Y252" s="103"/>
      <c r="Z252" s="103"/>
      <c r="AA252" s="63"/>
      <c r="AB252" s="63"/>
      <c r="AC252" s="63"/>
      <c r="AD252" s="63"/>
      <c r="AE252" s="103"/>
      <c r="AF252" s="103"/>
      <c r="AG252" s="103"/>
      <c r="AH252" s="103"/>
      <c r="AI252" s="63"/>
      <c r="AJ252" s="63"/>
      <c r="AK252" s="63"/>
      <c r="AL252" s="63"/>
      <c r="AM252" s="103"/>
      <c r="AN252" s="103"/>
      <c r="AO252" s="103"/>
      <c r="AP252" s="103"/>
      <c r="AQ252" s="63"/>
      <c r="AR252" s="63"/>
      <c r="AS252" s="63"/>
      <c r="AT252" s="63"/>
      <c r="AU252" s="103"/>
      <c r="AV252" s="103"/>
      <c r="AW252" s="103"/>
      <c r="AX252" s="103"/>
      <c r="AY252" s="63"/>
      <c r="AZ252" s="63"/>
      <c r="BA252" s="63"/>
      <c r="BB252" s="63"/>
      <c r="BC252" s="103"/>
      <c r="BD252" s="103"/>
      <c r="BE252" s="103"/>
      <c r="BF252" s="103"/>
      <c r="BG252" s="63"/>
      <c r="BH252" s="63"/>
      <c r="BI252" s="63"/>
      <c r="BJ252" s="63"/>
      <c r="BK252" s="103"/>
      <c r="BL252" s="103"/>
      <c r="BM252" s="103"/>
      <c r="BN252" s="103"/>
      <c r="BO252" s="63"/>
      <c r="BP252" s="63"/>
      <c r="BQ252" s="63"/>
      <c r="BR252" s="63"/>
      <c r="BS252" s="103"/>
      <c r="BT252" s="103"/>
      <c r="BU252" s="103"/>
      <c r="BV252" s="103"/>
      <c r="BW252" s="63"/>
      <c r="BX252" s="63"/>
      <c r="BY252" s="63"/>
      <c r="BZ252" s="63"/>
      <c r="CA252" s="103"/>
      <c r="CB252" s="103"/>
      <c r="CC252" s="103"/>
      <c r="CD252" s="103"/>
      <c r="CE252" s="63"/>
      <c r="CF252" s="63"/>
      <c r="CG252" s="63"/>
      <c r="CH252" s="63"/>
      <c r="CI252" s="103"/>
      <c r="CJ252" s="103"/>
      <c r="CK252" s="103"/>
      <c r="CL252" s="103"/>
    </row>
    <row r="253" spans="2:90" ht="13" x14ac:dyDescent="0.15">
      <c r="B253" s="13"/>
      <c r="C253" s="13"/>
      <c r="D253" s="13"/>
      <c r="E253" s="13"/>
      <c r="F253" s="13"/>
      <c r="G253" s="103"/>
      <c r="H253" s="103"/>
      <c r="I253" s="103"/>
      <c r="J253" s="103"/>
      <c r="K253" s="63"/>
      <c r="L253" s="63"/>
      <c r="M253" s="63"/>
      <c r="N253" s="63"/>
      <c r="O253" s="103"/>
      <c r="P253" s="103"/>
      <c r="Q253" s="103"/>
      <c r="R253" s="103"/>
      <c r="S253" s="63"/>
      <c r="T253" s="63"/>
      <c r="U253" s="63"/>
      <c r="V253" s="63"/>
      <c r="W253" s="103"/>
      <c r="X253" s="103"/>
      <c r="Y253" s="103"/>
      <c r="Z253" s="103"/>
      <c r="AA253" s="63"/>
      <c r="AB253" s="63"/>
      <c r="AC253" s="63"/>
      <c r="AD253" s="63"/>
      <c r="AE253" s="103"/>
      <c r="AF253" s="103"/>
      <c r="AG253" s="103"/>
      <c r="AH253" s="103"/>
      <c r="AI253" s="63"/>
      <c r="AJ253" s="63"/>
      <c r="AK253" s="63"/>
      <c r="AL253" s="63"/>
      <c r="AM253" s="103"/>
      <c r="AN253" s="103"/>
      <c r="AO253" s="103"/>
      <c r="AP253" s="103"/>
      <c r="AQ253" s="63"/>
      <c r="AR253" s="63"/>
      <c r="AS253" s="63"/>
      <c r="AT253" s="63"/>
      <c r="AU253" s="103"/>
      <c r="AV253" s="103"/>
      <c r="AW253" s="103"/>
      <c r="AX253" s="103"/>
      <c r="AY253" s="63"/>
      <c r="AZ253" s="63"/>
      <c r="BA253" s="63"/>
      <c r="BB253" s="63"/>
      <c r="BC253" s="103"/>
      <c r="BD253" s="103"/>
      <c r="BE253" s="103"/>
      <c r="BF253" s="103"/>
      <c r="BG253" s="63"/>
      <c r="BH253" s="63"/>
      <c r="BI253" s="63"/>
      <c r="BJ253" s="63"/>
      <c r="BK253" s="103"/>
      <c r="BL253" s="103"/>
      <c r="BM253" s="103"/>
      <c r="BN253" s="103"/>
      <c r="BO253" s="63"/>
      <c r="BP253" s="63"/>
      <c r="BQ253" s="63"/>
      <c r="BR253" s="63"/>
      <c r="BS253" s="103"/>
      <c r="BT253" s="103"/>
      <c r="BU253" s="103"/>
      <c r="BV253" s="103"/>
      <c r="BW253" s="63"/>
      <c r="BX253" s="63"/>
      <c r="BY253" s="63"/>
      <c r="BZ253" s="63"/>
      <c r="CA253" s="103"/>
      <c r="CB253" s="103"/>
      <c r="CC253" s="103"/>
      <c r="CD253" s="103"/>
      <c r="CE253" s="63"/>
      <c r="CF253" s="63"/>
      <c r="CG253" s="63"/>
      <c r="CH253" s="63"/>
      <c r="CI253" s="103"/>
      <c r="CJ253" s="103"/>
      <c r="CK253" s="103"/>
      <c r="CL253" s="103"/>
    </row>
    <row r="254" spans="2:90" ht="13" x14ac:dyDescent="0.15">
      <c r="B254" s="13"/>
      <c r="C254" s="13"/>
      <c r="D254" s="13"/>
      <c r="E254" s="13"/>
      <c r="F254" s="13"/>
      <c r="G254" s="103"/>
      <c r="H254" s="103"/>
      <c r="I254" s="103"/>
      <c r="J254" s="103"/>
      <c r="K254" s="63"/>
      <c r="L254" s="63"/>
      <c r="M254" s="63"/>
      <c r="N254" s="63"/>
      <c r="O254" s="103"/>
      <c r="P254" s="103"/>
      <c r="Q254" s="103"/>
      <c r="R254" s="103"/>
      <c r="S254" s="63"/>
      <c r="T254" s="63"/>
      <c r="U254" s="63"/>
      <c r="V254" s="63"/>
      <c r="W254" s="103"/>
      <c r="X254" s="103"/>
      <c r="Y254" s="103"/>
      <c r="Z254" s="103"/>
      <c r="AA254" s="63"/>
      <c r="AB254" s="63"/>
      <c r="AC254" s="63"/>
      <c r="AD254" s="63"/>
      <c r="AE254" s="103"/>
      <c r="AF254" s="103"/>
      <c r="AG254" s="103"/>
      <c r="AH254" s="103"/>
      <c r="AI254" s="63"/>
      <c r="AJ254" s="63"/>
      <c r="AK254" s="63"/>
      <c r="AL254" s="63"/>
      <c r="AM254" s="103"/>
      <c r="AN254" s="103"/>
      <c r="AO254" s="103"/>
      <c r="AP254" s="103"/>
      <c r="AQ254" s="63"/>
      <c r="AR254" s="63"/>
      <c r="AS254" s="63"/>
      <c r="AT254" s="63"/>
      <c r="AU254" s="103"/>
      <c r="AV254" s="103"/>
      <c r="AW254" s="103"/>
      <c r="AX254" s="103"/>
      <c r="AY254" s="63"/>
      <c r="AZ254" s="63"/>
      <c r="BA254" s="63"/>
      <c r="BB254" s="63"/>
      <c r="BC254" s="103"/>
      <c r="BD254" s="103"/>
      <c r="BE254" s="103"/>
      <c r="BF254" s="103"/>
      <c r="BG254" s="63"/>
      <c r="BH254" s="63"/>
      <c r="BI254" s="63"/>
      <c r="BJ254" s="63"/>
      <c r="BK254" s="103"/>
      <c r="BL254" s="103"/>
      <c r="BM254" s="103"/>
      <c r="BN254" s="103"/>
      <c r="BO254" s="63"/>
      <c r="BP254" s="63"/>
      <c r="BQ254" s="63"/>
      <c r="BR254" s="63"/>
      <c r="BS254" s="103"/>
      <c r="BT254" s="103"/>
      <c r="BU254" s="103"/>
      <c r="BV254" s="103"/>
      <c r="BW254" s="63"/>
      <c r="BX254" s="63"/>
      <c r="BY254" s="63"/>
      <c r="BZ254" s="63"/>
      <c r="CA254" s="103"/>
      <c r="CB254" s="103"/>
      <c r="CC254" s="103"/>
      <c r="CD254" s="103"/>
      <c r="CE254" s="63"/>
      <c r="CF254" s="63"/>
      <c r="CG254" s="63"/>
      <c r="CH254" s="63"/>
      <c r="CI254" s="103"/>
      <c r="CJ254" s="103"/>
      <c r="CK254" s="103"/>
      <c r="CL254" s="103"/>
    </row>
    <row r="255" spans="2:90" ht="13" x14ac:dyDescent="0.15">
      <c r="B255" s="13"/>
      <c r="C255" s="13"/>
      <c r="D255" s="13"/>
      <c r="E255" s="13"/>
      <c r="F255" s="13"/>
      <c r="G255" s="103"/>
      <c r="H255" s="103"/>
      <c r="I255" s="103"/>
      <c r="J255" s="103"/>
      <c r="K255" s="63"/>
      <c r="L255" s="63"/>
      <c r="M255" s="63"/>
      <c r="N255" s="63"/>
      <c r="O255" s="103"/>
      <c r="P255" s="103"/>
      <c r="Q255" s="103"/>
      <c r="R255" s="103"/>
      <c r="S255" s="63"/>
      <c r="T255" s="63"/>
      <c r="U255" s="63"/>
      <c r="V255" s="63"/>
      <c r="W255" s="103"/>
      <c r="X255" s="103"/>
      <c r="Y255" s="103"/>
      <c r="Z255" s="103"/>
      <c r="AA255" s="63"/>
      <c r="AB255" s="63"/>
      <c r="AC255" s="63"/>
      <c r="AD255" s="63"/>
      <c r="AE255" s="103"/>
      <c r="AF255" s="103"/>
      <c r="AG255" s="103"/>
      <c r="AH255" s="103"/>
      <c r="AI255" s="63"/>
      <c r="AJ255" s="63"/>
      <c r="AK255" s="63"/>
      <c r="AL255" s="63"/>
      <c r="AM255" s="103"/>
      <c r="AN255" s="103"/>
      <c r="AO255" s="103"/>
      <c r="AP255" s="103"/>
      <c r="AQ255" s="63"/>
      <c r="AR255" s="63"/>
      <c r="AS255" s="63"/>
      <c r="AT255" s="63"/>
      <c r="AU255" s="103"/>
      <c r="AV255" s="103"/>
      <c r="AW255" s="103"/>
      <c r="AX255" s="103"/>
      <c r="AY255" s="63"/>
      <c r="AZ255" s="63"/>
      <c r="BA255" s="63"/>
      <c r="BB255" s="63"/>
      <c r="BC255" s="103"/>
      <c r="BD255" s="103"/>
      <c r="BE255" s="103"/>
      <c r="BF255" s="103"/>
      <c r="BG255" s="63"/>
      <c r="BH255" s="63"/>
      <c r="BI255" s="63"/>
      <c r="BJ255" s="63"/>
      <c r="BK255" s="103"/>
      <c r="BL255" s="103"/>
      <c r="BM255" s="103"/>
      <c r="BN255" s="103"/>
      <c r="BO255" s="63"/>
      <c r="BP255" s="63"/>
      <c r="BQ255" s="63"/>
      <c r="BR255" s="63"/>
      <c r="BS255" s="103"/>
      <c r="BT255" s="103"/>
      <c r="BU255" s="103"/>
      <c r="BV255" s="103"/>
      <c r="BW255" s="63"/>
      <c r="BX255" s="63"/>
      <c r="BY255" s="63"/>
      <c r="BZ255" s="63"/>
      <c r="CA255" s="103"/>
      <c r="CB255" s="103"/>
      <c r="CC255" s="103"/>
      <c r="CD255" s="103"/>
      <c r="CE255" s="63"/>
      <c r="CF255" s="63"/>
      <c r="CG255" s="63"/>
      <c r="CH255" s="63"/>
      <c r="CI255" s="103"/>
      <c r="CJ255" s="103"/>
      <c r="CK255" s="103"/>
      <c r="CL255" s="103"/>
    </row>
    <row r="256" spans="2:90" ht="13" x14ac:dyDescent="0.15">
      <c r="B256" s="13"/>
      <c r="C256" s="13"/>
      <c r="D256" s="13"/>
      <c r="E256" s="13"/>
      <c r="F256" s="13"/>
      <c r="G256" s="103"/>
      <c r="H256" s="103"/>
      <c r="I256" s="103"/>
      <c r="J256" s="103"/>
      <c r="K256" s="63"/>
      <c r="L256" s="63"/>
      <c r="M256" s="63"/>
      <c r="N256" s="63"/>
      <c r="O256" s="103"/>
      <c r="P256" s="103"/>
      <c r="Q256" s="103"/>
      <c r="R256" s="103"/>
      <c r="S256" s="63"/>
      <c r="T256" s="63"/>
      <c r="U256" s="63"/>
      <c r="V256" s="63"/>
      <c r="W256" s="103"/>
      <c r="X256" s="103"/>
      <c r="Y256" s="103"/>
      <c r="Z256" s="103"/>
      <c r="AA256" s="63"/>
      <c r="AB256" s="63"/>
      <c r="AC256" s="63"/>
      <c r="AD256" s="63"/>
      <c r="AE256" s="103"/>
      <c r="AF256" s="103"/>
      <c r="AG256" s="103"/>
      <c r="AH256" s="103"/>
      <c r="AI256" s="63"/>
      <c r="AJ256" s="63"/>
      <c r="AK256" s="63"/>
      <c r="AL256" s="63"/>
      <c r="AM256" s="103"/>
      <c r="AN256" s="103"/>
      <c r="AO256" s="103"/>
      <c r="AP256" s="103"/>
      <c r="AQ256" s="63"/>
      <c r="AR256" s="63"/>
      <c r="AS256" s="63"/>
      <c r="AT256" s="63"/>
      <c r="AU256" s="103"/>
      <c r="AV256" s="103"/>
      <c r="AW256" s="103"/>
      <c r="AX256" s="103"/>
      <c r="AY256" s="63"/>
      <c r="AZ256" s="63"/>
      <c r="BA256" s="63"/>
      <c r="BB256" s="63"/>
      <c r="BC256" s="103"/>
      <c r="BD256" s="103"/>
      <c r="BE256" s="103"/>
      <c r="BF256" s="103"/>
      <c r="BG256" s="63"/>
      <c r="BH256" s="63"/>
      <c r="BI256" s="63"/>
      <c r="BJ256" s="63"/>
      <c r="BK256" s="103"/>
      <c r="BL256" s="103"/>
      <c r="BM256" s="103"/>
      <c r="BN256" s="103"/>
      <c r="BO256" s="63"/>
      <c r="BP256" s="63"/>
      <c r="BQ256" s="63"/>
      <c r="BR256" s="63"/>
      <c r="BS256" s="103"/>
      <c r="BT256" s="103"/>
      <c r="BU256" s="103"/>
      <c r="BV256" s="103"/>
      <c r="BW256" s="63"/>
      <c r="BX256" s="63"/>
      <c r="BY256" s="63"/>
      <c r="BZ256" s="63"/>
      <c r="CA256" s="103"/>
      <c r="CB256" s="103"/>
      <c r="CC256" s="103"/>
      <c r="CD256" s="103"/>
      <c r="CE256" s="63"/>
      <c r="CF256" s="63"/>
      <c r="CG256" s="63"/>
      <c r="CH256" s="63"/>
      <c r="CI256" s="103"/>
      <c r="CJ256" s="103"/>
      <c r="CK256" s="103"/>
      <c r="CL256" s="103"/>
    </row>
    <row r="257" spans="2:90" ht="13" x14ac:dyDescent="0.15">
      <c r="B257" s="13"/>
      <c r="C257" s="13"/>
      <c r="D257" s="13"/>
      <c r="E257" s="13"/>
      <c r="F257" s="13"/>
      <c r="G257" s="103"/>
      <c r="H257" s="103"/>
      <c r="I257" s="103"/>
      <c r="J257" s="103"/>
      <c r="K257" s="63"/>
      <c r="L257" s="63"/>
      <c r="M257" s="63"/>
      <c r="N257" s="63"/>
      <c r="O257" s="103"/>
      <c r="P257" s="103"/>
      <c r="Q257" s="103"/>
      <c r="R257" s="103"/>
      <c r="S257" s="63"/>
      <c r="T257" s="63"/>
      <c r="U257" s="63"/>
      <c r="V257" s="63"/>
      <c r="W257" s="103"/>
      <c r="X257" s="103"/>
      <c r="Y257" s="103"/>
      <c r="Z257" s="103"/>
      <c r="AA257" s="63"/>
      <c r="AB257" s="63"/>
      <c r="AC257" s="63"/>
      <c r="AD257" s="63"/>
      <c r="AE257" s="103"/>
      <c r="AF257" s="103"/>
      <c r="AG257" s="103"/>
      <c r="AH257" s="103"/>
      <c r="AI257" s="63"/>
      <c r="AJ257" s="63"/>
      <c r="AK257" s="63"/>
      <c r="AL257" s="63"/>
      <c r="AM257" s="103"/>
      <c r="AN257" s="103"/>
      <c r="AO257" s="103"/>
      <c r="AP257" s="103"/>
      <c r="AQ257" s="63"/>
      <c r="AR257" s="63"/>
      <c r="AS257" s="63"/>
      <c r="AT257" s="63"/>
      <c r="AU257" s="103"/>
      <c r="AV257" s="103"/>
      <c r="AW257" s="103"/>
      <c r="AX257" s="103"/>
      <c r="AY257" s="63"/>
      <c r="AZ257" s="63"/>
      <c r="BA257" s="63"/>
      <c r="BB257" s="63"/>
      <c r="BC257" s="103"/>
      <c r="BD257" s="103"/>
      <c r="BE257" s="103"/>
      <c r="BF257" s="103"/>
      <c r="BG257" s="63"/>
      <c r="BH257" s="63"/>
      <c r="BI257" s="63"/>
      <c r="BJ257" s="63"/>
      <c r="BK257" s="103"/>
      <c r="BL257" s="103"/>
      <c r="BM257" s="103"/>
      <c r="BN257" s="103"/>
      <c r="BO257" s="63"/>
      <c r="BP257" s="63"/>
      <c r="BQ257" s="63"/>
      <c r="BR257" s="63"/>
      <c r="BS257" s="103"/>
      <c r="BT257" s="103"/>
      <c r="BU257" s="103"/>
      <c r="BV257" s="103"/>
      <c r="BW257" s="63"/>
      <c r="BX257" s="63"/>
      <c r="BY257" s="63"/>
      <c r="BZ257" s="63"/>
      <c r="CA257" s="103"/>
      <c r="CB257" s="103"/>
      <c r="CC257" s="103"/>
      <c r="CD257" s="103"/>
      <c r="CE257" s="63"/>
      <c r="CF257" s="63"/>
      <c r="CG257" s="63"/>
      <c r="CH257" s="63"/>
      <c r="CI257" s="103"/>
      <c r="CJ257" s="103"/>
      <c r="CK257" s="103"/>
      <c r="CL257" s="103"/>
    </row>
    <row r="258" spans="2:90" ht="13" x14ac:dyDescent="0.15">
      <c r="B258" s="13"/>
      <c r="C258" s="14"/>
      <c r="D258" s="14"/>
      <c r="E258" s="13"/>
      <c r="F258" s="13"/>
      <c r="G258" s="103"/>
      <c r="H258" s="103"/>
      <c r="I258" s="103"/>
      <c r="J258" s="103"/>
      <c r="K258" s="63"/>
      <c r="L258" s="63"/>
      <c r="M258" s="63"/>
      <c r="N258" s="63"/>
      <c r="O258" s="103"/>
      <c r="P258" s="103"/>
      <c r="Q258" s="103"/>
      <c r="R258" s="103"/>
      <c r="S258" s="63"/>
      <c r="T258" s="63"/>
      <c r="U258" s="63"/>
      <c r="V258" s="63"/>
      <c r="W258" s="103"/>
      <c r="X258" s="103"/>
      <c r="Y258" s="103"/>
      <c r="Z258" s="103"/>
      <c r="AA258" s="63"/>
      <c r="AB258" s="63"/>
      <c r="AC258" s="63"/>
      <c r="AD258" s="63"/>
      <c r="AE258" s="103"/>
      <c r="AF258" s="103"/>
      <c r="AG258" s="103"/>
      <c r="AH258" s="103"/>
      <c r="AI258" s="63"/>
      <c r="AJ258" s="63"/>
      <c r="AK258" s="63"/>
      <c r="AL258" s="63"/>
      <c r="AM258" s="103"/>
      <c r="AN258" s="103"/>
      <c r="AO258" s="103"/>
      <c r="AP258" s="103"/>
      <c r="AQ258" s="63"/>
      <c r="AR258" s="63"/>
      <c r="AS258" s="63"/>
      <c r="AT258" s="63"/>
      <c r="AU258" s="103"/>
      <c r="AV258" s="103"/>
      <c r="AW258" s="103"/>
      <c r="AX258" s="103"/>
      <c r="AY258" s="63"/>
      <c r="AZ258" s="63"/>
      <c r="BA258" s="63"/>
      <c r="BB258" s="63"/>
      <c r="BC258" s="103"/>
      <c r="BD258" s="103"/>
      <c r="BE258" s="103"/>
      <c r="BF258" s="103"/>
      <c r="BG258" s="63"/>
      <c r="BH258" s="63"/>
      <c r="BI258" s="63"/>
      <c r="BJ258" s="63"/>
      <c r="BK258" s="103"/>
      <c r="BL258" s="103"/>
      <c r="BM258" s="103"/>
      <c r="BN258" s="103"/>
      <c r="BO258" s="63"/>
      <c r="BP258" s="63"/>
      <c r="BQ258" s="63"/>
      <c r="BR258" s="63"/>
      <c r="BS258" s="103"/>
      <c r="BT258" s="103"/>
      <c r="BU258" s="103"/>
      <c r="BV258" s="103"/>
      <c r="BW258" s="63"/>
      <c r="BX258" s="63"/>
      <c r="BY258" s="63"/>
      <c r="BZ258" s="63"/>
      <c r="CA258" s="103"/>
      <c r="CB258" s="103"/>
      <c r="CC258" s="103"/>
      <c r="CD258" s="103"/>
      <c r="CE258" s="63"/>
      <c r="CF258" s="63"/>
      <c r="CG258" s="63"/>
      <c r="CH258" s="63"/>
      <c r="CI258" s="103"/>
      <c r="CJ258" s="103"/>
      <c r="CK258" s="103"/>
      <c r="CL258" s="103"/>
    </row>
    <row r="259" spans="2:90" ht="13" x14ac:dyDescent="0.15">
      <c r="B259" s="13"/>
      <c r="C259" s="14"/>
      <c r="D259" s="14"/>
      <c r="E259" s="13"/>
      <c r="F259" s="13"/>
      <c r="G259" s="103"/>
      <c r="H259" s="103"/>
      <c r="I259" s="103"/>
      <c r="J259" s="103"/>
      <c r="K259" s="63"/>
      <c r="L259" s="63"/>
      <c r="M259" s="63"/>
      <c r="N259" s="63"/>
      <c r="O259" s="103"/>
      <c r="P259" s="103"/>
      <c r="Q259" s="103"/>
      <c r="R259" s="103"/>
      <c r="S259" s="63"/>
      <c r="T259" s="63"/>
      <c r="U259" s="63"/>
      <c r="V259" s="63"/>
      <c r="W259" s="103"/>
      <c r="X259" s="103"/>
      <c r="Y259" s="103"/>
      <c r="Z259" s="103"/>
      <c r="AA259" s="63"/>
      <c r="AB259" s="63"/>
      <c r="AC259" s="63"/>
      <c r="AD259" s="63"/>
      <c r="AE259" s="103"/>
      <c r="AF259" s="103"/>
      <c r="AG259" s="103"/>
      <c r="AH259" s="103"/>
      <c r="AI259" s="63"/>
      <c r="AJ259" s="63"/>
      <c r="AK259" s="63"/>
      <c r="AL259" s="63"/>
      <c r="AM259" s="103"/>
      <c r="AN259" s="103"/>
      <c r="AO259" s="103"/>
      <c r="AP259" s="103"/>
      <c r="AQ259" s="63"/>
      <c r="AR259" s="63"/>
      <c r="AS259" s="63"/>
      <c r="AT259" s="63"/>
      <c r="AU259" s="103"/>
      <c r="AV259" s="103"/>
      <c r="AW259" s="103"/>
      <c r="AX259" s="103"/>
      <c r="AY259" s="63"/>
      <c r="AZ259" s="63"/>
      <c r="BA259" s="63"/>
      <c r="BB259" s="63"/>
      <c r="BC259" s="103"/>
      <c r="BD259" s="103"/>
      <c r="BE259" s="103"/>
      <c r="BF259" s="103"/>
      <c r="BG259" s="63"/>
      <c r="BH259" s="63"/>
      <c r="BI259" s="63"/>
      <c r="BJ259" s="63"/>
      <c r="BK259" s="103"/>
      <c r="BL259" s="103"/>
      <c r="BM259" s="103"/>
      <c r="BN259" s="103"/>
      <c r="BO259" s="63"/>
      <c r="BP259" s="63"/>
      <c r="BQ259" s="63"/>
      <c r="BR259" s="63"/>
      <c r="BS259" s="103"/>
      <c r="BT259" s="103"/>
      <c r="BU259" s="103"/>
      <c r="BV259" s="103"/>
      <c r="BW259" s="63"/>
      <c r="BX259" s="63"/>
      <c r="BY259" s="63"/>
      <c r="BZ259" s="63"/>
      <c r="CA259" s="103"/>
      <c r="CB259" s="103"/>
      <c r="CC259" s="103"/>
      <c r="CD259" s="103"/>
      <c r="CE259" s="63"/>
      <c r="CF259" s="63"/>
      <c r="CG259" s="63"/>
      <c r="CH259" s="63"/>
      <c r="CI259" s="103"/>
      <c r="CJ259" s="103"/>
      <c r="CK259" s="103"/>
      <c r="CL259" s="103"/>
    </row>
    <row r="260" spans="2:90" ht="13" x14ac:dyDescent="0.15">
      <c r="B260" s="13"/>
      <c r="C260" s="14"/>
      <c r="D260" s="14"/>
      <c r="E260" s="13"/>
      <c r="F260" s="13"/>
      <c r="G260" s="103"/>
      <c r="H260" s="103"/>
      <c r="I260" s="103"/>
      <c r="J260" s="103"/>
      <c r="K260" s="63"/>
      <c r="L260" s="63"/>
      <c r="M260" s="63"/>
      <c r="N260" s="63"/>
      <c r="O260" s="103"/>
      <c r="P260" s="103"/>
      <c r="Q260" s="103"/>
      <c r="R260" s="103"/>
      <c r="S260" s="63"/>
      <c r="T260" s="63"/>
      <c r="U260" s="63"/>
      <c r="V260" s="63"/>
      <c r="W260" s="103"/>
      <c r="X260" s="103"/>
      <c r="Y260" s="103"/>
      <c r="Z260" s="103"/>
      <c r="AA260" s="63"/>
      <c r="AB260" s="63"/>
      <c r="AC260" s="63"/>
      <c r="AD260" s="63"/>
      <c r="AE260" s="103"/>
      <c r="AF260" s="103"/>
      <c r="AG260" s="103"/>
      <c r="AH260" s="103"/>
      <c r="AI260" s="63"/>
      <c r="AJ260" s="63"/>
      <c r="AK260" s="63"/>
      <c r="AL260" s="63"/>
      <c r="AM260" s="103"/>
      <c r="AN260" s="103"/>
      <c r="AO260" s="103"/>
      <c r="AP260" s="103"/>
      <c r="AQ260" s="63"/>
      <c r="AR260" s="63"/>
      <c r="AS260" s="63"/>
      <c r="AT260" s="63"/>
      <c r="AU260" s="103"/>
      <c r="AV260" s="103"/>
      <c r="AW260" s="103"/>
      <c r="AX260" s="103"/>
      <c r="AY260" s="63"/>
      <c r="AZ260" s="63"/>
      <c r="BA260" s="63"/>
      <c r="BB260" s="63"/>
      <c r="BC260" s="103"/>
      <c r="BD260" s="103"/>
      <c r="BE260" s="103"/>
      <c r="BF260" s="103"/>
      <c r="BG260" s="63"/>
      <c r="BH260" s="63"/>
      <c r="BI260" s="63"/>
      <c r="BJ260" s="63"/>
      <c r="BK260" s="103"/>
      <c r="BL260" s="103"/>
      <c r="BM260" s="103"/>
      <c r="BN260" s="103"/>
      <c r="BO260" s="63"/>
      <c r="BP260" s="63"/>
      <c r="BQ260" s="63"/>
      <c r="BR260" s="63"/>
      <c r="BS260" s="103"/>
      <c r="BT260" s="103"/>
      <c r="BU260" s="103"/>
      <c r="BV260" s="103"/>
      <c r="BW260" s="63"/>
      <c r="BX260" s="63"/>
      <c r="BY260" s="63"/>
      <c r="BZ260" s="63"/>
      <c r="CA260" s="103"/>
      <c r="CB260" s="103"/>
      <c r="CC260" s="103"/>
      <c r="CD260" s="103"/>
      <c r="CE260" s="63"/>
      <c r="CF260" s="63"/>
      <c r="CG260" s="63"/>
      <c r="CH260" s="63"/>
      <c r="CI260" s="103"/>
      <c r="CJ260" s="103"/>
      <c r="CK260" s="103"/>
      <c r="CL260" s="103"/>
    </row>
    <row r="261" spans="2:90" ht="13" x14ac:dyDescent="0.15">
      <c r="B261" s="13"/>
      <c r="C261" s="14"/>
      <c r="D261" s="14"/>
      <c r="E261" s="13"/>
      <c r="F261" s="13"/>
      <c r="G261" s="103"/>
      <c r="H261" s="103"/>
      <c r="I261" s="103"/>
      <c r="J261" s="103"/>
      <c r="K261" s="63"/>
      <c r="L261" s="63"/>
      <c r="M261" s="63"/>
      <c r="N261" s="63"/>
      <c r="O261" s="103"/>
      <c r="P261" s="103"/>
      <c r="Q261" s="103"/>
      <c r="R261" s="103"/>
      <c r="S261" s="63"/>
      <c r="T261" s="63"/>
      <c r="U261" s="63"/>
      <c r="V261" s="63"/>
      <c r="W261" s="103"/>
      <c r="X261" s="103"/>
      <c r="Y261" s="103"/>
      <c r="Z261" s="103"/>
      <c r="AA261" s="63"/>
      <c r="AB261" s="63"/>
      <c r="AC261" s="63"/>
      <c r="AD261" s="63"/>
      <c r="AE261" s="103"/>
      <c r="AF261" s="103"/>
      <c r="AG261" s="103"/>
      <c r="AH261" s="103"/>
      <c r="AI261" s="63"/>
      <c r="AJ261" s="63"/>
      <c r="AK261" s="63"/>
      <c r="AL261" s="63"/>
      <c r="AM261" s="103"/>
      <c r="AN261" s="103"/>
      <c r="AO261" s="103"/>
      <c r="AP261" s="103"/>
      <c r="AQ261" s="63"/>
      <c r="AR261" s="63"/>
      <c r="AS261" s="63"/>
      <c r="AT261" s="63"/>
      <c r="AU261" s="103"/>
      <c r="AV261" s="103"/>
      <c r="AW261" s="103"/>
      <c r="AX261" s="103"/>
      <c r="AY261" s="63"/>
      <c r="AZ261" s="63"/>
      <c r="BA261" s="63"/>
      <c r="BB261" s="63"/>
      <c r="BC261" s="103"/>
      <c r="BD261" s="103"/>
      <c r="BE261" s="103"/>
      <c r="BF261" s="103"/>
      <c r="BG261" s="63"/>
      <c r="BH261" s="63"/>
      <c r="BI261" s="63"/>
      <c r="BJ261" s="63"/>
      <c r="BK261" s="103"/>
      <c r="BL261" s="103"/>
      <c r="BM261" s="103"/>
      <c r="BN261" s="103"/>
      <c r="BO261" s="63"/>
      <c r="BP261" s="63"/>
      <c r="BQ261" s="63"/>
      <c r="BR261" s="63"/>
      <c r="BS261" s="103"/>
      <c r="BT261" s="103"/>
      <c r="BU261" s="103"/>
      <c r="BV261" s="103"/>
      <c r="BW261" s="63"/>
      <c r="BX261" s="63"/>
      <c r="BY261" s="63"/>
      <c r="BZ261" s="63"/>
      <c r="CA261" s="103"/>
      <c r="CB261" s="103"/>
      <c r="CC261" s="103"/>
      <c r="CD261" s="103"/>
      <c r="CE261" s="63"/>
      <c r="CF261" s="63"/>
      <c r="CG261" s="63"/>
      <c r="CH261" s="63"/>
      <c r="CI261" s="103"/>
      <c r="CJ261" s="103"/>
      <c r="CK261" s="103"/>
      <c r="CL261" s="103"/>
    </row>
    <row r="262" spans="2:90" ht="13" x14ac:dyDescent="0.15">
      <c r="B262" s="13"/>
      <c r="C262" s="14"/>
      <c r="D262" s="14"/>
      <c r="E262" s="13"/>
      <c r="F262" s="13"/>
      <c r="G262" s="103"/>
      <c r="H262" s="103"/>
      <c r="I262" s="103"/>
      <c r="J262" s="103"/>
      <c r="K262" s="63"/>
      <c r="L262" s="63"/>
      <c r="M262" s="63"/>
      <c r="N262" s="63"/>
      <c r="O262" s="103"/>
      <c r="P262" s="103"/>
      <c r="Q262" s="103"/>
      <c r="R262" s="103"/>
      <c r="S262" s="63"/>
      <c r="T262" s="63"/>
      <c r="U262" s="63"/>
      <c r="V262" s="63"/>
      <c r="W262" s="103"/>
      <c r="X262" s="103"/>
      <c r="Y262" s="103"/>
      <c r="Z262" s="103"/>
      <c r="AA262" s="63"/>
      <c r="AB262" s="63"/>
      <c r="AC262" s="63"/>
      <c r="AD262" s="63"/>
      <c r="AE262" s="103"/>
      <c r="AF262" s="103"/>
      <c r="AG262" s="103"/>
      <c r="AH262" s="103"/>
      <c r="AI262" s="63"/>
      <c r="AJ262" s="63"/>
      <c r="AK262" s="63"/>
      <c r="AL262" s="63"/>
      <c r="AM262" s="103"/>
      <c r="AN262" s="103"/>
      <c r="AO262" s="103"/>
      <c r="AP262" s="103"/>
      <c r="AQ262" s="63"/>
      <c r="AR262" s="63"/>
      <c r="AS262" s="63"/>
      <c r="AT262" s="63"/>
      <c r="AU262" s="103"/>
      <c r="AV262" s="103"/>
      <c r="AW262" s="103"/>
      <c r="AX262" s="103"/>
      <c r="AY262" s="63"/>
      <c r="AZ262" s="63"/>
      <c r="BA262" s="63"/>
      <c r="BB262" s="63"/>
      <c r="BC262" s="103"/>
      <c r="BD262" s="103"/>
      <c r="BE262" s="103"/>
      <c r="BF262" s="103"/>
      <c r="BG262" s="63"/>
      <c r="BH262" s="63"/>
      <c r="BI262" s="63"/>
      <c r="BJ262" s="63"/>
      <c r="BK262" s="103"/>
      <c r="BL262" s="103"/>
      <c r="BM262" s="103"/>
      <c r="BN262" s="103"/>
      <c r="BO262" s="63"/>
      <c r="BP262" s="63"/>
      <c r="BQ262" s="63"/>
      <c r="BR262" s="63"/>
      <c r="BS262" s="103"/>
      <c r="BT262" s="103"/>
      <c r="BU262" s="103"/>
      <c r="BV262" s="103"/>
      <c r="BW262" s="63"/>
      <c r="BX262" s="63"/>
      <c r="BY262" s="63"/>
      <c r="BZ262" s="63"/>
      <c r="CA262" s="103"/>
      <c r="CB262" s="103"/>
      <c r="CC262" s="103"/>
      <c r="CD262" s="103"/>
      <c r="CE262" s="63"/>
      <c r="CF262" s="63"/>
      <c r="CG262" s="63"/>
      <c r="CH262" s="63"/>
      <c r="CI262" s="103"/>
      <c r="CJ262" s="103"/>
      <c r="CK262" s="103"/>
      <c r="CL262" s="103"/>
    </row>
    <row r="263" spans="2:90" ht="13" x14ac:dyDescent="0.15">
      <c r="B263" s="13"/>
      <c r="C263" s="14"/>
      <c r="D263" s="14"/>
      <c r="E263" s="13"/>
      <c r="F263" s="13"/>
      <c r="G263" s="103"/>
      <c r="H263" s="103"/>
      <c r="I263" s="103"/>
      <c r="J263" s="103"/>
      <c r="K263" s="63"/>
      <c r="L263" s="63"/>
      <c r="M263" s="63"/>
      <c r="N263" s="63"/>
      <c r="O263" s="103"/>
      <c r="P263" s="103"/>
      <c r="Q263" s="103"/>
      <c r="R263" s="103"/>
      <c r="S263" s="63"/>
      <c r="T263" s="63"/>
      <c r="U263" s="63"/>
      <c r="V263" s="63"/>
      <c r="W263" s="103"/>
      <c r="X263" s="103"/>
      <c r="Y263" s="103"/>
      <c r="Z263" s="103"/>
      <c r="AA263" s="63"/>
      <c r="AB263" s="63"/>
      <c r="AC263" s="63"/>
      <c r="AD263" s="63"/>
      <c r="AE263" s="103"/>
      <c r="AF263" s="103"/>
      <c r="AG263" s="103"/>
      <c r="AH263" s="103"/>
      <c r="AI263" s="63"/>
      <c r="AJ263" s="63"/>
      <c r="AK263" s="63"/>
      <c r="AL263" s="63"/>
      <c r="AM263" s="103"/>
      <c r="AN263" s="103"/>
      <c r="AO263" s="103"/>
      <c r="AP263" s="103"/>
      <c r="AQ263" s="63"/>
      <c r="AR263" s="63"/>
      <c r="AS263" s="63"/>
      <c r="AT263" s="63"/>
      <c r="AU263" s="103"/>
      <c r="AV263" s="103"/>
      <c r="AW263" s="103"/>
      <c r="AX263" s="103"/>
      <c r="AY263" s="63"/>
      <c r="AZ263" s="63"/>
      <c r="BA263" s="63"/>
      <c r="BB263" s="63"/>
      <c r="BC263" s="103"/>
      <c r="BD263" s="103"/>
      <c r="BE263" s="103"/>
      <c r="BF263" s="103"/>
      <c r="BG263" s="63"/>
      <c r="BH263" s="63"/>
      <c r="BI263" s="63"/>
      <c r="BJ263" s="63"/>
      <c r="BK263" s="103"/>
      <c r="BL263" s="103"/>
      <c r="BM263" s="103"/>
      <c r="BN263" s="103"/>
      <c r="BO263" s="63"/>
      <c r="BP263" s="63"/>
      <c r="BQ263" s="63"/>
      <c r="BR263" s="63"/>
      <c r="BS263" s="103"/>
      <c r="BT263" s="103"/>
      <c r="BU263" s="103"/>
      <c r="BV263" s="103"/>
      <c r="BW263" s="63"/>
      <c r="BX263" s="63"/>
      <c r="BY263" s="63"/>
      <c r="BZ263" s="63"/>
      <c r="CA263" s="103"/>
      <c r="CB263" s="103"/>
      <c r="CC263" s="103"/>
      <c r="CD263" s="103"/>
      <c r="CE263" s="63"/>
      <c r="CF263" s="63"/>
      <c r="CG263" s="63"/>
      <c r="CH263" s="63"/>
      <c r="CI263" s="103"/>
      <c r="CJ263" s="103"/>
      <c r="CK263" s="103"/>
      <c r="CL263" s="103"/>
    </row>
    <row r="264" spans="2:90" ht="13" x14ac:dyDescent="0.15">
      <c r="B264" s="13"/>
      <c r="C264" s="14"/>
      <c r="D264" s="14"/>
      <c r="E264" s="13"/>
      <c r="F264" s="13"/>
      <c r="G264" s="103"/>
      <c r="H264" s="103"/>
      <c r="I264" s="103"/>
      <c r="J264" s="103"/>
      <c r="K264" s="63"/>
      <c r="L264" s="63"/>
      <c r="M264" s="63"/>
      <c r="N264" s="63"/>
      <c r="O264" s="103"/>
      <c r="P264" s="103"/>
      <c r="Q264" s="103"/>
      <c r="R264" s="103"/>
      <c r="S264" s="63"/>
      <c r="T264" s="63"/>
      <c r="U264" s="63"/>
      <c r="V264" s="63"/>
      <c r="W264" s="103"/>
      <c r="X264" s="103"/>
      <c r="Y264" s="103"/>
      <c r="Z264" s="103"/>
      <c r="AA264" s="63"/>
      <c r="AB264" s="63"/>
      <c r="AC264" s="63"/>
      <c r="AD264" s="63"/>
      <c r="AE264" s="103"/>
      <c r="AF264" s="103"/>
      <c r="AG264" s="103"/>
      <c r="AH264" s="103"/>
      <c r="AI264" s="63"/>
      <c r="AJ264" s="63"/>
      <c r="AK264" s="63"/>
      <c r="AL264" s="63"/>
      <c r="AM264" s="103"/>
      <c r="AN264" s="103"/>
      <c r="AO264" s="103"/>
      <c r="AP264" s="103"/>
      <c r="AQ264" s="63"/>
      <c r="AR264" s="63"/>
      <c r="AS264" s="63"/>
      <c r="AT264" s="63"/>
      <c r="AU264" s="103"/>
      <c r="AV264" s="103"/>
      <c r="AW264" s="103"/>
      <c r="AX264" s="103"/>
      <c r="AY264" s="63"/>
      <c r="AZ264" s="63"/>
      <c r="BA264" s="63"/>
      <c r="BB264" s="63"/>
      <c r="BC264" s="103"/>
      <c r="BD264" s="103"/>
      <c r="BE264" s="103"/>
      <c r="BF264" s="103"/>
      <c r="BG264" s="63"/>
      <c r="BH264" s="63"/>
      <c r="BI264" s="63"/>
      <c r="BJ264" s="63"/>
      <c r="BK264" s="103"/>
      <c r="BL264" s="103"/>
      <c r="BM264" s="103"/>
      <c r="BN264" s="103"/>
      <c r="BO264" s="63"/>
      <c r="BP264" s="63"/>
      <c r="BQ264" s="63"/>
      <c r="BR264" s="63"/>
      <c r="BS264" s="103"/>
      <c r="BT264" s="103"/>
      <c r="BU264" s="103"/>
      <c r="BV264" s="103"/>
      <c r="BW264" s="63"/>
      <c r="BX264" s="63"/>
      <c r="BY264" s="63"/>
      <c r="BZ264" s="63"/>
      <c r="CA264" s="103"/>
      <c r="CB264" s="103"/>
      <c r="CC264" s="103"/>
      <c r="CD264" s="103"/>
      <c r="CE264" s="63"/>
      <c r="CF264" s="63"/>
      <c r="CG264" s="63"/>
      <c r="CH264" s="63"/>
      <c r="CI264" s="103"/>
      <c r="CJ264" s="103"/>
      <c r="CK264" s="103"/>
      <c r="CL264" s="103"/>
    </row>
    <row r="265" spans="2:90" ht="13" x14ac:dyDescent="0.15">
      <c r="B265" s="13"/>
      <c r="C265" s="13"/>
      <c r="D265" s="13"/>
      <c r="E265" s="13"/>
      <c r="F265" s="13"/>
      <c r="G265" s="103"/>
      <c r="H265" s="103"/>
      <c r="I265" s="103"/>
      <c r="J265" s="103"/>
      <c r="K265" s="63"/>
      <c r="L265" s="63"/>
      <c r="M265" s="63"/>
      <c r="N265" s="63"/>
      <c r="O265" s="103"/>
      <c r="P265" s="103"/>
      <c r="Q265" s="103"/>
      <c r="R265" s="103"/>
      <c r="S265" s="63"/>
      <c r="T265" s="63"/>
      <c r="U265" s="63"/>
      <c r="V265" s="63"/>
      <c r="W265" s="103"/>
      <c r="X265" s="103"/>
      <c r="Y265" s="103"/>
      <c r="Z265" s="103"/>
      <c r="AA265" s="63"/>
      <c r="AB265" s="63"/>
      <c r="AC265" s="63"/>
      <c r="AD265" s="63"/>
      <c r="AE265" s="103"/>
      <c r="AF265" s="103"/>
      <c r="AG265" s="103"/>
      <c r="AH265" s="103"/>
      <c r="AI265" s="63"/>
      <c r="AJ265" s="63"/>
      <c r="AK265" s="63"/>
      <c r="AL265" s="63"/>
      <c r="AM265" s="103"/>
      <c r="AN265" s="103"/>
      <c r="AO265" s="103"/>
      <c r="AP265" s="103"/>
      <c r="AQ265" s="63"/>
      <c r="AR265" s="63"/>
      <c r="AS265" s="63"/>
      <c r="AT265" s="63"/>
      <c r="AU265" s="103"/>
      <c r="AV265" s="103"/>
      <c r="AW265" s="103"/>
      <c r="AX265" s="103"/>
      <c r="AY265" s="63"/>
      <c r="AZ265" s="63"/>
      <c r="BA265" s="63"/>
      <c r="BB265" s="63"/>
      <c r="BC265" s="103"/>
      <c r="BD265" s="103"/>
      <c r="BE265" s="103"/>
      <c r="BF265" s="103"/>
      <c r="BG265" s="63"/>
      <c r="BH265" s="63"/>
      <c r="BI265" s="63"/>
      <c r="BJ265" s="63"/>
      <c r="BK265" s="103"/>
      <c r="BL265" s="103"/>
      <c r="BM265" s="103"/>
      <c r="BN265" s="103"/>
      <c r="BO265" s="63"/>
      <c r="BP265" s="63"/>
      <c r="BQ265" s="63"/>
      <c r="BR265" s="63"/>
      <c r="BS265" s="103"/>
      <c r="BT265" s="103"/>
      <c r="BU265" s="103"/>
      <c r="BV265" s="103"/>
      <c r="BW265" s="63"/>
      <c r="BX265" s="63"/>
      <c r="BY265" s="63"/>
      <c r="BZ265" s="63"/>
      <c r="CA265" s="103"/>
      <c r="CB265" s="103"/>
      <c r="CC265" s="103"/>
      <c r="CD265" s="103"/>
      <c r="CE265" s="63"/>
      <c r="CF265" s="63"/>
      <c r="CG265" s="63"/>
      <c r="CH265" s="63"/>
      <c r="CI265" s="103"/>
      <c r="CJ265" s="103"/>
      <c r="CK265" s="103"/>
      <c r="CL265" s="103"/>
    </row>
    <row r="266" spans="2:90" ht="13" x14ac:dyDescent="0.15">
      <c r="B266" s="13"/>
      <c r="C266" s="13"/>
      <c r="D266" s="13"/>
      <c r="E266" s="13"/>
      <c r="F266" s="13"/>
      <c r="G266" s="103"/>
      <c r="H266" s="103"/>
      <c r="I266" s="103"/>
      <c r="J266" s="103"/>
      <c r="K266" s="63"/>
      <c r="L266" s="63"/>
      <c r="M266" s="63"/>
      <c r="N266" s="63"/>
      <c r="O266" s="103"/>
      <c r="P266" s="103"/>
      <c r="Q266" s="103"/>
      <c r="R266" s="103"/>
      <c r="S266" s="63"/>
      <c r="T266" s="63"/>
      <c r="U266" s="63"/>
      <c r="V266" s="63"/>
      <c r="W266" s="103"/>
      <c r="X266" s="103"/>
      <c r="Y266" s="103"/>
      <c r="Z266" s="103"/>
      <c r="AA266" s="63"/>
      <c r="AB266" s="63"/>
      <c r="AC266" s="63"/>
      <c r="AD266" s="63"/>
      <c r="AE266" s="103"/>
      <c r="AF266" s="103"/>
      <c r="AG266" s="103"/>
      <c r="AH266" s="103"/>
      <c r="AI266" s="63"/>
      <c r="AJ266" s="63"/>
      <c r="AK266" s="63"/>
      <c r="AL266" s="63"/>
      <c r="AM266" s="103"/>
      <c r="AN266" s="103"/>
      <c r="AO266" s="103"/>
      <c r="AP266" s="103"/>
      <c r="AQ266" s="63"/>
      <c r="AR266" s="63"/>
      <c r="AS266" s="63"/>
      <c r="AT266" s="63"/>
      <c r="AU266" s="103"/>
      <c r="AV266" s="103"/>
      <c r="AW266" s="103"/>
      <c r="AX266" s="103"/>
      <c r="AY266" s="63"/>
      <c r="AZ266" s="63"/>
      <c r="BA266" s="63"/>
      <c r="BB266" s="63"/>
      <c r="BC266" s="103"/>
      <c r="BD266" s="103"/>
      <c r="BE266" s="103"/>
      <c r="BF266" s="103"/>
      <c r="BG266" s="63"/>
      <c r="BH266" s="63"/>
      <c r="BI266" s="63"/>
      <c r="BJ266" s="63"/>
      <c r="BK266" s="103"/>
      <c r="BL266" s="103"/>
      <c r="BM266" s="103"/>
      <c r="BN266" s="103"/>
      <c r="BO266" s="63"/>
      <c r="BP266" s="63"/>
      <c r="BQ266" s="63"/>
      <c r="BR266" s="63"/>
      <c r="BS266" s="103"/>
      <c r="BT266" s="103"/>
      <c r="BU266" s="103"/>
      <c r="BV266" s="103"/>
      <c r="BW266" s="63"/>
      <c r="BX266" s="63"/>
      <c r="BY266" s="63"/>
      <c r="BZ266" s="63"/>
      <c r="CA266" s="103"/>
      <c r="CB266" s="103"/>
      <c r="CC266" s="103"/>
      <c r="CD266" s="103"/>
      <c r="CE266" s="63"/>
      <c r="CF266" s="63"/>
      <c r="CG266" s="63"/>
      <c r="CH266" s="63"/>
      <c r="CI266" s="103"/>
      <c r="CJ266" s="103"/>
      <c r="CK266" s="103"/>
      <c r="CL266" s="103"/>
    </row>
    <row r="267" spans="2:90" ht="13" x14ac:dyDescent="0.15">
      <c r="B267" s="13"/>
      <c r="C267" s="13"/>
      <c r="D267" s="13"/>
      <c r="E267" s="13"/>
      <c r="F267" s="13"/>
      <c r="G267" s="103"/>
      <c r="H267" s="103"/>
      <c r="I267" s="103"/>
      <c r="J267" s="103"/>
      <c r="K267" s="63"/>
      <c r="L267" s="63"/>
      <c r="M267" s="63"/>
      <c r="N267" s="63"/>
      <c r="O267" s="103"/>
      <c r="P267" s="103"/>
      <c r="Q267" s="103"/>
      <c r="R267" s="103"/>
      <c r="S267" s="63"/>
      <c r="T267" s="63"/>
      <c r="U267" s="63"/>
      <c r="V267" s="63"/>
      <c r="W267" s="103"/>
      <c r="X267" s="103"/>
      <c r="Y267" s="103"/>
      <c r="Z267" s="103"/>
      <c r="AA267" s="63"/>
      <c r="AB267" s="63"/>
      <c r="AC267" s="63"/>
      <c r="AD267" s="63"/>
      <c r="AE267" s="103"/>
      <c r="AF267" s="103"/>
      <c r="AG267" s="103"/>
      <c r="AH267" s="103"/>
      <c r="AI267" s="63"/>
      <c r="AJ267" s="63"/>
      <c r="AK267" s="63"/>
      <c r="AL267" s="63"/>
      <c r="AM267" s="103"/>
      <c r="AN267" s="103"/>
      <c r="AO267" s="103"/>
      <c r="AP267" s="103"/>
      <c r="AQ267" s="63"/>
      <c r="AR267" s="63"/>
      <c r="AS267" s="63"/>
      <c r="AT267" s="63"/>
      <c r="AU267" s="103"/>
      <c r="AV267" s="103"/>
      <c r="AW267" s="103"/>
      <c r="AX267" s="103"/>
      <c r="AY267" s="63"/>
      <c r="AZ267" s="63"/>
      <c r="BA267" s="63"/>
      <c r="BB267" s="63"/>
      <c r="BC267" s="103"/>
      <c r="BD267" s="103"/>
      <c r="BE267" s="103"/>
      <c r="BF267" s="103"/>
      <c r="BG267" s="63"/>
      <c r="BH267" s="63"/>
      <c r="BI267" s="63"/>
      <c r="BJ267" s="63"/>
      <c r="BK267" s="103"/>
      <c r="BL267" s="103"/>
      <c r="BM267" s="103"/>
      <c r="BN267" s="103"/>
      <c r="BO267" s="63"/>
      <c r="BP267" s="63"/>
      <c r="BQ267" s="63"/>
      <c r="BR267" s="63"/>
      <c r="BS267" s="103"/>
      <c r="BT267" s="103"/>
      <c r="BU267" s="103"/>
      <c r="BV267" s="103"/>
      <c r="BW267" s="63"/>
      <c r="BX267" s="63"/>
      <c r="BY267" s="63"/>
      <c r="BZ267" s="63"/>
      <c r="CA267" s="103"/>
      <c r="CB267" s="103"/>
      <c r="CC267" s="103"/>
      <c r="CD267" s="103"/>
      <c r="CE267" s="63"/>
      <c r="CF267" s="63"/>
      <c r="CG267" s="63"/>
      <c r="CH267" s="63"/>
      <c r="CI267" s="103"/>
      <c r="CJ267" s="103"/>
      <c r="CK267" s="103"/>
      <c r="CL267" s="103"/>
    </row>
    <row r="268" spans="2:90" ht="13" x14ac:dyDescent="0.15">
      <c r="B268" s="13"/>
      <c r="C268" s="13"/>
      <c r="D268" s="13"/>
      <c r="E268" s="13"/>
      <c r="F268" s="13"/>
      <c r="G268" s="103"/>
      <c r="H268" s="103"/>
      <c r="I268" s="103"/>
      <c r="J268" s="103"/>
      <c r="K268" s="63"/>
      <c r="L268" s="63"/>
      <c r="M268" s="63"/>
      <c r="N268" s="63"/>
      <c r="O268" s="103"/>
      <c r="P268" s="103"/>
      <c r="Q268" s="103"/>
      <c r="R268" s="103"/>
      <c r="S268" s="63"/>
      <c r="T268" s="63"/>
      <c r="U268" s="63"/>
      <c r="V268" s="63"/>
      <c r="W268" s="103"/>
      <c r="X268" s="103"/>
      <c r="Y268" s="103"/>
      <c r="Z268" s="103"/>
      <c r="AA268" s="63"/>
      <c r="AB268" s="63"/>
      <c r="AC268" s="63"/>
      <c r="AD268" s="63"/>
      <c r="AE268" s="103"/>
      <c r="AF268" s="103"/>
      <c r="AG268" s="103"/>
      <c r="AH268" s="103"/>
      <c r="AI268" s="63"/>
      <c r="AJ268" s="63"/>
      <c r="AK268" s="63"/>
      <c r="AL268" s="63"/>
      <c r="AM268" s="103"/>
      <c r="AN268" s="103"/>
      <c r="AO268" s="103"/>
      <c r="AP268" s="103"/>
      <c r="AQ268" s="63"/>
      <c r="AR268" s="63"/>
      <c r="AS268" s="63"/>
      <c r="AT268" s="63"/>
      <c r="AU268" s="103"/>
      <c r="AV268" s="103"/>
      <c r="AW268" s="103"/>
      <c r="AX268" s="103"/>
      <c r="AY268" s="63"/>
      <c r="AZ268" s="63"/>
      <c r="BA268" s="63"/>
      <c r="BB268" s="63"/>
      <c r="BC268" s="103"/>
      <c r="BD268" s="103"/>
      <c r="BE268" s="103"/>
      <c r="BF268" s="103"/>
      <c r="BG268" s="63"/>
      <c r="BH268" s="63"/>
      <c r="BI268" s="63"/>
      <c r="BJ268" s="63"/>
      <c r="BK268" s="103"/>
      <c r="BL268" s="103"/>
      <c r="BM268" s="103"/>
      <c r="BN268" s="103"/>
      <c r="BO268" s="63"/>
      <c r="BP268" s="63"/>
      <c r="BQ268" s="63"/>
      <c r="BR268" s="63"/>
      <c r="BS268" s="103"/>
      <c r="BT268" s="103"/>
      <c r="BU268" s="103"/>
      <c r="BV268" s="103"/>
      <c r="BW268" s="63"/>
      <c r="BX268" s="63"/>
      <c r="BY268" s="63"/>
      <c r="BZ268" s="63"/>
      <c r="CA268" s="103"/>
      <c r="CB268" s="103"/>
      <c r="CC268" s="103"/>
      <c r="CD268" s="103"/>
      <c r="CE268" s="63"/>
      <c r="CF268" s="63"/>
      <c r="CG268" s="63"/>
      <c r="CH268" s="63"/>
      <c r="CI268" s="103"/>
      <c r="CJ268" s="103"/>
      <c r="CK268" s="103"/>
      <c r="CL268" s="103"/>
    </row>
    <row r="269" spans="2:90" ht="13" x14ac:dyDescent="0.15">
      <c r="B269" s="13"/>
      <c r="C269" s="13"/>
      <c r="D269" s="13"/>
      <c r="E269" s="13"/>
      <c r="F269" s="13"/>
      <c r="G269" s="103"/>
      <c r="H269" s="103"/>
      <c r="I269" s="103"/>
      <c r="J269" s="103"/>
      <c r="K269" s="63"/>
      <c r="L269" s="63"/>
      <c r="M269" s="63"/>
      <c r="N269" s="63"/>
      <c r="O269" s="103"/>
      <c r="P269" s="103"/>
      <c r="Q269" s="103"/>
      <c r="R269" s="103"/>
      <c r="S269" s="63"/>
      <c r="T269" s="63"/>
      <c r="U269" s="63"/>
      <c r="V269" s="63"/>
      <c r="W269" s="103"/>
      <c r="X269" s="103"/>
      <c r="Y269" s="103"/>
      <c r="Z269" s="103"/>
      <c r="AA269" s="63"/>
      <c r="AB269" s="63"/>
      <c r="AC269" s="63"/>
      <c r="AD269" s="63"/>
      <c r="AE269" s="103"/>
      <c r="AF269" s="103"/>
      <c r="AG269" s="103"/>
      <c r="AH269" s="103"/>
      <c r="AI269" s="63"/>
      <c r="AJ269" s="63"/>
      <c r="AK269" s="63"/>
      <c r="AL269" s="63"/>
      <c r="AM269" s="103"/>
      <c r="AN269" s="103"/>
      <c r="AO269" s="103"/>
      <c r="AP269" s="103"/>
      <c r="AQ269" s="63"/>
      <c r="AR269" s="63"/>
      <c r="AS269" s="63"/>
      <c r="AT269" s="63"/>
      <c r="AU269" s="103"/>
      <c r="AV269" s="103"/>
      <c r="AW269" s="103"/>
      <c r="AX269" s="103"/>
      <c r="AY269" s="63"/>
      <c r="AZ269" s="63"/>
      <c r="BA269" s="63"/>
      <c r="BB269" s="63"/>
      <c r="BC269" s="103"/>
      <c r="BD269" s="103"/>
      <c r="BE269" s="103"/>
      <c r="BF269" s="103"/>
      <c r="BG269" s="63"/>
      <c r="BH269" s="63"/>
      <c r="BI269" s="63"/>
      <c r="BJ269" s="63"/>
      <c r="BK269" s="103"/>
      <c r="BL269" s="103"/>
      <c r="BM269" s="103"/>
      <c r="BN269" s="103"/>
      <c r="BO269" s="63"/>
      <c r="BP269" s="63"/>
      <c r="BQ269" s="63"/>
      <c r="BR269" s="63"/>
      <c r="BS269" s="103"/>
      <c r="BT269" s="103"/>
      <c r="BU269" s="103"/>
      <c r="BV269" s="103"/>
      <c r="BW269" s="63"/>
      <c r="BX269" s="63"/>
      <c r="BY269" s="63"/>
      <c r="BZ269" s="63"/>
      <c r="CA269" s="103"/>
      <c r="CB269" s="103"/>
      <c r="CC269" s="103"/>
      <c r="CD269" s="103"/>
      <c r="CE269" s="63"/>
      <c r="CF269" s="63"/>
      <c r="CG269" s="63"/>
      <c r="CH269" s="63"/>
      <c r="CI269" s="103"/>
      <c r="CJ269" s="103"/>
      <c r="CK269" s="103"/>
      <c r="CL269" s="103"/>
    </row>
    <row r="270" spans="2:90" ht="13" x14ac:dyDescent="0.15">
      <c r="B270" s="13"/>
      <c r="C270" s="13"/>
      <c r="D270" s="13"/>
      <c r="E270" s="13"/>
      <c r="F270" s="13"/>
      <c r="G270" s="103"/>
      <c r="H270" s="103"/>
      <c r="I270" s="103"/>
      <c r="J270" s="103"/>
      <c r="K270" s="63"/>
      <c r="L270" s="63"/>
      <c r="M270" s="63"/>
      <c r="N270" s="63"/>
      <c r="O270" s="103"/>
      <c r="P270" s="103"/>
      <c r="Q270" s="103"/>
      <c r="R270" s="103"/>
      <c r="S270" s="63"/>
      <c r="T270" s="63"/>
      <c r="U270" s="63"/>
      <c r="V270" s="63"/>
      <c r="W270" s="103"/>
      <c r="X270" s="103"/>
      <c r="Y270" s="103"/>
      <c r="Z270" s="103"/>
      <c r="AA270" s="63"/>
      <c r="AB270" s="63"/>
      <c r="AC270" s="63"/>
      <c r="AD270" s="63"/>
      <c r="AE270" s="103"/>
      <c r="AF270" s="103"/>
      <c r="AG270" s="103"/>
      <c r="AH270" s="103"/>
      <c r="AI270" s="63"/>
      <c r="AJ270" s="63"/>
      <c r="AK270" s="63"/>
      <c r="AL270" s="63"/>
      <c r="AM270" s="103"/>
      <c r="AN270" s="103"/>
      <c r="AO270" s="103"/>
      <c r="AP270" s="103"/>
      <c r="AQ270" s="63"/>
      <c r="AR270" s="63"/>
      <c r="AS270" s="63"/>
      <c r="AT270" s="63"/>
      <c r="AU270" s="103"/>
      <c r="AV270" s="103"/>
      <c r="AW270" s="103"/>
      <c r="AX270" s="103"/>
      <c r="AY270" s="63"/>
      <c r="AZ270" s="63"/>
      <c r="BA270" s="63"/>
      <c r="BB270" s="63"/>
      <c r="BC270" s="103"/>
      <c r="BD270" s="103"/>
      <c r="BE270" s="103"/>
      <c r="BF270" s="103"/>
      <c r="BG270" s="63"/>
      <c r="BH270" s="63"/>
      <c r="BI270" s="63"/>
      <c r="BJ270" s="63"/>
      <c r="BK270" s="103"/>
      <c r="BL270" s="103"/>
      <c r="BM270" s="103"/>
      <c r="BN270" s="103"/>
      <c r="BO270" s="63"/>
      <c r="BP270" s="63"/>
      <c r="BQ270" s="63"/>
      <c r="BR270" s="63"/>
      <c r="BS270" s="103"/>
      <c r="BT270" s="103"/>
      <c r="BU270" s="103"/>
      <c r="BV270" s="103"/>
      <c r="BW270" s="63"/>
      <c r="BX270" s="63"/>
      <c r="BY270" s="63"/>
      <c r="BZ270" s="63"/>
      <c r="CA270" s="103"/>
      <c r="CB270" s="103"/>
      <c r="CC270" s="103"/>
      <c r="CD270" s="103"/>
      <c r="CE270" s="63"/>
      <c r="CF270" s="63"/>
      <c r="CG270" s="63"/>
      <c r="CH270" s="63"/>
      <c r="CI270" s="103"/>
      <c r="CJ270" s="103"/>
      <c r="CK270" s="103"/>
      <c r="CL270" s="103"/>
    </row>
    <row r="271" spans="2:90" ht="13" x14ac:dyDescent="0.15">
      <c r="B271" s="13"/>
      <c r="C271" s="13"/>
      <c r="D271" s="13"/>
      <c r="E271" s="13"/>
      <c r="F271" s="13"/>
      <c r="G271" s="103"/>
      <c r="H271" s="103"/>
      <c r="I271" s="103"/>
      <c r="J271" s="103"/>
      <c r="K271" s="63"/>
      <c r="L271" s="63"/>
      <c r="M271" s="63"/>
      <c r="N271" s="63"/>
      <c r="O271" s="103"/>
      <c r="P271" s="103"/>
      <c r="Q271" s="103"/>
      <c r="R271" s="103"/>
      <c r="S271" s="63"/>
      <c r="T271" s="63"/>
      <c r="U271" s="63"/>
      <c r="V271" s="63"/>
      <c r="W271" s="103"/>
      <c r="X271" s="103"/>
      <c r="Y271" s="103"/>
      <c r="Z271" s="103"/>
      <c r="AA271" s="63"/>
      <c r="AB271" s="63"/>
      <c r="AC271" s="63"/>
      <c r="AD271" s="63"/>
      <c r="AE271" s="103"/>
      <c r="AF271" s="103"/>
      <c r="AG271" s="103"/>
      <c r="AH271" s="103"/>
      <c r="AI271" s="63"/>
      <c r="AJ271" s="63"/>
      <c r="AK271" s="63"/>
      <c r="AL271" s="63"/>
      <c r="AM271" s="103"/>
      <c r="AN271" s="103"/>
      <c r="AO271" s="103"/>
      <c r="AP271" s="103"/>
      <c r="AQ271" s="63"/>
      <c r="AR271" s="63"/>
      <c r="AS271" s="63"/>
      <c r="AT271" s="63"/>
      <c r="AU271" s="103"/>
      <c r="AV271" s="103"/>
      <c r="AW271" s="103"/>
      <c r="AX271" s="103"/>
      <c r="AY271" s="63"/>
      <c r="AZ271" s="63"/>
      <c r="BA271" s="63"/>
      <c r="BB271" s="63"/>
      <c r="BC271" s="103"/>
      <c r="BD271" s="103"/>
      <c r="BE271" s="103"/>
      <c r="BF271" s="103"/>
      <c r="BG271" s="63"/>
      <c r="BH271" s="63"/>
      <c r="BI271" s="63"/>
      <c r="BJ271" s="63"/>
      <c r="BK271" s="103"/>
      <c r="BL271" s="103"/>
      <c r="BM271" s="103"/>
      <c r="BN271" s="103"/>
      <c r="BO271" s="63"/>
      <c r="BP271" s="63"/>
      <c r="BQ271" s="63"/>
      <c r="BR271" s="63"/>
      <c r="BS271" s="103"/>
      <c r="BT271" s="103"/>
      <c r="BU271" s="103"/>
      <c r="BV271" s="103"/>
      <c r="BW271" s="63"/>
      <c r="BX271" s="63"/>
      <c r="BY271" s="63"/>
      <c r="BZ271" s="63"/>
      <c r="CA271" s="103"/>
      <c r="CB271" s="103"/>
      <c r="CC271" s="103"/>
      <c r="CD271" s="103"/>
      <c r="CE271" s="63"/>
      <c r="CF271" s="63"/>
      <c r="CG271" s="63"/>
      <c r="CH271" s="63"/>
      <c r="CI271" s="103"/>
      <c r="CJ271" s="103"/>
      <c r="CK271" s="103"/>
      <c r="CL271" s="103"/>
    </row>
    <row r="272" spans="2:90" ht="13" x14ac:dyDescent="0.15">
      <c r="B272" s="13"/>
      <c r="C272" s="13"/>
      <c r="D272" s="13"/>
      <c r="E272" s="13"/>
      <c r="F272" s="13"/>
      <c r="G272" s="103"/>
      <c r="H272" s="103"/>
      <c r="I272" s="103"/>
      <c r="J272" s="103"/>
      <c r="K272" s="63"/>
      <c r="L272" s="63"/>
      <c r="M272" s="63"/>
      <c r="N272" s="63"/>
      <c r="O272" s="103"/>
      <c r="P272" s="103"/>
      <c r="Q272" s="103"/>
      <c r="R272" s="103"/>
      <c r="S272" s="63"/>
      <c r="T272" s="63"/>
      <c r="U272" s="63"/>
      <c r="V272" s="63"/>
      <c r="W272" s="103"/>
      <c r="X272" s="103"/>
      <c r="Y272" s="103"/>
      <c r="Z272" s="103"/>
      <c r="AA272" s="63"/>
      <c r="AB272" s="63"/>
      <c r="AC272" s="63"/>
      <c r="AD272" s="63"/>
      <c r="AE272" s="103"/>
      <c r="AF272" s="103"/>
      <c r="AG272" s="103"/>
      <c r="AH272" s="103"/>
      <c r="AI272" s="63"/>
      <c r="AJ272" s="63"/>
      <c r="AK272" s="63"/>
      <c r="AL272" s="63"/>
      <c r="AM272" s="103"/>
      <c r="AN272" s="103"/>
      <c r="AO272" s="103"/>
      <c r="AP272" s="103"/>
      <c r="AQ272" s="63"/>
      <c r="AR272" s="63"/>
      <c r="AS272" s="63"/>
      <c r="AT272" s="63"/>
      <c r="AU272" s="103"/>
      <c r="AV272" s="103"/>
      <c r="AW272" s="103"/>
      <c r="AX272" s="103"/>
      <c r="AY272" s="63"/>
      <c r="AZ272" s="63"/>
      <c r="BA272" s="63"/>
      <c r="BB272" s="63"/>
      <c r="BC272" s="103"/>
      <c r="BD272" s="103"/>
      <c r="BE272" s="103"/>
      <c r="BF272" s="103"/>
      <c r="BG272" s="63"/>
      <c r="BH272" s="63"/>
      <c r="BI272" s="63"/>
      <c r="BJ272" s="63"/>
      <c r="BK272" s="103"/>
      <c r="BL272" s="103"/>
      <c r="BM272" s="103"/>
      <c r="BN272" s="103"/>
      <c r="BO272" s="63"/>
      <c r="BP272" s="63"/>
      <c r="BQ272" s="63"/>
      <c r="BR272" s="63"/>
      <c r="BS272" s="103"/>
      <c r="BT272" s="103"/>
      <c r="BU272" s="103"/>
      <c r="BV272" s="103"/>
      <c r="BW272" s="63"/>
      <c r="BX272" s="63"/>
      <c r="BY272" s="63"/>
      <c r="BZ272" s="63"/>
      <c r="CA272" s="103"/>
      <c r="CB272" s="103"/>
      <c r="CC272" s="103"/>
      <c r="CD272" s="103"/>
      <c r="CE272" s="63"/>
      <c r="CF272" s="63"/>
      <c r="CG272" s="63"/>
      <c r="CH272" s="63"/>
      <c r="CI272" s="103"/>
      <c r="CJ272" s="103"/>
      <c r="CK272" s="103"/>
      <c r="CL272" s="103"/>
    </row>
    <row r="273" spans="2:90" ht="13" x14ac:dyDescent="0.15">
      <c r="B273" s="13"/>
      <c r="C273" s="13"/>
      <c r="D273" s="13"/>
      <c r="E273" s="13"/>
      <c r="F273" s="13"/>
      <c r="G273" s="103"/>
      <c r="H273" s="103"/>
      <c r="I273" s="103"/>
      <c r="J273" s="103"/>
      <c r="K273" s="63"/>
      <c r="L273" s="63"/>
      <c r="M273" s="63"/>
      <c r="N273" s="63"/>
      <c r="O273" s="103"/>
      <c r="P273" s="103"/>
      <c r="Q273" s="103"/>
      <c r="R273" s="103"/>
      <c r="S273" s="63"/>
      <c r="T273" s="63"/>
      <c r="U273" s="63"/>
      <c r="V273" s="63"/>
      <c r="W273" s="103"/>
      <c r="X273" s="103"/>
      <c r="Y273" s="103"/>
      <c r="Z273" s="103"/>
      <c r="AA273" s="63"/>
      <c r="AB273" s="63"/>
      <c r="AC273" s="63"/>
      <c r="AD273" s="63"/>
      <c r="AE273" s="103"/>
      <c r="AF273" s="103"/>
      <c r="AG273" s="103"/>
      <c r="AH273" s="103"/>
      <c r="AI273" s="63"/>
      <c r="AJ273" s="63"/>
      <c r="AK273" s="63"/>
      <c r="AL273" s="63"/>
      <c r="AM273" s="103"/>
      <c r="AN273" s="103"/>
      <c r="AO273" s="103"/>
      <c r="AP273" s="103"/>
      <c r="AQ273" s="63"/>
      <c r="AR273" s="63"/>
      <c r="AS273" s="63"/>
      <c r="AT273" s="63"/>
      <c r="AU273" s="103"/>
      <c r="AV273" s="103"/>
      <c r="AW273" s="103"/>
      <c r="AX273" s="103"/>
      <c r="AY273" s="63"/>
      <c r="AZ273" s="63"/>
      <c r="BA273" s="63"/>
      <c r="BB273" s="63"/>
      <c r="BC273" s="103"/>
      <c r="BD273" s="103"/>
      <c r="BE273" s="103"/>
      <c r="BF273" s="103"/>
      <c r="BG273" s="63"/>
      <c r="BH273" s="63"/>
      <c r="BI273" s="63"/>
      <c r="BJ273" s="63"/>
      <c r="BK273" s="103"/>
      <c r="BL273" s="103"/>
      <c r="BM273" s="103"/>
      <c r="BN273" s="103"/>
      <c r="BO273" s="63"/>
      <c r="BP273" s="63"/>
      <c r="BQ273" s="63"/>
      <c r="BR273" s="63"/>
      <c r="BS273" s="103"/>
      <c r="BT273" s="103"/>
      <c r="BU273" s="103"/>
      <c r="BV273" s="103"/>
      <c r="BW273" s="63"/>
      <c r="BX273" s="63"/>
      <c r="BY273" s="63"/>
      <c r="BZ273" s="63"/>
      <c r="CA273" s="103"/>
      <c r="CB273" s="103"/>
      <c r="CC273" s="103"/>
      <c r="CD273" s="103"/>
      <c r="CE273" s="63"/>
      <c r="CF273" s="63"/>
      <c r="CG273" s="63"/>
      <c r="CH273" s="63"/>
      <c r="CI273" s="103"/>
      <c r="CJ273" s="103"/>
      <c r="CK273" s="103"/>
      <c r="CL273" s="103"/>
    </row>
    <row r="274" spans="2:90" ht="13" x14ac:dyDescent="0.15">
      <c r="B274" s="13"/>
      <c r="C274" s="13"/>
      <c r="D274" s="13"/>
      <c r="E274" s="13"/>
      <c r="F274" s="13"/>
      <c r="G274" s="103"/>
      <c r="H274" s="103"/>
      <c r="I274" s="103"/>
      <c r="J274" s="103"/>
      <c r="K274" s="63"/>
      <c r="L274" s="63"/>
      <c r="M274" s="63"/>
      <c r="N274" s="63"/>
      <c r="O274" s="103"/>
      <c r="P274" s="103"/>
      <c r="Q274" s="103"/>
      <c r="R274" s="103"/>
      <c r="S274" s="63"/>
      <c r="T274" s="63"/>
      <c r="U274" s="63"/>
      <c r="V274" s="63"/>
      <c r="W274" s="103"/>
      <c r="X274" s="103"/>
      <c r="Y274" s="103"/>
      <c r="Z274" s="103"/>
      <c r="AA274" s="63"/>
      <c r="AB274" s="63"/>
      <c r="AC274" s="63"/>
      <c r="AD274" s="63"/>
      <c r="AE274" s="103"/>
      <c r="AF274" s="103"/>
      <c r="AG274" s="103"/>
      <c r="AH274" s="103"/>
      <c r="AI274" s="63"/>
      <c r="AJ274" s="63"/>
      <c r="AK274" s="63"/>
      <c r="AL274" s="63"/>
      <c r="AM274" s="103"/>
      <c r="AN274" s="103"/>
      <c r="AO274" s="103"/>
      <c r="AP274" s="103"/>
      <c r="AQ274" s="63"/>
      <c r="AR274" s="63"/>
      <c r="AS274" s="63"/>
      <c r="AT274" s="63"/>
      <c r="AU274" s="103"/>
      <c r="AV274" s="103"/>
      <c r="AW274" s="103"/>
      <c r="AX274" s="103"/>
      <c r="AY274" s="63"/>
      <c r="AZ274" s="63"/>
      <c r="BA274" s="63"/>
      <c r="BB274" s="63"/>
      <c r="BC274" s="103"/>
      <c r="BD274" s="103"/>
      <c r="BE274" s="103"/>
      <c r="BF274" s="103"/>
      <c r="BG274" s="63"/>
      <c r="BH274" s="63"/>
      <c r="BI274" s="63"/>
      <c r="BJ274" s="63"/>
      <c r="BK274" s="103"/>
      <c r="BL274" s="103"/>
      <c r="BM274" s="103"/>
      <c r="BN274" s="103"/>
      <c r="BO274" s="63"/>
      <c r="BP274" s="63"/>
      <c r="BQ274" s="63"/>
      <c r="BR274" s="63"/>
      <c r="BS274" s="103"/>
      <c r="BT274" s="103"/>
      <c r="BU274" s="103"/>
      <c r="BV274" s="103"/>
      <c r="BW274" s="63"/>
      <c r="BX274" s="63"/>
      <c r="BY274" s="63"/>
      <c r="BZ274" s="63"/>
      <c r="CA274" s="103"/>
      <c r="CB274" s="103"/>
      <c r="CC274" s="103"/>
      <c r="CD274" s="103"/>
      <c r="CE274" s="63"/>
      <c r="CF274" s="63"/>
      <c r="CG274" s="63"/>
      <c r="CH274" s="63"/>
      <c r="CI274" s="103"/>
      <c r="CJ274" s="103"/>
      <c r="CK274" s="103"/>
      <c r="CL274" s="103"/>
    </row>
    <row r="275" spans="2:90" ht="13" x14ac:dyDescent="0.15">
      <c r="B275" s="13"/>
      <c r="C275" s="13"/>
      <c r="D275" s="13"/>
      <c r="E275" s="13"/>
      <c r="F275" s="13"/>
      <c r="G275" s="103"/>
      <c r="H275" s="103"/>
      <c r="I275" s="103"/>
      <c r="J275" s="103"/>
      <c r="K275" s="63"/>
      <c r="L275" s="63"/>
      <c r="M275" s="63"/>
      <c r="N275" s="63"/>
      <c r="O275" s="103"/>
      <c r="P275" s="103"/>
      <c r="Q275" s="103"/>
      <c r="R275" s="103"/>
      <c r="S275" s="63"/>
      <c r="T275" s="63"/>
      <c r="U275" s="63"/>
      <c r="V275" s="63"/>
      <c r="W275" s="103"/>
      <c r="X275" s="103"/>
      <c r="Y275" s="103"/>
      <c r="Z275" s="103"/>
      <c r="AA275" s="63"/>
      <c r="AB275" s="63"/>
      <c r="AC275" s="63"/>
      <c r="AD275" s="63"/>
      <c r="AE275" s="103"/>
      <c r="AF275" s="103"/>
      <c r="AG275" s="103"/>
      <c r="AH275" s="103"/>
      <c r="AI275" s="63"/>
      <c r="AJ275" s="63"/>
      <c r="AK275" s="63"/>
      <c r="AL275" s="63"/>
      <c r="AM275" s="103"/>
      <c r="AN275" s="103"/>
      <c r="AO275" s="103"/>
      <c r="AP275" s="103"/>
      <c r="AQ275" s="63"/>
      <c r="AR275" s="63"/>
      <c r="AS275" s="63"/>
      <c r="AT275" s="63"/>
      <c r="AU275" s="103"/>
      <c r="AV275" s="103"/>
      <c r="AW275" s="103"/>
      <c r="AX275" s="103"/>
      <c r="AY275" s="63"/>
      <c r="AZ275" s="63"/>
      <c r="BA275" s="63"/>
      <c r="BB275" s="63"/>
      <c r="BC275" s="103"/>
      <c r="BD275" s="103"/>
      <c r="BE275" s="103"/>
      <c r="BF275" s="103"/>
      <c r="BG275" s="63"/>
      <c r="BH275" s="63"/>
      <c r="BI275" s="63"/>
      <c r="BJ275" s="63"/>
      <c r="BK275" s="103"/>
      <c r="BL275" s="103"/>
      <c r="BM275" s="103"/>
      <c r="BN275" s="103"/>
      <c r="BO275" s="63"/>
      <c r="BP275" s="63"/>
      <c r="BQ275" s="63"/>
      <c r="BR275" s="63"/>
      <c r="BS275" s="103"/>
      <c r="BT275" s="103"/>
      <c r="BU275" s="103"/>
      <c r="BV275" s="103"/>
      <c r="BW275" s="63"/>
      <c r="BX275" s="63"/>
      <c r="BY275" s="63"/>
      <c r="BZ275" s="63"/>
      <c r="CA275" s="103"/>
      <c r="CB275" s="103"/>
      <c r="CC275" s="103"/>
      <c r="CD275" s="103"/>
      <c r="CE275" s="63"/>
      <c r="CF275" s="63"/>
      <c r="CG275" s="63"/>
      <c r="CH275" s="63"/>
      <c r="CI275" s="103"/>
      <c r="CJ275" s="103"/>
      <c r="CK275" s="103"/>
      <c r="CL275" s="103"/>
    </row>
    <row r="276" spans="2:90" ht="13" x14ac:dyDescent="0.15">
      <c r="B276" s="13"/>
      <c r="C276" s="13"/>
      <c r="D276" s="13"/>
      <c r="E276" s="13"/>
      <c r="F276" s="13"/>
      <c r="G276" s="103"/>
      <c r="H276" s="103"/>
      <c r="I276" s="103"/>
      <c r="J276" s="103"/>
      <c r="K276" s="63"/>
      <c r="L276" s="63"/>
      <c r="M276" s="63"/>
      <c r="N276" s="63"/>
      <c r="O276" s="103"/>
      <c r="P276" s="103"/>
      <c r="Q276" s="103"/>
      <c r="R276" s="103"/>
      <c r="S276" s="63"/>
      <c r="T276" s="63"/>
      <c r="U276" s="63"/>
      <c r="V276" s="63"/>
      <c r="W276" s="103"/>
      <c r="X276" s="103"/>
      <c r="Y276" s="103"/>
      <c r="Z276" s="103"/>
      <c r="AA276" s="63"/>
      <c r="AB276" s="63"/>
      <c r="AC276" s="63"/>
      <c r="AD276" s="63"/>
      <c r="AE276" s="103"/>
      <c r="AF276" s="103"/>
      <c r="AG276" s="103"/>
      <c r="AH276" s="103"/>
      <c r="AI276" s="63"/>
      <c r="AJ276" s="63"/>
      <c r="AK276" s="63"/>
      <c r="AL276" s="63"/>
      <c r="AM276" s="103"/>
      <c r="AN276" s="103"/>
      <c r="AO276" s="103"/>
      <c r="AP276" s="103"/>
      <c r="AQ276" s="63"/>
      <c r="AR276" s="63"/>
      <c r="AS276" s="63"/>
      <c r="AT276" s="63"/>
      <c r="AU276" s="103"/>
      <c r="AV276" s="103"/>
      <c r="AW276" s="103"/>
      <c r="AX276" s="103"/>
      <c r="AY276" s="63"/>
      <c r="AZ276" s="63"/>
      <c r="BA276" s="63"/>
      <c r="BB276" s="63"/>
      <c r="BC276" s="103"/>
      <c r="BD276" s="103"/>
      <c r="BE276" s="103"/>
      <c r="BF276" s="103"/>
      <c r="BG276" s="63"/>
      <c r="BH276" s="63"/>
      <c r="BI276" s="63"/>
      <c r="BJ276" s="63"/>
      <c r="BK276" s="103"/>
      <c r="BL276" s="103"/>
      <c r="BM276" s="103"/>
      <c r="BN276" s="103"/>
      <c r="BO276" s="63"/>
      <c r="BP276" s="63"/>
      <c r="BQ276" s="63"/>
      <c r="BR276" s="63"/>
      <c r="BS276" s="103"/>
      <c r="BT276" s="103"/>
      <c r="BU276" s="103"/>
      <c r="BV276" s="103"/>
      <c r="BW276" s="63"/>
      <c r="BX276" s="63"/>
      <c r="BY276" s="63"/>
      <c r="BZ276" s="63"/>
      <c r="CA276" s="103"/>
      <c r="CB276" s="103"/>
      <c r="CC276" s="103"/>
      <c r="CD276" s="103"/>
      <c r="CE276" s="63"/>
      <c r="CF276" s="63"/>
      <c r="CG276" s="63"/>
      <c r="CH276" s="63"/>
      <c r="CI276" s="103"/>
      <c r="CJ276" s="103"/>
      <c r="CK276" s="103"/>
      <c r="CL276" s="103"/>
    </row>
    <row r="277" spans="2:90" ht="13" x14ac:dyDescent="0.15">
      <c r="B277" s="13"/>
      <c r="C277" s="13"/>
      <c r="D277" s="13"/>
      <c r="E277" s="13"/>
      <c r="F277" s="13"/>
      <c r="G277" s="103"/>
      <c r="H277" s="103"/>
      <c r="I277" s="103"/>
      <c r="J277" s="103"/>
      <c r="K277" s="63"/>
      <c r="L277" s="63"/>
      <c r="M277" s="63"/>
      <c r="N277" s="63"/>
      <c r="O277" s="103"/>
      <c r="P277" s="103"/>
      <c r="Q277" s="103"/>
      <c r="R277" s="103"/>
      <c r="S277" s="63"/>
      <c r="T277" s="63"/>
      <c r="U277" s="63"/>
      <c r="V277" s="63"/>
      <c r="W277" s="103"/>
      <c r="X277" s="103"/>
      <c r="Y277" s="103"/>
      <c r="Z277" s="103"/>
      <c r="AA277" s="63"/>
      <c r="AB277" s="63"/>
      <c r="AC277" s="63"/>
      <c r="AD277" s="63"/>
      <c r="AE277" s="103"/>
      <c r="AF277" s="103"/>
      <c r="AG277" s="103"/>
      <c r="AH277" s="103"/>
      <c r="AI277" s="63"/>
      <c r="AJ277" s="63"/>
      <c r="AK277" s="63"/>
      <c r="AL277" s="63"/>
      <c r="AM277" s="103"/>
      <c r="AN277" s="103"/>
      <c r="AO277" s="103"/>
      <c r="AP277" s="103"/>
      <c r="AQ277" s="63"/>
      <c r="AR277" s="63"/>
      <c r="AS277" s="63"/>
      <c r="AT277" s="63"/>
      <c r="AU277" s="103"/>
      <c r="AV277" s="103"/>
      <c r="AW277" s="103"/>
      <c r="AX277" s="103"/>
      <c r="AY277" s="63"/>
      <c r="AZ277" s="63"/>
      <c r="BA277" s="63"/>
      <c r="BB277" s="63"/>
      <c r="BC277" s="103"/>
      <c r="BD277" s="103"/>
      <c r="BE277" s="103"/>
      <c r="BF277" s="103"/>
      <c r="BG277" s="63"/>
      <c r="BH277" s="63"/>
      <c r="BI277" s="63"/>
      <c r="BJ277" s="63"/>
      <c r="BK277" s="103"/>
      <c r="BL277" s="103"/>
      <c r="BM277" s="103"/>
      <c r="BN277" s="103"/>
      <c r="BO277" s="63"/>
      <c r="BP277" s="63"/>
      <c r="BQ277" s="63"/>
      <c r="BR277" s="63"/>
      <c r="BS277" s="103"/>
      <c r="BT277" s="103"/>
      <c r="BU277" s="103"/>
      <c r="BV277" s="103"/>
      <c r="BW277" s="63"/>
      <c r="BX277" s="63"/>
      <c r="BY277" s="63"/>
      <c r="BZ277" s="63"/>
      <c r="CA277" s="103"/>
      <c r="CB277" s="103"/>
      <c r="CC277" s="103"/>
      <c r="CD277" s="103"/>
      <c r="CE277" s="63"/>
      <c r="CF277" s="63"/>
      <c r="CG277" s="63"/>
      <c r="CH277" s="63"/>
      <c r="CI277" s="103"/>
      <c r="CJ277" s="103"/>
      <c r="CK277" s="103"/>
      <c r="CL277" s="103"/>
    </row>
    <row r="278" spans="2:90" ht="13" x14ac:dyDescent="0.15">
      <c r="B278" s="13"/>
      <c r="C278" s="13"/>
      <c r="D278" s="13"/>
      <c r="E278" s="13"/>
      <c r="F278" s="13"/>
      <c r="G278" s="103"/>
      <c r="H278" s="103"/>
      <c r="I278" s="103"/>
      <c r="J278" s="103"/>
      <c r="K278" s="63"/>
      <c r="L278" s="63"/>
      <c r="M278" s="63"/>
      <c r="N278" s="63"/>
      <c r="O278" s="103"/>
      <c r="P278" s="103"/>
      <c r="Q278" s="103"/>
      <c r="R278" s="103"/>
      <c r="S278" s="63"/>
      <c r="T278" s="63"/>
      <c r="U278" s="63"/>
      <c r="V278" s="63"/>
      <c r="W278" s="103"/>
      <c r="X278" s="103"/>
      <c r="Y278" s="103"/>
      <c r="Z278" s="103"/>
      <c r="AA278" s="63"/>
      <c r="AB278" s="63"/>
      <c r="AC278" s="63"/>
      <c r="AD278" s="63"/>
      <c r="AE278" s="103"/>
      <c r="AF278" s="103"/>
      <c r="AG278" s="103"/>
      <c r="AH278" s="103"/>
      <c r="AI278" s="63"/>
      <c r="AJ278" s="63"/>
      <c r="AK278" s="63"/>
      <c r="AL278" s="63"/>
      <c r="AM278" s="103"/>
      <c r="AN278" s="103"/>
      <c r="AO278" s="103"/>
      <c r="AP278" s="103"/>
      <c r="AQ278" s="63"/>
      <c r="AR278" s="63"/>
      <c r="AS278" s="63"/>
      <c r="AT278" s="63"/>
      <c r="AU278" s="103"/>
      <c r="AV278" s="103"/>
      <c r="AW278" s="103"/>
      <c r="AX278" s="103"/>
      <c r="AY278" s="63"/>
      <c r="AZ278" s="63"/>
      <c r="BA278" s="63"/>
      <c r="BB278" s="63"/>
      <c r="BC278" s="103"/>
      <c r="BD278" s="103"/>
      <c r="BE278" s="103"/>
      <c r="BF278" s="103"/>
      <c r="BG278" s="63"/>
      <c r="BH278" s="63"/>
      <c r="BI278" s="63"/>
      <c r="BJ278" s="63"/>
      <c r="BK278" s="103"/>
      <c r="BL278" s="103"/>
      <c r="BM278" s="103"/>
      <c r="BN278" s="103"/>
      <c r="BO278" s="63"/>
      <c r="BP278" s="63"/>
      <c r="BQ278" s="63"/>
      <c r="BR278" s="63"/>
      <c r="BS278" s="103"/>
      <c r="BT278" s="103"/>
      <c r="BU278" s="103"/>
      <c r="BV278" s="103"/>
      <c r="BW278" s="63"/>
      <c r="BX278" s="63"/>
      <c r="BY278" s="63"/>
      <c r="BZ278" s="63"/>
      <c r="CA278" s="103"/>
      <c r="CB278" s="103"/>
      <c r="CC278" s="103"/>
      <c r="CD278" s="103"/>
      <c r="CE278" s="63"/>
      <c r="CF278" s="63"/>
      <c r="CG278" s="63"/>
      <c r="CH278" s="63"/>
      <c r="CI278" s="103"/>
      <c r="CJ278" s="103"/>
      <c r="CK278" s="103"/>
      <c r="CL278" s="103"/>
    </row>
    <row r="279" spans="2:90" ht="13" x14ac:dyDescent="0.15">
      <c r="B279" s="13"/>
      <c r="C279" s="13"/>
      <c r="D279" s="13"/>
      <c r="E279" s="13"/>
      <c r="F279" s="13"/>
      <c r="G279" s="103"/>
      <c r="H279" s="103"/>
      <c r="I279" s="103"/>
      <c r="J279" s="103"/>
      <c r="K279" s="63"/>
      <c r="L279" s="63"/>
      <c r="M279" s="63"/>
      <c r="N279" s="63"/>
      <c r="O279" s="103"/>
      <c r="P279" s="103"/>
      <c r="Q279" s="103"/>
      <c r="R279" s="103"/>
      <c r="S279" s="63"/>
      <c r="T279" s="63"/>
      <c r="U279" s="63"/>
      <c r="V279" s="63"/>
      <c r="W279" s="103"/>
      <c r="X279" s="103"/>
      <c r="Y279" s="103"/>
      <c r="Z279" s="103"/>
      <c r="AA279" s="63"/>
      <c r="AB279" s="63"/>
      <c r="AC279" s="63"/>
      <c r="AD279" s="63"/>
      <c r="AE279" s="103"/>
      <c r="AF279" s="103"/>
      <c r="AG279" s="103"/>
      <c r="AH279" s="103"/>
      <c r="AI279" s="63"/>
      <c r="AJ279" s="63"/>
      <c r="AK279" s="63"/>
      <c r="AL279" s="63"/>
      <c r="AM279" s="103"/>
      <c r="AN279" s="103"/>
      <c r="AO279" s="103"/>
      <c r="AP279" s="103"/>
      <c r="AQ279" s="63"/>
      <c r="AR279" s="63"/>
      <c r="AS279" s="63"/>
      <c r="AT279" s="63"/>
      <c r="AU279" s="103"/>
      <c r="AV279" s="103"/>
      <c r="AW279" s="103"/>
      <c r="AX279" s="103"/>
      <c r="AY279" s="63"/>
      <c r="AZ279" s="63"/>
      <c r="BA279" s="63"/>
      <c r="BB279" s="63"/>
      <c r="BC279" s="103"/>
      <c r="BD279" s="103"/>
      <c r="BE279" s="103"/>
      <c r="BF279" s="103"/>
      <c r="BG279" s="63"/>
      <c r="BH279" s="63"/>
      <c r="BI279" s="63"/>
      <c r="BJ279" s="63"/>
      <c r="BK279" s="103"/>
      <c r="BL279" s="103"/>
      <c r="BM279" s="103"/>
      <c r="BN279" s="103"/>
      <c r="BO279" s="63"/>
      <c r="BP279" s="63"/>
      <c r="BQ279" s="63"/>
      <c r="BR279" s="63"/>
      <c r="BS279" s="103"/>
      <c r="BT279" s="103"/>
      <c r="BU279" s="103"/>
      <c r="BV279" s="103"/>
      <c r="BW279" s="63"/>
      <c r="BX279" s="63"/>
      <c r="BY279" s="63"/>
      <c r="BZ279" s="63"/>
      <c r="CA279" s="103"/>
      <c r="CB279" s="103"/>
      <c r="CC279" s="103"/>
      <c r="CD279" s="103"/>
      <c r="CE279" s="63"/>
      <c r="CF279" s="63"/>
      <c r="CG279" s="63"/>
      <c r="CH279" s="63"/>
      <c r="CI279" s="103"/>
      <c r="CJ279" s="103"/>
      <c r="CK279" s="103"/>
      <c r="CL279" s="103"/>
    </row>
    <row r="280" spans="2:90" ht="13" x14ac:dyDescent="0.15">
      <c r="B280" s="13"/>
      <c r="C280" s="13"/>
      <c r="D280" s="13"/>
      <c r="E280" s="13"/>
      <c r="F280" s="13"/>
      <c r="G280" s="103"/>
      <c r="H280" s="103"/>
      <c r="I280" s="103"/>
      <c r="J280" s="103"/>
      <c r="K280" s="63"/>
      <c r="L280" s="63"/>
      <c r="M280" s="63"/>
      <c r="N280" s="63"/>
      <c r="O280" s="103"/>
      <c r="P280" s="103"/>
      <c r="Q280" s="103"/>
      <c r="R280" s="103"/>
      <c r="S280" s="63"/>
      <c r="T280" s="63"/>
      <c r="U280" s="63"/>
      <c r="V280" s="63"/>
      <c r="W280" s="103"/>
      <c r="X280" s="103"/>
      <c r="Y280" s="103"/>
      <c r="Z280" s="103"/>
      <c r="AA280" s="63"/>
      <c r="AB280" s="63"/>
      <c r="AC280" s="63"/>
      <c r="AD280" s="63"/>
      <c r="AE280" s="103"/>
      <c r="AF280" s="103"/>
      <c r="AG280" s="103"/>
      <c r="AH280" s="103"/>
      <c r="AI280" s="63"/>
      <c r="AJ280" s="63"/>
      <c r="AK280" s="63"/>
      <c r="AL280" s="63"/>
      <c r="AM280" s="103"/>
      <c r="AN280" s="103"/>
      <c r="AO280" s="103"/>
      <c r="AP280" s="103"/>
      <c r="AQ280" s="63"/>
      <c r="AR280" s="63"/>
      <c r="AS280" s="63"/>
      <c r="AT280" s="63"/>
      <c r="AU280" s="103"/>
      <c r="AV280" s="103"/>
      <c r="AW280" s="103"/>
      <c r="AX280" s="103"/>
      <c r="AY280" s="63"/>
      <c r="AZ280" s="63"/>
      <c r="BA280" s="63"/>
      <c r="BB280" s="63"/>
      <c r="BC280" s="103"/>
      <c r="BD280" s="103"/>
      <c r="BE280" s="103"/>
      <c r="BF280" s="103"/>
      <c r="BG280" s="63"/>
      <c r="BH280" s="63"/>
      <c r="BI280" s="63"/>
      <c r="BJ280" s="63"/>
      <c r="BK280" s="103"/>
      <c r="BL280" s="103"/>
      <c r="BM280" s="103"/>
      <c r="BN280" s="103"/>
      <c r="BO280" s="63"/>
      <c r="BP280" s="63"/>
      <c r="BQ280" s="63"/>
      <c r="BR280" s="63"/>
      <c r="BS280" s="103"/>
      <c r="BT280" s="103"/>
      <c r="BU280" s="103"/>
      <c r="BV280" s="103"/>
      <c r="BW280" s="63"/>
      <c r="BX280" s="63"/>
      <c r="BY280" s="63"/>
      <c r="BZ280" s="63"/>
      <c r="CA280" s="103"/>
      <c r="CB280" s="103"/>
      <c r="CC280" s="103"/>
      <c r="CD280" s="103"/>
      <c r="CE280" s="63"/>
      <c r="CF280" s="63"/>
      <c r="CG280" s="63"/>
      <c r="CH280" s="63"/>
      <c r="CI280" s="103"/>
      <c r="CJ280" s="103"/>
      <c r="CK280" s="103"/>
      <c r="CL280" s="103"/>
    </row>
    <row r="281" spans="2:90" ht="13" x14ac:dyDescent="0.15">
      <c r="B281" s="13"/>
      <c r="C281" s="13"/>
      <c r="D281" s="13"/>
      <c r="E281" s="13"/>
      <c r="F281" s="13"/>
      <c r="G281" s="103"/>
      <c r="H281" s="103"/>
      <c r="I281" s="103"/>
      <c r="J281" s="103"/>
      <c r="K281" s="63"/>
      <c r="L281" s="63"/>
      <c r="M281" s="63"/>
      <c r="N281" s="63"/>
      <c r="O281" s="103"/>
      <c r="P281" s="103"/>
      <c r="Q281" s="103"/>
      <c r="R281" s="103"/>
      <c r="S281" s="63"/>
      <c r="T281" s="63"/>
      <c r="U281" s="63"/>
      <c r="V281" s="63"/>
      <c r="W281" s="103"/>
      <c r="X281" s="103"/>
      <c r="Y281" s="103"/>
      <c r="Z281" s="103"/>
      <c r="AA281" s="63"/>
      <c r="AB281" s="63"/>
      <c r="AC281" s="63"/>
      <c r="AD281" s="63"/>
      <c r="AE281" s="103"/>
      <c r="AF281" s="103"/>
      <c r="AG281" s="103"/>
      <c r="AH281" s="103"/>
      <c r="AI281" s="63"/>
      <c r="AJ281" s="63"/>
      <c r="AK281" s="63"/>
      <c r="AL281" s="63"/>
      <c r="AM281" s="103"/>
      <c r="AN281" s="103"/>
      <c r="AO281" s="103"/>
      <c r="AP281" s="103"/>
      <c r="AQ281" s="63"/>
      <c r="AR281" s="63"/>
      <c r="AS281" s="63"/>
      <c r="AT281" s="63"/>
      <c r="AU281" s="103"/>
      <c r="AV281" s="103"/>
      <c r="AW281" s="103"/>
      <c r="AX281" s="103"/>
      <c r="AY281" s="63"/>
      <c r="AZ281" s="63"/>
      <c r="BA281" s="63"/>
      <c r="BB281" s="63"/>
      <c r="BC281" s="103"/>
      <c r="BD281" s="103"/>
      <c r="BE281" s="103"/>
      <c r="BF281" s="103"/>
      <c r="BG281" s="63"/>
      <c r="BH281" s="63"/>
      <c r="BI281" s="63"/>
      <c r="BJ281" s="63"/>
      <c r="BK281" s="103"/>
      <c r="BL281" s="103"/>
      <c r="BM281" s="103"/>
      <c r="BN281" s="103"/>
      <c r="BO281" s="63"/>
      <c r="BP281" s="63"/>
      <c r="BQ281" s="63"/>
      <c r="BR281" s="63"/>
      <c r="BS281" s="103"/>
      <c r="BT281" s="103"/>
      <c r="BU281" s="103"/>
      <c r="BV281" s="103"/>
      <c r="BW281" s="63"/>
      <c r="BX281" s="63"/>
      <c r="BY281" s="63"/>
      <c r="BZ281" s="63"/>
      <c r="CA281" s="103"/>
      <c r="CB281" s="103"/>
      <c r="CC281" s="103"/>
      <c r="CD281" s="103"/>
      <c r="CE281" s="63"/>
      <c r="CF281" s="63"/>
      <c r="CG281" s="63"/>
      <c r="CH281" s="63"/>
      <c r="CI281" s="103"/>
      <c r="CJ281" s="103"/>
      <c r="CK281" s="103"/>
      <c r="CL281" s="103"/>
    </row>
    <row r="282" spans="2:90" ht="13" x14ac:dyDescent="0.15">
      <c r="B282" s="13"/>
      <c r="C282" s="13"/>
      <c r="D282" s="13"/>
      <c r="E282" s="13"/>
      <c r="F282" s="13"/>
      <c r="G282" s="103"/>
      <c r="H282" s="103"/>
      <c r="I282" s="103"/>
      <c r="J282" s="103"/>
      <c r="K282" s="63"/>
      <c r="L282" s="63"/>
      <c r="M282" s="63"/>
      <c r="N282" s="63"/>
      <c r="O282" s="103"/>
      <c r="P282" s="103"/>
      <c r="Q282" s="103"/>
      <c r="R282" s="103"/>
      <c r="S282" s="63"/>
      <c r="T282" s="63"/>
      <c r="U282" s="63"/>
      <c r="V282" s="63"/>
      <c r="W282" s="103"/>
      <c r="X282" s="103"/>
      <c r="Y282" s="103"/>
      <c r="Z282" s="103"/>
      <c r="AA282" s="63"/>
      <c r="AB282" s="63"/>
      <c r="AC282" s="63"/>
      <c r="AD282" s="63"/>
      <c r="AE282" s="103"/>
      <c r="AF282" s="103"/>
      <c r="AG282" s="103"/>
      <c r="AH282" s="103"/>
      <c r="AI282" s="63"/>
      <c r="AJ282" s="63"/>
      <c r="AK282" s="63"/>
      <c r="AL282" s="63"/>
      <c r="AM282" s="103"/>
      <c r="AN282" s="103"/>
      <c r="AO282" s="103"/>
      <c r="AP282" s="103"/>
      <c r="AQ282" s="63"/>
      <c r="AR282" s="63"/>
      <c r="AS282" s="63"/>
      <c r="AT282" s="63"/>
      <c r="AU282" s="103"/>
      <c r="AV282" s="103"/>
      <c r="AW282" s="103"/>
      <c r="AX282" s="103"/>
      <c r="AY282" s="63"/>
      <c r="AZ282" s="63"/>
      <c r="BA282" s="63"/>
      <c r="BB282" s="63"/>
      <c r="BC282" s="103"/>
      <c r="BD282" s="103"/>
      <c r="BE282" s="103"/>
      <c r="BF282" s="103"/>
      <c r="BG282" s="63"/>
      <c r="BH282" s="63"/>
      <c r="BI282" s="63"/>
      <c r="BJ282" s="63"/>
      <c r="BK282" s="103"/>
      <c r="BL282" s="103"/>
      <c r="BM282" s="103"/>
      <c r="BN282" s="103"/>
      <c r="BO282" s="63"/>
      <c r="BP282" s="63"/>
      <c r="BQ282" s="63"/>
      <c r="BR282" s="63"/>
      <c r="BS282" s="103"/>
      <c r="BT282" s="103"/>
      <c r="BU282" s="103"/>
      <c r="BV282" s="103"/>
      <c r="BW282" s="63"/>
      <c r="BX282" s="63"/>
      <c r="BY282" s="63"/>
      <c r="BZ282" s="63"/>
      <c r="CA282" s="103"/>
      <c r="CB282" s="103"/>
      <c r="CC282" s="103"/>
      <c r="CD282" s="103"/>
      <c r="CE282" s="63"/>
      <c r="CF282" s="63"/>
      <c r="CG282" s="63"/>
      <c r="CH282" s="63"/>
      <c r="CI282" s="103"/>
      <c r="CJ282" s="103"/>
      <c r="CK282" s="103"/>
      <c r="CL282" s="103"/>
    </row>
    <row r="283" spans="2:90" ht="13" x14ac:dyDescent="0.15">
      <c r="B283" s="13"/>
      <c r="C283" s="13"/>
      <c r="D283" s="13"/>
      <c r="E283" s="13"/>
      <c r="F283" s="13"/>
      <c r="G283" s="103"/>
      <c r="H283" s="103"/>
      <c r="I283" s="103"/>
      <c r="J283" s="103"/>
      <c r="K283" s="63"/>
      <c r="L283" s="63"/>
      <c r="M283" s="63"/>
      <c r="N283" s="63"/>
      <c r="O283" s="103"/>
      <c r="P283" s="103"/>
      <c r="Q283" s="103"/>
      <c r="R283" s="103"/>
      <c r="S283" s="63"/>
      <c r="T283" s="63"/>
      <c r="U283" s="63"/>
      <c r="V283" s="63"/>
      <c r="W283" s="103"/>
      <c r="X283" s="103"/>
      <c r="Y283" s="103"/>
      <c r="Z283" s="103"/>
      <c r="AA283" s="63"/>
      <c r="AB283" s="63"/>
      <c r="AC283" s="63"/>
      <c r="AD283" s="63"/>
      <c r="AE283" s="103"/>
      <c r="AF283" s="103"/>
      <c r="AG283" s="103"/>
      <c r="AH283" s="103"/>
      <c r="AI283" s="63"/>
      <c r="AJ283" s="63"/>
      <c r="AK283" s="63"/>
      <c r="AL283" s="63"/>
      <c r="AM283" s="103"/>
      <c r="AN283" s="103"/>
      <c r="AO283" s="103"/>
      <c r="AP283" s="103"/>
      <c r="AQ283" s="63"/>
      <c r="AR283" s="63"/>
      <c r="AS283" s="63"/>
      <c r="AT283" s="63"/>
      <c r="AU283" s="103"/>
      <c r="AV283" s="103"/>
      <c r="AW283" s="103"/>
      <c r="AX283" s="103"/>
      <c r="AY283" s="63"/>
      <c r="AZ283" s="63"/>
      <c r="BA283" s="63"/>
      <c r="BB283" s="63"/>
      <c r="BC283" s="103"/>
      <c r="BD283" s="103"/>
      <c r="BE283" s="103"/>
      <c r="BF283" s="103"/>
      <c r="BG283" s="63"/>
      <c r="BH283" s="63"/>
      <c r="BI283" s="63"/>
      <c r="BJ283" s="63"/>
      <c r="BK283" s="103"/>
      <c r="BL283" s="103"/>
      <c r="BM283" s="103"/>
      <c r="BN283" s="103"/>
      <c r="BO283" s="63"/>
      <c r="BP283" s="63"/>
      <c r="BQ283" s="63"/>
      <c r="BR283" s="63"/>
      <c r="BS283" s="103"/>
      <c r="BT283" s="103"/>
      <c r="BU283" s="103"/>
      <c r="BV283" s="103"/>
      <c r="BW283" s="63"/>
      <c r="BX283" s="63"/>
      <c r="BY283" s="63"/>
      <c r="BZ283" s="63"/>
      <c r="CA283" s="103"/>
      <c r="CB283" s="103"/>
      <c r="CC283" s="103"/>
      <c r="CD283" s="103"/>
      <c r="CE283" s="63"/>
      <c r="CF283" s="63"/>
      <c r="CG283" s="63"/>
      <c r="CH283" s="63"/>
      <c r="CI283" s="103"/>
      <c r="CJ283" s="103"/>
      <c r="CK283" s="103"/>
      <c r="CL283" s="103"/>
    </row>
    <row r="284" spans="2:90" ht="13" x14ac:dyDescent="0.15">
      <c r="B284" s="13"/>
      <c r="C284" s="13"/>
      <c r="D284" s="13"/>
      <c r="E284" s="13"/>
      <c r="F284" s="13"/>
      <c r="G284" s="103"/>
      <c r="H284" s="103"/>
      <c r="I284" s="103"/>
      <c r="J284" s="103"/>
      <c r="K284" s="63"/>
      <c r="L284" s="63"/>
      <c r="M284" s="63"/>
      <c r="N284" s="63"/>
      <c r="O284" s="103"/>
      <c r="P284" s="103"/>
      <c r="Q284" s="103"/>
      <c r="R284" s="103"/>
      <c r="S284" s="63"/>
      <c r="T284" s="63"/>
      <c r="U284" s="63"/>
      <c r="V284" s="63"/>
      <c r="W284" s="103"/>
      <c r="X284" s="103"/>
      <c r="Y284" s="103"/>
      <c r="Z284" s="103"/>
      <c r="AA284" s="63"/>
      <c r="AB284" s="63"/>
      <c r="AC284" s="63"/>
      <c r="AD284" s="63"/>
      <c r="AE284" s="103"/>
      <c r="AF284" s="103"/>
      <c r="AG284" s="103"/>
      <c r="AH284" s="103"/>
      <c r="AI284" s="63"/>
      <c r="AJ284" s="63"/>
      <c r="AK284" s="63"/>
      <c r="AL284" s="63"/>
      <c r="AM284" s="103"/>
      <c r="AN284" s="103"/>
      <c r="AO284" s="103"/>
      <c r="AP284" s="103"/>
      <c r="AQ284" s="63"/>
      <c r="AR284" s="63"/>
      <c r="AS284" s="63"/>
      <c r="AT284" s="63"/>
      <c r="AU284" s="103"/>
      <c r="AV284" s="103"/>
      <c r="AW284" s="103"/>
      <c r="AX284" s="103"/>
      <c r="AY284" s="63"/>
      <c r="AZ284" s="63"/>
      <c r="BA284" s="63"/>
      <c r="BB284" s="63"/>
      <c r="BC284" s="103"/>
      <c r="BD284" s="103"/>
      <c r="BE284" s="103"/>
      <c r="BF284" s="103"/>
      <c r="BG284" s="63"/>
      <c r="BH284" s="63"/>
      <c r="BI284" s="63"/>
      <c r="BJ284" s="63"/>
      <c r="BK284" s="103"/>
      <c r="BL284" s="103"/>
      <c r="BM284" s="103"/>
      <c r="BN284" s="103"/>
      <c r="BO284" s="63"/>
      <c r="BP284" s="63"/>
      <c r="BQ284" s="63"/>
      <c r="BR284" s="63"/>
      <c r="BS284" s="103"/>
      <c r="BT284" s="103"/>
      <c r="BU284" s="103"/>
      <c r="BV284" s="103"/>
      <c r="BW284" s="63"/>
      <c r="BX284" s="63"/>
      <c r="BY284" s="63"/>
      <c r="BZ284" s="63"/>
      <c r="CA284" s="103"/>
      <c r="CB284" s="103"/>
      <c r="CC284" s="103"/>
      <c r="CD284" s="103"/>
      <c r="CE284" s="63"/>
      <c r="CF284" s="63"/>
      <c r="CG284" s="63"/>
      <c r="CH284" s="63"/>
      <c r="CI284" s="103"/>
      <c r="CJ284" s="103"/>
      <c r="CK284" s="103"/>
      <c r="CL284" s="103"/>
    </row>
    <row r="285" spans="2:90" ht="13" x14ac:dyDescent="0.15">
      <c r="B285" s="13"/>
      <c r="C285" s="13"/>
      <c r="D285" s="13"/>
      <c r="E285" s="13"/>
      <c r="F285" s="13"/>
      <c r="G285" s="103"/>
      <c r="H285" s="103"/>
      <c r="I285" s="103"/>
      <c r="J285" s="103"/>
      <c r="K285" s="63"/>
      <c r="L285" s="63"/>
      <c r="M285" s="63"/>
      <c r="N285" s="63"/>
      <c r="O285" s="103"/>
      <c r="P285" s="103"/>
      <c r="Q285" s="103"/>
      <c r="R285" s="103"/>
      <c r="S285" s="63"/>
      <c r="T285" s="63"/>
      <c r="U285" s="63"/>
      <c r="V285" s="63"/>
      <c r="W285" s="103"/>
      <c r="X285" s="103"/>
      <c r="Y285" s="103"/>
      <c r="Z285" s="103"/>
      <c r="AA285" s="63"/>
      <c r="AB285" s="63"/>
      <c r="AC285" s="63"/>
      <c r="AD285" s="63"/>
      <c r="AE285" s="103"/>
      <c r="AF285" s="103"/>
      <c r="AG285" s="103"/>
      <c r="AH285" s="103"/>
      <c r="AI285" s="63"/>
      <c r="AJ285" s="63"/>
      <c r="AK285" s="63"/>
      <c r="AL285" s="63"/>
      <c r="AM285" s="103"/>
      <c r="AN285" s="103"/>
      <c r="AO285" s="103"/>
      <c r="AP285" s="103"/>
      <c r="AQ285" s="63"/>
      <c r="AR285" s="63"/>
      <c r="AS285" s="63"/>
      <c r="AT285" s="63"/>
      <c r="AU285" s="103"/>
      <c r="AV285" s="103"/>
      <c r="AW285" s="103"/>
      <c r="AX285" s="103"/>
      <c r="AY285" s="63"/>
      <c r="AZ285" s="63"/>
      <c r="BA285" s="63"/>
      <c r="BB285" s="63"/>
      <c r="BC285" s="103"/>
      <c r="BD285" s="103"/>
      <c r="BE285" s="103"/>
      <c r="BF285" s="103"/>
      <c r="BG285" s="63"/>
      <c r="BH285" s="63"/>
      <c r="BI285" s="63"/>
      <c r="BJ285" s="63"/>
      <c r="BK285" s="103"/>
      <c r="BL285" s="103"/>
      <c r="BM285" s="103"/>
      <c r="BN285" s="103"/>
      <c r="BO285" s="63"/>
      <c r="BP285" s="63"/>
      <c r="BQ285" s="63"/>
      <c r="BR285" s="63"/>
      <c r="BS285" s="103"/>
      <c r="BT285" s="103"/>
      <c r="BU285" s="103"/>
      <c r="BV285" s="103"/>
      <c r="BW285" s="63"/>
      <c r="BX285" s="63"/>
      <c r="BY285" s="63"/>
      <c r="BZ285" s="63"/>
      <c r="CA285" s="103"/>
      <c r="CB285" s="103"/>
      <c r="CC285" s="103"/>
      <c r="CD285" s="103"/>
      <c r="CE285" s="63"/>
      <c r="CF285" s="63"/>
      <c r="CG285" s="63"/>
      <c r="CH285" s="63"/>
      <c r="CI285" s="103"/>
      <c r="CJ285" s="103"/>
      <c r="CK285" s="103"/>
      <c r="CL285" s="103"/>
    </row>
    <row r="286" spans="2:90" ht="13" x14ac:dyDescent="0.15">
      <c r="B286" s="13"/>
      <c r="C286" s="13"/>
      <c r="D286" s="13"/>
      <c r="E286" s="13"/>
      <c r="F286" s="13"/>
      <c r="G286" s="103"/>
      <c r="H286" s="103"/>
      <c r="I286" s="103"/>
      <c r="J286" s="103"/>
      <c r="K286" s="63"/>
      <c r="L286" s="63"/>
      <c r="M286" s="63"/>
      <c r="N286" s="63"/>
      <c r="O286" s="103"/>
      <c r="P286" s="103"/>
      <c r="Q286" s="103"/>
      <c r="R286" s="103"/>
      <c r="S286" s="63"/>
      <c r="T286" s="63"/>
      <c r="U286" s="63"/>
      <c r="V286" s="63"/>
      <c r="W286" s="103"/>
      <c r="X286" s="103"/>
      <c r="Y286" s="103"/>
      <c r="Z286" s="103"/>
      <c r="AA286" s="63"/>
      <c r="AB286" s="63"/>
      <c r="AC286" s="63"/>
      <c r="AD286" s="63"/>
      <c r="AE286" s="103"/>
      <c r="AF286" s="103"/>
      <c r="AG286" s="103"/>
      <c r="AH286" s="103"/>
      <c r="AI286" s="63"/>
      <c r="AJ286" s="63"/>
      <c r="AK286" s="63"/>
      <c r="AL286" s="63"/>
      <c r="AM286" s="103"/>
      <c r="AN286" s="103"/>
      <c r="AO286" s="103"/>
      <c r="AP286" s="103"/>
      <c r="AQ286" s="63"/>
      <c r="AR286" s="63"/>
      <c r="AS286" s="63"/>
      <c r="AT286" s="63"/>
      <c r="AU286" s="103"/>
      <c r="AV286" s="103"/>
      <c r="AW286" s="103"/>
      <c r="AX286" s="103"/>
      <c r="AY286" s="63"/>
      <c r="AZ286" s="63"/>
      <c r="BA286" s="63"/>
      <c r="BB286" s="63"/>
      <c r="BC286" s="103"/>
      <c r="BD286" s="103"/>
      <c r="BE286" s="103"/>
      <c r="BF286" s="103"/>
      <c r="BG286" s="63"/>
      <c r="BH286" s="63"/>
      <c r="BI286" s="63"/>
      <c r="BJ286" s="63"/>
      <c r="BK286" s="103"/>
      <c r="BL286" s="103"/>
      <c r="BM286" s="103"/>
      <c r="BN286" s="103"/>
      <c r="BO286" s="63"/>
      <c r="BP286" s="63"/>
      <c r="BQ286" s="63"/>
      <c r="BR286" s="63"/>
      <c r="BS286" s="103"/>
      <c r="BT286" s="103"/>
      <c r="BU286" s="103"/>
      <c r="BV286" s="103"/>
      <c r="BW286" s="63"/>
      <c r="BX286" s="63"/>
      <c r="BY286" s="63"/>
      <c r="BZ286" s="63"/>
      <c r="CA286" s="103"/>
      <c r="CB286" s="103"/>
      <c r="CC286" s="103"/>
      <c r="CD286" s="103"/>
      <c r="CE286" s="63"/>
      <c r="CF286" s="63"/>
      <c r="CG286" s="63"/>
      <c r="CH286" s="63"/>
      <c r="CI286" s="103"/>
      <c r="CJ286" s="103"/>
      <c r="CK286" s="103"/>
      <c r="CL286" s="103"/>
    </row>
    <row r="287" spans="2:90" ht="13" x14ac:dyDescent="0.15">
      <c r="B287" s="13"/>
      <c r="C287" s="13"/>
      <c r="D287" s="13"/>
      <c r="E287" s="13"/>
      <c r="F287" s="13"/>
      <c r="G287" s="103"/>
      <c r="H287" s="103"/>
      <c r="I287" s="103"/>
      <c r="J287" s="103"/>
      <c r="K287" s="63"/>
      <c r="L287" s="63"/>
      <c r="M287" s="63"/>
      <c r="N287" s="63"/>
      <c r="O287" s="103"/>
      <c r="P287" s="103"/>
      <c r="Q287" s="103"/>
      <c r="R287" s="103"/>
      <c r="S287" s="63"/>
      <c r="T287" s="63"/>
      <c r="U287" s="63"/>
      <c r="V287" s="63"/>
      <c r="W287" s="103"/>
      <c r="X287" s="103"/>
      <c r="Y287" s="103"/>
      <c r="Z287" s="103"/>
      <c r="AA287" s="63"/>
      <c r="AB287" s="63"/>
      <c r="AC287" s="63"/>
      <c r="AD287" s="63"/>
      <c r="AE287" s="103"/>
      <c r="AF287" s="103"/>
      <c r="AG287" s="103"/>
      <c r="AH287" s="103"/>
      <c r="AI287" s="63"/>
      <c r="AJ287" s="63"/>
      <c r="AK287" s="63"/>
      <c r="AL287" s="63"/>
      <c r="AM287" s="103"/>
      <c r="AN287" s="103"/>
      <c r="AO287" s="103"/>
      <c r="AP287" s="103"/>
      <c r="AQ287" s="63"/>
      <c r="AR287" s="63"/>
      <c r="AS287" s="63"/>
      <c r="AT287" s="63"/>
      <c r="AU287" s="103"/>
      <c r="AV287" s="103"/>
      <c r="AW287" s="103"/>
      <c r="AX287" s="103"/>
      <c r="AY287" s="63"/>
      <c r="AZ287" s="63"/>
      <c r="BA287" s="63"/>
      <c r="BB287" s="63"/>
      <c r="BC287" s="103"/>
      <c r="BD287" s="103"/>
      <c r="BE287" s="103"/>
      <c r="BF287" s="103"/>
      <c r="BG287" s="63"/>
      <c r="BH287" s="63"/>
      <c r="BI287" s="63"/>
      <c r="BJ287" s="63"/>
      <c r="BK287" s="103"/>
      <c r="BL287" s="103"/>
      <c r="BM287" s="103"/>
      <c r="BN287" s="103"/>
      <c r="BO287" s="63"/>
      <c r="BP287" s="63"/>
      <c r="BQ287" s="63"/>
      <c r="BR287" s="63"/>
      <c r="BS287" s="103"/>
      <c r="BT287" s="103"/>
      <c r="BU287" s="103"/>
      <c r="BV287" s="103"/>
      <c r="BW287" s="63"/>
      <c r="BX287" s="63"/>
      <c r="BY287" s="63"/>
      <c r="BZ287" s="63"/>
      <c r="CA287" s="103"/>
      <c r="CB287" s="103"/>
      <c r="CC287" s="103"/>
      <c r="CD287" s="103"/>
      <c r="CE287" s="63"/>
      <c r="CF287" s="63"/>
      <c r="CG287" s="63"/>
      <c r="CH287" s="63"/>
      <c r="CI287" s="103"/>
      <c r="CJ287" s="103"/>
      <c r="CK287" s="103"/>
      <c r="CL287" s="103"/>
    </row>
    <row r="288" spans="2:90" ht="13" x14ac:dyDescent="0.15">
      <c r="B288" s="13"/>
      <c r="C288" s="13"/>
      <c r="D288" s="13"/>
      <c r="E288" s="13"/>
      <c r="F288" s="13"/>
      <c r="G288" s="103"/>
      <c r="H288" s="103"/>
      <c r="I288" s="103"/>
      <c r="J288" s="103"/>
      <c r="K288" s="63"/>
      <c r="L288" s="63"/>
      <c r="M288" s="63"/>
      <c r="N288" s="63"/>
      <c r="O288" s="103"/>
      <c r="P288" s="103"/>
      <c r="Q288" s="103"/>
      <c r="R288" s="103"/>
      <c r="S288" s="63"/>
      <c r="T288" s="63"/>
      <c r="U288" s="63"/>
      <c r="V288" s="63"/>
      <c r="W288" s="103"/>
      <c r="X288" s="103"/>
      <c r="Y288" s="103"/>
      <c r="Z288" s="103"/>
      <c r="AA288" s="63"/>
      <c r="AB288" s="63"/>
      <c r="AC288" s="63"/>
      <c r="AD288" s="63"/>
      <c r="AE288" s="103"/>
      <c r="AF288" s="103"/>
      <c r="AG288" s="103"/>
      <c r="AH288" s="103"/>
      <c r="AI288" s="63"/>
      <c r="AJ288" s="63"/>
      <c r="AK288" s="63"/>
      <c r="AL288" s="63"/>
      <c r="AM288" s="103"/>
      <c r="AN288" s="103"/>
      <c r="AO288" s="103"/>
      <c r="AP288" s="103"/>
      <c r="AQ288" s="63"/>
      <c r="AR288" s="63"/>
      <c r="AS288" s="63"/>
      <c r="AT288" s="63"/>
      <c r="AU288" s="103"/>
      <c r="AV288" s="103"/>
      <c r="AW288" s="103"/>
      <c r="AX288" s="103"/>
      <c r="AY288" s="63"/>
      <c r="AZ288" s="63"/>
      <c r="BA288" s="63"/>
      <c r="BB288" s="63"/>
      <c r="BC288" s="103"/>
      <c r="BD288" s="103"/>
      <c r="BE288" s="103"/>
      <c r="BF288" s="103"/>
      <c r="BG288" s="63"/>
      <c r="BH288" s="63"/>
      <c r="BI288" s="63"/>
      <c r="BJ288" s="63"/>
      <c r="BK288" s="103"/>
      <c r="BL288" s="103"/>
      <c r="BM288" s="103"/>
      <c r="BN288" s="103"/>
      <c r="BO288" s="63"/>
      <c r="BP288" s="63"/>
      <c r="BQ288" s="63"/>
      <c r="BR288" s="63"/>
      <c r="BS288" s="103"/>
      <c r="BT288" s="103"/>
      <c r="BU288" s="103"/>
      <c r="BV288" s="103"/>
      <c r="BW288" s="63"/>
      <c r="BX288" s="63"/>
      <c r="BY288" s="63"/>
      <c r="BZ288" s="63"/>
      <c r="CA288" s="103"/>
      <c r="CB288" s="103"/>
      <c r="CC288" s="103"/>
      <c r="CD288" s="103"/>
      <c r="CE288" s="63"/>
      <c r="CF288" s="63"/>
      <c r="CG288" s="63"/>
      <c r="CH288" s="63"/>
      <c r="CI288" s="103"/>
      <c r="CJ288" s="103"/>
      <c r="CK288" s="103"/>
      <c r="CL288" s="103"/>
    </row>
    <row r="289" spans="2:90" ht="13" x14ac:dyDescent="0.15">
      <c r="B289" s="13"/>
      <c r="C289" s="13"/>
      <c r="D289" s="13"/>
      <c r="E289" s="13"/>
      <c r="F289" s="13"/>
      <c r="G289" s="103"/>
      <c r="H289" s="103"/>
      <c r="I289" s="103"/>
      <c r="J289" s="103"/>
      <c r="K289" s="63"/>
      <c r="L289" s="63"/>
      <c r="M289" s="63"/>
      <c r="N289" s="63"/>
      <c r="O289" s="103"/>
      <c r="P289" s="103"/>
      <c r="Q289" s="103"/>
      <c r="R289" s="103"/>
      <c r="S289" s="63"/>
      <c r="T289" s="63"/>
      <c r="U289" s="63"/>
      <c r="V289" s="63"/>
      <c r="W289" s="103"/>
      <c r="X289" s="103"/>
      <c r="Y289" s="103"/>
      <c r="Z289" s="103"/>
      <c r="AA289" s="63"/>
      <c r="AB289" s="63"/>
      <c r="AC289" s="63"/>
      <c r="AD289" s="63"/>
      <c r="AE289" s="103"/>
      <c r="AF289" s="103"/>
      <c r="AG289" s="103"/>
      <c r="AH289" s="103"/>
      <c r="AI289" s="63"/>
      <c r="AJ289" s="63"/>
      <c r="AK289" s="63"/>
      <c r="AL289" s="63"/>
      <c r="AM289" s="103"/>
      <c r="AN289" s="103"/>
      <c r="AO289" s="103"/>
      <c r="AP289" s="103"/>
      <c r="AQ289" s="63"/>
      <c r="AR289" s="63"/>
      <c r="AS289" s="63"/>
      <c r="AT289" s="63"/>
      <c r="AU289" s="103"/>
      <c r="AV289" s="103"/>
      <c r="AW289" s="103"/>
      <c r="AX289" s="103"/>
      <c r="AY289" s="63"/>
      <c r="AZ289" s="63"/>
      <c r="BA289" s="63"/>
      <c r="BB289" s="63"/>
      <c r="BC289" s="103"/>
      <c r="BD289" s="103"/>
      <c r="BE289" s="103"/>
      <c r="BF289" s="103"/>
      <c r="BG289" s="63"/>
      <c r="BH289" s="63"/>
      <c r="BI289" s="63"/>
      <c r="BJ289" s="63"/>
      <c r="BK289" s="103"/>
      <c r="BL289" s="103"/>
      <c r="BM289" s="103"/>
      <c r="BN289" s="103"/>
      <c r="BO289" s="63"/>
      <c r="BP289" s="63"/>
      <c r="BQ289" s="63"/>
      <c r="BR289" s="63"/>
      <c r="BS289" s="103"/>
      <c r="BT289" s="103"/>
      <c r="BU289" s="103"/>
      <c r="BV289" s="103"/>
      <c r="BW289" s="63"/>
      <c r="BX289" s="63"/>
      <c r="BY289" s="63"/>
      <c r="BZ289" s="63"/>
      <c r="CA289" s="103"/>
      <c r="CB289" s="103"/>
      <c r="CC289" s="103"/>
      <c r="CD289" s="103"/>
      <c r="CE289" s="63"/>
      <c r="CF289" s="63"/>
      <c r="CG289" s="63"/>
      <c r="CH289" s="63"/>
      <c r="CI289" s="103"/>
      <c r="CJ289" s="103"/>
      <c r="CK289" s="103"/>
      <c r="CL289" s="103"/>
    </row>
    <row r="290" spans="2:90" ht="13" x14ac:dyDescent="0.15">
      <c r="B290" s="13"/>
      <c r="C290" s="13"/>
      <c r="D290" s="13"/>
      <c r="E290" s="13"/>
      <c r="F290" s="13"/>
      <c r="G290" s="103"/>
      <c r="H290" s="103"/>
      <c r="I290" s="103"/>
      <c r="J290" s="103"/>
      <c r="K290" s="63"/>
      <c r="L290" s="63"/>
      <c r="M290" s="63"/>
      <c r="N290" s="63"/>
      <c r="O290" s="103"/>
      <c r="P290" s="103"/>
      <c r="Q290" s="103"/>
      <c r="R290" s="103"/>
      <c r="S290" s="63"/>
      <c r="T290" s="63"/>
      <c r="U290" s="63"/>
      <c r="V290" s="63"/>
      <c r="W290" s="103"/>
      <c r="X290" s="103"/>
      <c r="Y290" s="103"/>
      <c r="Z290" s="103"/>
      <c r="AA290" s="63"/>
      <c r="AB290" s="63"/>
      <c r="AC290" s="63"/>
      <c r="AD290" s="63"/>
      <c r="AE290" s="103"/>
      <c r="AF290" s="103"/>
      <c r="AG290" s="103"/>
      <c r="AH290" s="103"/>
      <c r="AI290" s="63"/>
      <c r="AJ290" s="63"/>
      <c r="AK290" s="63"/>
      <c r="AL290" s="63"/>
      <c r="AM290" s="103"/>
      <c r="AN290" s="103"/>
      <c r="AO290" s="103"/>
      <c r="AP290" s="103"/>
      <c r="AQ290" s="63"/>
      <c r="AR290" s="63"/>
      <c r="AS290" s="63"/>
      <c r="AT290" s="63"/>
      <c r="AU290" s="103"/>
      <c r="AV290" s="103"/>
      <c r="AW290" s="103"/>
      <c r="AX290" s="103"/>
      <c r="AY290" s="63"/>
      <c r="AZ290" s="63"/>
      <c r="BA290" s="63"/>
      <c r="BB290" s="63"/>
      <c r="BC290" s="103"/>
      <c r="BD290" s="103"/>
      <c r="BE290" s="103"/>
      <c r="BF290" s="103"/>
      <c r="BG290" s="63"/>
      <c r="BH290" s="63"/>
      <c r="BI290" s="63"/>
      <c r="BJ290" s="63"/>
      <c r="BK290" s="103"/>
      <c r="BL290" s="103"/>
      <c r="BM290" s="103"/>
      <c r="BN290" s="103"/>
      <c r="BO290" s="63"/>
      <c r="BP290" s="63"/>
      <c r="BQ290" s="63"/>
      <c r="BR290" s="63"/>
      <c r="BS290" s="103"/>
      <c r="BT290" s="103"/>
      <c r="BU290" s="103"/>
      <c r="BV290" s="103"/>
      <c r="BW290" s="63"/>
      <c r="BX290" s="63"/>
      <c r="BY290" s="63"/>
      <c r="BZ290" s="63"/>
      <c r="CA290" s="103"/>
      <c r="CB290" s="103"/>
      <c r="CC290" s="103"/>
      <c r="CD290" s="103"/>
      <c r="CE290" s="63"/>
      <c r="CF290" s="63"/>
      <c r="CG290" s="63"/>
      <c r="CH290" s="63"/>
      <c r="CI290" s="103"/>
      <c r="CJ290" s="103"/>
      <c r="CK290" s="103"/>
      <c r="CL290" s="103"/>
    </row>
    <row r="291" spans="2:90" ht="13" x14ac:dyDescent="0.15">
      <c r="B291" s="13"/>
      <c r="C291" s="13"/>
      <c r="D291" s="13"/>
      <c r="E291" s="13"/>
      <c r="F291" s="13"/>
      <c r="G291" s="103"/>
      <c r="H291" s="103"/>
      <c r="I291" s="103"/>
      <c r="J291" s="103"/>
      <c r="K291" s="63"/>
      <c r="L291" s="63"/>
      <c r="M291" s="63"/>
      <c r="N291" s="63"/>
      <c r="O291" s="103"/>
      <c r="P291" s="103"/>
      <c r="Q291" s="103"/>
      <c r="R291" s="103"/>
      <c r="S291" s="63"/>
      <c r="T291" s="63"/>
      <c r="U291" s="63"/>
      <c r="V291" s="63"/>
      <c r="W291" s="103"/>
      <c r="X291" s="103"/>
      <c r="Y291" s="103"/>
      <c r="Z291" s="103"/>
      <c r="AA291" s="63"/>
      <c r="AB291" s="63"/>
      <c r="AC291" s="63"/>
      <c r="AD291" s="63"/>
      <c r="AE291" s="103"/>
      <c r="AF291" s="103"/>
      <c r="AG291" s="103"/>
      <c r="AH291" s="103"/>
      <c r="AI291" s="63"/>
      <c r="AJ291" s="63"/>
      <c r="AK291" s="63"/>
      <c r="AL291" s="63"/>
      <c r="AM291" s="103"/>
      <c r="AN291" s="103"/>
      <c r="AO291" s="103"/>
      <c r="AP291" s="103"/>
      <c r="AQ291" s="63"/>
      <c r="AR291" s="63"/>
      <c r="AS291" s="63"/>
      <c r="AT291" s="63"/>
      <c r="AU291" s="103"/>
      <c r="AV291" s="103"/>
      <c r="AW291" s="103"/>
      <c r="AX291" s="103"/>
      <c r="AY291" s="63"/>
      <c r="AZ291" s="63"/>
      <c r="BA291" s="63"/>
      <c r="BB291" s="63"/>
      <c r="BC291" s="103"/>
      <c r="BD291" s="103"/>
      <c r="BE291" s="103"/>
      <c r="BF291" s="103"/>
      <c r="BG291" s="63"/>
      <c r="BH291" s="63"/>
      <c r="BI291" s="63"/>
      <c r="BJ291" s="63"/>
      <c r="BK291" s="103"/>
      <c r="BL291" s="103"/>
      <c r="BM291" s="103"/>
      <c r="BN291" s="103"/>
      <c r="BO291" s="63"/>
      <c r="BP291" s="63"/>
      <c r="BQ291" s="63"/>
      <c r="BR291" s="63"/>
      <c r="BS291" s="103"/>
      <c r="BT291" s="103"/>
      <c r="BU291" s="103"/>
      <c r="BV291" s="103"/>
      <c r="BW291" s="63"/>
      <c r="BX291" s="63"/>
      <c r="BY291" s="63"/>
      <c r="BZ291" s="63"/>
      <c r="CA291" s="103"/>
      <c r="CB291" s="103"/>
      <c r="CC291" s="103"/>
      <c r="CD291" s="103"/>
      <c r="CE291" s="63"/>
      <c r="CF291" s="63"/>
      <c r="CG291" s="63"/>
      <c r="CH291" s="63"/>
      <c r="CI291" s="103"/>
      <c r="CJ291" s="103"/>
      <c r="CK291" s="103"/>
      <c r="CL291" s="103"/>
    </row>
    <row r="292" spans="2:90" ht="13" x14ac:dyDescent="0.15">
      <c r="B292" s="13"/>
      <c r="C292" s="13"/>
      <c r="D292" s="13"/>
      <c r="E292" s="13"/>
      <c r="F292" s="13"/>
      <c r="G292" s="103"/>
      <c r="H292" s="103"/>
      <c r="I292" s="103"/>
      <c r="J292" s="103"/>
      <c r="K292" s="63"/>
      <c r="L292" s="63"/>
      <c r="M292" s="63"/>
      <c r="N292" s="63"/>
      <c r="O292" s="103"/>
      <c r="P292" s="103"/>
      <c r="Q292" s="103"/>
      <c r="R292" s="103"/>
      <c r="S292" s="63"/>
      <c r="T292" s="63"/>
      <c r="U292" s="63"/>
      <c r="V292" s="63"/>
      <c r="W292" s="103"/>
      <c r="X292" s="103"/>
      <c r="Y292" s="103"/>
      <c r="Z292" s="103"/>
      <c r="AA292" s="63"/>
      <c r="AB292" s="63"/>
      <c r="AC292" s="63"/>
      <c r="AD292" s="63"/>
      <c r="AE292" s="103"/>
      <c r="AF292" s="103"/>
      <c r="AG292" s="103"/>
      <c r="AH292" s="103"/>
      <c r="AI292" s="63"/>
      <c r="AJ292" s="63"/>
      <c r="AK292" s="63"/>
      <c r="AL292" s="63"/>
      <c r="AM292" s="103"/>
      <c r="AN292" s="103"/>
      <c r="AO292" s="103"/>
      <c r="AP292" s="103"/>
      <c r="AQ292" s="63"/>
      <c r="AR292" s="63"/>
      <c r="AS292" s="63"/>
      <c r="AT292" s="63"/>
      <c r="AU292" s="103"/>
      <c r="AV292" s="103"/>
      <c r="AW292" s="103"/>
      <c r="AX292" s="103"/>
      <c r="AY292" s="63"/>
      <c r="AZ292" s="63"/>
      <c r="BA292" s="63"/>
      <c r="BB292" s="63"/>
      <c r="BC292" s="103"/>
      <c r="BD292" s="103"/>
      <c r="BE292" s="103"/>
      <c r="BF292" s="103"/>
      <c r="BG292" s="63"/>
      <c r="BH292" s="63"/>
      <c r="BI292" s="63"/>
      <c r="BJ292" s="63"/>
      <c r="BK292" s="103"/>
      <c r="BL292" s="103"/>
      <c r="BM292" s="103"/>
      <c r="BN292" s="103"/>
      <c r="BO292" s="63"/>
      <c r="BP292" s="63"/>
      <c r="BQ292" s="63"/>
      <c r="BR292" s="63"/>
      <c r="BS292" s="103"/>
      <c r="BT292" s="103"/>
      <c r="BU292" s="103"/>
      <c r="BV292" s="103"/>
      <c r="BW292" s="63"/>
      <c r="BX292" s="63"/>
      <c r="BY292" s="63"/>
      <c r="BZ292" s="63"/>
      <c r="CA292" s="103"/>
      <c r="CB292" s="103"/>
      <c r="CC292" s="103"/>
      <c r="CD292" s="103"/>
      <c r="CE292" s="63"/>
      <c r="CF292" s="63"/>
      <c r="CG292" s="63"/>
      <c r="CH292" s="63"/>
      <c r="CI292" s="103"/>
      <c r="CJ292" s="103"/>
      <c r="CK292" s="103"/>
      <c r="CL292" s="103"/>
    </row>
    <row r="293" spans="2:90" ht="13" x14ac:dyDescent="0.15">
      <c r="B293" s="13"/>
      <c r="C293" s="13"/>
      <c r="D293" s="13"/>
      <c r="E293" s="13"/>
      <c r="F293" s="13"/>
      <c r="G293" s="103"/>
      <c r="H293" s="103"/>
      <c r="I293" s="103"/>
      <c r="J293" s="103"/>
      <c r="K293" s="63"/>
      <c r="L293" s="63"/>
      <c r="M293" s="63"/>
      <c r="N293" s="63"/>
      <c r="O293" s="103"/>
      <c r="P293" s="103"/>
      <c r="Q293" s="103"/>
      <c r="R293" s="103"/>
      <c r="S293" s="63"/>
      <c r="T293" s="63"/>
      <c r="U293" s="63"/>
      <c r="V293" s="63"/>
      <c r="W293" s="103"/>
      <c r="X293" s="103"/>
      <c r="Y293" s="103"/>
      <c r="Z293" s="103"/>
      <c r="AA293" s="63"/>
      <c r="AB293" s="63"/>
      <c r="AC293" s="63"/>
      <c r="AD293" s="63"/>
      <c r="AE293" s="103"/>
      <c r="AF293" s="103"/>
      <c r="AG293" s="103"/>
      <c r="AH293" s="103"/>
      <c r="AI293" s="63"/>
      <c r="AJ293" s="63"/>
      <c r="AK293" s="63"/>
      <c r="AL293" s="63"/>
      <c r="AM293" s="103"/>
      <c r="AN293" s="103"/>
      <c r="AO293" s="103"/>
      <c r="AP293" s="103"/>
      <c r="AQ293" s="63"/>
      <c r="AR293" s="63"/>
      <c r="AS293" s="63"/>
      <c r="AT293" s="63"/>
      <c r="AU293" s="103"/>
      <c r="AV293" s="103"/>
      <c r="AW293" s="103"/>
      <c r="AX293" s="103"/>
      <c r="AY293" s="63"/>
      <c r="AZ293" s="63"/>
      <c r="BA293" s="63"/>
      <c r="BB293" s="63"/>
      <c r="BC293" s="103"/>
      <c r="BD293" s="103"/>
      <c r="BE293" s="103"/>
      <c r="BF293" s="103"/>
      <c r="BG293" s="63"/>
      <c r="BH293" s="63"/>
      <c r="BI293" s="63"/>
      <c r="BJ293" s="63"/>
      <c r="BK293" s="103"/>
      <c r="BL293" s="103"/>
      <c r="BM293" s="103"/>
      <c r="BN293" s="103"/>
      <c r="BO293" s="63"/>
      <c r="BP293" s="63"/>
      <c r="BQ293" s="63"/>
      <c r="BR293" s="63"/>
      <c r="BS293" s="103"/>
      <c r="BT293" s="103"/>
      <c r="BU293" s="103"/>
      <c r="BV293" s="103"/>
      <c r="BW293" s="63"/>
      <c r="BX293" s="63"/>
      <c r="BY293" s="63"/>
      <c r="BZ293" s="63"/>
      <c r="CA293" s="103"/>
      <c r="CB293" s="103"/>
      <c r="CC293" s="103"/>
      <c r="CD293" s="103"/>
      <c r="CE293" s="63"/>
      <c r="CF293" s="63"/>
      <c r="CG293" s="63"/>
      <c r="CH293" s="63"/>
      <c r="CI293" s="103"/>
      <c r="CJ293" s="103"/>
      <c r="CK293" s="103"/>
      <c r="CL293" s="103"/>
    </row>
    <row r="294" spans="2:90" ht="13" x14ac:dyDescent="0.15">
      <c r="B294" s="13"/>
      <c r="C294" s="13"/>
      <c r="D294" s="13"/>
      <c r="E294" s="13"/>
      <c r="F294" s="13"/>
      <c r="G294" s="103"/>
      <c r="H294" s="103"/>
      <c r="I294" s="103"/>
      <c r="J294" s="103"/>
      <c r="K294" s="63"/>
      <c r="L294" s="63"/>
      <c r="M294" s="63"/>
      <c r="N294" s="63"/>
      <c r="O294" s="103"/>
      <c r="P294" s="103"/>
      <c r="Q294" s="103"/>
      <c r="R294" s="103"/>
      <c r="S294" s="63"/>
      <c r="T294" s="63"/>
      <c r="U294" s="63"/>
      <c r="V294" s="63"/>
      <c r="W294" s="103"/>
      <c r="X294" s="103"/>
      <c r="Y294" s="103"/>
      <c r="Z294" s="103"/>
      <c r="AA294" s="63"/>
      <c r="AB294" s="63"/>
      <c r="AC294" s="63"/>
      <c r="AD294" s="63"/>
      <c r="AE294" s="103"/>
      <c r="AF294" s="103"/>
      <c r="AG294" s="103"/>
      <c r="AH294" s="103"/>
      <c r="AI294" s="63"/>
      <c r="AJ294" s="63"/>
      <c r="AK294" s="63"/>
      <c r="AL294" s="63"/>
      <c r="AM294" s="103"/>
      <c r="AN294" s="103"/>
      <c r="AO294" s="103"/>
      <c r="AP294" s="103"/>
      <c r="AQ294" s="63"/>
      <c r="AR294" s="63"/>
      <c r="AS294" s="63"/>
      <c r="AT294" s="63"/>
      <c r="AU294" s="103"/>
      <c r="AV294" s="103"/>
      <c r="AW294" s="103"/>
      <c r="AX294" s="103"/>
      <c r="AY294" s="63"/>
      <c r="AZ294" s="63"/>
      <c r="BA294" s="63"/>
      <c r="BB294" s="63"/>
      <c r="BC294" s="103"/>
      <c r="BD294" s="103"/>
      <c r="BE294" s="103"/>
      <c r="BF294" s="103"/>
      <c r="BG294" s="63"/>
      <c r="BH294" s="63"/>
      <c r="BI294" s="63"/>
      <c r="BJ294" s="63"/>
      <c r="BK294" s="103"/>
      <c r="BL294" s="103"/>
      <c r="BM294" s="103"/>
      <c r="BN294" s="103"/>
      <c r="BO294" s="63"/>
      <c r="BP294" s="63"/>
      <c r="BQ294" s="63"/>
      <c r="BR294" s="63"/>
      <c r="BS294" s="103"/>
      <c r="BT294" s="103"/>
      <c r="BU294" s="103"/>
      <c r="BV294" s="103"/>
      <c r="BW294" s="63"/>
      <c r="BX294" s="63"/>
      <c r="BY294" s="63"/>
      <c r="BZ294" s="63"/>
      <c r="CA294" s="103"/>
      <c r="CB294" s="103"/>
      <c r="CC294" s="103"/>
      <c r="CD294" s="103"/>
      <c r="CE294" s="63"/>
      <c r="CF294" s="63"/>
      <c r="CG294" s="63"/>
      <c r="CH294" s="63"/>
      <c r="CI294" s="103"/>
      <c r="CJ294" s="103"/>
      <c r="CK294" s="103"/>
      <c r="CL294" s="103"/>
    </row>
    <row r="295" spans="2:90" ht="13" x14ac:dyDescent="0.15">
      <c r="B295" s="13"/>
      <c r="C295" s="13"/>
      <c r="D295" s="13"/>
      <c r="E295" s="13"/>
      <c r="F295" s="13"/>
      <c r="G295" s="103"/>
      <c r="H295" s="103"/>
      <c r="I295" s="103"/>
      <c r="J295" s="103"/>
      <c r="K295" s="63"/>
      <c r="L295" s="63"/>
      <c r="M295" s="63"/>
      <c r="N295" s="63"/>
      <c r="O295" s="103"/>
      <c r="P295" s="103"/>
      <c r="Q295" s="103"/>
      <c r="R295" s="103"/>
      <c r="S295" s="63"/>
      <c r="T295" s="63"/>
      <c r="U295" s="63"/>
      <c r="V295" s="63"/>
      <c r="W295" s="103"/>
      <c r="X295" s="103"/>
      <c r="Y295" s="103"/>
      <c r="Z295" s="103"/>
      <c r="AA295" s="63"/>
      <c r="AB295" s="63"/>
      <c r="AC295" s="63"/>
      <c r="AD295" s="63"/>
      <c r="AE295" s="103"/>
      <c r="AF295" s="103"/>
      <c r="AG295" s="103"/>
      <c r="AH295" s="103"/>
      <c r="AI295" s="63"/>
      <c r="AJ295" s="63"/>
      <c r="AK295" s="63"/>
      <c r="AL295" s="63"/>
      <c r="AM295" s="103"/>
      <c r="AN295" s="103"/>
      <c r="AO295" s="103"/>
      <c r="AP295" s="103"/>
      <c r="AQ295" s="63"/>
      <c r="AR295" s="63"/>
      <c r="AS295" s="63"/>
      <c r="AT295" s="63"/>
      <c r="AU295" s="103"/>
      <c r="AV295" s="103"/>
      <c r="AW295" s="103"/>
      <c r="AX295" s="103"/>
      <c r="AY295" s="63"/>
      <c r="AZ295" s="63"/>
      <c r="BA295" s="63"/>
      <c r="BB295" s="63"/>
      <c r="BC295" s="103"/>
      <c r="BD295" s="103"/>
      <c r="BE295" s="103"/>
      <c r="BF295" s="103"/>
      <c r="BG295" s="63"/>
      <c r="BH295" s="63"/>
      <c r="BI295" s="63"/>
      <c r="BJ295" s="63"/>
      <c r="BK295" s="103"/>
      <c r="BL295" s="103"/>
      <c r="BM295" s="103"/>
      <c r="BN295" s="103"/>
      <c r="BO295" s="63"/>
      <c r="BP295" s="63"/>
      <c r="BQ295" s="63"/>
      <c r="BR295" s="63"/>
      <c r="BS295" s="103"/>
      <c r="BT295" s="103"/>
      <c r="BU295" s="103"/>
      <c r="BV295" s="103"/>
      <c r="BW295" s="63"/>
      <c r="BX295" s="63"/>
      <c r="BY295" s="63"/>
      <c r="BZ295" s="63"/>
      <c r="CA295" s="103"/>
      <c r="CB295" s="103"/>
      <c r="CC295" s="103"/>
      <c r="CD295" s="103"/>
      <c r="CE295" s="63"/>
      <c r="CF295" s="63"/>
      <c r="CG295" s="63"/>
      <c r="CH295" s="63"/>
      <c r="CI295" s="103"/>
      <c r="CJ295" s="103"/>
      <c r="CK295" s="103"/>
      <c r="CL295" s="103"/>
    </row>
    <row r="296" spans="2:90" ht="13" x14ac:dyDescent="0.15">
      <c r="B296" s="13"/>
      <c r="C296" s="13"/>
      <c r="D296" s="13"/>
      <c r="E296" s="13"/>
      <c r="F296" s="13"/>
      <c r="G296" s="103"/>
      <c r="H296" s="103"/>
      <c r="I296" s="103"/>
      <c r="J296" s="103"/>
      <c r="K296" s="63"/>
      <c r="L296" s="63"/>
      <c r="M296" s="63"/>
      <c r="N296" s="63"/>
      <c r="O296" s="103"/>
      <c r="P296" s="103"/>
      <c r="Q296" s="103"/>
      <c r="R296" s="103"/>
      <c r="S296" s="63"/>
      <c r="T296" s="63"/>
      <c r="U296" s="63"/>
      <c r="V296" s="63"/>
      <c r="W296" s="103"/>
      <c r="X296" s="103"/>
      <c r="Y296" s="103"/>
      <c r="Z296" s="103"/>
      <c r="AA296" s="63"/>
      <c r="AB296" s="63"/>
      <c r="AC296" s="63"/>
      <c r="AD296" s="63"/>
      <c r="AE296" s="103"/>
      <c r="AF296" s="103"/>
      <c r="AG296" s="103"/>
      <c r="AH296" s="103"/>
      <c r="AI296" s="63"/>
      <c r="AJ296" s="63"/>
      <c r="AK296" s="63"/>
      <c r="AL296" s="63"/>
      <c r="AM296" s="103"/>
      <c r="AN296" s="103"/>
      <c r="AO296" s="103"/>
      <c r="AP296" s="103"/>
      <c r="AQ296" s="63"/>
      <c r="AR296" s="63"/>
      <c r="AS296" s="63"/>
      <c r="AT296" s="63"/>
      <c r="AU296" s="103"/>
      <c r="AV296" s="103"/>
      <c r="AW296" s="103"/>
      <c r="AX296" s="103"/>
      <c r="AY296" s="63"/>
      <c r="AZ296" s="63"/>
      <c r="BA296" s="63"/>
      <c r="BB296" s="63"/>
      <c r="BC296" s="103"/>
      <c r="BD296" s="103"/>
      <c r="BE296" s="103"/>
      <c r="BF296" s="103"/>
      <c r="BG296" s="63"/>
      <c r="BH296" s="63"/>
      <c r="BI296" s="63"/>
      <c r="BJ296" s="63"/>
      <c r="BK296" s="103"/>
      <c r="BL296" s="103"/>
      <c r="BM296" s="103"/>
      <c r="BN296" s="103"/>
      <c r="BO296" s="63"/>
      <c r="BP296" s="63"/>
      <c r="BQ296" s="63"/>
      <c r="BR296" s="63"/>
      <c r="BS296" s="103"/>
      <c r="BT296" s="103"/>
      <c r="BU296" s="103"/>
      <c r="BV296" s="103"/>
      <c r="BW296" s="63"/>
      <c r="BX296" s="63"/>
      <c r="BY296" s="63"/>
      <c r="BZ296" s="63"/>
      <c r="CA296" s="103"/>
      <c r="CB296" s="103"/>
      <c r="CC296" s="103"/>
      <c r="CD296" s="103"/>
      <c r="CE296" s="63"/>
      <c r="CF296" s="63"/>
      <c r="CG296" s="63"/>
      <c r="CH296" s="63"/>
      <c r="CI296" s="103"/>
      <c r="CJ296" s="103"/>
      <c r="CK296" s="103"/>
      <c r="CL296" s="103"/>
    </row>
    <row r="297" spans="2:90" ht="13" x14ac:dyDescent="0.15">
      <c r="B297" s="13"/>
      <c r="C297" s="13"/>
      <c r="D297" s="13"/>
      <c r="E297" s="13"/>
      <c r="F297" s="13"/>
      <c r="G297" s="103"/>
      <c r="H297" s="103"/>
      <c r="I297" s="103"/>
      <c r="J297" s="103"/>
      <c r="K297" s="63"/>
      <c r="L297" s="63"/>
      <c r="M297" s="63"/>
      <c r="N297" s="63"/>
      <c r="O297" s="103"/>
      <c r="P297" s="103"/>
      <c r="Q297" s="103"/>
      <c r="R297" s="103"/>
      <c r="S297" s="63"/>
      <c r="T297" s="63"/>
      <c r="U297" s="63"/>
      <c r="V297" s="63"/>
      <c r="W297" s="103"/>
      <c r="X297" s="103"/>
      <c r="Y297" s="103"/>
      <c r="Z297" s="103"/>
      <c r="AA297" s="63"/>
      <c r="AB297" s="63"/>
      <c r="AC297" s="63"/>
      <c r="AD297" s="63"/>
      <c r="AE297" s="103"/>
      <c r="AF297" s="103"/>
      <c r="AG297" s="103"/>
      <c r="AH297" s="103"/>
      <c r="AI297" s="63"/>
      <c r="AJ297" s="63"/>
      <c r="AK297" s="63"/>
      <c r="AL297" s="63"/>
      <c r="AM297" s="103"/>
      <c r="AN297" s="103"/>
      <c r="AO297" s="103"/>
      <c r="AP297" s="103"/>
      <c r="AQ297" s="63"/>
      <c r="AR297" s="63"/>
      <c r="AS297" s="63"/>
      <c r="AT297" s="63"/>
      <c r="AU297" s="103"/>
      <c r="AV297" s="103"/>
      <c r="AW297" s="103"/>
      <c r="AX297" s="103"/>
      <c r="AY297" s="63"/>
      <c r="AZ297" s="63"/>
      <c r="BA297" s="63"/>
      <c r="BB297" s="63"/>
      <c r="BC297" s="103"/>
      <c r="BD297" s="103"/>
      <c r="BE297" s="103"/>
      <c r="BF297" s="103"/>
      <c r="BG297" s="63"/>
      <c r="BH297" s="63"/>
      <c r="BI297" s="63"/>
      <c r="BJ297" s="63"/>
      <c r="BK297" s="103"/>
      <c r="BL297" s="103"/>
      <c r="BM297" s="103"/>
      <c r="BN297" s="103"/>
      <c r="BO297" s="63"/>
      <c r="BP297" s="63"/>
      <c r="BQ297" s="63"/>
      <c r="BR297" s="63"/>
      <c r="BS297" s="103"/>
      <c r="BT297" s="103"/>
      <c r="BU297" s="103"/>
      <c r="BV297" s="103"/>
      <c r="BW297" s="63"/>
      <c r="BX297" s="63"/>
      <c r="BY297" s="63"/>
      <c r="BZ297" s="63"/>
      <c r="CA297" s="103"/>
      <c r="CB297" s="103"/>
      <c r="CC297" s="103"/>
      <c r="CD297" s="103"/>
      <c r="CE297" s="63"/>
      <c r="CF297" s="63"/>
      <c r="CG297" s="63"/>
      <c r="CH297" s="63"/>
      <c r="CI297" s="103"/>
      <c r="CJ297" s="103"/>
      <c r="CK297" s="103"/>
      <c r="CL297" s="103"/>
    </row>
    <row r="298" spans="2:90" ht="13" x14ac:dyDescent="0.15">
      <c r="B298" s="13"/>
      <c r="C298" s="13"/>
      <c r="D298" s="13"/>
      <c r="E298" s="13"/>
      <c r="F298" s="13"/>
      <c r="G298" s="103"/>
      <c r="H298" s="103"/>
      <c r="I298" s="103"/>
      <c r="J298" s="103"/>
      <c r="K298" s="63"/>
      <c r="L298" s="63"/>
      <c r="M298" s="63"/>
      <c r="N298" s="63"/>
      <c r="O298" s="103"/>
      <c r="P298" s="103"/>
      <c r="Q298" s="103"/>
      <c r="R298" s="103"/>
      <c r="S298" s="63"/>
      <c r="T298" s="63"/>
      <c r="U298" s="63"/>
      <c r="V298" s="63"/>
      <c r="W298" s="103"/>
      <c r="X298" s="103"/>
      <c r="Y298" s="103"/>
      <c r="Z298" s="103"/>
      <c r="AA298" s="63"/>
      <c r="AB298" s="63"/>
      <c r="AC298" s="63"/>
      <c r="AD298" s="63"/>
      <c r="AE298" s="103"/>
      <c r="AF298" s="103"/>
      <c r="AG298" s="103"/>
      <c r="AH298" s="103"/>
      <c r="AI298" s="63"/>
      <c r="AJ298" s="63"/>
      <c r="AK298" s="63"/>
      <c r="AL298" s="63"/>
      <c r="AM298" s="103"/>
      <c r="AN298" s="103"/>
      <c r="AO298" s="103"/>
      <c r="AP298" s="103"/>
      <c r="AQ298" s="63"/>
      <c r="AR298" s="63"/>
      <c r="AS298" s="63"/>
      <c r="AT298" s="63"/>
      <c r="AU298" s="103"/>
      <c r="AV298" s="103"/>
      <c r="AW298" s="103"/>
      <c r="AX298" s="103"/>
      <c r="AY298" s="63"/>
      <c r="AZ298" s="63"/>
      <c r="BA298" s="63"/>
      <c r="BB298" s="63"/>
      <c r="BC298" s="103"/>
      <c r="BD298" s="103"/>
      <c r="BE298" s="103"/>
      <c r="BF298" s="103"/>
      <c r="BG298" s="63"/>
      <c r="BH298" s="63"/>
      <c r="BI298" s="63"/>
      <c r="BJ298" s="63"/>
      <c r="BK298" s="103"/>
      <c r="BL298" s="103"/>
      <c r="BM298" s="103"/>
      <c r="BN298" s="103"/>
      <c r="BO298" s="63"/>
      <c r="BP298" s="63"/>
      <c r="BQ298" s="63"/>
      <c r="BR298" s="63"/>
      <c r="BS298" s="103"/>
      <c r="BT298" s="103"/>
      <c r="BU298" s="103"/>
      <c r="BV298" s="103"/>
      <c r="BW298" s="63"/>
      <c r="BX298" s="63"/>
      <c r="BY298" s="63"/>
      <c r="BZ298" s="63"/>
      <c r="CA298" s="103"/>
      <c r="CB298" s="103"/>
      <c r="CC298" s="103"/>
      <c r="CD298" s="103"/>
      <c r="CE298" s="63"/>
      <c r="CF298" s="63"/>
      <c r="CG298" s="63"/>
      <c r="CH298" s="63"/>
      <c r="CI298" s="103"/>
      <c r="CJ298" s="103"/>
      <c r="CK298" s="103"/>
      <c r="CL298" s="103"/>
    </row>
    <row r="299" spans="2:90" ht="13" x14ac:dyDescent="0.15">
      <c r="B299" s="13"/>
      <c r="C299" s="13"/>
      <c r="D299" s="13"/>
      <c r="E299" s="13"/>
      <c r="F299" s="13"/>
      <c r="G299" s="103"/>
      <c r="H299" s="103"/>
      <c r="I299" s="103"/>
      <c r="J299" s="103"/>
      <c r="K299" s="63"/>
      <c r="L299" s="63"/>
      <c r="M299" s="63"/>
      <c r="N299" s="63"/>
      <c r="O299" s="103"/>
      <c r="P299" s="103"/>
      <c r="Q299" s="103"/>
      <c r="R299" s="103"/>
      <c r="S299" s="63"/>
      <c r="T299" s="63"/>
      <c r="U299" s="63"/>
      <c r="V299" s="63"/>
      <c r="W299" s="103"/>
      <c r="X299" s="103"/>
      <c r="Y299" s="103"/>
      <c r="Z299" s="103"/>
      <c r="AA299" s="63"/>
      <c r="AB299" s="63"/>
      <c r="AC299" s="63"/>
      <c r="AD299" s="63"/>
      <c r="AE299" s="103"/>
      <c r="AF299" s="103"/>
      <c r="AG299" s="103"/>
      <c r="AH299" s="103"/>
      <c r="AI299" s="63"/>
      <c r="AJ299" s="63"/>
      <c r="AK299" s="63"/>
      <c r="AL299" s="63"/>
      <c r="AM299" s="103"/>
      <c r="AN299" s="103"/>
      <c r="AO299" s="103"/>
      <c r="AP299" s="103"/>
      <c r="AQ299" s="63"/>
      <c r="AR299" s="63"/>
      <c r="AS299" s="63"/>
      <c r="AT299" s="63"/>
      <c r="AU299" s="103"/>
      <c r="AV299" s="103"/>
      <c r="AW299" s="103"/>
      <c r="AX299" s="103"/>
      <c r="AY299" s="63"/>
      <c r="AZ299" s="63"/>
      <c r="BA299" s="63"/>
      <c r="BB299" s="63"/>
      <c r="BC299" s="103"/>
      <c r="BD299" s="103"/>
      <c r="BE299" s="103"/>
      <c r="BF299" s="103"/>
      <c r="BG299" s="63"/>
      <c r="BH299" s="63"/>
      <c r="BI299" s="63"/>
      <c r="BJ299" s="63"/>
      <c r="BK299" s="103"/>
      <c r="BL299" s="103"/>
      <c r="BM299" s="103"/>
      <c r="BN299" s="103"/>
      <c r="BO299" s="63"/>
      <c r="BP299" s="63"/>
      <c r="BQ299" s="63"/>
      <c r="BR299" s="63"/>
      <c r="BS299" s="103"/>
      <c r="BT299" s="103"/>
      <c r="BU299" s="103"/>
      <c r="BV299" s="103"/>
      <c r="BW299" s="63"/>
      <c r="BX299" s="63"/>
      <c r="BY299" s="63"/>
      <c r="BZ299" s="63"/>
      <c r="CA299" s="103"/>
      <c r="CB299" s="103"/>
      <c r="CC299" s="103"/>
      <c r="CD299" s="103"/>
      <c r="CE299" s="63"/>
      <c r="CF299" s="63"/>
      <c r="CG299" s="63"/>
      <c r="CH299" s="63"/>
      <c r="CI299" s="103"/>
      <c r="CJ299" s="103"/>
      <c r="CK299" s="103"/>
      <c r="CL299" s="103"/>
    </row>
    <row r="300" spans="2:90" ht="13" x14ac:dyDescent="0.15">
      <c r="B300" s="13"/>
      <c r="C300" s="13"/>
      <c r="D300" s="13"/>
      <c r="E300" s="13"/>
      <c r="F300" s="13"/>
      <c r="G300" s="103"/>
      <c r="H300" s="103"/>
      <c r="I300" s="103"/>
      <c r="J300" s="103"/>
      <c r="K300" s="63"/>
      <c r="L300" s="63"/>
      <c r="M300" s="63"/>
      <c r="N300" s="63"/>
      <c r="O300" s="103"/>
      <c r="P300" s="103"/>
      <c r="Q300" s="103"/>
      <c r="R300" s="103"/>
      <c r="S300" s="63"/>
      <c r="T300" s="63"/>
      <c r="U300" s="63"/>
      <c r="V300" s="63"/>
      <c r="W300" s="103"/>
      <c r="X300" s="103"/>
      <c r="Y300" s="103"/>
      <c r="Z300" s="103"/>
      <c r="AA300" s="63"/>
      <c r="AB300" s="63"/>
      <c r="AC300" s="63"/>
      <c r="AD300" s="63"/>
      <c r="AE300" s="103"/>
      <c r="AF300" s="103"/>
      <c r="AG300" s="103"/>
      <c r="AH300" s="103"/>
      <c r="AI300" s="63"/>
      <c r="AJ300" s="63"/>
      <c r="AK300" s="63"/>
      <c r="AL300" s="63"/>
      <c r="AM300" s="103"/>
      <c r="AN300" s="103"/>
      <c r="AO300" s="103"/>
      <c r="AP300" s="103"/>
      <c r="AQ300" s="63"/>
      <c r="AR300" s="63"/>
      <c r="AS300" s="63"/>
      <c r="AT300" s="63"/>
      <c r="AU300" s="103"/>
      <c r="AV300" s="103"/>
      <c r="AW300" s="103"/>
      <c r="AX300" s="103"/>
      <c r="AY300" s="63"/>
      <c r="AZ300" s="63"/>
      <c r="BA300" s="63"/>
      <c r="BB300" s="63"/>
      <c r="BC300" s="103"/>
      <c r="BD300" s="103"/>
      <c r="BE300" s="103"/>
      <c r="BF300" s="103"/>
      <c r="BG300" s="63"/>
      <c r="BH300" s="63"/>
      <c r="BI300" s="63"/>
      <c r="BJ300" s="63"/>
      <c r="BK300" s="103"/>
      <c r="BL300" s="103"/>
      <c r="BM300" s="103"/>
      <c r="BN300" s="103"/>
      <c r="BO300" s="63"/>
      <c r="BP300" s="63"/>
      <c r="BQ300" s="63"/>
      <c r="BR300" s="63"/>
      <c r="BS300" s="103"/>
      <c r="BT300" s="103"/>
      <c r="BU300" s="103"/>
      <c r="BV300" s="103"/>
      <c r="BW300" s="63"/>
      <c r="BX300" s="63"/>
      <c r="BY300" s="63"/>
      <c r="BZ300" s="63"/>
      <c r="CA300" s="103"/>
      <c r="CB300" s="103"/>
      <c r="CC300" s="103"/>
      <c r="CD300" s="103"/>
      <c r="CE300" s="63"/>
      <c r="CF300" s="63"/>
      <c r="CG300" s="63"/>
      <c r="CH300" s="63"/>
      <c r="CI300" s="103"/>
      <c r="CJ300" s="103"/>
      <c r="CK300" s="103"/>
      <c r="CL300" s="103"/>
    </row>
    <row r="301" spans="2:90" ht="13" x14ac:dyDescent="0.15">
      <c r="B301" s="13"/>
      <c r="C301" s="13"/>
      <c r="D301" s="13"/>
      <c r="E301" s="13"/>
      <c r="F301" s="13"/>
      <c r="G301" s="103"/>
      <c r="H301" s="103"/>
      <c r="I301" s="103"/>
      <c r="J301" s="103"/>
      <c r="K301" s="63"/>
      <c r="L301" s="63"/>
      <c r="M301" s="63"/>
      <c r="N301" s="63"/>
      <c r="O301" s="103"/>
      <c r="P301" s="103"/>
      <c r="Q301" s="103"/>
      <c r="R301" s="103"/>
      <c r="S301" s="63"/>
      <c r="T301" s="63"/>
      <c r="U301" s="63"/>
      <c r="V301" s="63"/>
      <c r="W301" s="103"/>
      <c r="X301" s="103"/>
      <c r="Y301" s="103"/>
      <c r="Z301" s="103"/>
      <c r="AA301" s="63"/>
      <c r="AB301" s="63"/>
      <c r="AC301" s="63"/>
      <c r="AD301" s="63"/>
      <c r="AE301" s="103"/>
      <c r="AF301" s="103"/>
      <c r="AG301" s="103"/>
      <c r="AH301" s="103"/>
      <c r="AI301" s="63"/>
      <c r="AJ301" s="63"/>
      <c r="AK301" s="63"/>
      <c r="AL301" s="63"/>
      <c r="AM301" s="103"/>
      <c r="AN301" s="103"/>
      <c r="AO301" s="103"/>
      <c r="AP301" s="103"/>
      <c r="AQ301" s="63"/>
      <c r="AR301" s="63"/>
      <c r="AS301" s="63"/>
      <c r="AT301" s="63"/>
      <c r="AU301" s="103"/>
      <c r="AV301" s="103"/>
      <c r="AW301" s="103"/>
      <c r="AX301" s="103"/>
      <c r="AY301" s="63"/>
      <c r="AZ301" s="63"/>
      <c r="BA301" s="63"/>
      <c r="BB301" s="63"/>
      <c r="BC301" s="103"/>
      <c r="BD301" s="103"/>
      <c r="BE301" s="103"/>
      <c r="BF301" s="103"/>
      <c r="BG301" s="63"/>
      <c r="BH301" s="63"/>
      <c r="BI301" s="63"/>
      <c r="BJ301" s="63"/>
      <c r="BK301" s="103"/>
      <c r="BL301" s="103"/>
      <c r="BM301" s="103"/>
      <c r="BN301" s="103"/>
      <c r="BO301" s="63"/>
      <c r="BP301" s="63"/>
      <c r="BQ301" s="63"/>
      <c r="BR301" s="63"/>
      <c r="BS301" s="103"/>
      <c r="BT301" s="103"/>
      <c r="BU301" s="103"/>
      <c r="BV301" s="103"/>
      <c r="BW301" s="63"/>
      <c r="BX301" s="63"/>
      <c r="BY301" s="63"/>
      <c r="BZ301" s="63"/>
      <c r="CA301" s="103"/>
      <c r="CB301" s="103"/>
      <c r="CC301" s="103"/>
      <c r="CD301" s="103"/>
      <c r="CE301" s="63"/>
      <c r="CF301" s="63"/>
      <c r="CG301" s="63"/>
      <c r="CH301" s="63"/>
      <c r="CI301" s="103"/>
      <c r="CJ301" s="103"/>
      <c r="CK301" s="103"/>
      <c r="CL301" s="103"/>
    </row>
    <row r="302" spans="2:90" ht="13" x14ac:dyDescent="0.15">
      <c r="B302" s="13"/>
      <c r="C302" s="13"/>
      <c r="D302" s="13"/>
      <c r="E302" s="13"/>
      <c r="F302" s="13"/>
      <c r="G302" s="103"/>
      <c r="H302" s="103"/>
      <c r="I302" s="103"/>
      <c r="J302" s="103"/>
      <c r="K302" s="63"/>
      <c r="L302" s="63"/>
      <c r="M302" s="63"/>
      <c r="N302" s="63"/>
      <c r="O302" s="103"/>
      <c r="P302" s="103"/>
      <c r="Q302" s="103"/>
      <c r="R302" s="103"/>
      <c r="S302" s="63"/>
      <c r="T302" s="63"/>
      <c r="U302" s="63"/>
      <c r="V302" s="63"/>
      <c r="W302" s="103"/>
      <c r="X302" s="103"/>
      <c r="Y302" s="103"/>
      <c r="Z302" s="103"/>
      <c r="AA302" s="63"/>
      <c r="AB302" s="63"/>
      <c r="AC302" s="63"/>
      <c r="AD302" s="63"/>
      <c r="AE302" s="103"/>
      <c r="AF302" s="103"/>
      <c r="AG302" s="103"/>
      <c r="AH302" s="103"/>
      <c r="AI302" s="63"/>
      <c r="AJ302" s="63"/>
      <c r="AK302" s="63"/>
      <c r="AL302" s="63"/>
      <c r="AM302" s="103"/>
      <c r="AN302" s="103"/>
      <c r="AO302" s="103"/>
      <c r="AP302" s="103"/>
      <c r="AQ302" s="63"/>
      <c r="AR302" s="63"/>
      <c r="AS302" s="63"/>
      <c r="AT302" s="63"/>
      <c r="AU302" s="103"/>
      <c r="AV302" s="103"/>
      <c r="AW302" s="103"/>
      <c r="AX302" s="103"/>
      <c r="AY302" s="63"/>
      <c r="AZ302" s="63"/>
      <c r="BA302" s="63"/>
      <c r="BB302" s="63"/>
      <c r="BC302" s="103"/>
      <c r="BD302" s="103"/>
      <c r="BE302" s="103"/>
      <c r="BF302" s="103"/>
      <c r="BG302" s="63"/>
      <c r="BH302" s="63"/>
      <c r="BI302" s="63"/>
      <c r="BJ302" s="63"/>
      <c r="BK302" s="103"/>
      <c r="BL302" s="103"/>
      <c r="BM302" s="103"/>
      <c r="BN302" s="103"/>
      <c r="BO302" s="63"/>
      <c r="BP302" s="63"/>
      <c r="BQ302" s="63"/>
      <c r="BR302" s="63"/>
      <c r="BS302" s="103"/>
      <c r="BT302" s="103"/>
      <c r="BU302" s="103"/>
      <c r="BV302" s="103"/>
      <c r="BW302" s="63"/>
      <c r="BX302" s="63"/>
      <c r="BY302" s="63"/>
      <c r="BZ302" s="63"/>
      <c r="CA302" s="103"/>
      <c r="CB302" s="103"/>
      <c r="CC302" s="103"/>
      <c r="CD302" s="103"/>
      <c r="CE302" s="63"/>
      <c r="CF302" s="63"/>
      <c r="CG302" s="63"/>
      <c r="CH302" s="63"/>
      <c r="CI302" s="103"/>
      <c r="CJ302" s="103"/>
      <c r="CK302" s="103"/>
      <c r="CL302" s="103"/>
    </row>
    <row r="303" spans="2:90" ht="13" x14ac:dyDescent="0.15">
      <c r="B303" s="13"/>
      <c r="C303" s="13"/>
      <c r="D303" s="13"/>
      <c r="E303" s="13"/>
      <c r="F303" s="13"/>
      <c r="G303" s="103"/>
      <c r="H303" s="103"/>
      <c r="I303" s="103"/>
      <c r="J303" s="103"/>
      <c r="K303" s="63"/>
      <c r="L303" s="63"/>
      <c r="M303" s="63"/>
      <c r="N303" s="63"/>
      <c r="O303" s="103"/>
      <c r="P303" s="103"/>
      <c r="Q303" s="103"/>
      <c r="R303" s="103"/>
      <c r="S303" s="63"/>
      <c r="T303" s="63"/>
      <c r="U303" s="63"/>
      <c r="V303" s="63"/>
      <c r="W303" s="103"/>
      <c r="X303" s="103"/>
      <c r="Y303" s="103"/>
      <c r="Z303" s="103"/>
      <c r="AA303" s="63"/>
      <c r="AB303" s="63"/>
      <c r="AC303" s="63"/>
      <c r="AD303" s="63"/>
      <c r="AE303" s="103"/>
      <c r="AF303" s="103"/>
      <c r="AG303" s="103"/>
      <c r="AH303" s="103"/>
      <c r="AI303" s="63"/>
      <c r="AJ303" s="63"/>
      <c r="AK303" s="63"/>
      <c r="AL303" s="63"/>
      <c r="AM303" s="103"/>
      <c r="AN303" s="103"/>
      <c r="AO303" s="103"/>
      <c r="AP303" s="103"/>
      <c r="AQ303" s="63"/>
      <c r="AR303" s="63"/>
      <c r="AS303" s="63"/>
      <c r="AT303" s="63"/>
      <c r="AU303" s="103"/>
      <c r="AV303" s="103"/>
      <c r="AW303" s="103"/>
      <c r="AX303" s="103"/>
      <c r="AY303" s="63"/>
      <c r="AZ303" s="63"/>
      <c r="BA303" s="63"/>
      <c r="BB303" s="63"/>
      <c r="BC303" s="103"/>
      <c r="BD303" s="103"/>
      <c r="BE303" s="103"/>
      <c r="BF303" s="103"/>
      <c r="BG303" s="63"/>
      <c r="BH303" s="63"/>
      <c r="BI303" s="63"/>
      <c r="BJ303" s="63"/>
      <c r="BK303" s="103"/>
      <c r="BL303" s="103"/>
      <c r="BM303" s="103"/>
      <c r="BN303" s="103"/>
      <c r="BO303" s="63"/>
      <c r="BP303" s="63"/>
      <c r="BQ303" s="63"/>
      <c r="BR303" s="63"/>
      <c r="BS303" s="103"/>
      <c r="BT303" s="103"/>
      <c r="BU303" s="103"/>
      <c r="BV303" s="103"/>
      <c r="BW303" s="63"/>
      <c r="BX303" s="63"/>
      <c r="BY303" s="63"/>
      <c r="BZ303" s="63"/>
      <c r="CA303" s="103"/>
      <c r="CB303" s="103"/>
      <c r="CC303" s="103"/>
      <c r="CD303" s="103"/>
      <c r="CE303" s="63"/>
      <c r="CF303" s="63"/>
      <c r="CG303" s="63"/>
      <c r="CH303" s="63"/>
      <c r="CI303" s="103"/>
      <c r="CJ303" s="103"/>
      <c r="CK303" s="103"/>
      <c r="CL303" s="103"/>
    </row>
    <row r="304" spans="2:90" ht="13" x14ac:dyDescent="0.15">
      <c r="B304" s="13"/>
      <c r="C304" s="13"/>
      <c r="D304" s="13"/>
      <c r="E304" s="13"/>
      <c r="F304" s="13"/>
      <c r="G304" s="103"/>
      <c r="H304" s="103"/>
      <c r="I304" s="103"/>
      <c r="J304" s="103"/>
      <c r="K304" s="63"/>
      <c r="L304" s="63"/>
      <c r="M304" s="63"/>
      <c r="N304" s="63"/>
      <c r="O304" s="103"/>
      <c r="P304" s="103"/>
      <c r="Q304" s="103"/>
      <c r="R304" s="103"/>
      <c r="S304" s="63"/>
      <c r="T304" s="63"/>
      <c r="U304" s="63"/>
      <c r="V304" s="63"/>
      <c r="W304" s="103"/>
      <c r="X304" s="103"/>
      <c r="Y304" s="103"/>
      <c r="Z304" s="103"/>
      <c r="AA304" s="63"/>
      <c r="AB304" s="63"/>
      <c r="AC304" s="63"/>
      <c r="AD304" s="63"/>
      <c r="AE304" s="103"/>
      <c r="AF304" s="103"/>
      <c r="AG304" s="103"/>
      <c r="AH304" s="103"/>
      <c r="AI304" s="63"/>
      <c r="AJ304" s="63"/>
      <c r="AK304" s="63"/>
      <c r="AL304" s="63"/>
      <c r="AM304" s="103"/>
      <c r="AN304" s="103"/>
      <c r="AO304" s="103"/>
      <c r="AP304" s="103"/>
      <c r="AQ304" s="63"/>
      <c r="AR304" s="63"/>
      <c r="AS304" s="63"/>
      <c r="AT304" s="63"/>
      <c r="AU304" s="103"/>
      <c r="AV304" s="103"/>
      <c r="AW304" s="103"/>
      <c r="AX304" s="103"/>
      <c r="AY304" s="63"/>
      <c r="AZ304" s="63"/>
      <c r="BA304" s="63"/>
      <c r="BB304" s="63"/>
      <c r="BC304" s="103"/>
      <c r="BD304" s="103"/>
      <c r="BE304" s="103"/>
      <c r="BF304" s="103"/>
      <c r="BG304" s="63"/>
      <c r="BH304" s="63"/>
      <c r="BI304" s="63"/>
      <c r="BJ304" s="63"/>
      <c r="BK304" s="103"/>
      <c r="BL304" s="103"/>
      <c r="BM304" s="103"/>
      <c r="BN304" s="103"/>
      <c r="BO304" s="63"/>
      <c r="BP304" s="63"/>
      <c r="BQ304" s="63"/>
      <c r="BR304" s="63"/>
      <c r="BS304" s="103"/>
      <c r="BT304" s="103"/>
      <c r="BU304" s="103"/>
      <c r="BV304" s="103"/>
      <c r="BW304" s="63"/>
      <c r="BX304" s="63"/>
      <c r="BY304" s="63"/>
      <c r="BZ304" s="63"/>
      <c r="CA304" s="103"/>
      <c r="CB304" s="103"/>
      <c r="CC304" s="103"/>
      <c r="CD304" s="103"/>
      <c r="CE304" s="63"/>
      <c r="CF304" s="63"/>
      <c r="CG304" s="63"/>
      <c r="CH304" s="63"/>
      <c r="CI304" s="103"/>
      <c r="CJ304" s="103"/>
      <c r="CK304" s="103"/>
      <c r="CL304" s="103"/>
    </row>
    <row r="305" spans="2:90" ht="13" x14ac:dyDescent="0.15">
      <c r="B305" s="13"/>
      <c r="C305" s="13"/>
      <c r="D305" s="13"/>
      <c r="E305" s="13"/>
      <c r="F305" s="13"/>
      <c r="G305" s="103"/>
      <c r="H305" s="103"/>
      <c r="I305" s="103"/>
      <c r="J305" s="103"/>
      <c r="K305" s="63"/>
      <c r="L305" s="63"/>
      <c r="M305" s="63"/>
      <c r="N305" s="63"/>
      <c r="O305" s="103"/>
      <c r="P305" s="103"/>
      <c r="Q305" s="103"/>
      <c r="R305" s="103"/>
      <c r="S305" s="63"/>
      <c r="T305" s="63"/>
      <c r="U305" s="63"/>
      <c r="V305" s="63"/>
      <c r="W305" s="103"/>
      <c r="X305" s="103"/>
      <c r="Y305" s="103"/>
      <c r="Z305" s="103"/>
      <c r="AA305" s="63"/>
      <c r="AB305" s="63"/>
      <c r="AC305" s="63"/>
      <c r="AD305" s="63"/>
      <c r="AE305" s="103"/>
      <c r="AF305" s="103"/>
      <c r="AG305" s="103"/>
      <c r="AH305" s="103"/>
      <c r="AI305" s="63"/>
      <c r="AJ305" s="63"/>
      <c r="AK305" s="63"/>
      <c r="AL305" s="63"/>
      <c r="AM305" s="103"/>
      <c r="AN305" s="103"/>
      <c r="AO305" s="103"/>
      <c r="AP305" s="103"/>
      <c r="AQ305" s="63"/>
      <c r="AR305" s="63"/>
      <c r="AS305" s="63"/>
      <c r="AT305" s="63"/>
      <c r="AU305" s="103"/>
      <c r="AV305" s="103"/>
      <c r="AW305" s="103"/>
      <c r="AX305" s="103"/>
      <c r="AY305" s="63"/>
      <c r="AZ305" s="63"/>
      <c r="BA305" s="63"/>
      <c r="BB305" s="63"/>
      <c r="BC305" s="103"/>
      <c r="BD305" s="103"/>
      <c r="BE305" s="103"/>
      <c r="BF305" s="103"/>
      <c r="BG305" s="63"/>
      <c r="BH305" s="63"/>
      <c r="BI305" s="63"/>
      <c r="BJ305" s="63"/>
      <c r="BK305" s="103"/>
      <c r="BL305" s="103"/>
      <c r="BM305" s="103"/>
      <c r="BN305" s="103"/>
      <c r="BO305" s="63"/>
      <c r="BP305" s="63"/>
      <c r="BQ305" s="63"/>
      <c r="BR305" s="63"/>
      <c r="BS305" s="103"/>
      <c r="BT305" s="103"/>
      <c r="BU305" s="103"/>
      <c r="BV305" s="103"/>
      <c r="BW305" s="63"/>
      <c r="BX305" s="63"/>
      <c r="BY305" s="63"/>
      <c r="BZ305" s="63"/>
      <c r="CA305" s="103"/>
      <c r="CB305" s="103"/>
      <c r="CC305" s="103"/>
      <c r="CD305" s="103"/>
      <c r="CE305" s="63"/>
      <c r="CF305" s="63"/>
      <c r="CG305" s="63"/>
      <c r="CH305" s="63"/>
      <c r="CI305" s="103"/>
      <c r="CJ305" s="103"/>
      <c r="CK305" s="103"/>
      <c r="CL305" s="103"/>
    </row>
    <row r="306" spans="2:90" ht="13" x14ac:dyDescent="0.15">
      <c r="B306" s="13"/>
      <c r="C306" s="13"/>
      <c r="D306" s="13"/>
      <c r="E306" s="13"/>
      <c r="F306" s="13"/>
      <c r="G306" s="103"/>
      <c r="H306" s="103"/>
      <c r="I306" s="103"/>
      <c r="J306" s="103"/>
      <c r="K306" s="63"/>
      <c r="L306" s="63"/>
      <c r="M306" s="63"/>
      <c r="N306" s="63"/>
      <c r="O306" s="103"/>
      <c r="P306" s="103"/>
      <c r="Q306" s="103"/>
      <c r="R306" s="103"/>
      <c r="S306" s="63"/>
      <c r="T306" s="63"/>
      <c r="U306" s="63"/>
      <c r="V306" s="63"/>
      <c r="W306" s="103"/>
      <c r="X306" s="103"/>
      <c r="Y306" s="103"/>
      <c r="Z306" s="103"/>
      <c r="AA306" s="63"/>
      <c r="AB306" s="63"/>
      <c r="AC306" s="63"/>
      <c r="AD306" s="63"/>
      <c r="AE306" s="103"/>
      <c r="AF306" s="103"/>
      <c r="AG306" s="103"/>
      <c r="AH306" s="103"/>
      <c r="AI306" s="63"/>
      <c r="AJ306" s="63"/>
      <c r="AK306" s="63"/>
      <c r="AL306" s="63"/>
      <c r="AM306" s="103"/>
      <c r="AN306" s="103"/>
      <c r="AO306" s="103"/>
      <c r="AP306" s="103"/>
      <c r="AQ306" s="63"/>
      <c r="AR306" s="63"/>
      <c r="AS306" s="63"/>
      <c r="AT306" s="63"/>
      <c r="AU306" s="103"/>
      <c r="AV306" s="103"/>
      <c r="AW306" s="103"/>
      <c r="AX306" s="103"/>
      <c r="AY306" s="63"/>
      <c r="AZ306" s="63"/>
      <c r="BA306" s="63"/>
      <c r="BB306" s="63"/>
      <c r="BC306" s="103"/>
      <c r="BD306" s="103"/>
      <c r="BE306" s="103"/>
      <c r="BF306" s="103"/>
      <c r="BG306" s="63"/>
      <c r="BH306" s="63"/>
      <c r="BI306" s="63"/>
      <c r="BJ306" s="63"/>
      <c r="BK306" s="103"/>
      <c r="BL306" s="103"/>
      <c r="BM306" s="103"/>
      <c r="BN306" s="103"/>
      <c r="BO306" s="63"/>
      <c r="BP306" s="63"/>
      <c r="BQ306" s="63"/>
      <c r="BR306" s="63"/>
      <c r="BS306" s="103"/>
      <c r="BT306" s="103"/>
      <c r="BU306" s="103"/>
      <c r="BV306" s="103"/>
      <c r="BW306" s="63"/>
      <c r="BX306" s="63"/>
      <c r="BY306" s="63"/>
      <c r="BZ306" s="63"/>
      <c r="CA306" s="103"/>
      <c r="CB306" s="103"/>
      <c r="CC306" s="103"/>
      <c r="CD306" s="103"/>
      <c r="CE306" s="63"/>
      <c r="CF306" s="63"/>
      <c r="CG306" s="63"/>
      <c r="CH306" s="63"/>
      <c r="CI306" s="103"/>
      <c r="CJ306" s="103"/>
      <c r="CK306" s="103"/>
      <c r="CL306" s="103"/>
    </row>
    <row r="307" spans="2:90" ht="13" x14ac:dyDescent="0.15">
      <c r="B307" s="13"/>
      <c r="C307" s="13"/>
      <c r="D307" s="13"/>
      <c r="E307" s="13"/>
      <c r="F307" s="13"/>
      <c r="G307" s="103"/>
      <c r="H307" s="103"/>
      <c r="I307" s="103"/>
      <c r="J307" s="103"/>
      <c r="K307" s="63"/>
      <c r="L307" s="63"/>
      <c r="M307" s="63"/>
      <c r="N307" s="63"/>
      <c r="O307" s="103"/>
      <c r="P307" s="103"/>
      <c r="Q307" s="103"/>
      <c r="R307" s="103"/>
      <c r="S307" s="63"/>
      <c r="T307" s="63"/>
      <c r="U307" s="63"/>
      <c r="V307" s="63"/>
      <c r="W307" s="103"/>
      <c r="X307" s="103"/>
      <c r="Y307" s="103"/>
      <c r="Z307" s="103"/>
      <c r="AA307" s="63"/>
      <c r="AB307" s="63"/>
      <c r="AC307" s="63"/>
      <c r="AD307" s="63"/>
      <c r="AE307" s="103"/>
      <c r="AF307" s="103"/>
      <c r="AG307" s="103"/>
      <c r="AH307" s="103"/>
      <c r="AI307" s="63"/>
      <c r="AJ307" s="63"/>
      <c r="AK307" s="63"/>
      <c r="AL307" s="63"/>
      <c r="AM307" s="103"/>
      <c r="AN307" s="103"/>
      <c r="AO307" s="103"/>
      <c r="AP307" s="103"/>
      <c r="AQ307" s="63"/>
      <c r="AR307" s="63"/>
      <c r="AS307" s="63"/>
      <c r="AT307" s="63"/>
      <c r="AU307" s="103"/>
      <c r="AV307" s="103"/>
      <c r="AW307" s="103"/>
      <c r="AX307" s="103"/>
      <c r="AY307" s="63"/>
      <c r="AZ307" s="63"/>
      <c r="BA307" s="63"/>
      <c r="BB307" s="63"/>
      <c r="BC307" s="103"/>
      <c r="BD307" s="103"/>
      <c r="BE307" s="103"/>
      <c r="BF307" s="103"/>
      <c r="BG307" s="63"/>
      <c r="BH307" s="63"/>
      <c r="BI307" s="63"/>
      <c r="BJ307" s="63"/>
      <c r="BK307" s="103"/>
      <c r="BL307" s="103"/>
      <c r="BM307" s="103"/>
      <c r="BN307" s="103"/>
      <c r="BO307" s="63"/>
      <c r="BP307" s="63"/>
      <c r="BQ307" s="63"/>
      <c r="BR307" s="63"/>
      <c r="BS307" s="103"/>
      <c r="BT307" s="103"/>
      <c r="BU307" s="103"/>
      <c r="BV307" s="103"/>
      <c r="BW307" s="63"/>
      <c r="BX307" s="63"/>
      <c r="BY307" s="63"/>
      <c r="BZ307" s="63"/>
      <c r="CA307" s="103"/>
      <c r="CB307" s="103"/>
      <c r="CC307" s="103"/>
      <c r="CD307" s="103"/>
      <c r="CE307" s="63"/>
      <c r="CF307" s="63"/>
      <c r="CG307" s="63"/>
      <c r="CH307" s="63"/>
      <c r="CI307" s="103"/>
      <c r="CJ307" s="103"/>
      <c r="CK307" s="103"/>
      <c r="CL307" s="103"/>
    </row>
    <row r="308" spans="2:90" ht="13" x14ac:dyDescent="0.15">
      <c r="B308" s="13"/>
      <c r="C308" s="13"/>
      <c r="D308" s="13"/>
      <c r="E308" s="13"/>
      <c r="F308" s="13"/>
      <c r="G308" s="103"/>
      <c r="H308" s="103"/>
      <c r="I308" s="103"/>
      <c r="J308" s="103"/>
      <c r="K308" s="63"/>
      <c r="L308" s="63"/>
      <c r="M308" s="63"/>
      <c r="N308" s="63"/>
      <c r="O308" s="103"/>
      <c r="P308" s="103"/>
      <c r="Q308" s="103"/>
      <c r="R308" s="103"/>
      <c r="S308" s="63"/>
      <c r="T308" s="63"/>
      <c r="U308" s="63"/>
      <c r="V308" s="63"/>
      <c r="W308" s="103"/>
      <c r="X308" s="103"/>
      <c r="Y308" s="103"/>
      <c r="Z308" s="103"/>
      <c r="AA308" s="63"/>
      <c r="AB308" s="63"/>
      <c r="AC308" s="63"/>
      <c r="AD308" s="63"/>
      <c r="AE308" s="103"/>
      <c r="AF308" s="103"/>
      <c r="AG308" s="103"/>
      <c r="AH308" s="103"/>
      <c r="AI308" s="63"/>
      <c r="AJ308" s="63"/>
      <c r="AK308" s="63"/>
      <c r="AL308" s="63"/>
      <c r="AM308" s="103"/>
      <c r="AN308" s="103"/>
      <c r="AO308" s="103"/>
      <c r="AP308" s="103"/>
      <c r="AQ308" s="63"/>
      <c r="AR308" s="63"/>
      <c r="AS308" s="63"/>
      <c r="AT308" s="63"/>
      <c r="AU308" s="103"/>
      <c r="AV308" s="103"/>
      <c r="AW308" s="103"/>
      <c r="AX308" s="103"/>
      <c r="AY308" s="63"/>
      <c r="AZ308" s="63"/>
      <c r="BA308" s="63"/>
      <c r="BB308" s="63"/>
      <c r="BC308" s="103"/>
      <c r="BD308" s="103"/>
      <c r="BE308" s="103"/>
      <c r="BF308" s="103"/>
      <c r="BG308" s="63"/>
      <c r="BH308" s="63"/>
      <c r="BI308" s="63"/>
      <c r="BJ308" s="63"/>
      <c r="BK308" s="103"/>
      <c r="BL308" s="103"/>
      <c r="BM308" s="103"/>
      <c r="BN308" s="103"/>
      <c r="BO308" s="63"/>
      <c r="BP308" s="63"/>
      <c r="BQ308" s="63"/>
      <c r="BR308" s="63"/>
      <c r="BS308" s="103"/>
      <c r="BT308" s="103"/>
      <c r="BU308" s="103"/>
      <c r="BV308" s="103"/>
      <c r="BW308" s="63"/>
      <c r="BX308" s="63"/>
      <c r="BY308" s="63"/>
      <c r="BZ308" s="63"/>
      <c r="CA308" s="103"/>
      <c r="CB308" s="103"/>
      <c r="CC308" s="103"/>
      <c r="CD308" s="103"/>
      <c r="CE308" s="63"/>
      <c r="CF308" s="63"/>
      <c r="CG308" s="63"/>
      <c r="CH308" s="63"/>
      <c r="CI308" s="103"/>
      <c r="CJ308" s="103"/>
      <c r="CK308" s="103"/>
      <c r="CL308" s="103"/>
    </row>
    <row r="309" spans="2:90" ht="13" x14ac:dyDescent="0.15">
      <c r="B309" s="13"/>
      <c r="C309" s="13"/>
      <c r="D309" s="13"/>
      <c r="E309" s="13"/>
      <c r="F309" s="13"/>
      <c r="G309" s="103"/>
      <c r="H309" s="103"/>
      <c r="I309" s="103"/>
      <c r="J309" s="103"/>
      <c r="K309" s="63"/>
      <c r="L309" s="63"/>
      <c r="M309" s="63"/>
      <c r="N309" s="63"/>
      <c r="O309" s="103"/>
      <c r="P309" s="103"/>
      <c r="Q309" s="103"/>
      <c r="R309" s="103"/>
      <c r="S309" s="63"/>
      <c r="T309" s="63"/>
      <c r="U309" s="63"/>
      <c r="V309" s="63"/>
      <c r="W309" s="103"/>
      <c r="X309" s="103"/>
      <c r="Y309" s="103"/>
      <c r="Z309" s="103"/>
      <c r="AA309" s="63"/>
      <c r="AB309" s="63"/>
      <c r="AC309" s="63"/>
      <c r="AD309" s="63"/>
      <c r="AE309" s="103"/>
      <c r="AF309" s="103"/>
      <c r="AG309" s="103"/>
      <c r="AH309" s="103"/>
      <c r="AI309" s="63"/>
      <c r="AJ309" s="63"/>
      <c r="AK309" s="63"/>
      <c r="AL309" s="63"/>
      <c r="AM309" s="103"/>
      <c r="AN309" s="103"/>
      <c r="AO309" s="103"/>
      <c r="AP309" s="103"/>
      <c r="AQ309" s="63"/>
      <c r="AR309" s="63"/>
      <c r="AS309" s="63"/>
      <c r="AT309" s="63"/>
      <c r="AU309" s="103"/>
      <c r="AV309" s="103"/>
      <c r="AW309" s="103"/>
      <c r="AX309" s="103"/>
      <c r="AY309" s="63"/>
      <c r="AZ309" s="63"/>
      <c r="BA309" s="63"/>
      <c r="BB309" s="63"/>
      <c r="BC309" s="103"/>
      <c r="BD309" s="103"/>
      <c r="BE309" s="103"/>
      <c r="BF309" s="103"/>
      <c r="BG309" s="63"/>
      <c r="BH309" s="63"/>
      <c r="BI309" s="63"/>
      <c r="BJ309" s="63"/>
      <c r="BK309" s="103"/>
      <c r="BL309" s="103"/>
      <c r="BM309" s="103"/>
      <c r="BN309" s="103"/>
      <c r="BO309" s="63"/>
      <c r="BP309" s="63"/>
      <c r="BQ309" s="63"/>
      <c r="BR309" s="63"/>
      <c r="BS309" s="103"/>
      <c r="BT309" s="103"/>
      <c r="BU309" s="103"/>
      <c r="BV309" s="103"/>
      <c r="BW309" s="63"/>
      <c r="BX309" s="63"/>
      <c r="BY309" s="63"/>
      <c r="BZ309" s="63"/>
      <c r="CA309" s="103"/>
      <c r="CB309" s="103"/>
      <c r="CC309" s="103"/>
      <c r="CD309" s="103"/>
      <c r="CE309" s="63"/>
      <c r="CF309" s="63"/>
      <c r="CG309" s="63"/>
      <c r="CH309" s="63"/>
      <c r="CI309" s="103"/>
      <c r="CJ309" s="103"/>
      <c r="CK309" s="103"/>
      <c r="CL309" s="103"/>
    </row>
    <row r="310" spans="2:90" ht="13" x14ac:dyDescent="0.15">
      <c r="B310" s="13"/>
      <c r="C310" s="13"/>
      <c r="D310" s="13"/>
      <c r="E310" s="13"/>
      <c r="F310" s="13"/>
      <c r="G310" s="103"/>
      <c r="H310" s="103"/>
      <c r="I310" s="103"/>
      <c r="J310" s="103"/>
      <c r="K310" s="63"/>
      <c r="L310" s="63"/>
      <c r="M310" s="63"/>
      <c r="N310" s="63"/>
      <c r="O310" s="103"/>
      <c r="P310" s="103"/>
      <c r="Q310" s="103"/>
      <c r="R310" s="103"/>
      <c r="S310" s="63"/>
      <c r="T310" s="63"/>
      <c r="U310" s="63"/>
      <c r="V310" s="63"/>
      <c r="W310" s="103"/>
      <c r="X310" s="103"/>
      <c r="Y310" s="103"/>
      <c r="Z310" s="103"/>
      <c r="AA310" s="63"/>
      <c r="AB310" s="63"/>
      <c r="AC310" s="63"/>
      <c r="AD310" s="63"/>
      <c r="AE310" s="103"/>
      <c r="AF310" s="103"/>
      <c r="AG310" s="103"/>
      <c r="AH310" s="103"/>
      <c r="AI310" s="63"/>
      <c r="AJ310" s="63"/>
      <c r="AK310" s="63"/>
      <c r="AL310" s="63"/>
      <c r="AM310" s="103"/>
      <c r="AN310" s="103"/>
      <c r="AO310" s="103"/>
      <c r="AP310" s="103"/>
      <c r="AQ310" s="63"/>
      <c r="AR310" s="63"/>
      <c r="AS310" s="63"/>
      <c r="AT310" s="63"/>
      <c r="AU310" s="103"/>
      <c r="AV310" s="103"/>
      <c r="AW310" s="103"/>
      <c r="AX310" s="103"/>
      <c r="AY310" s="63"/>
      <c r="AZ310" s="63"/>
      <c r="BA310" s="63"/>
      <c r="BB310" s="63"/>
      <c r="BC310" s="103"/>
      <c r="BD310" s="103"/>
      <c r="BE310" s="103"/>
      <c r="BF310" s="103"/>
      <c r="BG310" s="63"/>
      <c r="BH310" s="63"/>
      <c r="BI310" s="63"/>
      <c r="BJ310" s="63"/>
      <c r="BK310" s="103"/>
      <c r="BL310" s="103"/>
      <c r="BM310" s="103"/>
      <c r="BN310" s="103"/>
      <c r="BO310" s="63"/>
      <c r="BP310" s="63"/>
      <c r="BQ310" s="63"/>
      <c r="BR310" s="63"/>
      <c r="BS310" s="103"/>
      <c r="BT310" s="103"/>
      <c r="BU310" s="103"/>
      <c r="BV310" s="103"/>
      <c r="BW310" s="63"/>
      <c r="BX310" s="63"/>
      <c r="BY310" s="63"/>
      <c r="BZ310" s="63"/>
      <c r="CA310" s="103"/>
      <c r="CB310" s="103"/>
      <c r="CC310" s="103"/>
      <c r="CD310" s="103"/>
      <c r="CE310" s="63"/>
      <c r="CF310" s="63"/>
      <c r="CG310" s="63"/>
      <c r="CH310" s="63"/>
      <c r="CI310" s="103"/>
      <c r="CJ310" s="103"/>
      <c r="CK310" s="103"/>
      <c r="CL310" s="103"/>
    </row>
    <row r="311" spans="2:90" ht="13" x14ac:dyDescent="0.15">
      <c r="B311" s="13"/>
      <c r="C311" s="13"/>
      <c r="D311" s="13"/>
      <c r="E311" s="13"/>
      <c r="F311" s="13"/>
      <c r="G311" s="103"/>
      <c r="H311" s="103"/>
      <c r="I311" s="103"/>
      <c r="J311" s="103"/>
      <c r="K311" s="63"/>
      <c r="L311" s="63"/>
      <c r="M311" s="63"/>
      <c r="N311" s="63"/>
      <c r="O311" s="103"/>
      <c r="P311" s="103"/>
      <c r="Q311" s="103"/>
      <c r="R311" s="103"/>
      <c r="S311" s="63"/>
      <c r="T311" s="63"/>
      <c r="U311" s="63"/>
      <c r="V311" s="63"/>
      <c r="W311" s="103"/>
      <c r="X311" s="103"/>
      <c r="Y311" s="103"/>
      <c r="Z311" s="103"/>
      <c r="AA311" s="63"/>
      <c r="AB311" s="63"/>
      <c r="AC311" s="63"/>
      <c r="AD311" s="63"/>
      <c r="AE311" s="103"/>
      <c r="AF311" s="103"/>
      <c r="AG311" s="103"/>
      <c r="AH311" s="103"/>
      <c r="AI311" s="63"/>
      <c r="AJ311" s="63"/>
      <c r="AK311" s="63"/>
      <c r="AL311" s="63"/>
      <c r="AM311" s="103"/>
      <c r="AN311" s="103"/>
      <c r="AO311" s="103"/>
      <c r="AP311" s="103"/>
      <c r="AQ311" s="63"/>
      <c r="AR311" s="63"/>
      <c r="AS311" s="63"/>
      <c r="AT311" s="63"/>
      <c r="AU311" s="103"/>
      <c r="AV311" s="103"/>
      <c r="AW311" s="103"/>
      <c r="AX311" s="103"/>
      <c r="AY311" s="63"/>
      <c r="AZ311" s="63"/>
      <c r="BA311" s="63"/>
      <c r="BB311" s="63"/>
      <c r="BC311" s="103"/>
      <c r="BD311" s="103"/>
      <c r="BE311" s="103"/>
      <c r="BF311" s="103"/>
      <c r="BG311" s="63"/>
      <c r="BH311" s="63"/>
      <c r="BI311" s="63"/>
      <c r="BJ311" s="63"/>
      <c r="BK311" s="103"/>
      <c r="BL311" s="103"/>
      <c r="BM311" s="103"/>
      <c r="BN311" s="103"/>
      <c r="BO311" s="63"/>
      <c r="BP311" s="63"/>
      <c r="BQ311" s="63"/>
      <c r="BR311" s="63"/>
      <c r="BS311" s="103"/>
      <c r="BT311" s="103"/>
      <c r="BU311" s="103"/>
      <c r="BV311" s="103"/>
      <c r="BW311" s="63"/>
      <c r="BX311" s="63"/>
      <c r="BY311" s="63"/>
      <c r="BZ311" s="63"/>
      <c r="CA311" s="103"/>
      <c r="CB311" s="103"/>
      <c r="CC311" s="103"/>
      <c r="CD311" s="103"/>
      <c r="CE311" s="63"/>
      <c r="CF311" s="63"/>
      <c r="CG311" s="63"/>
      <c r="CH311" s="63"/>
      <c r="CI311" s="103"/>
      <c r="CJ311" s="103"/>
      <c r="CK311" s="103"/>
      <c r="CL311" s="103"/>
    </row>
    <row r="312" spans="2:90" ht="13" x14ac:dyDescent="0.15">
      <c r="B312" s="13"/>
      <c r="C312" s="14"/>
      <c r="D312" s="14"/>
      <c r="E312" s="14"/>
      <c r="F312" s="14"/>
      <c r="G312" s="103"/>
      <c r="H312" s="103"/>
      <c r="I312" s="103"/>
      <c r="J312" s="103"/>
      <c r="K312" s="63"/>
      <c r="L312" s="63"/>
      <c r="M312" s="63"/>
      <c r="N312" s="63"/>
      <c r="O312" s="103"/>
      <c r="P312" s="103"/>
      <c r="Q312" s="103"/>
      <c r="R312" s="103"/>
      <c r="S312" s="63"/>
      <c r="T312" s="63"/>
      <c r="U312" s="63"/>
      <c r="V312" s="63"/>
      <c r="W312" s="103"/>
      <c r="X312" s="103"/>
      <c r="Y312" s="103"/>
      <c r="Z312" s="103"/>
      <c r="AA312" s="63"/>
      <c r="AB312" s="63"/>
      <c r="AC312" s="63"/>
      <c r="AD312" s="63"/>
      <c r="AE312" s="103"/>
      <c r="AF312" s="103"/>
      <c r="AG312" s="103"/>
      <c r="AH312" s="103"/>
      <c r="AI312" s="63"/>
      <c r="AJ312" s="63"/>
      <c r="AK312" s="63"/>
      <c r="AL312" s="63"/>
      <c r="AM312" s="103"/>
      <c r="AN312" s="103"/>
      <c r="AO312" s="103"/>
      <c r="AP312" s="103"/>
      <c r="AQ312" s="63"/>
      <c r="AR312" s="63"/>
      <c r="AS312" s="63"/>
      <c r="AT312" s="63"/>
      <c r="AU312" s="103"/>
      <c r="AV312" s="103"/>
      <c r="AW312" s="103"/>
      <c r="AX312" s="103"/>
      <c r="AY312" s="63"/>
      <c r="AZ312" s="63"/>
      <c r="BA312" s="63"/>
      <c r="BB312" s="63"/>
      <c r="BC312" s="103"/>
      <c r="BD312" s="103"/>
      <c r="BE312" s="103"/>
      <c r="BF312" s="103"/>
      <c r="BG312" s="63"/>
      <c r="BH312" s="63"/>
      <c r="BI312" s="63"/>
      <c r="BJ312" s="63"/>
      <c r="BK312" s="103"/>
      <c r="BL312" s="103"/>
      <c r="BM312" s="103"/>
      <c r="BN312" s="103"/>
      <c r="BO312" s="63"/>
      <c r="BP312" s="63"/>
      <c r="BQ312" s="63"/>
      <c r="BR312" s="63"/>
      <c r="BS312" s="103"/>
      <c r="BT312" s="103"/>
      <c r="BU312" s="103"/>
      <c r="BV312" s="103"/>
      <c r="BW312" s="63"/>
      <c r="BX312" s="63"/>
      <c r="BY312" s="63"/>
      <c r="BZ312" s="63"/>
      <c r="CA312" s="103"/>
      <c r="CB312" s="103"/>
      <c r="CC312" s="103"/>
      <c r="CD312" s="103"/>
      <c r="CE312" s="63"/>
      <c r="CF312" s="63"/>
      <c r="CG312" s="63"/>
      <c r="CH312" s="63"/>
      <c r="CI312" s="103"/>
      <c r="CJ312" s="103"/>
      <c r="CK312" s="103"/>
      <c r="CL312" s="103"/>
    </row>
    <row r="313" spans="2:90" ht="13" x14ac:dyDescent="0.15">
      <c r="B313" s="13"/>
      <c r="C313" s="14"/>
      <c r="D313" s="14"/>
      <c r="E313" s="14"/>
      <c r="F313" s="14"/>
      <c r="G313" s="103"/>
      <c r="H313" s="103"/>
      <c r="I313" s="103"/>
      <c r="J313" s="103"/>
      <c r="K313" s="63"/>
      <c r="L313" s="63"/>
      <c r="M313" s="63"/>
      <c r="N313" s="63"/>
      <c r="O313" s="103"/>
      <c r="P313" s="103"/>
      <c r="Q313" s="103"/>
      <c r="R313" s="103"/>
      <c r="S313" s="63"/>
      <c r="T313" s="63"/>
      <c r="U313" s="63"/>
      <c r="V313" s="63"/>
      <c r="W313" s="103"/>
      <c r="X313" s="103"/>
      <c r="Y313" s="103"/>
      <c r="Z313" s="103"/>
      <c r="AA313" s="63"/>
      <c r="AB313" s="63"/>
      <c r="AC313" s="63"/>
      <c r="AD313" s="63"/>
      <c r="AE313" s="103"/>
      <c r="AF313" s="103"/>
      <c r="AG313" s="103"/>
      <c r="AH313" s="103"/>
      <c r="AI313" s="63"/>
      <c r="AJ313" s="63"/>
      <c r="AK313" s="63"/>
      <c r="AL313" s="63"/>
      <c r="AM313" s="103"/>
      <c r="AN313" s="103"/>
      <c r="AO313" s="103"/>
      <c r="AP313" s="103"/>
      <c r="AQ313" s="63"/>
      <c r="AR313" s="63"/>
      <c r="AS313" s="63"/>
      <c r="AT313" s="63"/>
      <c r="AU313" s="103"/>
      <c r="AV313" s="103"/>
      <c r="AW313" s="103"/>
      <c r="AX313" s="103"/>
      <c r="AY313" s="63"/>
      <c r="AZ313" s="63"/>
      <c r="BA313" s="63"/>
      <c r="BB313" s="63"/>
      <c r="BC313" s="103"/>
      <c r="BD313" s="103"/>
      <c r="BE313" s="103"/>
      <c r="BF313" s="103"/>
      <c r="BG313" s="63"/>
      <c r="BH313" s="63"/>
      <c r="BI313" s="63"/>
      <c r="BJ313" s="63"/>
      <c r="BK313" s="103"/>
      <c r="BL313" s="103"/>
      <c r="BM313" s="103"/>
      <c r="BN313" s="103"/>
      <c r="BO313" s="63"/>
      <c r="BP313" s="63"/>
      <c r="BQ313" s="63"/>
      <c r="BR313" s="63"/>
      <c r="BS313" s="103"/>
      <c r="BT313" s="103"/>
      <c r="BU313" s="103"/>
      <c r="BV313" s="103"/>
      <c r="BW313" s="63"/>
      <c r="BX313" s="63"/>
      <c r="BY313" s="63"/>
      <c r="BZ313" s="63"/>
      <c r="CA313" s="103"/>
      <c r="CB313" s="103"/>
      <c r="CC313" s="103"/>
      <c r="CD313" s="103"/>
      <c r="CE313" s="63"/>
      <c r="CF313" s="63"/>
      <c r="CG313" s="63"/>
      <c r="CH313" s="63"/>
      <c r="CI313" s="103"/>
      <c r="CJ313" s="103"/>
      <c r="CK313" s="103"/>
      <c r="CL313" s="103"/>
    </row>
    <row r="314" spans="2:90" ht="13" x14ac:dyDescent="0.15">
      <c r="B314" s="13"/>
      <c r="C314" s="14"/>
      <c r="D314" s="14"/>
      <c r="E314" s="14"/>
      <c r="F314" s="14"/>
      <c r="G314" s="103"/>
      <c r="H314" s="103"/>
      <c r="I314" s="103"/>
      <c r="J314" s="103"/>
      <c r="K314" s="63"/>
      <c r="L314" s="63"/>
      <c r="M314" s="63"/>
      <c r="N314" s="63"/>
      <c r="O314" s="103"/>
      <c r="P314" s="103"/>
      <c r="Q314" s="103"/>
      <c r="R314" s="103"/>
      <c r="S314" s="63"/>
      <c r="T314" s="63"/>
      <c r="U314" s="63"/>
      <c r="V314" s="63"/>
      <c r="W314" s="103"/>
      <c r="X314" s="103"/>
      <c r="Y314" s="103"/>
      <c r="Z314" s="103"/>
      <c r="AA314" s="63"/>
      <c r="AB314" s="63"/>
      <c r="AC314" s="63"/>
      <c r="AD314" s="63"/>
      <c r="AE314" s="103"/>
      <c r="AF314" s="103"/>
      <c r="AG314" s="103"/>
      <c r="AH314" s="103"/>
      <c r="AI314" s="63"/>
      <c r="AJ314" s="63"/>
      <c r="AK314" s="63"/>
      <c r="AL314" s="63"/>
      <c r="AM314" s="103"/>
      <c r="AN314" s="103"/>
      <c r="AO314" s="103"/>
      <c r="AP314" s="103"/>
      <c r="AQ314" s="63"/>
      <c r="AR314" s="63"/>
      <c r="AS314" s="63"/>
      <c r="AT314" s="63"/>
      <c r="AU314" s="103"/>
      <c r="AV314" s="103"/>
      <c r="AW314" s="103"/>
      <c r="AX314" s="103"/>
      <c r="AY314" s="63"/>
      <c r="AZ314" s="63"/>
      <c r="BA314" s="63"/>
      <c r="BB314" s="63"/>
      <c r="BC314" s="103"/>
      <c r="BD314" s="103"/>
      <c r="BE314" s="103"/>
      <c r="BF314" s="103"/>
      <c r="BG314" s="63"/>
      <c r="BH314" s="63"/>
      <c r="BI314" s="63"/>
      <c r="BJ314" s="63"/>
      <c r="BK314" s="103"/>
      <c r="BL314" s="103"/>
      <c r="BM314" s="103"/>
      <c r="BN314" s="103"/>
      <c r="BO314" s="63"/>
      <c r="BP314" s="63"/>
      <c r="BQ314" s="63"/>
      <c r="BR314" s="63"/>
      <c r="BS314" s="103"/>
      <c r="BT314" s="103"/>
      <c r="BU314" s="103"/>
      <c r="BV314" s="103"/>
      <c r="BW314" s="63"/>
      <c r="BX314" s="63"/>
      <c r="BY314" s="63"/>
      <c r="BZ314" s="63"/>
      <c r="CA314" s="103"/>
      <c r="CB314" s="103"/>
      <c r="CC314" s="103"/>
      <c r="CD314" s="103"/>
      <c r="CE314" s="63"/>
      <c r="CF314" s="63"/>
      <c r="CG314" s="63"/>
      <c r="CH314" s="63"/>
      <c r="CI314" s="103"/>
      <c r="CJ314" s="103"/>
      <c r="CK314" s="103"/>
      <c r="CL314" s="103"/>
    </row>
    <row r="315" spans="2:90" ht="13" x14ac:dyDescent="0.15">
      <c r="B315" s="13"/>
      <c r="C315" s="14"/>
      <c r="D315" s="14"/>
      <c r="E315" s="14"/>
      <c r="F315" s="14"/>
      <c r="G315" s="103"/>
      <c r="H315" s="103"/>
      <c r="I315" s="103"/>
      <c r="J315" s="103"/>
      <c r="K315" s="63"/>
      <c r="L315" s="63"/>
      <c r="M315" s="63"/>
      <c r="N315" s="63"/>
      <c r="O315" s="103"/>
      <c r="P315" s="103"/>
      <c r="Q315" s="103"/>
      <c r="R315" s="103"/>
      <c r="S315" s="63"/>
      <c r="T315" s="63"/>
      <c r="U315" s="63"/>
      <c r="V315" s="63"/>
      <c r="W315" s="103"/>
      <c r="X315" s="103"/>
      <c r="Y315" s="103"/>
      <c r="Z315" s="103"/>
      <c r="AA315" s="63"/>
      <c r="AB315" s="63"/>
      <c r="AC315" s="63"/>
      <c r="AD315" s="63"/>
      <c r="AE315" s="103"/>
      <c r="AF315" s="103"/>
      <c r="AG315" s="103"/>
      <c r="AH315" s="103"/>
      <c r="AI315" s="63"/>
      <c r="AJ315" s="63"/>
      <c r="AK315" s="63"/>
      <c r="AL315" s="63"/>
      <c r="AM315" s="103"/>
      <c r="AN315" s="103"/>
      <c r="AO315" s="103"/>
      <c r="AP315" s="103"/>
      <c r="AQ315" s="63"/>
      <c r="AR315" s="63"/>
      <c r="AS315" s="63"/>
      <c r="AT315" s="63"/>
      <c r="AU315" s="103"/>
      <c r="AV315" s="103"/>
      <c r="AW315" s="103"/>
      <c r="AX315" s="103"/>
      <c r="AY315" s="63"/>
      <c r="AZ315" s="63"/>
      <c r="BA315" s="63"/>
      <c r="BB315" s="63"/>
      <c r="BC315" s="103"/>
      <c r="BD315" s="103"/>
      <c r="BE315" s="103"/>
      <c r="BF315" s="103"/>
      <c r="BG315" s="63"/>
      <c r="BH315" s="63"/>
      <c r="BI315" s="63"/>
      <c r="BJ315" s="63"/>
      <c r="BK315" s="103"/>
      <c r="BL315" s="103"/>
      <c r="BM315" s="103"/>
      <c r="BN315" s="103"/>
      <c r="BO315" s="63"/>
      <c r="BP315" s="63"/>
      <c r="BQ315" s="63"/>
      <c r="BR315" s="63"/>
      <c r="BS315" s="103"/>
      <c r="BT315" s="103"/>
      <c r="BU315" s="103"/>
      <c r="BV315" s="103"/>
      <c r="BW315" s="63"/>
      <c r="BX315" s="63"/>
      <c r="BY315" s="63"/>
      <c r="BZ315" s="63"/>
      <c r="CA315" s="103"/>
      <c r="CB315" s="103"/>
      <c r="CC315" s="103"/>
      <c r="CD315" s="103"/>
      <c r="CE315" s="63"/>
      <c r="CF315" s="63"/>
      <c r="CG315" s="63"/>
      <c r="CH315" s="63"/>
      <c r="CI315" s="103"/>
      <c r="CJ315" s="103"/>
      <c r="CK315" s="103"/>
      <c r="CL315" s="103"/>
    </row>
    <row r="316" spans="2:90" ht="13" x14ac:dyDescent="0.15">
      <c r="B316" s="13"/>
      <c r="C316" s="14"/>
      <c r="D316" s="14"/>
      <c r="E316" s="14"/>
      <c r="F316" s="14"/>
      <c r="G316" s="103"/>
      <c r="H316" s="103"/>
      <c r="I316" s="103"/>
      <c r="J316" s="103"/>
      <c r="K316" s="63"/>
      <c r="L316" s="63"/>
      <c r="M316" s="63"/>
      <c r="N316" s="63"/>
      <c r="O316" s="103"/>
      <c r="P316" s="103"/>
      <c r="Q316" s="103"/>
      <c r="R316" s="103"/>
      <c r="S316" s="63"/>
      <c r="T316" s="63"/>
      <c r="U316" s="63"/>
      <c r="V316" s="63"/>
      <c r="W316" s="103"/>
      <c r="X316" s="103"/>
      <c r="Y316" s="103"/>
      <c r="Z316" s="103"/>
      <c r="AA316" s="63"/>
      <c r="AB316" s="63"/>
      <c r="AC316" s="63"/>
      <c r="AD316" s="63"/>
      <c r="AE316" s="103"/>
      <c r="AF316" s="103"/>
      <c r="AG316" s="103"/>
      <c r="AH316" s="103"/>
      <c r="AI316" s="63"/>
      <c r="AJ316" s="63"/>
      <c r="AK316" s="63"/>
      <c r="AL316" s="63"/>
      <c r="AM316" s="103"/>
      <c r="AN316" s="103"/>
      <c r="AO316" s="103"/>
      <c r="AP316" s="103"/>
      <c r="AQ316" s="63"/>
      <c r="AR316" s="63"/>
      <c r="AS316" s="63"/>
      <c r="AT316" s="63"/>
      <c r="AU316" s="103"/>
      <c r="AV316" s="103"/>
      <c r="AW316" s="103"/>
      <c r="AX316" s="103"/>
      <c r="AY316" s="63"/>
      <c r="AZ316" s="63"/>
      <c r="BA316" s="63"/>
      <c r="BB316" s="63"/>
      <c r="BC316" s="103"/>
      <c r="BD316" s="103"/>
      <c r="BE316" s="103"/>
      <c r="BF316" s="103"/>
      <c r="BG316" s="63"/>
      <c r="BH316" s="63"/>
      <c r="BI316" s="63"/>
      <c r="BJ316" s="63"/>
      <c r="BK316" s="103"/>
      <c r="BL316" s="103"/>
      <c r="BM316" s="103"/>
      <c r="BN316" s="103"/>
      <c r="BO316" s="63"/>
      <c r="BP316" s="63"/>
      <c r="BQ316" s="63"/>
      <c r="BR316" s="63"/>
      <c r="BS316" s="103"/>
      <c r="BT316" s="103"/>
      <c r="BU316" s="103"/>
      <c r="BV316" s="103"/>
      <c r="BW316" s="63"/>
      <c r="BX316" s="63"/>
      <c r="BY316" s="63"/>
      <c r="BZ316" s="63"/>
      <c r="CA316" s="103"/>
      <c r="CB316" s="103"/>
      <c r="CC316" s="103"/>
      <c r="CD316" s="103"/>
      <c r="CE316" s="63"/>
      <c r="CF316" s="63"/>
      <c r="CG316" s="63"/>
      <c r="CH316" s="63"/>
      <c r="CI316" s="103"/>
      <c r="CJ316" s="103"/>
      <c r="CK316" s="103"/>
      <c r="CL316" s="103"/>
    </row>
    <row r="317" spans="2:90" ht="13" x14ac:dyDescent="0.15">
      <c r="B317" s="13"/>
      <c r="C317" s="14"/>
      <c r="D317" s="14"/>
      <c r="E317" s="14"/>
      <c r="F317" s="14"/>
      <c r="G317" s="103"/>
      <c r="H317" s="103"/>
      <c r="I317" s="103"/>
      <c r="J317" s="103"/>
      <c r="K317" s="63"/>
      <c r="L317" s="63"/>
      <c r="M317" s="63"/>
      <c r="N317" s="63"/>
      <c r="O317" s="103"/>
      <c r="P317" s="103"/>
      <c r="Q317" s="103"/>
      <c r="R317" s="103"/>
      <c r="S317" s="63"/>
      <c r="T317" s="63"/>
      <c r="U317" s="63"/>
      <c r="V317" s="63"/>
      <c r="W317" s="103"/>
      <c r="X317" s="103"/>
      <c r="Y317" s="103"/>
      <c r="Z317" s="103"/>
      <c r="AA317" s="63"/>
      <c r="AB317" s="63"/>
      <c r="AC317" s="63"/>
      <c r="AD317" s="63"/>
      <c r="AE317" s="103"/>
      <c r="AF317" s="103"/>
      <c r="AG317" s="103"/>
      <c r="AH317" s="103"/>
      <c r="AI317" s="63"/>
      <c r="AJ317" s="63"/>
      <c r="AK317" s="63"/>
      <c r="AL317" s="63"/>
      <c r="AM317" s="103"/>
      <c r="AN317" s="103"/>
      <c r="AO317" s="103"/>
      <c r="AP317" s="103"/>
      <c r="AQ317" s="63"/>
      <c r="AR317" s="63"/>
      <c r="AS317" s="63"/>
      <c r="AT317" s="63"/>
      <c r="AU317" s="103"/>
      <c r="AV317" s="103"/>
      <c r="AW317" s="103"/>
      <c r="AX317" s="103"/>
      <c r="AY317" s="63"/>
      <c r="AZ317" s="63"/>
      <c r="BA317" s="63"/>
      <c r="BB317" s="63"/>
      <c r="BC317" s="103"/>
      <c r="BD317" s="103"/>
      <c r="BE317" s="103"/>
      <c r="BF317" s="103"/>
      <c r="BG317" s="63"/>
      <c r="BH317" s="63"/>
      <c r="BI317" s="63"/>
      <c r="BJ317" s="63"/>
      <c r="BK317" s="103"/>
      <c r="BL317" s="103"/>
      <c r="BM317" s="103"/>
      <c r="BN317" s="103"/>
      <c r="BO317" s="63"/>
      <c r="BP317" s="63"/>
      <c r="BQ317" s="63"/>
      <c r="BR317" s="63"/>
      <c r="BS317" s="103"/>
      <c r="BT317" s="103"/>
      <c r="BU317" s="103"/>
      <c r="BV317" s="103"/>
      <c r="BW317" s="63"/>
      <c r="BX317" s="63"/>
      <c r="BY317" s="63"/>
      <c r="BZ317" s="63"/>
      <c r="CA317" s="103"/>
      <c r="CB317" s="103"/>
      <c r="CC317" s="103"/>
      <c r="CD317" s="103"/>
      <c r="CE317" s="63"/>
      <c r="CF317" s="63"/>
      <c r="CG317" s="63"/>
      <c r="CH317" s="63"/>
      <c r="CI317" s="103"/>
      <c r="CJ317" s="103"/>
      <c r="CK317" s="103"/>
      <c r="CL317" s="103"/>
    </row>
    <row r="318" spans="2:90" ht="13" x14ac:dyDescent="0.15">
      <c r="B318" s="13"/>
      <c r="C318" s="14"/>
      <c r="D318" s="14"/>
      <c r="E318" s="14"/>
      <c r="F318" s="14"/>
      <c r="G318" s="103"/>
      <c r="H318" s="103"/>
      <c r="I318" s="103"/>
      <c r="J318" s="103"/>
      <c r="K318" s="63"/>
      <c r="L318" s="63"/>
      <c r="M318" s="63"/>
      <c r="N318" s="63"/>
      <c r="O318" s="103"/>
      <c r="P318" s="103"/>
      <c r="Q318" s="103"/>
      <c r="R318" s="103"/>
      <c r="S318" s="63"/>
      <c r="T318" s="63"/>
      <c r="U318" s="63"/>
      <c r="V318" s="63"/>
      <c r="W318" s="103"/>
      <c r="X318" s="103"/>
      <c r="Y318" s="103"/>
      <c r="Z318" s="103"/>
      <c r="AA318" s="63"/>
      <c r="AB318" s="63"/>
      <c r="AC318" s="63"/>
      <c r="AD318" s="63"/>
      <c r="AE318" s="103"/>
      <c r="AF318" s="103"/>
      <c r="AG318" s="103"/>
      <c r="AH318" s="103"/>
      <c r="AI318" s="63"/>
      <c r="AJ318" s="63"/>
      <c r="AK318" s="63"/>
      <c r="AL318" s="63"/>
      <c r="AM318" s="103"/>
      <c r="AN318" s="103"/>
      <c r="AO318" s="103"/>
      <c r="AP318" s="103"/>
      <c r="AQ318" s="63"/>
      <c r="AR318" s="63"/>
      <c r="AS318" s="63"/>
      <c r="AT318" s="63"/>
      <c r="AU318" s="103"/>
      <c r="AV318" s="103"/>
      <c r="AW318" s="103"/>
      <c r="AX318" s="103"/>
      <c r="AY318" s="63"/>
      <c r="AZ318" s="63"/>
      <c r="BA318" s="63"/>
      <c r="BB318" s="63"/>
      <c r="BC318" s="103"/>
      <c r="BD318" s="103"/>
      <c r="BE318" s="103"/>
      <c r="BF318" s="103"/>
      <c r="BG318" s="63"/>
      <c r="BH318" s="63"/>
      <c r="BI318" s="63"/>
      <c r="BJ318" s="63"/>
      <c r="BK318" s="103"/>
      <c r="BL318" s="103"/>
      <c r="BM318" s="103"/>
      <c r="BN318" s="103"/>
      <c r="BO318" s="63"/>
      <c r="BP318" s="63"/>
      <c r="BQ318" s="63"/>
      <c r="BR318" s="63"/>
      <c r="BS318" s="103"/>
      <c r="BT318" s="103"/>
      <c r="BU318" s="103"/>
      <c r="BV318" s="103"/>
      <c r="BW318" s="63"/>
      <c r="BX318" s="63"/>
      <c r="BY318" s="63"/>
      <c r="BZ318" s="63"/>
      <c r="CA318" s="103"/>
      <c r="CB318" s="103"/>
      <c r="CC318" s="103"/>
      <c r="CD318" s="103"/>
      <c r="CE318" s="63"/>
      <c r="CF318" s="63"/>
      <c r="CG318" s="63"/>
      <c r="CH318" s="63"/>
      <c r="CI318" s="103"/>
      <c r="CJ318" s="103"/>
      <c r="CK318" s="103"/>
      <c r="CL318" s="103"/>
    </row>
    <row r="319" spans="2:90" ht="13" x14ac:dyDescent="0.15">
      <c r="B319" s="13"/>
      <c r="C319" s="14"/>
      <c r="D319" s="14"/>
      <c r="E319" s="14"/>
      <c r="F319" s="14"/>
      <c r="G319" s="103"/>
      <c r="H319" s="103"/>
      <c r="I319" s="103"/>
      <c r="J319" s="103"/>
      <c r="K319" s="63"/>
      <c r="L319" s="63"/>
      <c r="M319" s="63"/>
      <c r="N319" s="63"/>
      <c r="O319" s="103"/>
      <c r="P319" s="103"/>
      <c r="Q319" s="103"/>
      <c r="R319" s="103"/>
      <c r="S319" s="63"/>
      <c r="T319" s="63"/>
      <c r="U319" s="63"/>
      <c r="V319" s="63"/>
      <c r="W319" s="103"/>
      <c r="X319" s="103"/>
      <c r="Y319" s="103"/>
      <c r="Z319" s="103"/>
      <c r="AA319" s="63"/>
      <c r="AB319" s="63"/>
      <c r="AC319" s="63"/>
      <c r="AD319" s="63"/>
      <c r="AE319" s="103"/>
      <c r="AF319" s="103"/>
      <c r="AG319" s="103"/>
      <c r="AH319" s="103"/>
      <c r="AI319" s="63"/>
      <c r="AJ319" s="63"/>
      <c r="AK319" s="63"/>
      <c r="AL319" s="63"/>
      <c r="AM319" s="103"/>
      <c r="AN319" s="103"/>
      <c r="AO319" s="103"/>
      <c r="AP319" s="103"/>
      <c r="AQ319" s="63"/>
      <c r="AR319" s="63"/>
      <c r="AS319" s="63"/>
      <c r="AT319" s="63"/>
      <c r="AU319" s="103"/>
      <c r="AV319" s="103"/>
      <c r="AW319" s="103"/>
      <c r="AX319" s="103"/>
      <c r="AY319" s="63"/>
      <c r="AZ319" s="63"/>
      <c r="BA319" s="63"/>
      <c r="BB319" s="63"/>
      <c r="BC319" s="103"/>
      <c r="BD319" s="103"/>
      <c r="BE319" s="103"/>
      <c r="BF319" s="103"/>
      <c r="BG319" s="63"/>
      <c r="BH319" s="63"/>
      <c r="BI319" s="63"/>
      <c r="BJ319" s="63"/>
      <c r="BK319" s="103"/>
      <c r="BL319" s="103"/>
      <c r="BM319" s="103"/>
      <c r="BN319" s="103"/>
      <c r="BO319" s="63"/>
      <c r="BP319" s="63"/>
      <c r="BQ319" s="63"/>
      <c r="BR319" s="63"/>
      <c r="BS319" s="103"/>
      <c r="BT319" s="103"/>
      <c r="BU319" s="103"/>
      <c r="BV319" s="103"/>
      <c r="BW319" s="63"/>
      <c r="BX319" s="63"/>
      <c r="BY319" s="63"/>
      <c r="BZ319" s="63"/>
      <c r="CA319" s="103"/>
      <c r="CB319" s="103"/>
      <c r="CC319" s="103"/>
      <c r="CD319" s="103"/>
      <c r="CE319" s="63"/>
      <c r="CF319" s="63"/>
      <c r="CG319" s="63"/>
      <c r="CH319" s="63"/>
      <c r="CI319" s="103"/>
      <c r="CJ319" s="103"/>
      <c r="CK319" s="103"/>
      <c r="CL319" s="103"/>
    </row>
    <row r="320" spans="2:90" ht="13" x14ac:dyDescent="0.15">
      <c r="B320" s="13"/>
      <c r="C320" s="14"/>
      <c r="D320" s="14"/>
      <c r="E320" s="14"/>
      <c r="F320" s="14"/>
      <c r="G320" s="103"/>
      <c r="H320" s="103"/>
      <c r="I320" s="103"/>
      <c r="J320" s="103"/>
      <c r="K320" s="63"/>
      <c r="L320" s="63"/>
      <c r="M320" s="63"/>
      <c r="N320" s="63"/>
      <c r="O320" s="103"/>
      <c r="P320" s="103"/>
      <c r="Q320" s="103"/>
      <c r="R320" s="103"/>
      <c r="S320" s="63"/>
      <c r="T320" s="63"/>
      <c r="U320" s="63"/>
      <c r="V320" s="63"/>
      <c r="W320" s="103"/>
      <c r="X320" s="103"/>
      <c r="Y320" s="103"/>
      <c r="Z320" s="103"/>
      <c r="AA320" s="63"/>
      <c r="AB320" s="63"/>
      <c r="AC320" s="63"/>
      <c r="AD320" s="63"/>
      <c r="AE320" s="103"/>
      <c r="AF320" s="103"/>
      <c r="AG320" s="103"/>
      <c r="AH320" s="103"/>
      <c r="AI320" s="63"/>
      <c r="AJ320" s="63"/>
      <c r="AK320" s="63"/>
      <c r="AL320" s="63"/>
      <c r="AM320" s="103"/>
      <c r="AN320" s="103"/>
      <c r="AO320" s="103"/>
      <c r="AP320" s="103"/>
      <c r="AQ320" s="63"/>
      <c r="AR320" s="63"/>
      <c r="AS320" s="63"/>
      <c r="AT320" s="63"/>
      <c r="AU320" s="103"/>
      <c r="AV320" s="103"/>
      <c r="AW320" s="103"/>
      <c r="AX320" s="103"/>
      <c r="AY320" s="63"/>
      <c r="AZ320" s="63"/>
      <c r="BA320" s="63"/>
      <c r="BB320" s="63"/>
      <c r="BC320" s="103"/>
      <c r="BD320" s="103"/>
      <c r="BE320" s="103"/>
      <c r="BF320" s="103"/>
      <c r="BG320" s="63"/>
      <c r="BH320" s="63"/>
      <c r="BI320" s="63"/>
      <c r="BJ320" s="63"/>
      <c r="BK320" s="103"/>
      <c r="BL320" s="103"/>
      <c r="BM320" s="103"/>
      <c r="BN320" s="103"/>
      <c r="BO320" s="63"/>
      <c r="BP320" s="63"/>
      <c r="BQ320" s="63"/>
      <c r="BR320" s="63"/>
      <c r="BS320" s="103"/>
      <c r="BT320" s="103"/>
      <c r="BU320" s="103"/>
      <c r="BV320" s="103"/>
      <c r="BW320" s="63"/>
      <c r="BX320" s="63"/>
      <c r="BY320" s="63"/>
      <c r="BZ320" s="63"/>
      <c r="CA320" s="103"/>
      <c r="CB320" s="103"/>
      <c r="CC320" s="103"/>
      <c r="CD320" s="103"/>
      <c r="CE320" s="63"/>
      <c r="CF320" s="63"/>
      <c r="CG320" s="63"/>
      <c r="CH320" s="63"/>
      <c r="CI320" s="103"/>
      <c r="CJ320" s="103"/>
      <c r="CK320" s="103"/>
      <c r="CL320" s="103"/>
    </row>
    <row r="321" spans="2:90" ht="13" x14ac:dyDescent="0.15">
      <c r="B321" s="13"/>
      <c r="C321" s="14"/>
      <c r="D321" s="14"/>
      <c r="E321" s="14"/>
      <c r="F321" s="14"/>
      <c r="G321" s="103"/>
      <c r="H321" s="103"/>
      <c r="I321" s="103"/>
      <c r="J321" s="103"/>
      <c r="K321" s="63"/>
      <c r="L321" s="63"/>
      <c r="M321" s="63"/>
      <c r="N321" s="63"/>
      <c r="O321" s="103"/>
      <c r="P321" s="103"/>
      <c r="Q321" s="103"/>
      <c r="R321" s="103"/>
      <c r="S321" s="63"/>
      <c r="T321" s="63"/>
      <c r="U321" s="63"/>
      <c r="V321" s="63"/>
      <c r="W321" s="103"/>
      <c r="X321" s="103"/>
      <c r="Y321" s="103"/>
      <c r="Z321" s="103"/>
      <c r="AA321" s="63"/>
      <c r="AB321" s="63"/>
      <c r="AC321" s="63"/>
      <c r="AD321" s="63"/>
      <c r="AE321" s="103"/>
      <c r="AF321" s="103"/>
      <c r="AG321" s="103"/>
      <c r="AH321" s="103"/>
      <c r="AI321" s="63"/>
      <c r="AJ321" s="63"/>
      <c r="AK321" s="63"/>
      <c r="AL321" s="63"/>
      <c r="AM321" s="103"/>
      <c r="AN321" s="103"/>
      <c r="AO321" s="103"/>
      <c r="AP321" s="103"/>
      <c r="AQ321" s="63"/>
      <c r="AR321" s="63"/>
      <c r="AS321" s="63"/>
      <c r="AT321" s="63"/>
      <c r="AU321" s="103"/>
      <c r="AV321" s="103"/>
      <c r="AW321" s="103"/>
      <c r="AX321" s="103"/>
      <c r="AY321" s="63"/>
      <c r="AZ321" s="63"/>
      <c r="BA321" s="63"/>
      <c r="BB321" s="63"/>
      <c r="BC321" s="103"/>
      <c r="BD321" s="103"/>
      <c r="BE321" s="103"/>
      <c r="BF321" s="103"/>
      <c r="BG321" s="63"/>
      <c r="BH321" s="63"/>
      <c r="BI321" s="63"/>
      <c r="BJ321" s="63"/>
      <c r="BK321" s="103"/>
      <c r="BL321" s="103"/>
      <c r="BM321" s="103"/>
      <c r="BN321" s="103"/>
      <c r="BO321" s="63"/>
      <c r="BP321" s="63"/>
      <c r="BQ321" s="63"/>
      <c r="BR321" s="63"/>
      <c r="BS321" s="103"/>
      <c r="BT321" s="103"/>
      <c r="BU321" s="103"/>
      <c r="BV321" s="103"/>
      <c r="BW321" s="63"/>
      <c r="BX321" s="63"/>
      <c r="BY321" s="63"/>
      <c r="BZ321" s="63"/>
      <c r="CA321" s="103"/>
      <c r="CB321" s="103"/>
      <c r="CC321" s="103"/>
      <c r="CD321" s="103"/>
      <c r="CE321" s="63"/>
      <c r="CF321" s="63"/>
      <c r="CG321" s="63"/>
      <c r="CH321" s="63"/>
      <c r="CI321" s="103"/>
      <c r="CJ321" s="103"/>
      <c r="CK321" s="103"/>
      <c r="CL321" s="103"/>
    </row>
    <row r="322" spans="2:90" ht="13" x14ac:dyDescent="0.15">
      <c r="B322" s="13"/>
      <c r="C322" s="14"/>
      <c r="D322" s="14"/>
      <c r="E322" s="14"/>
      <c r="F322" s="14"/>
      <c r="G322" s="103"/>
      <c r="H322" s="103"/>
      <c r="I322" s="103"/>
      <c r="J322" s="103"/>
      <c r="K322" s="63"/>
      <c r="L322" s="63"/>
      <c r="M322" s="63"/>
      <c r="N322" s="63"/>
      <c r="O322" s="103"/>
      <c r="P322" s="103"/>
      <c r="Q322" s="103"/>
      <c r="R322" s="103"/>
      <c r="S322" s="63"/>
      <c r="T322" s="63"/>
      <c r="U322" s="63"/>
      <c r="V322" s="63"/>
      <c r="W322" s="103"/>
      <c r="X322" s="103"/>
      <c r="Y322" s="103"/>
      <c r="Z322" s="103"/>
      <c r="AA322" s="63"/>
      <c r="AB322" s="63"/>
      <c r="AC322" s="63"/>
      <c r="AD322" s="63"/>
      <c r="AE322" s="103"/>
      <c r="AF322" s="103"/>
      <c r="AG322" s="103"/>
      <c r="AH322" s="103"/>
      <c r="AI322" s="63"/>
      <c r="AJ322" s="63"/>
      <c r="AK322" s="63"/>
      <c r="AL322" s="63"/>
      <c r="AM322" s="103"/>
      <c r="AN322" s="103"/>
      <c r="AO322" s="103"/>
      <c r="AP322" s="103"/>
      <c r="AQ322" s="63"/>
      <c r="AR322" s="63"/>
      <c r="AS322" s="63"/>
      <c r="AT322" s="63"/>
      <c r="AU322" s="103"/>
      <c r="AV322" s="103"/>
      <c r="AW322" s="103"/>
      <c r="AX322" s="103"/>
      <c r="AY322" s="63"/>
      <c r="AZ322" s="63"/>
      <c r="BA322" s="63"/>
      <c r="BB322" s="63"/>
      <c r="BC322" s="103"/>
      <c r="BD322" s="103"/>
      <c r="BE322" s="103"/>
      <c r="BF322" s="103"/>
      <c r="BG322" s="63"/>
      <c r="BH322" s="63"/>
      <c r="BI322" s="63"/>
      <c r="BJ322" s="63"/>
      <c r="BK322" s="103"/>
      <c r="BL322" s="103"/>
      <c r="BM322" s="103"/>
      <c r="BN322" s="103"/>
      <c r="BO322" s="63"/>
      <c r="BP322" s="63"/>
      <c r="BQ322" s="63"/>
      <c r="BR322" s="63"/>
      <c r="BS322" s="103"/>
      <c r="BT322" s="103"/>
      <c r="BU322" s="103"/>
      <c r="BV322" s="103"/>
      <c r="BW322" s="63"/>
      <c r="BX322" s="63"/>
      <c r="BY322" s="63"/>
      <c r="BZ322" s="63"/>
      <c r="CA322" s="103"/>
      <c r="CB322" s="103"/>
      <c r="CC322" s="103"/>
      <c r="CD322" s="103"/>
      <c r="CE322" s="63"/>
      <c r="CF322" s="63"/>
      <c r="CG322" s="63"/>
      <c r="CH322" s="63"/>
      <c r="CI322" s="103"/>
      <c r="CJ322" s="103"/>
      <c r="CK322" s="103"/>
      <c r="CL322" s="103"/>
    </row>
    <row r="323" spans="2:90" ht="13" x14ac:dyDescent="0.15">
      <c r="B323" s="13"/>
      <c r="C323" s="14"/>
      <c r="D323" s="14"/>
      <c r="E323" s="14"/>
      <c r="F323" s="14"/>
      <c r="G323" s="103"/>
      <c r="H323" s="103"/>
      <c r="I323" s="103"/>
      <c r="J323" s="103"/>
      <c r="K323" s="63"/>
      <c r="L323" s="63"/>
      <c r="M323" s="63"/>
      <c r="N323" s="63"/>
      <c r="O323" s="103"/>
      <c r="P323" s="103"/>
      <c r="Q323" s="103"/>
      <c r="R323" s="103"/>
      <c r="S323" s="63"/>
      <c r="T323" s="63"/>
      <c r="U323" s="63"/>
      <c r="V323" s="63"/>
      <c r="W323" s="103"/>
      <c r="X323" s="103"/>
      <c r="Y323" s="103"/>
      <c r="Z323" s="103"/>
      <c r="AA323" s="63"/>
      <c r="AB323" s="63"/>
      <c r="AC323" s="63"/>
      <c r="AD323" s="63"/>
      <c r="AE323" s="103"/>
      <c r="AF323" s="103"/>
      <c r="AG323" s="103"/>
      <c r="AH323" s="103"/>
      <c r="AI323" s="63"/>
      <c r="AJ323" s="63"/>
      <c r="AK323" s="63"/>
      <c r="AL323" s="63"/>
      <c r="AM323" s="103"/>
      <c r="AN323" s="103"/>
      <c r="AO323" s="103"/>
      <c r="AP323" s="103"/>
      <c r="AQ323" s="63"/>
      <c r="AR323" s="63"/>
      <c r="AS323" s="63"/>
      <c r="AT323" s="63"/>
      <c r="AU323" s="103"/>
      <c r="AV323" s="103"/>
      <c r="AW323" s="103"/>
      <c r="AX323" s="103"/>
      <c r="AY323" s="63"/>
      <c r="AZ323" s="63"/>
      <c r="BA323" s="63"/>
      <c r="BB323" s="63"/>
      <c r="BC323" s="103"/>
      <c r="BD323" s="103"/>
      <c r="BE323" s="103"/>
      <c r="BF323" s="103"/>
      <c r="BG323" s="63"/>
      <c r="BH323" s="63"/>
      <c r="BI323" s="63"/>
      <c r="BJ323" s="63"/>
      <c r="BK323" s="103"/>
      <c r="BL323" s="103"/>
      <c r="BM323" s="103"/>
      <c r="BN323" s="103"/>
      <c r="BO323" s="63"/>
      <c r="BP323" s="63"/>
      <c r="BQ323" s="63"/>
      <c r="BR323" s="63"/>
      <c r="BS323" s="103"/>
      <c r="BT323" s="103"/>
      <c r="BU323" s="103"/>
      <c r="BV323" s="103"/>
      <c r="BW323" s="63"/>
      <c r="BX323" s="63"/>
      <c r="BY323" s="63"/>
      <c r="BZ323" s="63"/>
      <c r="CA323" s="103"/>
      <c r="CB323" s="103"/>
      <c r="CC323" s="103"/>
      <c r="CD323" s="103"/>
      <c r="CE323" s="63"/>
      <c r="CF323" s="63"/>
      <c r="CG323" s="63"/>
      <c r="CH323" s="63"/>
      <c r="CI323" s="103"/>
      <c r="CJ323" s="103"/>
      <c r="CK323" s="103"/>
      <c r="CL323" s="103"/>
    </row>
    <row r="324" spans="2:90" ht="13" x14ac:dyDescent="0.15">
      <c r="B324" s="13"/>
      <c r="C324" s="14"/>
      <c r="D324" s="14"/>
      <c r="E324" s="14"/>
      <c r="F324" s="14"/>
      <c r="G324" s="103"/>
      <c r="H324" s="103"/>
      <c r="I324" s="103"/>
      <c r="J324" s="103"/>
      <c r="K324" s="63"/>
      <c r="L324" s="63"/>
      <c r="M324" s="63"/>
      <c r="N324" s="63"/>
      <c r="O324" s="103"/>
      <c r="P324" s="103"/>
      <c r="Q324" s="103"/>
      <c r="R324" s="103"/>
      <c r="S324" s="63"/>
      <c r="T324" s="63"/>
      <c r="U324" s="63"/>
      <c r="V324" s="63"/>
      <c r="W324" s="103"/>
      <c r="X324" s="103"/>
      <c r="Y324" s="103"/>
      <c r="Z324" s="103"/>
      <c r="AA324" s="63"/>
      <c r="AB324" s="63"/>
      <c r="AC324" s="63"/>
      <c r="AD324" s="63"/>
      <c r="AE324" s="103"/>
      <c r="AF324" s="103"/>
      <c r="AG324" s="103"/>
      <c r="AH324" s="103"/>
      <c r="AI324" s="63"/>
      <c r="AJ324" s="63"/>
      <c r="AK324" s="63"/>
      <c r="AL324" s="63"/>
      <c r="AM324" s="103"/>
      <c r="AN324" s="103"/>
      <c r="AO324" s="103"/>
      <c r="AP324" s="103"/>
      <c r="AQ324" s="63"/>
      <c r="AR324" s="63"/>
      <c r="AS324" s="63"/>
      <c r="AT324" s="63"/>
      <c r="AU324" s="103"/>
      <c r="AV324" s="103"/>
      <c r="AW324" s="103"/>
      <c r="AX324" s="103"/>
      <c r="AY324" s="63"/>
      <c r="AZ324" s="63"/>
      <c r="BA324" s="63"/>
      <c r="BB324" s="63"/>
      <c r="BC324" s="103"/>
      <c r="BD324" s="103"/>
      <c r="BE324" s="103"/>
      <c r="BF324" s="103"/>
      <c r="BG324" s="63"/>
      <c r="BH324" s="63"/>
      <c r="BI324" s="63"/>
      <c r="BJ324" s="63"/>
      <c r="BK324" s="103"/>
      <c r="BL324" s="103"/>
      <c r="BM324" s="103"/>
      <c r="BN324" s="103"/>
      <c r="BO324" s="63"/>
      <c r="BP324" s="63"/>
      <c r="BQ324" s="63"/>
      <c r="BR324" s="63"/>
      <c r="BS324" s="103"/>
      <c r="BT324" s="103"/>
      <c r="BU324" s="103"/>
      <c r="BV324" s="103"/>
      <c r="BW324" s="63"/>
      <c r="BX324" s="63"/>
      <c r="BY324" s="63"/>
      <c r="BZ324" s="63"/>
      <c r="CA324" s="103"/>
      <c r="CB324" s="103"/>
      <c r="CC324" s="103"/>
      <c r="CD324" s="103"/>
      <c r="CE324" s="63"/>
      <c r="CF324" s="63"/>
      <c r="CG324" s="63"/>
      <c r="CH324" s="63"/>
      <c r="CI324" s="103"/>
      <c r="CJ324" s="103"/>
      <c r="CK324" s="103"/>
      <c r="CL324" s="103"/>
    </row>
    <row r="325" spans="2:90" ht="13" x14ac:dyDescent="0.15">
      <c r="B325" s="13"/>
      <c r="C325" s="14"/>
      <c r="D325" s="14"/>
      <c r="E325" s="14"/>
      <c r="F325" s="14"/>
      <c r="G325" s="103"/>
      <c r="H325" s="103"/>
      <c r="I325" s="103"/>
      <c r="J325" s="103"/>
      <c r="K325" s="63"/>
      <c r="L325" s="63"/>
      <c r="M325" s="63"/>
      <c r="N325" s="63"/>
      <c r="O325" s="103"/>
      <c r="P325" s="103"/>
      <c r="Q325" s="103"/>
      <c r="R325" s="103"/>
      <c r="S325" s="63"/>
      <c r="T325" s="63"/>
      <c r="U325" s="63"/>
      <c r="V325" s="63"/>
      <c r="W325" s="103"/>
      <c r="X325" s="103"/>
      <c r="Y325" s="103"/>
      <c r="Z325" s="103"/>
      <c r="AA325" s="63"/>
      <c r="AB325" s="63"/>
      <c r="AC325" s="63"/>
      <c r="AD325" s="63"/>
      <c r="AE325" s="103"/>
      <c r="AF325" s="103"/>
      <c r="AG325" s="103"/>
      <c r="AH325" s="103"/>
      <c r="AI325" s="63"/>
      <c r="AJ325" s="63"/>
      <c r="AK325" s="63"/>
      <c r="AL325" s="63"/>
      <c r="AM325" s="103"/>
      <c r="AN325" s="103"/>
      <c r="AO325" s="103"/>
      <c r="AP325" s="103"/>
      <c r="AQ325" s="63"/>
      <c r="AR325" s="63"/>
      <c r="AS325" s="63"/>
      <c r="AT325" s="63"/>
      <c r="AU325" s="103"/>
      <c r="AV325" s="103"/>
      <c r="AW325" s="103"/>
      <c r="AX325" s="103"/>
      <c r="AY325" s="63"/>
      <c r="AZ325" s="63"/>
      <c r="BA325" s="63"/>
      <c r="BB325" s="63"/>
      <c r="BC325" s="103"/>
      <c r="BD325" s="103"/>
      <c r="BE325" s="103"/>
      <c r="BF325" s="103"/>
      <c r="BG325" s="63"/>
      <c r="BH325" s="63"/>
      <c r="BI325" s="63"/>
      <c r="BJ325" s="63"/>
      <c r="BK325" s="103"/>
      <c r="BL325" s="103"/>
      <c r="BM325" s="103"/>
      <c r="BN325" s="103"/>
      <c r="BO325" s="63"/>
      <c r="BP325" s="63"/>
      <c r="BQ325" s="63"/>
      <c r="BR325" s="63"/>
      <c r="BS325" s="103"/>
      <c r="BT325" s="103"/>
      <c r="BU325" s="103"/>
      <c r="BV325" s="103"/>
      <c r="BW325" s="63"/>
      <c r="BX325" s="63"/>
      <c r="BY325" s="63"/>
      <c r="BZ325" s="63"/>
      <c r="CA325" s="103"/>
      <c r="CB325" s="103"/>
      <c r="CC325" s="103"/>
      <c r="CD325" s="103"/>
      <c r="CE325" s="63"/>
      <c r="CF325" s="63"/>
      <c r="CG325" s="63"/>
      <c r="CH325" s="63"/>
      <c r="CI325" s="103"/>
      <c r="CJ325" s="103"/>
      <c r="CK325" s="103"/>
      <c r="CL325" s="103"/>
    </row>
    <row r="326" spans="2:90" ht="13" x14ac:dyDescent="0.15">
      <c r="B326" s="13"/>
      <c r="C326" s="14"/>
      <c r="D326" s="14"/>
      <c r="E326" s="14"/>
      <c r="F326" s="14"/>
      <c r="G326" s="103"/>
      <c r="H326" s="103"/>
      <c r="I326" s="103"/>
      <c r="J326" s="103"/>
      <c r="K326" s="63"/>
      <c r="L326" s="63"/>
      <c r="M326" s="63"/>
      <c r="N326" s="63"/>
      <c r="O326" s="103"/>
      <c r="P326" s="103"/>
      <c r="Q326" s="103"/>
      <c r="R326" s="103"/>
      <c r="S326" s="63"/>
      <c r="T326" s="63"/>
      <c r="U326" s="63"/>
      <c r="V326" s="63"/>
      <c r="W326" s="103"/>
      <c r="X326" s="103"/>
      <c r="Y326" s="103"/>
      <c r="Z326" s="103"/>
      <c r="AA326" s="63"/>
      <c r="AB326" s="63"/>
      <c r="AC326" s="63"/>
      <c r="AD326" s="63"/>
      <c r="AE326" s="103"/>
      <c r="AF326" s="103"/>
      <c r="AG326" s="103"/>
      <c r="AH326" s="103"/>
      <c r="AI326" s="63"/>
      <c r="AJ326" s="63"/>
      <c r="AK326" s="63"/>
      <c r="AL326" s="63"/>
      <c r="AM326" s="103"/>
      <c r="AN326" s="103"/>
      <c r="AO326" s="103"/>
      <c r="AP326" s="103"/>
      <c r="AQ326" s="63"/>
      <c r="AR326" s="63"/>
      <c r="AS326" s="63"/>
      <c r="AT326" s="63"/>
      <c r="AU326" s="103"/>
      <c r="AV326" s="103"/>
      <c r="AW326" s="103"/>
      <c r="AX326" s="103"/>
      <c r="AY326" s="63"/>
      <c r="AZ326" s="63"/>
      <c r="BA326" s="63"/>
      <c r="BB326" s="63"/>
      <c r="BC326" s="103"/>
      <c r="BD326" s="103"/>
      <c r="BE326" s="103"/>
      <c r="BF326" s="103"/>
      <c r="BG326" s="63"/>
      <c r="BH326" s="63"/>
      <c r="BI326" s="63"/>
      <c r="BJ326" s="63"/>
      <c r="BK326" s="103"/>
      <c r="BL326" s="103"/>
      <c r="BM326" s="103"/>
      <c r="BN326" s="103"/>
      <c r="BO326" s="63"/>
      <c r="BP326" s="63"/>
      <c r="BQ326" s="63"/>
      <c r="BR326" s="63"/>
      <c r="BS326" s="103"/>
      <c r="BT326" s="103"/>
      <c r="BU326" s="103"/>
      <c r="BV326" s="103"/>
      <c r="BW326" s="63"/>
      <c r="BX326" s="63"/>
      <c r="BY326" s="63"/>
      <c r="BZ326" s="63"/>
      <c r="CA326" s="103"/>
      <c r="CB326" s="103"/>
      <c r="CC326" s="103"/>
      <c r="CD326" s="103"/>
      <c r="CE326" s="63"/>
      <c r="CF326" s="63"/>
      <c r="CG326" s="63"/>
      <c r="CH326" s="63"/>
      <c r="CI326" s="103"/>
      <c r="CJ326" s="103"/>
      <c r="CK326" s="103"/>
      <c r="CL326" s="103"/>
    </row>
    <row r="327" spans="2:90" ht="13" x14ac:dyDescent="0.15">
      <c r="B327" s="13"/>
      <c r="C327" s="14"/>
      <c r="D327" s="14"/>
      <c r="E327" s="14"/>
      <c r="F327" s="14"/>
      <c r="G327" s="103"/>
      <c r="H327" s="103"/>
      <c r="I327" s="103"/>
      <c r="J327" s="103"/>
      <c r="K327" s="63"/>
      <c r="L327" s="63"/>
      <c r="M327" s="63"/>
      <c r="N327" s="63"/>
      <c r="O327" s="103"/>
      <c r="P327" s="103"/>
      <c r="Q327" s="103"/>
      <c r="R327" s="103"/>
      <c r="S327" s="63"/>
      <c r="T327" s="63"/>
      <c r="U327" s="63"/>
      <c r="V327" s="63"/>
      <c r="W327" s="103"/>
      <c r="X327" s="103"/>
      <c r="Y327" s="103"/>
      <c r="Z327" s="103"/>
      <c r="AA327" s="63"/>
      <c r="AB327" s="63"/>
      <c r="AC327" s="63"/>
      <c r="AD327" s="63"/>
      <c r="AE327" s="103"/>
      <c r="AF327" s="103"/>
      <c r="AG327" s="103"/>
      <c r="AH327" s="103"/>
      <c r="AI327" s="63"/>
      <c r="AJ327" s="63"/>
      <c r="AK327" s="63"/>
      <c r="AL327" s="63"/>
      <c r="AM327" s="103"/>
      <c r="AN327" s="103"/>
      <c r="AO327" s="103"/>
      <c r="AP327" s="103"/>
      <c r="AQ327" s="63"/>
      <c r="AR327" s="63"/>
      <c r="AS327" s="63"/>
      <c r="AT327" s="63"/>
      <c r="AU327" s="103"/>
      <c r="AV327" s="103"/>
      <c r="AW327" s="103"/>
      <c r="AX327" s="103"/>
      <c r="AY327" s="63"/>
      <c r="AZ327" s="63"/>
      <c r="BA327" s="63"/>
      <c r="BB327" s="63"/>
      <c r="BC327" s="103"/>
      <c r="BD327" s="103"/>
      <c r="BE327" s="103"/>
      <c r="BF327" s="103"/>
      <c r="BG327" s="63"/>
      <c r="BH327" s="63"/>
      <c r="BI327" s="63"/>
      <c r="BJ327" s="63"/>
      <c r="BK327" s="103"/>
      <c r="BL327" s="103"/>
      <c r="BM327" s="103"/>
      <c r="BN327" s="103"/>
      <c r="BO327" s="63"/>
      <c r="BP327" s="63"/>
      <c r="BQ327" s="63"/>
      <c r="BR327" s="63"/>
      <c r="BS327" s="103"/>
      <c r="BT327" s="103"/>
      <c r="BU327" s="103"/>
      <c r="BV327" s="103"/>
      <c r="BW327" s="63"/>
      <c r="BX327" s="63"/>
      <c r="BY327" s="63"/>
      <c r="BZ327" s="63"/>
      <c r="CA327" s="103"/>
      <c r="CB327" s="103"/>
      <c r="CC327" s="103"/>
      <c r="CD327" s="103"/>
      <c r="CE327" s="63"/>
      <c r="CF327" s="63"/>
      <c r="CG327" s="63"/>
      <c r="CH327" s="63"/>
      <c r="CI327" s="103"/>
      <c r="CJ327" s="103"/>
      <c r="CK327" s="103"/>
      <c r="CL327" s="103"/>
    </row>
    <row r="328" spans="2:90" ht="13" x14ac:dyDescent="0.15">
      <c r="B328" s="13"/>
      <c r="C328" s="14"/>
      <c r="D328" s="14"/>
      <c r="E328" s="14"/>
      <c r="F328" s="14"/>
      <c r="G328" s="103"/>
      <c r="H328" s="103"/>
      <c r="I328" s="103"/>
      <c r="J328" s="103"/>
      <c r="K328" s="63"/>
      <c r="L328" s="63"/>
      <c r="M328" s="63"/>
      <c r="N328" s="63"/>
      <c r="O328" s="103"/>
      <c r="P328" s="103"/>
      <c r="Q328" s="103"/>
      <c r="R328" s="103"/>
      <c r="S328" s="63"/>
      <c r="T328" s="63"/>
      <c r="U328" s="63"/>
      <c r="V328" s="63"/>
      <c r="W328" s="103"/>
      <c r="X328" s="103"/>
      <c r="Y328" s="103"/>
      <c r="Z328" s="103"/>
      <c r="AA328" s="63"/>
      <c r="AB328" s="63"/>
      <c r="AC328" s="63"/>
      <c r="AD328" s="63"/>
      <c r="AE328" s="103"/>
      <c r="AF328" s="103"/>
      <c r="AG328" s="103"/>
      <c r="AH328" s="103"/>
      <c r="AI328" s="63"/>
      <c r="AJ328" s="63"/>
      <c r="AK328" s="63"/>
      <c r="AL328" s="63"/>
      <c r="AM328" s="103"/>
      <c r="AN328" s="103"/>
      <c r="AO328" s="103"/>
      <c r="AP328" s="103"/>
      <c r="AQ328" s="63"/>
      <c r="AR328" s="63"/>
      <c r="AS328" s="63"/>
      <c r="AT328" s="63"/>
      <c r="AU328" s="103"/>
      <c r="AV328" s="103"/>
      <c r="AW328" s="103"/>
      <c r="AX328" s="103"/>
      <c r="AY328" s="63"/>
      <c r="AZ328" s="63"/>
      <c r="BA328" s="63"/>
      <c r="BB328" s="63"/>
      <c r="BC328" s="103"/>
      <c r="BD328" s="103"/>
      <c r="BE328" s="103"/>
      <c r="BF328" s="103"/>
      <c r="BG328" s="63"/>
      <c r="BH328" s="63"/>
      <c r="BI328" s="63"/>
      <c r="BJ328" s="63"/>
      <c r="BK328" s="103"/>
      <c r="BL328" s="103"/>
      <c r="BM328" s="103"/>
      <c r="BN328" s="103"/>
      <c r="BO328" s="63"/>
      <c r="BP328" s="63"/>
      <c r="BQ328" s="63"/>
      <c r="BR328" s="63"/>
      <c r="BS328" s="103"/>
      <c r="BT328" s="103"/>
      <c r="BU328" s="103"/>
      <c r="BV328" s="103"/>
      <c r="BW328" s="63"/>
      <c r="BX328" s="63"/>
      <c r="BY328" s="63"/>
      <c r="BZ328" s="63"/>
      <c r="CA328" s="103"/>
      <c r="CB328" s="103"/>
      <c r="CC328" s="103"/>
      <c r="CD328" s="103"/>
      <c r="CE328" s="63"/>
      <c r="CF328" s="63"/>
      <c r="CG328" s="63"/>
      <c r="CH328" s="63"/>
      <c r="CI328" s="103"/>
      <c r="CJ328" s="103"/>
      <c r="CK328" s="103"/>
      <c r="CL328" s="103"/>
    </row>
    <row r="329" spans="2:90" ht="13" x14ac:dyDescent="0.15">
      <c r="B329" s="13"/>
      <c r="C329" s="14"/>
      <c r="D329" s="14"/>
      <c r="E329" s="14"/>
      <c r="F329" s="14"/>
      <c r="G329" s="103"/>
      <c r="H329" s="103"/>
      <c r="I329" s="103"/>
      <c r="J329" s="103"/>
      <c r="K329" s="63"/>
      <c r="L329" s="63"/>
      <c r="M329" s="63"/>
      <c r="N329" s="63"/>
      <c r="O329" s="103"/>
      <c r="P329" s="103"/>
      <c r="Q329" s="103"/>
      <c r="R329" s="103"/>
      <c r="S329" s="63"/>
      <c r="T329" s="63"/>
      <c r="U329" s="63"/>
      <c r="V329" s="63"/>
      <c r="W329" s="103"/>
      <c r="X329" s="103"/>
      <c r="Y329" s="103"/>
      <c r="Z329" s="103"/>
      <c r="AA329" s="63"/>
      <c r="AB329" s="63"/>
      <c r="AC329" s="63"/>
      <c r="AD329" s="63"/>
      <c r="AE329" s="103"/>
      <c r="AF329" s="103"/>
      <c r="AG329" s="103"/>
      <c r="AH329" s="103"/>
      <c r="AI329" s="63"/>
      <c r="AJ329" s="63"/>
      <c r="AK329" s="63"/>
      <c r="AL329" s="63"/>
      <c r="AM329" s="103"/>
      <c r="AN329" s="103"/>
      <c r="AO329" s="103"/>
      <c r="AP329" s="103"/>
      <c r="AQ329" s="63"/>
      <c r="AR329" s="63"/>
      <c r="AS329" s="63"/>
      <c r="AT329" s="63"/>
      <c r="AU329" s="103"/>
      <c r="AV329" s="103"/>
      <c r="AW329" s="103"/>
      <c r="AX329" s="103"/>
      <c r="AY329" s="63"/>
      <c r="AZ329" s="63"/>
      <c r="BA329" s="63"/>
      <c r="BB329" s="63"/>
      <c r="BC329" s="103"/>
      <c r="BD329" s="103"/>
      <c r="BE329" s="103"/>
      <c r="BF329" s="103"/>
      <c r="BG329" s="63"/>
      <c r="BH329" s="63"/>
      <c r="BI329" s="63"/>
      <c r="BJ329" s="63"/>
      <c r="BK329" s="103"/>
      <c r="BL329" s="103"/>
      <c r="BM329" s="103"/>
      <c r="BN329" s="103"/>
      <c r="BO329" s="63"/>
      <c r="BP329" s="63"/>
      <c r="BQ329" s="63"/>
      <c r="BR329" s="63"/>
      <c r="BS329" s="103"/>
      <c r="BT329" s="103"/>
      <c r="BU329" s="103"/>
      <c r="BV329" s="103"/>
      <c r="BW329" s="63"/>
      <c r="BX329" s="63"/>
      <c r="BY329" s="63"/>
      <c r="BZ329" s="63"/>
      <c r="CA329" s="103"/>
      <c r="CB329" s="103"/>
      <c r="CC329" s="103"/>
      <c r="CD329" s="103"/>
      <c r="CE329" s="63"/>
      <c r="CF329" s="63"/>
      <c r="CG329" s="63"/>
      <c r="CH329" s="63"/>
      <c r="CI329" s="103"/>
      <c r="CJ329" s="103"/>
      <c r="CK329" s="103"/>
      <c r="CL329" s="103"/>
    </row>
    <row r="330" spans="2:90" ht="13" x14ac:dyDescent="0.15">
      <c r="B330" s="13"/>
      <c r="C330" s="14"/>
      <c r="D330" s="14"/>
      <c r="E330" s="14"/>
      <c r="F330" s="14"/>
      <c r="G330" s="103"/>
      <c r="H330" s="103"/>
      <c r="I330" s="103"/>
      <c r="J330" s="103"/>
      <c r="K330" s="63"/>
      <c r="L330" s="63"/>
      <c r="M330" s="63"/>
      <c r="N330" s="63"/>
      <c r="O330" s="103"/>
      <c r="P330" s="103"/>
      <c r="Q330" s="103"/>
      <c r="R330" s="103"/>
      <c r="S330" s="63"/>
      <c r="T330" s="63"/>
      <c r="U330" s="63"/>
      <c r="V330" s="63"/>
      <c r="W330" s="103"/>
      <c r="X330" s="103"/>
      <c r="Y330" s="103"/>
      <c r="Z330" s="103"/>
      <c r="AA330" s="63"/>
      <c r="AB330" s="63"/>
      <c r="AC330" s="63"/>
      <c r="AD330" s="63"/>
      <c r="AE330" s="103"/>
      <c r="AF330" s="103"/>
      <c r="AG330" s="103"/>
      <c r="AH330" s="103"/>
      <c r="AI330" s="63"/>
      <c r="AJ330" s="63"/>
      <c r="AK330" s="63"/>
      <c r="AL330" s="63"/>
      <c r="AM330" s="103"/>
      <c r="AN330" s="103"/>
      <c r="AO330" s="103"/>
      <c r="AP330" s="103"/>
      <c r="AQ330" s="63"/>
      <c r="AR330" s="63"/>
      <c r="AS330" s="63"/>
      <c r="AT330" s="63"/>
      <c r="AU330" s="103"/>
      <c r="AV330" s="103"/>
      <c r="AW330" s="103"/>
      <c r="AX330" s="103"/>
      <c r="AY330" s="63"/>
      <c r="AZ330" s="63"/>
      <c r="BA330" s="63"/>
      <c r="BB330" s="63"/>
      <c r="BC330" s="103"/>
      <c r="BD330" s="103"/>
      <c r="BE330" s="103"/>
      <c r="BF330" s="103"/>
      <c r="BG330" s="63"/>
      <c r="BH330" s="63"/>
      <c r="BI330" s="63"/>
      <c r="BJ330" s="63"/>
      <c r="BK330" s="103"/>
      <c r="BL330" s="103"/>
      <c r="BM330" s="103"/>
      <c r="BN330" s="103"/>
      <c r="BO330" s="63"/>
      <c r="BP330" s="63"/>
      <c r="BQ330" s="63"/>
      <c r="BR330" s="63"/>
      <c r="BS330" s="103"/>
      <c r="BT330" s="103"/>
      <c r="BU330" s="103"/>
      <c r="BV330" s="103"/>
      <c r="BW330" s="63"/>
      <c r="BX330" s="63"/>
      <c r="BY330" s="63"/>
      <c r="BZ330" s="63"/>
      <c r="CA330" s="103"/>
      <c r="CB330" s="103"/>
      <c r="CC330" s="103"/>
      <c r="CD330" s="103"/>
      <c r="CE330" s="63"/>
      <c r="CF330" s="63"/>
      <c r="CG330" s="63"/>
      <c r="CH330" s="63"/>
      <c r="CI330" s="103"/>
      <c r="CJ330" s="103"/>
      <c r="CK330" s="103"/>
      <c r="CL330" s="103"/>
    </row>
    <row r="331" spans="2:90" ht="13" x14ac:dyDescent="0.15">
      <c r="B331" s="13"/>
      <c r="C331" s="14"/>
      <c r="D331" s="14"/>
      <c r="E331" s="14"/>
      <c r="F331" s="14"/>
      <c r="G331" s="103"/>
      <c r="H331" s="103"/>
      <c r="I331" s="103"/>
      <c r="J331" s="103"/>
      <c r="K331" s="63"/>
      <c r="L331" s="63"/>
      <c r="M331" s="63"/>
      <c r="N331" s="63"/>
      <c r="O331" s="103"/>
      <c r="P331" s="103"/>
      <c r="Q331" s="103"/>
      <c r="R331" s="103"/>
      <c r="S331" s="63"/>
      <c r="T331" s="63"/>
      <c r="U331" s="63"/>
      <c r="V331" s="63"/>
      <c r="W331" s="103"/>
      <c r="X331" s="103"/>
      <c r="Y331" s="103"/>
      <c r="Z331" s="103"/>
      <c r="AA331" s="63"/>
      <c r="AB331" s="63"/>
      <c r="AC331" s="63"/>
      <c r="AD331" s="63"/>
      <c r="AE331" s="103"/>
      <c r="AF331" s="103"/>
      <c r="AG331" s="103"/>
      <c r="AH331" s="103"/>
      <c r="AI331" s="63"/>
      <c r="AJ331" s="63"/>
      <c r="AK331" s="63"/>
      <c r="AL331" s="63"/>
      <c r="AM331" s="103"/>
      <c r="AN331" s="103"/>
      <c r="AO331" s="103"/>
      <c r="AP331" s="103"/>
      <c r="AQ331" s="63"/>
      <c r="AR331" s="63"/>
      <c r="AS331" s="63"/>
      <c r="AT331" s="63"/>
      <c r="AU331" s="103"/>
      <c r="AV331" s="103"/>
      <c r="AW331" s="103"/>
      <c r="AX331" s="103"/>
      <c r="AY331" s="63"/>
      <c r="AZ331" s="63"/>
      <c r="BA331" s="63"/>
      <c r="BB331" s="63"/>
      <c r="BC331" s="103"/>
      <c r="BD331" s="103"/>
      <c r="BE331" s="103"/>
      <c r="BF331" s="103"/>
      <c r="BG331" s="63"/>
      <c r="BH331" s="63"/>
      <c r="BI331" s="63"/>
      <c r="BJ331" s="63"/>
      <c r="BK331" s="103"/>
      <c r="BL331" s="103"/>
      <c r="BM331" s="103"/>
      <c r="BN331" s="103"/>
      <c r="BO331" s="63"/>
      <c r="BP331" s="63"/>
      <c r="BQ331" s="63"/>
      <c r="BR331" s="63"/>
      <c r="BS331" s="103"/>
      <c r="BT331" s="103"/>
      <c r="BU331" s="103"/>
      <c r="BV331" s="103"/>
      <c r="BW331" s="63"/>
      <c r="BX331" s="63"/>
      <c r="BY331" s="63"/>
      <c r="BZ331" s="63"/>
      <c r="CA331" s="103"/>
      <c r="CB331" s="103"/>
      <c r="CC331" s="103"/>
      <c r="CD331" s="103"/>
      <c r="CE331" s="63"/>
      <c r="CF331" s="63"/>
      <c r="CG331" s="63"/>
      <c r="CH331" s="63"/>
      <c r="CI331" s="103"/>
      <c r="CJ331" s="103"/>
      <c r="CK331" s="103"/>
      <c r="CL331" s="103"/>
    </row>
    <row r="332" spans="2:90" ht="13" x14ac:dyDescent="0.15">
      <c r="B332" s="13"/>
      <c r="C332" s="14"/>
      <c r="D332" s="14"/>
      <c r="E332" s="14"/>
      <c r="F332" s="14"/>
      <c r="G332" s="103"/>
      <c r="H332" s="103"/>
      <c r="I332" s="103"/>
      <c r="J332" s="103"/>
      <c r="K332" s="63"/>
      <c r="L332" s="63"/>
      <c r="M332" s="63"/>
      <c r="N332" s="63"/>
      <c r="O332" s="103"/>
      <c r="P332" s="103"/>
      <c r="Q332" s="103"/>
      <c r="R332" s="103"/>
      <c r="S332" s="63"/>
      <c r="T332" s="63"/>
      <c r="U332" s="63"/>
      <c r="V332" s="63"/>
      <c r="W332" s="103"/>
      <c r="X332" s="103"/>
      <c r="Y332" s="103"/>
      <c r="Z332" s="103"/>
      <c r="AA332" s="63"/>
      <c r="AB332" s="63"/>
      <c r="AC332" s="63"/>
      <c r="AD332" s="63"/>
      <c r="AE332" s="103"/>
      <c r="AF332" s="103"/>
      <c r="AG332" s="103"/>
      <c r="AH332" s="103"/>
      <c r="AI332" s="63"/>
      <c r="AJ332" s="63"/>
      <c r="AK332" s="63"/>
      <c r="AL332" s="63"/>
      <c r="AM332" s="103"/>
      <c r="AN332" s="103"/>
      <c r="AO332" s="103"/>
      <c r="AP332" s="103"/>
      <c r="AQ332" s="63"/>
      <c r="AR332" s="63"/>
      <c r="AS332" s="63"/>
      <c r="AT332" s="63"/>
      <c r="AU332" s="103"/>
      <c r="AV332" s="103"/>
      <c r="AW332" s="103"/>
      <c r="AX332" s="103"/>
      <c r="AY332" s="63"/>
      <c r="AZ332" s="63"/>
      <c r="BA332" s="63"/>
      <c r="BB332" s="63"/>
      <c r="BC332" s="103"/>
      <c r="BD332" s="103"/>
      <c r="BE332" s="103"/>
      <c r="BF332" s="103"/>
      <c r="BG332" s="63"/>
      <c r="BH332" s="63"/>
      <c r="BI332" s="63"/>
      <c r="BJ332" s="63"/>
      <c r="BK332" s="103"/>
      <c r="BL332" s="103"/>
      <c r="BM332" s="103"/>
      <c r="BN332" s="103"/>
      <c r="BO332" s="63"/>
      <c r="BP332" s="63"/>
      <c r="BQ332" s="63"/>
      <c r="BR332" s="63"/>
      <c r="BS332" s="103"/>
      <c r="BT332" s="103"/>
      <c r="BU332" s="103"/>
      <c r="BV332" s="103"/>
      <c r="BW332" s="63"/>
      <c r="BX332" s="63"/>
      <c r="BY332" s="63"/>
      <c r="BZ332" s="63"/>
      <c r="CA332" s="103"/>
      <c r="CB332" s="103"/>
      <c r="CC332" s="103"/>
      <c r="CD332" s="103"/>
      <c r="CE332" s="63"/>
      <c r="CF332" s="63"/>
      <c r="CG332" s="63"/>
      <c r="CH332" s="63"/>
      <c r="CI332" s="103"/>
      <c r="CJ332" s="103"/>
      <c r="CK332" s="103"/>
      <c r="CL332" s="103"/>
    </row>
    <row r="333" spans="2:90" ht="13" x14ac:dyDescent="0.15">
      <c r="B333" s="13"/>
      <c r="C333" s="14"/>
      <c r="D333" s="14"/>
      <c r="E333" s="14"/>
      <c r="F333" s="14"/>
      <c r="G333" s="103"/>
      <c r="H333" s="103"/>
      <c r="I333" s="103"/>
      <c r="J333" s="103"/>
      <c r="K333" s="63"/>
      <c r="L333" s="63"/>
      <c r="M333" s="63"/>
      <c r="N333" s="63"/>
      <c r="O333" s="103"/>
      <c r="P333" s="103"/>
      <c r="Q333" s="103"/>
      <c r="R333" s="103"/>
      <c r="S333" s="63"/>
      <c r="T333" s="63"/>
      <c r="U333" s="63"/>
      <c r="V333" s="63"/>
      <c r="W333" s="103"/>
      <c r="X333" s="103"/>
      <c r="Y333" s="103"/>
      <c r="Z333" s="103"/>
      <c r="AA333" s="63"/>
      <c r="AB333" s="63"/>
      <c r="AC333" s="63"/>
      <c r="AD333" s="63"/>
      <c r="AE333" s="103"/>
      <c r="AF333" s="103"/>
      <c r="AG333" s="103"/>
      <c r="AH333" s="103"/>
      <c r="AI333" s="63"/>
      <c r="AJ333" s="63"/>
      <c r="AK333" s="63"/>
      <c r="AL333" s="63"/>
      <c r="AM333" s="103"/>
      <c r="AN333" s="103"/>
      <c r="AO333" s="103"/>
      <c r="AP333" s="103"/>
      <c r="AQ333" s="63"/>
      <c r="AR333" s="63"/>
      <c r="AS333" s="63"/>
      <c r="AT333" s="63"/>
      <c r="AU333" s="103"/>
      <c r="AV333" s="103"/>
      <c r="AW333" s="103"/>
      <c r="AX333" s="103"/>
      <c r="AY333" s="63"/>
      <c r="AZ333" s="63"/>
      <c r="BA333" s="63"/>
      <c r="BB333" s="63"/>
      <c r="BC333" s="103"/>
      <c r="BD333" s="103"/>
      <c r="BE333" s="103"/>
      <c r="BF333" s="103"/>
      <c r="BG333" s="63"/>
      <c r="BH333" s="63"/>
      <c r="BI333" s="63"/>
      <c r="BJ333" s="63"/>
      <c r="BK333" s="103"/>
      <c r="BL333" s="103"/>
      <c r="BM333" s="103"/>
      <c r="BN333" s="103"/>
      <c r="BO333" s="63"/>
      <c r="BP333" s="63"/>
      <c r="BQ333" s="63"/>
      <c r="BR333" s="63"/>
      <c r="BS333" s="103"/>
      <c r="BT333" s="103"/>
      <c r="BU333" s="103"/>
      <c r="BV333" s="103"/>
      <c r="BW333" s="63"/>
      <c r="BX333" s="63"/>
      <c r="BY333" s="63"/>
      <c r="BZ333" s="63"/>
      <c r="CA333" s="103"/>
      <c r="CB333" s="103"/>
      <c r="CC333" s="103"/>
      <c r="CD333" s="103"/>
      <c r="CE333" s="63"/>
      <c r="CF333" s="63"/>
      <c r="CG333" s="63"/>
      <c r="CH333" s="63"/>
      <c r="CI333" s="103"/>
      <c r="CJ333" s="103"/>
      <c r="CK333" s="103"/>
      <c r="CL333" s="103"/>
    </row>
    <row r="334" spans="2:90" ht="13" x14ac:dyDescent="0.15">
      <c r="B334" s="13"/>
      <c r="C334" s="14"/>
      <c r="D334" s="14"/>
      <c r="E334" s="14"/>
      <c r="F334" s="14"/>
      <c r="G334" s="103"/>
      <c r="H334" s="103"/>
      <c r="I334" s="103"/>
      <c r="J334" s="103"/>
      <c r="K334" s="63"/>
      <c r="L334" s="63"/>
      <c r="M334" s="63"/>
      <c r="N334" s="63"/>
      <c r="O334" s="103"/>
      <c r="P334" s="103"/>
      <c r="Q334" s="103"/>
      <c r="R334" s="103"/>
      <c r="S334" s="63"/>
      <c r="T334" s="63"/>
      <c r="U334" s="63"/>
      <c r="V334" s="63"/>
      <c r="W334" s="103"/>
      <c r="X334" s="103"/>
      <c r="Y334" s="103"/>
      <c r="Z334" s="103"/>
      <c r="AA334" s="63"/>
      <c r="AB334" s="63"/>
      <c r="AC334" s="63"/>
      <c r="AD334" s="63"/>
      <c r="AE334" s="103"/>
      <c r="AF334" s="103"/>
      <c r="AG334" s="103"/>
      <c r="AH334" s="103"/>
      <c r="AI334" s="63"/>
      <c r="AJ334" s="63"/>
      <c r="AK334" s="63"/>
      <c r="AL334" s="63"/>
      <c r="AM334" s="103"/>
      <c r="AN334" s="103"/>
      <c r="AO334" s="103"/>
      <c r="AP334" s="103"/>
      <c r="AQ334" s="63"/>
      <c r="AR334" s="63"/>
      <c r="AS334" s="63"/>
      <c r="AT334" s="63"/>
      <c r="AU334" s="103"/>
      <c r="AV334" s="103"/>
      <c r="AW334" s="103"/>
      <c r="AX334" s="103"/>
      <c r="AY334" s="63"/>
      <c r="AZ334" s="63"/>
      <c r="BA334" s="63"/>
      <c r="BB334" s="63"/>
      <c r="BC334" s="103"/>
      <c r="BD334" s="103"/>
      <c r="BE334" s="103"/>
      <c r="BF334" s="103"/>
      <c r="BG334" s="63"/>
      <c r="BH334" s="63"/>
      <c r="BI334" s="63"/>
      <c r="BJ334" s="63"/>
      <c r="BK334" s="103"/>
      <c r="BL334" s="103"/>
      <c r="BM334" s="103"/>
      <c r="BN334" s="103"/>
      <c r="BO334" s="63"/>
      <c r="BP334" s="63"/>
      <c r="BQ334" s="63"/>
      <c r="BR334" s="63"/>
      <c r="BS334" s="103"/>
      <c r="BT334" s="103"/>
      <c r="BU334" s="103"/>
      <c r="BV334" s="103"/>
      <c r="BW334" s="63"/>
      <c r="BX334" s="63"/>
      <c r="BY334" s="63"/>
      <c r="BZ334" s="63"/>
      <c r="CA334" s="103"/>
      <c r="CB334" s="103"/>
      <c r="CC334" s="103"/>
      <c r="CD334" s="103"/>
      <c r="CE334" s="63"/>
      <c r="CF334" s="63"/>
      <c r="CG334" s="63"/>
      <c r="CH334" s="63"/>
      <c r="CI334" s="103"/>
      <c r="CJ334" s="103"/>
      <c r="CK334" s="103"/>
      <c r="CL334" s="103"/>
    </row>
    <row r="335" spans="2:90" ht="13" x14ac:dyDescent="0.15">
      <c r="B335" s="13"/>
      <c r="C335" s="14"/>
      <c r="D335" s="14"/>
      <c r="E335" s="14"/>
      <c r="F335" s="14"/>
      <c r="G335" s="103"/>
      <c r="H335" s="103"/>
      <c r="I335" s="103"/>
      <c r="J335" s="103"/>
      <c r="K335" s="63"/>
      <c r="L335" s="63"/>
      <c r="M335" s="63"/>
      <c r="N335" s="63"/>
      <c r="O335" s="103"/>
      <c r="P335" s="103"/>
      <c r="Q335" s="103"/>
      <c r="R335" s="103"/>
      <c r="S335" s="63"/>
      <c r="T335" s="63"/>
      <c r="U335" s="63"/>
      <c r="V335" s="63"/>
      <c r="W335" s="103"/>
      <c r="X335" s="103"/>
      <c r="Y335" s="103"/>
      <c r="Z335" s="103"/>
      <c r="AA335" s="63"/>
      <c r="AB335" s="63"/>
      <c r="AC335" s="63"/>
      <c r="AD335" s="63"/>
      <c r="AE335" s="103"/>
      <c r="AF335" s="103"/>
      <c r="AG335" s="103"/>
      <c r="AH335" s="103"/>
      <c r="AI335" s="63"/>
      <c r="AJ335" s="63"/>
      <c r="AK335" s="63"/>
      <c r="AL335" s="63"/>
      <c r="AM335" s="103"/>
      <c r="AN335" s="103"/>
      <c r="AO335" s="103"/>
      <c r="AP335" s="103"/>
      <c r="AQ335" s="63"/>
      <c r="AR335" s="63"/>
      <c r="AS335" s="63"/>
      <c r="AT335" s="63"/>
      <c r="AU335" s="103"/>
      <c r="AV335" s="103"/>
      <c r="AW335" s="103"/>
      <c r="AX335" s="103"/>
      <c r="AY335" s="63"/>
      <c r="AZ335" s="63"/>
      <c r="BA335" s="63"/>
      <c r="BB335" s="63"/>
      <c r="BC335" s="103"/>
      <c r="BD335" s="103"/>
      <c r="BE335" s="103"/>
      <c r="BF335" s="103"/>
      <c r="BG335" s="63"/>
      <c r="BH335" s="63"/>
      <c r="BI335" s="63"/>
      <c r="BJ335" s="63"/>
      <c r="BK335" s="103"/>
      <c r="BL335" s="103"/>
      <c r="BM335" s="103"/>
      <c r="BN335" s="103"/>
      <c r="BO335" s="63"/>
      <c r="BP335" s="63"/>
      <c r="BQ335" s="63"/>
      <c r="BR335" s="63"/>
      <c r="BS335" s="103"/>
      <c r="BT335" s="103"/>
      <c r="BU335" s="103"/>
      <c r="BV335" s="103"/>
      <c r="BW335" s="63"/>
      <c r="BX335" s="63"/>
      <c r="BY335" s="63"/>
      <c r="BZ335" s="63"/>
      <c r="CA335" s="103"/>
      <c r="CB335" s="103"/>
      <c r="CC335" s="103"/>
      <c r="CD335" s="103"/>
      <c r="CE335" s="63"/>
      <c r="CF335" s="63"/>
      <c r="CG335" s="63"/>
      <c r="CH335" s="63"/>
      <c r="CI335" s="103"/>
      <c r="CJ335" s="103"/>
      <c r="CK335" s="103"/>
      <c r="CL335" s="103"/>
    </row>
    <row r="336" spans="2:90" ht="13" x14ac:dyDescent="0.15">
      <c r="B336" s="13"/>
      <c r="C336" s="14"/>
      <c r="D336" s="14"/>
      <c r="E336" s="14"/>
      <c r="F336" s="14"/>
      <c r="G336" s="103"/>
      <c r="H336" s="103"/>
      <c r="I336" s="103"/>
      <c r="J336" s="103"/>
      <c r="K336" s="63"/>
      <c r="L336" s="63"/>
      <c r="M336" s="63"/>
      <c r="N336" s="63"/>
      <c r="O336" s="103"/>
      <c r="P336" s="103"/>
      <c r="Q336" s="103"/>
      <c r="R336" s="103"/>
      <c r="S336" s="63"/>
      <c r="T336" s="63"/>
      <c r="U336" s="63"/>
      <c r="V336" s="63"/>
      <c r="W336" s="103"/>
      <c r="X336" s="103"/>
      <c r="Y336" s="103"/>
      <c r="Z336" s="103"/>
      <c r="AA336" s="63"/>
      <c r="AB336" s="63"/>
      <c r="AC336" s="63"/>
      <c r="AD336" s="63"/>
      <c r="AE336" s="103"/>
      <c r="AF336" s="103"/>
      <c r="AG336" s="103"/>
      <c r="AH336" s="103"/>
      <c r="AI336" s="63"/>
      <c r="AJ336" s="63"/>
      <c r="AK336" s="63"/>
      <c r="AL336" s="63"/>
      <c r="AM336" s="103"/>
      <c r="AN336" s="103"/>
      <c r="AO336" s="103"/>
      <c r="AP336" s="103"/>
      <c r="AQ336" s="63"/>
      <c r="AR336" s="63"/>
      <c r="AS336" s="63"/>
      <c r="AT336" s="63"/>
      <c r="AU336" s="103"/>
      <c r="AV336" s="103"/>
      <c r="AW336" s="103"/>
      <c r="AX336" s="103"/>
      <c r="AY336" s="63"/>
      <c r="AZ336" s="63"/>
      <c r="BA336" s="63"/>
      <c r="BB336" s="63"/>
      <c r="BC336" s="103"/>
      <c r="BD336" s="103"/>
      <c r="BE336" s="103"/>
      <c r="BF336" s="103"/>
      <c r="BG336" s="63"/>
      <c r="BH336" s="63"/>
      <c r="BI336" s="63"/>
      <c r="BJ336" s="63"/>
      <c r="BK336" s="103"/>
      <c r="BL336" s="103"/>
      <c r="BM336" s="103"/>
      <c r="BN336" s="103"/>
      <c r="BO336" s="63"/>
      <c r="BP336" s="63"/>
      <c r="BQ336" s="63"/>
      <c r="BR336" s="63"/>
      <c r="BS336" s="103"/>
      <c r="BT336" s="103"/>
      <c r="BU336" s="103"/>
      <c r="BV336" s="103"/>
      <c r="BW336" s="63"/>
      <c r="BX336" s="63"/>
      <c r="BY336" s="63"/>
      <c r="BZ336" s="63"/>
      <c r="CA336" s="103"/>
      <c r="CB336" s="103"/>
      <c r="CC336" s="103"/>
      <c r="CD336" s="103"/>
      <c r="CE336" s="63"/>
      <c r="CF336" s="63"/>
      <c r="CG336" s="63"/>
      <c r="CH336" s="63"/>
      <c r="CI336" s="103"/>
      <c r="CJ336" s="103"/>
      <c r="CK336" s="103"/>
      <c r="CL336" s="103"/>
    </row>
    <row r="337" spans="2:90" ht="13" x14ac:dyDescent="0.15">
      <c r="B337" s="13"/>
      <c r="C337" s="14"/>
      <c r="D337" s="14"/>
      <c r="E337" s="14"/>
      <c r="F337" s="14"/>
      <c r="G337" s="103"/>
      <c r="H337" s="103"/>
      <c r="I337" s="103"/>
      <c r="J337" s="103"/>
      <c r="K337" s="63"/>
      <c r="L337" s="63"/>
      <c r="M337" s="63"/>
      <c r="N337" s="63"/>
      <c r="O337" s="103"/>
      <c r="P337" s="103"/>
      <c r="Q337" s="103"/>
      <c r="R337" s="103"/>
      <c r="S337" s="63"/>
      <c r="T337" s="63"/>
      <c r="U337" s="63"/>
      <c r="V337" s="63"/>
      <c r="W337" s="103"/>
      <c r="X337" s="103"/>
      <c r="Y337" s="103"/>
      <c r="Z337" s="103"/>
      <c r="AA337" s="63"/>
      <c r="AB337" s="63"/>
      <c r="AC337" s="63"/>
      <c r="AD337" s="63"/>
      <c r="AE337" s="103"/>
      <c r="AF337" s="103"/>
      <c r="AG337" s="103"/>
      <c r="AH337" s="103"/>
      <c r="AI337" s="63"/>
      <c r="AJ337" s="63"/>
      <c r="AK337" s="63"/>
      <c r="AL337" s="63"/>
      <c r="AM337" s="103"/>
      <c r="AN337" s="103"/>
      <c r="AO337" s="103"/>
      <c r="AP337" s="103"/>
      <c r="AQ337" s="63"/>
      <c r="AR337" s="63"/>
      <c r="AS337" s="63"/>
      <c r="AT337" s="63"/>
      <c r="AU337" s="103"/>
      <c r="AV337" s="103"/>
      <c r="AW337" s="103"/>
      <c r="AX337" s="103"/>
      <c r="AY337" s="63"/>
      <c r="AZ337" s="63"/>
      <c r="BA337" s="63"/>
      <c r="BB337" s="63"/>
      <c r="BC337" s="103"/>
      <c r="BD337" s="103"/>
      <c r="BE337" s="103"/>
      <c r="BF337" s="103"/>
      <c r="BG337" s="63"/>
      <c r="BH337" s="63"/>
      <c r="BI337" s="63"/>
      <c r="BJ337" s="63"/>
      <c r="BK337" s="103"/>
      <c r="BL337" s="103"/>
      <c r="BM337" s="103"/>
      <c r="BN337" s="103"/>
      <c r="BO337" s="63"/>
      <c r="BP337" s="63"/>
      <c r="BQ337" s="63"/>
      <c r="BR337" s="63"/>
      <c r="BS337" s="103"/>
      <c r="BT337" s="103"/>
      <c r="BU337" s="103"/>
      <c r="BV337" s="103"/>
      <c r="BW337" s="63"/>
      <c r="BX337" s="63"/>
      <c r="BY337" s="63"/>
      <c r="BZ337" s="63"/>
      <c r="CA337" s="103"/>
      <c r="CB337" s="103"/>
      <c r="CC337" s="103"/>
      <c r="CD337" s="103"/>
      <c r="CE337" s="63"/>
      <c r="CF337" s="63"/>
      <c r="CG337" s="63"/>
      <c r="CH337" s="63"/>
      <c r="CI337" s="103"/>
      <c r="CJ337" s="103"/>
      <c r="CK337" s="103"/>
      <c r="CL337" s="103"/>
    </row>
    <row r="338" spans="2:90" ht="13" x14ac:dyDescent="0.15">
      <c r="B338" s="13"/>
      <c r="C338" s="14"/>
      <c r="D338" s="14"/>
      <c r="E338" s="14"/>
      <c r="F338" s="14"/>
      <c r="G338" s="103"/>
      <c r="H338" s="103"/>
      <c r="I338" s="103"/>
      <c r="J338" s="103"/>
      <c r="K338" s="63"/>
      <c r="L338" s="63"/>
      <c r="M338" s="63"/>
      <c r="N338" s="63"/>
      <c r="O338" s="103"/>
      <c r="P338" s="103"/>
      <c r="Q338" s="103"/>
      <c r="R338" s="103"/>
      <c r="S338" s="63"/>
      <c r="T338" s="63"/>
      <c r="U338" s="63"/>
      <c r="V338" s="63"/>
      <c r="W338" s="103"/>
      <c r="X338" s="103"/>
      <c r="Y338" s="103"/>
      <c r="Z338" s="103"/>
      <c r="AA338" s="63"/>
      <c r="AB338" s="63"/>
      <c r="AC338" s="63"/>
      <c r="AD338" s="63"/>
      <c r="AE338" s="103"/>
      <c r="AF338" s="103"/>
      <c r="AG338" s="103"/>
      <c r="AH338" s="103"/>
      <c r="AI338" s="63"/>
      <c r="AJ338" s="63"/>
      <c r="AK338" s="63"/>
      <c r="AL338" s="63"/>
      <c r="AM338" s="103"/>
      <c r="AN338" s="103"/>
      <c r="AO338" s="103"/>
      <c r="AP338" s="103"/>
      <c r="AQ338" s="63"/>
      <c r="AR338" s="63"/>
      <c r="AS338" s="63"/>
      <c r="AT338" s="63"/>
      <c r="AU338" s="103"/>
      <c r="AV338" s="103"/>
      <c r="AW338" s="103"/>
      <c r="AX338" s="103"/>
      <c r="AY338" s="63"/>
      <c r="AZ338" s="63"/>
      <c r="BA338" s="63"/>
      <c r="BB338" s="63"/>
      <c r="BC338" s="103"/>
      <c r="BD338" s="103"/>
      <c r="BE338" s="103"/>
      <c r="BF338" s="103"/>
      <c r="BG338" s="63"/>
      <c r="BH338" s="63"/>
      <c r="BI338" s="63"/>
      <c r="BJ338" s="63"/>
      <c r="BK338" s="103"/>
      <c r="BL338" s="103"/>
      <c r="BM338" s="103"/>
      <c r="BN338" s="103"/>
      <c r="BO338" s="63"/>
      <c r="BP338" s="63"/>
      <c r="BQ338" s="63"/>
      <c r="BR338" s="63"/>
      <c r="BS338" s="103"/>
      <c r="BT338" s="103"/>
      <c r="BU338" s="103"/>
      <c r="BV338" s="103"/>
      <c r="BW338" s="63"/>
      <c r="BX338" s="63"/>
      <c r="BY338" s="63"/>
      <c r="BZ338" s="63"/>
      <c r="CA338" s="103"/>
      <c r="CB338" s="103"/>
      <c r="CC338" s="103"/>
      <c r="CD338" s="103"/>
      <c r="CE338" s="63"/>
      <c r="CF338" s="63"/>
      <c r="CG338" s="63"/>
      <c r="CH338" s="63"/>
      <c r="CI338" s="103"/>
      <c r="CJ338" s="103"/>
      <c r="CK338" s="103"/>
      <c r="CL338" s="103"/>
    </row>
    <row r="339" spans="2:90" ht="13" x14ac:dyDescent="0.15">
      <c r="B339" s="13"/>
      <c r="C339" s="14"/>
      <c r="D339" s="14"/>
      <c r="E339" s="14"/>
      <c r="F339" s="14"/>
      <c r="G339" s="103"/>
      <c r="H339" s="103"/>
      <c r="I339" s="103"/>
      <c r="J339" s="103"/>
      <c r="K339" s="63"/>
      <c r="L339" s="63"/>
      <c r="M339" s="63"/>
      <c r="N339" s="63"/>
      <c r="O339" s="103"/>
      <c r="P339" s="103"/>
      <c r="Q339" s="103"/>
      <c r="R339" s="103"/>
      <c r="S339" s="63"/>
      <c r="T339" s="63"/>
      <c r="U339" s="63"/>
      <c r="V339" s="63"/>
      <c r="W339" s="103"/>
      <c r="X339" s="103"/>
      <c r="Y339" s="103"/>
      <c r="Z339" s="103"/>
      <c r="AA339" s="63"/>
      <c r="AB339" s="63"/>
      <c r="AC339" s="63"/>
      <c r="AD339" s="63"/>
      <c r="AE339" s="103"/>
      <c r="AF339" s="103"/>
      <c r="AG339" s="103"/>
      <c r="AH339" s="103"/>
      <c r="AI339" s="63"/>
      <c r="AJ339" s="63"/>
      <c r="AK339" s="63"/>
      <c r="AL339" s="63"/>
      <c r="AM339" s="103"/>
      <c r="AN339" s="103"/>
      <c r="AO339" s="103"/>
      <c r="AP339" s="103"/>
      <c r="AQ339" s="63"/>
      <c r="AR339" s="63"/>
      <c r="AS339" s="63"/>
      <c r="AT339" s="63"/>
      <c r="AU339" s="103"/>
      <c r="AV339" s="103"/>
      <c r="AW339" s="103"/>
      <c r="AX339" s="103"/>
      <c r="AY339" s="63"/>
      <c r="AZ339" s="63"/>
      <c r="BA339" s="63"/>
      <c r="BB339" s="63"/>
      <c r="BC339" s="103"/>
      <c r="BD339" s="103"/>
      <c r="BE339" s="103"/>
      <c r="BF339" s="103"/>
      <c r="BG339" s="63"/>
      <c r="BH339" s="63"/>
      <c r="BI339" s="63"/>
      <c r="BJ339" s="63"/>
      <c r="BK339" s="103"/>
      <c r="BL339" s="103"/>
      <c r="BM339" s="103"/>
      <c r="BN339" s="103"/>
      <c r="BO339" s="63"/>
      <c r="BP339" s="63"/>
      <c r="BQ339" s="63"/>
      <c r="BR339" s="63"/>
      <c r="BS339" s="103"/>
      <c r="BT339" s="103"/>
      <c r="BU339" s="103"/>
      <c r="BV339" s="103"/>
      <c r="BW339" s="63"/>
      <c r="BX339" s="63"/>
      <c r="BY339" s="63"/>
      <c r="BZ339" s="63"/>
      <c r="CA339" s="103"/>
      <c r="CB339" s="103"/>
      <c r="CC339" s="103"/>
      <c r="CD339" s="103"/>
      <c r="CE339" s="63"/>
      <c r="CF339" s="63"/>
      <c r="CG339" s="63"/>
      <c r="CH339" s="63"/>
      <c r="CI339" s="103"/>
      <c r="CJ339" s="103"/>
      <c r="CK339" s="103"/>
      <c r="CL339" s="103"/>
    </row>
    <row r="340" spans="2:90" ht="13" x14ac:dyDescent="0.15">
      <c r="B340" s="13"/>
      <c r="C340" s="14"/>
      <c r="D340" s="14"/>
      <c r="E340" s="14"/>
      <c r="F340" s="14"/>
      <c r="G340" s="103"/>
      <c r="H340" s="103"/>
      <c r="I340" s="103"/>
      <c r="J340" s="103"/>
      <c r="K340" s="63"/>
      <c r="L340" s="63"/>
      <c r="M340" s="63"/>
      <c r="N340" s="63"/>
      <c r="O340" s="103"/>
      <c r="P340" s="103"/>
      <c r="Q340" s="103"/>
      <c r="R340" s="103"/>
      <c r="S340" s="63"/>
      <c r="T340" s="63"/>
      <c r="U340" s="63"/>
      <c r="V340" s="63"/>
      <c r="W340" s="103"/>
      <c r="X340" s="103"/>
      <c r="Y340" s="103"/>
      <c r="Z340" s="103"/>
      <c r="AA340" s="63"/>
      <c r="AB340" s="63"/>
      <c r="AC340" s="63"/>
      <c r="AD340" s="63"/>
      <c r="AE340" s="103"/>
      <c r="AF340" s="103"/>
      <c r="AG340" s="103"/>
      <c r="AH340" s="103"/>
      <c r="AI340" s="63"/>
      <c r="AJ340" s="63"/>
      <c r="AK340" s="63"/>
      <c r="AL340" s="63"/>
      <c r="AM340" s="103"/>
      <c r="AN340" s="103"/>
      <c r="AO340" s="103"/>
      <c r="AP340" s="103"/>
      <c r="AQ340" s="63"/>
      <c r="AR340" s="63"/>
      <c r="AS340" s="63"/>
      <c r="AT340" s="63"/>
      <c r="AU340" s="103"/>
      <c r="AV340" s="103"/>
      <c r="AW340" s="103"/>
      <c r="AX340" s="103"/>
      <c r="AY340" s="63"/>
      <c r="AZ340" s="63"/>
      <c r="BA340" s="63"/>
      <c r="BB340" s="63"/>
      <c r="BC340" s="103"/>
      <c r="BD340" s="103"/>
      <c r="BE340" s="103"/>
      <c r="BF340" s="103"/>
      <c r="BG340" s="63"/>
      <c r="BH340" s="63"/>
      <c r="BI340" s="63"/>
      <c r="BJ340" s="63"/>
      <c r="BK340" s="103"/>
      <c r="BL340" s="103"/>
      <c r="BM340" s="103"/>
      <c r="BN340" s="103"/>
      <c r="BO340" s="63"/>
      <c r="BP340" s="63"/>
      <c r="BQ340" s="63"/>
      <c r="BR340" s="63"/>
      <c r="BS340" s="103"/>
      <c r="BT340" s="103"/>
      <c r="BU340" s="103"/>
      <c r="BV340" s="103"/>
      <c r="BW340" s="63"/>
      <c r="BX340" s="63"/>
      <c r="BY340" s="63"/>
      <c r="BZ340" s="63"/>
      <c r="CA340" s="103"/>
      <c r="CB340" s="103"/>
      <c r="CC340" s="103"/>
      <c r="CD340" s="103"/>
      <c r="CE340" s="63"/>
      <c r="CF340" s="63"/>
      <c r="CG340" s="63"/>
      <c r="CH340" s="63"/>
      <c r="CI340" s="103"/>
      <c r="CJ340" s="103"/>
      <c r="CK340" s="103"/>
      <c r="CL340" s="103"/>
    </row>
    <row r="341" spans="2:90" ht="13" x14ac:dyDescent="0.15">
      <c r="B341" s="13"/>
      <c r="C341" s="14"/>
      <c r="D341" s="14"/>
      <c r="E341" s="14"/>
      <c r="F341" s="14"/>
      <c r="G341" s="103"/>
      <c r="H341" s="103"/>
      <c r="I341" s="103"/>
      <c r="J341" s="103"/>
      <c r="K341" s="63"/>
      <c r="L341" s="63"/>
      <c r="M341" s="63"/>
      <c r="N341" s="63"/>
      <c r="O341" s="103"/>
      <c r="P341" s="103"/>
      <c r="Q341" s="103"/>
      <c r="R341" s="103"/>
      <c r="S341" s="63"/>
      <c r="T341" s="63"/>
      <c r="U341" s="63"/>
      <c r="V341" s="63"/>
      <c r="W341" s="103"/>
      <c r="X341" s="103"/>
      <c r="Y341" s="103"/>
      <c r="Z341" s="103"/>
      <c r="AA341" s="63"/>
      <c r="AB341" s="63"/>
      <c r="AC341" s="63"/>
      <c r="AD341" s="63"/>
      <c r="AE341" s="103"/>
      <c r="AF341" s="103"/>
      <c r="AG341" s="103"/>
      <c r="AH341" s="103"/>
      <c r="AI341" s="63"/>
      <c r="AJ341" s="63"/>
      <c r="AK341" s="63"/>
      <c r="AL341" s="63"/>
      <c r="AM341" s="103"/>
      <c r="AN341" s="103"/>
      <c r="AO341" s="103"/>
      <c r="AP341" s="103"/>
      <c r="AQ341" s="63"/>
      <c r="AR341" s="63"/>
      <c r="AS341" s="63"/>
      <c r="AT341" s="63"/>
      <c r="AU341" s="103"/>
      <c r="AV341" s="103"/>
      <c r="AW341" s="103"/>
      <c r="AX341" s="103"/>
      <c r="AY341" s="63"/>
      <c r="AZ341" s="63"/>
      <c r="BA341" s="63"/>
      <c r="BB341" s="63"/>
      <c r="BC341" s="103"/>
      <c r="BD341" s="103"/>
      <c r="BE341" s="103"/>
      <c r="BF341" s="103"/>
      <c r="BG341" s="63"/>
      <c r="BH341" s="63"/>
      <c r="BI341" s="63"/>
      <c r="BJ341" s="63"/>
      <c r="BK341" s="103"/>
      <c r="BL341" s="103"/>
      <c r="BM341" s="103"/>
      <c r="BN341" s="103"/>
      <c r="BO341" s="63"/>
      <c r="BP341" s="63"/>
      <c r="BQ341" s="63"/>
      <c r="BR341" s="63"/>
      <c r="BS341" s="103"/>
      <c r="BT341" s="103"/>
      <c r="BU341" s="103"/>
      <c r="BV341" s="103"/>
      <c r="BW341" s="63"/>
      <c r="BX341" s="63"/>
      <c r="BY341" s="63"/>
      <c r="BZ341" s="63"/>
      <c r="CA341" s="103"/>
      <c r="CB341" s="103"/>
      <c r="CC341" s="103"/>
      <c r="CD341" s="103"/>
      <c r="CE341" s="63"/>
      <c r="CF341" s="63"/>
      <c r="CG341" s="63"/>
      <c r="CH341" s="63"/>
      <c r="CI341" s="103"/>
      <c r="CJ341" s="103"/>
      <c r="CK341" s="103"/>
      <c r="CL341" s="103"/>
    </row>
    <row r="342" spans="2:90" ht="13" x14ac:dyDescent="0.15">
      <c r="B342" s="13"/>
      <c r="C342" s="14"/>
      <c r="D342" s="14"/>
      <c r="E342" s="14"/>
      <c r="F342" s="14"/>
      <c r="G342" s="103"/>
      <c r="H342" s="103"/>
      <c r="I342" s="103"/>
      <c r="J342" s="103"/>
      <c r="K342" s="63"/>
      <c r="L342" s="63"/>
      <c r="M342" s="63"/>
      <c r="N342" s="63"/>
      <c r="O342" s="103"/>
      <c r="P342" s="103"/>
      <c r="Q342" s="103"/>
      <c r="R342" s="103"/>
      <c r="S342" s="63"/>
      <c r="T342" s="63"/>
      <c r="U342" s="63"/>
      <c r="V342" s="63"/>
      <c r="W342" s="103"/>
      <c r="X342" s="103"/>
      <c r="Y342" s="103"/>
      <c r="Z342" s="103"/>
      <c r="AA342" s="63"/>
      <c r="AB342" s="63"/>
      <c r="AC342" s="63"/>
      <c r="AD342" s="63"/>
      <c r="AE342" s="103"/>
      <c r="AF342" s="103"/>
      <c r="AG342" s="103"/>
      <c r="AH342" s="103"/>
      <c r="AI342" s="63"/>
      <c r="AJ342" s="63"/>
      <c r="AK342" s="63"/>
      <c r="AL342" s="63"/>
      <c r="AM342" s="103"/>
      <c r="AN342" s="103"/>
      <c r="AO342" s="103"/>
      <c r="AP342" s="103"/>
      <c r="AQ342" s="63"/>
      <c r="AR342" s="63"/>
      <c r="AS342" s="63"/>
      <c r="AT342" s="63"/>
      <c r="AU342" s="103"/>
      <c r="AV342" s="103"/>
      <c r="AW342" s="103"/>
      <c r="AX342" s="103"/>
      <c r="AY342" s="63"/>
      <c r="AZ342" s="63"/>
      <c r="BA342" s="63"/>
      <c r="BB342" s="63"/>
      <c r="BC342" s="103"/>
      <c r="BD342" s="103"/>
      <c r="BE342" s="103"/>
      <c r="BF342" s="103"/>
      <c r="BG342" s="63"/>
      <c r="BH342" s="63"/>
      <c r="BI342" s="63"/>
      <c r="BJ342" s="63"/>
      <c r="BK342" s="103"/>
      <c r="BL342" s="103"/>
      <c r="BM342" s="103"/>
      <c r="BN342" s="103"/>
      <c r="BO342" s="63"/>
      <c r="BP342" s="63"/>
      <c r="BQ342" s="63"/>
      <c r="BR342" s="63"/>
      <c r="BS342" s="103"/>
      <c r="BT342" s="103"/>
      <c r="BU342" s="103"/>
      <c r="BV342" s="103"/>
      <c r="BW342" s="63"/>
      <c r="BX342" s="63"/>
      <c r="BY342" s="63"/>
      <c r="BZ342" s="63"/>
      <c r="CA342" s="103"/>
      <c r="CB342" s="103"/>
      <c r="CC342" s="103"/>
      <c r="CD342" s="103"/>
      <c r="CE342" s="63"/>
      <c r="CF342" s="63"/>
      <c r="CG342" s="63"/>
      <c r="CH342" s="63"/>
      <c r="CI342" s="103"/>
      <c r="CJ342" s="103"/>
      <c r="CK342" s="103"/>
      <c r="CL342" s="103"/>
    </row>
    <row r="343" spans="2:90" ht="13" x14ac:dyDescent="0.15">
      <c r="B343" s="13"/>
      <c r="C343" s="14"/>
      <c r="D343" s="14"/>
      <c r="E343" s="14"/>
      <c r="F343" s="14"/>
      <c r="G343" s="103"/>
      <c r="H343" s="103"/>
      <c r="I343" s="103"/>
      <c r="J343" s="103"/>
      <c r="K343" s="63"/>
      <c r="L343" s="63"/>
      <c r="M343" s="63"/>
      <c r="N343" s="63"/>
      <c r="O343" s="103"/>
      <c r="P343" s="103"/>
      <c r="Q343" s="103"/>
      <c r="R343" s="103"/>
      <c r="S343" s="63"/>
      <c r="T343" s="63"/>
      <c r="U343" s="63"/>
      <c r="V343" s="63"/>
      <c r="W343" s="103"/>
      <c r="X343" s="103"/>
      <c r="Y343" s="103"/>
      <c r="Z343" s="103"/>
      <c r="AA343" s="63"/>
      <c r="AB343" s="63"/>
      <c r="AC343" s="63"/>
      <c r="AD343" s="63"/>
      <c r="AE343" s="103"/>
      <c r="AF343" s="103"/>
      <c r="AG343" s="103"/>
      <c r="AH343" s="103"/>
      <c r="AI343" s="63"/>
      <c r="AJ343" s="63"/>
      <c r="AK343" s="63"/>
      <c r="AL343" s="63"/>
      <c r="AM343" s="103"/>
      <c r="AN343" s="103"/>
      <c r="AO343" s="103"/>
      <c r="AP343" s="103"/>
      <c r="AQ343" s="63"/>
      <c r="AR343" s="63"/>
      <c r="AS343" s="63"/>
      <c r="AT343" s="63"/>
      <c r="AU343" s="103"/>
      <c r="AV343" s="103"/>
      <c r="AW343" s="103"/>
      <c r="AX343" s="103"/>
      <c r="AY343" s="63"/>
      <c r="AZ343" s="63"/>
      <c r="BA343" s="63"/>
      <c r="BB343" s="63"/>
      <c r="BC343" s="103"/>
      <c r="BD343" s="103"/>
      <c r="BE343" s="103"/>
      <c r="BF343" s="103"/>
      <c r="BG343" s="63"/>
      <c r="BH343" s="63"/>
      <c r="BI343" s="63"/>
      <c r="BJ343" s="63"/>
      <c r="BK343" s="103"/>
      <c r="BL343" s="103"/>
      <c r="BM343" s="103"/>
      <c r="BN343" s="103"/>
      <c r="BO343" s="63"/>
      <c r="BP343" s="63"/>
      <c r="BQ343" s="63"/>
      <c r="BR343" s="63"/>
      <c r="BS343" s="103"/>
      <c r="BT343" s="103"/>
      <c r="BU343" s="103"/>
      <c r="BV343" s="103"/>
      <c r="BW343" s="63"/>
      <c r="BX343" s="63"/>
      <c r="BY343" s="63"/>
      <c r="BZ343" s="63"/>
      <c r="CA343" s="103"/>
      <c r="CB343" s="103"/>
      <c r="CC343" s="103"/>
      <c r="CD343" s="103"/>
      <c r="CE343" s="63"/>
      <c r="CF343" s="63"/>
      <c r="CG343" s="63"/>
      <c r="CH343" s="63"/>
      <c r="CI343" s="103"/>
      <c r="CJ343" s="103"/>
      <c r="CK343" s="103"/>
      <c r="CL343" s="103"/>
    </row>
    <row r="344" spans="2:90" ht="13" x14ac:dyDescent="0.15">
      <c r="B344" s="13"/>
      <c r="C344" s="14"/>
      <c r="D344" s="14"/>
      <c r="E344" s="14"/>
      <c r="F344" s="14"/>
      <c r="G344" s="103"/>
      <c r="H344" s="103"/>
      <c r="I344" s="103"/>
      <c r="J344" s="103"/>
      <c r="K344" s="63"/>
      <c r="L344" s="63"/>
      <c r="M344" s="63"/>
      <c r="N344" s="63"/>
      <c r="O344" s="103"/>
      <c r="P344" s="103"/>
      <c r="Q344" s="103"/>
      <c r="R344" s="103"/>
      <c r="S344" s="63"/>
      <c r="T344" s="63"/>
      <c r="U344" s="63"/>
      <c r="V344" s="63"/>
      <c r="W344" s="103"/>
      <c r="X344" s="103"/>
      <c r="Y344" s="103"/>
      <c r="Z344" s="103"/>
      <c r="AA344" s="63"/>
      <c r="AB344" s="63"/>
      <c r="AC344" s="63"/>
      <c r="AD344" s="63"/>
      <c r="AE344" s="103"/>
      <c r="AF344" s="103"/>
      <c r="AG344" s="103"/>
      <c r="AH344" s="103"/>
      <c r="AI344" s="63"/>
      <c r="AJ344" s="63"/>
      <c r="AK344" s="63"/>
      <c r="AL344" s="63"/>
      <c r="AM344" s="103"/>
      <c r="AN344" s="103"/>
      <c r="AO344" s="103"/>
      <c r="AP344" s="103"/>
      <c r="AQ344" s="63"/>
      <c r="AR344" s="63"/>
      <c r="AS344" s="63"/>
      <c r="AT344" s="63"/>
      <c r="AU344" s="103"/>
      <c r="AV344" s="103"/>
      <c r="AW344" s="103"/>
      <c r="AX344" s="103"/>
      <c r="AY344" s="63"/>
      <c r="AZ344" s="63"/>
      <c r="BA344" s="63"/>
      <c r="BB344" s="63"/>
      <c r="BC344" s="103"/>
      <c r="BD344" s="103"/>
      <c r="BE344" s="103"/>
      <c r="BF344" s="103"/>
      <c r="BG344" s="63"/>
      <c r="BH344" s="63"/>
      <c r="BI344" s="63"/>
      <c r="BJ344" s="63"/>
      <c r="BK344" s="103"/>
      <c r="BL344" s="103"/>
      <c r="BM344" s="103"/>
      <c r="BN344" s="103"/>
      <c r="BO344" s="63"/>
      <c r="BP344" s="63"/>
      <c r="BQ344" s="63"/>
      <c r="BR344" s="63"/>
      <c r="BS344" s="103"/>
      <c r="BT344" s="103"/>
      <c r="BU344" s="103"/>
      <c r="BV344" s="103"/>
      <c r="BW344" s="63"/>
      <c r="BX344" s="63"/>
      <c r="BY344" s="63"/>
      <c r="BZ344" s="63"/>
      <c r="CA344" s="103"/>
      <c r="CB344" s="103"/>
      <c r="CC344" s="103"/>
      <c r="CD344" s="103"/>
      <c r="CE344" s="63"/>
      <c r="CF344" s="63"/>
      <c r="CG344" s="63"/>
      <c r="CH344" s="63"/>
      <c r="CI344" s="103"/>
      <c r="CJ344" s="103"/>
      <c r="CK344" s="103"/>
      <c r="CL344" s="103"/>
    </row>
    <row r="345" spans="2:90" ht="13" x14ac:dyDescent="0.15">
      <c r="B345" s="13"/>
      <c r="C345" s="14"/>
      <c r="D345" s="14"/>
      <c r="E345" s="14"/>
      <c r="F345" s="14"/>
      <c r="G345" s="103"/>
      <c r="H345" s="103"/>
      <c r="I345" s="103"/>
      <c r="J345" s="103"/>
      <c r="K345" s="63"/>
      <c r="L345" s="63"/>
      <c r="M345" s="63"/>
      <c r="N345" s="63"/>
      <c r="O345" s="103"/>
      <c r="P345" s="103"/>
      <c r="Q345" s="103"/>
      <c r="R345" s="103"/>
      <c r="S345" s="63"/>
      <c r="T345" s="63"/>
      <c r="U345" s="63"/>
      <c r="V345" s="63"/>
      <c r="W345" s="103"/>
      <c r="X345" s="103"/>
      <c r="Y345" s="103"/>
      <c r="Z345" s="103"/>
      <c r="AA345" s="63"/>
      <c r="AB345" s="63"/>
      <c r="AC345" s="63"/>
      <c r="AD345" s="63"/>
      <c r="AE345" s="103"/>
      <c r="AF345" s="103"/>
      <c r="AG345" s="103"/>
      <c r="AH345" s="103"/>
      <c r="AI345" s="63"/>
      <c r="AJ345" s="63"/>
      <c r="AK345" s="63"/>
      <c r="AL345" s="63"/>
      <c r="AM345" s="103"/>
      <c r="AN345" s="103"/>
      <c r="AO345" s="103"/>
      <c r="AP345" s="103"/>
      <c r="AQ345" s="63"/>
      <c r="AR345" s="63"/>
      <c r="AS345" s="63"/>
      <c r="AT345" s="63"/>
      <c r="AU345" s="103"/>
      <c r="AV345" s="103"/>
      <c r="AW345" s="103"/>
      <c r="AX345" s="103"/>
      <c r="AY345" s="63"/>
      <c r="AZ345" s="63"/>
      <c r="BA345" s="63"/>
      <c r="BB345" s="63"/>
      <c r="BC345" s="103"/>
      <c r="BD345" s="103"/>
      <c r="BE345" s="103"/>
      <c r="BF345" s="103"/>
      <c r="BG345" s="63"/>
      <c r="BH345" s="63"/>
      <c r="BI345" s="63"/>
      <c r="BJ345" s="63"/>
      <c r="BK345" s="103"/>
      <c r="BL345" s="103"/>
      <c r="BM345" s="103"/>
      <c r="BN345" s="103"/>
      <c r="BO345" s="63"/>
      <c r="BP345" s="63"/>
      <c r="BQ345" s="63"/>
      <c r="BR345" s="63"/>
      <c r="BS345" s="103"/>
      <c r="BT345" s="103"/>
      <c r="BU345" s="103"/>
      <c r="BV345" s="103"/>
      <c r="BW345" s="63"/>
      <c r="BX345" s="63"/>
      <c r="BY345" s="63"/>
      <c r="BZ345" s="63"/>
      <c r="CA345" s="103"/>
      <c r="CB345" s="103"/>
      <c r="CC345" s="103"/>
      <c r="CD345" s="103"/>
      <c r="CE345" s="63"/>
      <c r="CF345" s="63"/>
      <c r="CG345" s="63"/>
      <c r="CH345" s="63"/>
      <c r="CI345" s="103"/>
      <c r="CJ345" s="103"/>
      <c r="CK345" s="103"/>
      <c r="CL345" s="103"/>
    </row>
    <row r="346" spans="2:90" ht="13" x14ac:dyDescent="0.15">
      <c r="B346" s="13"/>
      <c r="C346" s="14"/>
      <c r="D346" s="14"/>
      <c r="E346" s="14"/>
      <c r="F346" s="14"/>
      <c r="G346" s="103"/>
      <c r="H346" s="103"/>
      <c r="I346" s="103"/>
      <c r="J346" s="103"/>
      <c r="K346" s="63"/>
      <c r="L346" s="63"/>
      <c r="M346" s="63"/>
      <c r="N346" s="63"/>
      <c r="O346" s="103"/>
      <c r="P346" s="103"/>
      <c r="Q346" s="103"/>
      <c r="R346" s="103"/>
      <c r="S346" s="63"/>
      <c r="T346" s="63"/>
      <c r="U346" s="63"/>
      <c r="V346" s="63"/>
      <c r="W346" s="103"/>
      <c r="X346" s="103"/>
      <c r="Y346" s="103"/>
      <c r="Z346" s="103"/>
      <c r="AA346" s="63"/>
      <c r="AB346" s="63"/>
      <c r="AC346" s="63"/>
      <c r="AD346" s="63"/>
      <c r="AE346" s="103"/>
      <c r="AF346" s="103"/>
      <c r="AG346" s="103"/>
      <c r="AH346" s="103"/>
      <c r="AI346" s="63"/>
      <c r="AJ346" s="63"/>
      <c r="AK346" s="63"/>
      <c r="AL346" s="63"/>
      <c r="AM346" s="103"/>
      <c r="AN346" s="103"/>
      <c r="AO346" s="103"/>
      <c r="AP346" s="103"/>
      <c r="AQ346" s="63"/>
      <c r="AR346" s="63"/>
      <c r="AS346" s="63"/>
      <c r="AT346" s="63"/>
      <c r="AU346" s="103"/>
      <c r="AV346" s="103"/>
      <c r="AW346" s="103"/>
      <c r="AX346" s="103"/>
      <c r="AY346" s="63"/>
      <c r="AZ346" s="63"/>
      <c r="BA346" s="63"/>
      <c r="BB346" s="63"/>
      <c r="BC346" s="103"/>
      <c r="BD346" s="103"/>
      <c r="BE346" s="103"/>
      <c r="BF346" s="103"/>
      <c r="BG346" s="63"/>
      <c r="BH346" s="63"/>
      <c r="BI346" s="63"/>
      <c r="BJ346" s="63"/>
      <c r="BK346" s="103"/>
      <c r="BL346" s="103"/>
      <c r="BM346" s="103"/>
      <c r="BN346" s="103"/>
      <c r="BO346" s="63"/>
      <c r="BP346" s="63"/>
      <c r="BQ346" s="63"/>
      <c r="BR346" s="63"/>
      <c r="BS346" s="103"/>
      <c r="BT346" s="103"/>
      <c r="BU346" s="103"/>
      <c r="BV346" s="103"/>
      <c r="BW346" s="63"/>
      <c r="BX346" s="63"/>
      <c r="BY346" s="63"/>
      <c r="BZ346" s="63"/>
      <c r="CA346" s="103"/>
      <c r="CB346" s="103"/>
      <c r="CC346" s="103"/>
      <c r="CD346" s="103"/>
      <c r="CE346" s="63"/>
      <c r="CF346" s="63"/>
      <c r="CG346" s="63"/>
      <c r="CH346" s="63"/>
      <c r="CI346" s="103"/>
      <c r="CJ346" s="103"/>
      <c r="CK346" s="103"/>
      <c r="CL346" s="103"/>
    </row>
    <row r="347" spans="2:90" ht="13" x14ac:dyDescent="0.15">
      <c r="B347" s="13"/>
      <c r="C347" s="14"/>
      <c r="D347" s="14"/>
      <c r="E347" s="14"/>
      <c r="F347" s="14"/>
      <c r="G347" s="103"/>
      <c r="H347" s="103"/>
      <c r="I347" s="103"/>
      <c r="J347" s="103"/>
      <c r="K347" s="63"/>
      <c r="L347" s="63"/>
      <c r="M347" s="63"/>
      <c r="N347" s="63"/>
      <c r="O347" s="103"/>
      <c r="P347" s="103"/>
      <c r="Q347" s="103"/>
      <c r="R347" s="103"/>
      <c r="S347" s="63"/>
      <c r="T347" s="63"/>
      <c r="U347" s="63"/>
      <c r="V347" s="63"/>
      <c r="W347" s="103"/>
      <c r="X347" s="103"/>
      <c r="Y347" s="103"/>
      <c r="Z347" s="103"/>
      <c r="AA347" s="63"/>
      <c r="AB347" s="63"/>
      <c r="AC347" s="63"/>
      <c r="AD347" s="63"/>
      <c r="AE347" s="103"/>
      <c r="AF347" s="103"/>
      <c r="AG347" s="103"/>
      <c r="AH347" s="103"/>
      <c r="AI347" s="63"/>
      <c r="AJ347" s="63"/>
      <c r="AK347" s="63"/>
      <c r="AL347" s="63"/>
      <c r="AM347" s="103"/>
      <c r="AN347" s="103"/>
      <c r="AO347" s="103"/>
      <c r="AP347" s="103"/>
      <c r="AQ347" s="63"/>
      <c r="AR347" s="63"/>
      <c r="AS347" s="63"/>
      <c r="AT347" s="63"/>
      <c r="AU347" s="103"/>
      <c r="AV347" s="103"/>
      <c r="AW347" s="103"/>
      <c r="AX347" s="103"/>
      <c r="AY347" s="63"/>
      <c r="AZ347" s="63"/>
      <c r="BA347" s="63"/>
      <c r="BB347" s="63"/>
      <c r="BC347" s="103"/>
      <c r="BD347" s="103"/>
      <c r="BE347" s="103"/>
      <c r="BF347" s="103"/>
      <c r="BG347" s="63"/>
      <c r="BH347" s="63"/>
      <c r="BI347" s="63"/>
      <c r="BJ347" s="63"/>
      <c r="BK347" s="103"/>
      <c r="BL347" s="103"/>
      <c r="BM347" s="103"/>
      <c r="BN347" s="103"/>
      <c r="BO347" s="63"/>
      <c r="BP347" s="63"/>
      <c r="BQ347" s="63"/>
      <c r="BR347" s="63"/>
      <c r="BS347" s="103"/>
      <c r="BT347" s="103"/>
      <c r="BU347" s="103"/>
      <c r="BV347" s="103"/>
      <c r="BW347" s="63"/>
      <c r="BX347" s="63"/>
      <c r="BY347" s="63"/>
      <c r="BZ347" s="63"/>
      <c r="CA347" s="103"/>
      <c r="CB347" s="103"/>
      <c r="CC347" s="103"/>
      <c r="CD347" s="103"/>
      <c r="CE347" s="63"/>
      <c r="CF347" s="63"/>
      <c r="CG347" s="63"/>
      <c r="CH347" s="63"/>
      <c r="CI347" s="103"/>
      <c r="CJ347" s="103"/>
      <c r="CK347" s="103"/>
      <c r="CL347" s="103"/>
    </row>
    <row r="348" spans="2:90" ht="13" x14ac:dyDescent="0.15">
      <c r="B348" s="13"/>
      <c r="C348" s="14"/>
      <c r="D348" s="14"/>
      <c r="E348" s="14"/>
      <c r="F348" s="14"/>
      <c r="G348" s="103"/>
      <c r="H348" s="103"/>
      <c r="I348" s="103"/>
      <c r="J348" s="103"/>
      <c r="K348" s="63"/>
      <c r="L348" s="63"/>
      <c r="M348" s="63"/>
      <c r="N348" s="63"/>
      <c r="O348" s="103"/>
      <c r="P348" s="103"/>
      <c r="Q348" s="103"/>
      <c r="R348" s="103"/>
      <c r="S348" s="63"/>
      <c r="T348" s="63"/>
      <c r="U348" s="63"/>
      <c r="V348" s="63"/>
      <c r="W348" s="103"/>
      <c r="X348" s="103"/>
      <c r="Y348" s="103"/>
      <c r="Z348" s="103"/>
      <c r="AA348" s="63"/>
      <c r="AB348" s="63"/>
      <c r="AC348" s="63"/>
      <c r="AD348" s="63"/>
      <c r="AE348" s="103"/>
      <c r="AF348" s="103"/>
      <c r="AG348" s="103"/>
      <c r="AH348" s="103"/>
      <c r="AI348" s="63"/>
      <c r="AJ348" s="63"/>
      <c r="AK348" s="63"/>
      <c r="AL348" s="63"/>
      <c r="AM348" s="103"/>
      <c r="AN348" s="103"/>
      <c r="AO348" s="103"/>
      <c r="AP348" s="103"/>
      <c r="AQ348" s="63"/>
      <c r="AR348" s="63"/>
      <c r="AS348" s="63"/>
      <c r="AT348" s="63"/>
      <c r="AU348" s="103"/>
      <c r="AV348" s="103"/>
      <c r="AW348" s="103"/>
      <c r="AX348" s="103"/>
      <c r="AY348" s="63"/>
      <c r="AZ348" s="63"/>
      <c r="BA348" s="63"/>
      <c r="BB348" s="63"/>
      <c r="BC348" s="103"/>
      <c r="BD348" s="103"/>
      <c r="BE348" s="103"/>
      <c r="BF348" s="103"/>
      <c r="BG348" s="63"/>
      <c r="BH348" s="63"/>
      <c r="BI348" s="63"/>
      <c r="BJ348" s="63"/>
      <c r="BK348" s="103"/>
      <c r="BL348" s="103"/>
      <c r="BM348" s="103"/>
      <c r="BN348" s="103"/>
      <c r="BO348" s="63"/>
      <c r="BP348" s="63"/>
      <c r="BQ348" s="63"/>
      <c r="BR348" s="63"/>
      <c r="BS348" s="103"/>
      <c r="BT348" s="103"/>
      <c r="BU348" s="103"/>
      <c r="BV348" s="103"/>
      <c r="BW348" s="63"/>
      <c r="BX348" s="63"/>
      <c r="BY348" s="63"/>
      <c r="BZ348" s="63"/>
      <c r="CA348" s="103"/>
      <c r="CB348" s="103"/>
      <c r="CC348" s="103"/>
      <c r="CD348" s="103"/>
      <c r="CE348" s="63"/>
      <c r="CF348" s="63"/>
      <c r="CG348" s="63"/>
      <c r="CH348" s="63"/>
      <c r="CI348" s="103"/>
      <c r="CJ348" s="103"/>
      <c r="CK348" s="103"/>
      <c r="CL348" s="103"/>
    </row>
    <row r="349" spans="2:90" ht="13" x14ac:dyDescent="0.15">
      <c r="B349" s="13"/>
      <c r="C349" s="14"/>
      <c r="D349" s="14"/>
      <c r="E349" s="14"/>
      <c r="F349" s="14"/>
      <c r="G349" s="103"/>
      <c r="H349" s="103"/>
      <c r="I349" s="103"/>
      <c r="J349" s="103"/>
      <c r="K349" s="63"/>
      <c r="L349" s="63"/>
      <c r="M349" s="63"/>
      <c r="N349" s="63"/>
      <c r="O349" s="103"/>
      <c r="P349" s="103"/>
      <c r="Q349" s="103"/>
      <c r="R349" s="103"/>
      <c r="S349" s="63"/>
      <c r="T349" s="63"/>
      <c r="U349" s="63"/>
      <c r="V349" s="63"/>
      <c r="W349" s="103"/>
      <c r="X349" s="103"/>
      <c r="Y349" s="103"/>
      <c r="Z349" s="103"/>
      <c r="AA349" s="63"/>
      <c r="AB349" s="63"/>
      <c r="AC349" s="63"/>
      <c r="AD349" s="63"/>
      <c r="AE349" s="103"/>
      <c r="AF349" s="103"/>
      <c r="AG349" s="103"/>
      <c r="AH349" s="103"/>
      <c r="AI349" s="63"/>
      <c r="AJ349" s="63"/>
      <c r="AK349" s="63"/>
      <c r="AL349" s="63"/>
      <c r="AM349" s="103"/>
      <c r="AN349" s="103"/>
      <c r="AO349" s="103"/>
      <c r="AP349" s="103"/>
      <c r="AQ349" s="63"/>
      <c r="AR349" s="63"/>
      <c r="AS349" s="63"/>
      <c r="AT349" s="63"/>
      <c r="AU349" s="103"/>
      <c r="AV349" s="103"/>
      <c r="AW349" s="103"/>
      <c r="AX349" s="103"/>
      <c r="AY349" s="63"/>
      <c r="AZ349" s="63"/>
      <c r="BA349" s="63"/>
      <c r="BB349" s="63"/>
      <c r="BC349" s="103"/>
      <c r="BD349" s="103"/>
      <c r="BE349" s="103"/>
      <c r="BF349" s="103"/>
      <c r="BG349" s="63"/>
      <c r="BH349" s="63"/>
      <c r="BI349" s="63"/>
      <c r="BJ349" s="63"/>
      <c r="BK349" s="103"/>
      <c r="BL349" s="103"/>
      <c r="BM349" s="103"/>
      <c r="BN349" s="103"/>
      <c r="BO349" s="63"/>
      <c r="BP349" s="63"/>
      <c r="BQ349" s="63"/>
      <c r="BR349" s="63"/>
      <c r="BS349" s="103"/>
      <c r="BT349" s="103"/>
      <c r="BU349" s="103"/>
      <c r="BV349" s="103"/>
      <c r="BW349" s="63"/>
      <c r="BX349" s="63"/>
      <c r="BY349" s="63"/>
      <c r="BZ349" s="63"/>
      <c r="CA349" s="103"/>
      <c r="CB349" s="103"/>
      <c r="CC349" s="103"/>
      <c r="CD349" s="103"/>
      <c r="CE349" s="63"/>
      <c r="CF349" s="63"/>
      <c r="CG349" s="63"/>
      <c r="CH349" s="63"/>
      <c r="CI349" s="103"/>
      <c r="CJ349" s="103"/>
      <c r="CK349" s="103"/>
      <c r="CL349" s="103"/>
    </row>
    <row r="350" spans="2:90" ht="13" x14ac:dyDescent="0.15">
      <c r="B350" s="13"/>
      <c r="C350" s="14"/>
      <c r="D350" s="14"/>
      <c r="E350" s="14"/>
      <c r="F350" s="14"/>
      <c r="G350" s="103"/>
      <c r="H350" s="103"/>
      <c r="I350" s="103"/>
      <c r="J350" s="103"/>
      <c r="K350" s="63"/>
      <c r="L350" s="63"/>
      <c r="M350" s="63"/>
      <c r="N350" s="63"/>
      <c r="O350" s="103"/>
      <c r="P350" s="103"/>
      <c r="Q350" s="103"/>
      <c r="R350" s="103"/>
      <c r="S350" s="63"/>
      <c r="T350" s="63"/>
      <c r="U350" s="63"/>
      <c r="V350" s="63"/>
      <c r="W350" s="103"/>
      <c r="X350" s="103"/>
      <c r="Y350" s="103"/>
      <c r="Z350" s="103"/>
      <c r="AA350" s="63"/>
      <c r="AB350" s="63"/>
      <c r="AC350" s="63"/>
      <c r="AD350" s="63"/>
      <c r="AE350" s="103"/>
      <c r="AF350" s="103"/>
      <c r="AG350" s="103"/>
      <c r="AH350" s="103"/>
      <c r="AI350" s="63"/>
      <c r="AJ350" s="63"/>
      <c r="AK350" s="63"/>
      <c r="AL350" s="63"/>
      <c r="AM350" s="103"/>
      <c r="AN350" s="103"/>
      <c r="AO350" s="103"/>
      <c r="AP350" s="103"/>
      <c r="AQ350" s="63"/>
      <c r="AR350" s="63"/>
      <c r="AS350" s="63"/>
      <c r="AT350" s="63"/>
      <c r="AU350" s="103"/>
      <c r="AV350" s="103"/>
      <c r="AW350" s="103"/>
      <c r="AX350" s="103"/>
      <c r="AY350" s="63"/>
      <c r="AZ350" s="63"/>
      <c r="BA350" s="63"/>
      <c r="BB350" s="63"/>
      <c r="BC350" s="103"/>
      <c r="BD350" s="103"/>
      <c r="BE350" s="103"/>
      <c r="BF350" s="103"/>
      <c r="BG350" s="63"/>
      <c r="BH350" s="63"/>
      <c r="BI350" s="63"/>
      <c r="BJ350" s="63"/>
      <c r="BK350" s="103"/>
      <c r="BL350" s="103"/>
      <c r="BM350" s="103"/>
      <c r="BN350" s="103"/>
      <c r="BO350" s="63"/>
      <c r="BP350" s="63"/>
      <c r="BQ350" s="63"/>
      <c r="BR350" s="63"/>
      <c r="BS350" s="103"/>
      <c r="BT350" s="103"/>
      <c r="BU350" s="103"/>
      <c r="BV350" s="103"/>
      <c r="BW350" s="63"/>
      <c r="BX350" s="63"/>
      <c r="BY350" s="63"/>
      <c r="BZ350" s="63"/>
      <c r="CA350" s="103"/>
      <c r="CB350" s="103"/>
      <c r="CC350" s="103"/>
      <c r="CD350" s="103"/>
      <c r="CE350" s="63"/>
      <c r="CF350" s="63"/>
      <c r="CG350" s="63"/>
      <c r="CH350" s="63"/>
      <c r="CI350" s="103"/>
      <c r="CJ350" s="103"/>
      <c r="CK350" s="103"/>
      <c r="CL350" s="103"/>
    </row>
    <row r="351" spans="2:90" ht="13" x14ac:dyDescent="0.15">
      <c r="B351" s="13"/>
      <c r="C351" s="14"/>
      <c r="D351" s="14"/>
      <c r="E351" s="14"/>
      <c r="F351" s="14"/>
      <c r="G351" s="103"/>
      <c r="H351" s="103"/>
      <c r="I351" s="103"/>
      <c r="J351" s="103"/>
      <c r="K351" s="63"/>
      <c r="L351" s="63"/>
      <c r="M351" s="63"/>
      <c r="N351" s="63"/>
      <c r="O351" s="103"/>
      <c r="P351" s="103"/>
      <c r="Q351" s="103"/>
      <c r="R351" s="103"/>
      <c r="S351" s="63"/>
      <c r="T351" s="63"/>
      <c r="U351" s="63"/>
      <c r="V351" s="63"/>
      <c r="W351" s="103"/>
      <c r="X351" s="103"/>
      <c r="Y351" s="103"/>
      <c r="Z351" s="103"/>
      <c r="AA351" s="63"/>
      <c r="AB351" s="63"/>
      <c r="AC351" s="63"/>
      <c r="AD351" s="63"/>
      <c r="AE351" s="103"/>
      <c r="AF351" s="103"/>
      <c r="AG351" s="103"/>
      <c r="AH351" s="103"/>
      <c r="AI351" s="63"/>
      <c r="AJ351" s="63"/>
      <c r="AK351" s="63"/>
      <c r="AL351" s="63"/>
      <c r="AM351" s="103"/>
      <c r="AN351" s="103"/>
      <c r="AO351" s="103"/>
      <c r="AP351" s="103"/>
      <c r="AQ351" s="63"/>
      <c r="AR351" s="63"/>
      <c r="AS351" s="63"/>
      <c r="AT351" s="63"/>
      <c r="AU351" s="103"/>
      <c r="AV351" s="103"/>
      <c r="AW351" s="103"/>
      <c r="AX351" s="103"/>
      <c r="AY351" s="63"/>
      <c r="AZ351" s="63"/>
      <c r="BA351" s="63"/>
      <c r="BB351" s="63"/>
      <c r="BC351" s="103"/>
      <c r="BD351" s="103"/>
      <c r="BE351" s="103"/>
      <c r="BF351" s="103"/>
      <c r="BG351" s="63"/>
      <c r="BH351" s="63"/>
      <c r="BI351" s="63"/>
      <c r="BJ351" s="63"/>
      <c r="BK351" s="103"/>
      <c r="BL351" s="103"/>
      <c r="BM351" s="103"/>
      <c r="BN351" s="103"/>
      <c r="BO351" s="63"/>
      <c r="BP351" s="63"/>
      <c r="BQ351" s="63"/>
      <c r="BR351" s="63"/>
      <c r="BS351" s="103"/>
      <c r="BT351" s="103"/>
      <c r="BU351" s="103"/>
      <c r="BV351" s="103"/>
      <c r="BW351" s="63"/>
      <c r="BX351" s="63"/>
      <c r="BY351" s="63"/>
      <c r="BZ351" s="63"/>
      <c r="CA351" s="103"/>
      <c r="CB351" s="103"/>
      <c r="CC351" s="103"/>
      <c r="CD351" s="103"/>
      <c r="CE351" s="63"/>
      <c r="CF351" s="63"/>
      <c r="CG351" s="63"/>
      <c r="CH351" s="63"/>
      <c r="CI351" s="103"/>
      <c r="CJ351" s="103"/>
      <c r="CK351" s="103"/>
      <c r="CL351" s="103"/>
    </row>
    <row r="352" spans="2:90" ht="13" x14ac:dyDescent="0.15">
      <c r="B352" s="13"/>
      <c r="C352" s="14"/>
      <c r="D352" s="14"/>
      <c r="E352" s="14"/>
      <c r="F352" s="14"/>
      <c r="G352" s="103"/>
      <c r="H352" s="103"/>
      <c r="I352" s="103"/>
      <c r="J352" s="103"/>
      <c r="K352" s="63"/>
      <c r="L352" s="63"/>
      <c r="M352" s="63"/>
      <c r="N352" s="63"/>
      <c r="O352" s="103"/>
      <c r="P352" s="103"/>
      <c r="Q352" s="103"/>
      <c r="R352" s="103"/>
      <c r="S352" s="63"/>
      <c r="T352" s="63"/>
      <c r="U352" s="63"/>
      <c r="V352" s="63"/>
      <c r="W352" s="103"/>
      <c r="X352" s="103"/>
      <c r="Y352" s="103"/>
      <c r="Z352" s="103"/>
      <c r="AA352" s="63"/>
      <c r="AB352" s="63"/>
      <c r="AC352" s="63"/>
      <c r="AD352" s="63"/>
      <c r="AE352" s="103"/>
      <c r="AF352" s="103"/>
      <c r="AG352" s="103"/>
      <c r="AH352" s="103"/>
      <c r="AI352" s="63"/>
      <c r="AJ352" s="63"/>
      <c r="AK352" s="63"/>
      <c r="AL352" s="63"/>
      <c r="AM352" s="103"/>
      <c r="AN352" s="103"/>
      <c r="AO352" s="103"/>
      <c r="AP352" s="103"/>
      <c r="AQ352" s="63"/>
      <c r="AR352" s="63"/>
      <c r="AS352" s="63"/>
      <c r="AT352" s="63"/>
      <c r="AU352" s="103"/>
      <c r="AV352" s="103"/>
      <c r="AW352" s="103"/>
      <c r="AX352" s="103"/>
      <c r="AY352" s="63"/>
      <c r="AZ352" s="63"/>
      <c r="BA352" s="63"/>
      <c r="BB352" s="63"/>
      <c r="BC352" s="103"/>
      <c r="BD352" s="103"/>
      <c r="BE352" s="103"/>
      <c r="BF352" s="103"/>
      <c r="BG352" s="63"/>
      <c r="BH352" s="63"/>
      <c r="BI352" s="63"/>
      <c r="BJ352" s="63"/>
      <c r="BK352" s="103"/>
      <c r="BL352" s="103"/>
      <c r="BM352" s="103"/>
      <c r="BN352" s="103"/>
      <c r="BO352" s="63"/>
      <c r="BP352" s="63"/>
      <c r="BQ352" s="63"/>
      <c r="BR352" s="63"/>
      <c r="BS352" s="103"/>
      <c r="BT352" s="103"/>
      <c r="BU352" s="103"/>
      <c r="BV352" s="103"/>
      <c r="BW352" s="63"/>
      <c r="BX352" s="63"/>
      <c r="BY352" s="63"/>
      <c r="BZ352" s="63"/>
      <c r="CA352" s="103"/>
      <c r="CB352" s="103"/>
      <c r="CC352" s="103"/>
      <c r="CD352" s="103"/>
      <c r="CE352" s="63"/>
      <c r="CF352" s="63"/>
      <c r="CG352" s="63"/>
      <c r="CH352" s="63"/>
      <c r="CI352" s="103"/>
      <c r="CJ352" s="103"/>
      <c r="CK352" s="103"/>
      <c r="CL352" s="103"/>
    </row>
    <row r="353" spans="2:90" ht="13" x14ac:dyDescent="0.15">
      <c r="B353" s="13"/>
      <c r="C353" s="14"/>
      <c r="D353" s="14"/>
      <c r="E353" s="14"/>
      <c r="F353" s="14"/>
      <c r="G353" s="103"/>
      <c r="H353" s="103"/>
      <c r="I353" s="103"/>
      <c r="J353" s="103"/>
      <c r="K353" s="63"/>
      <c r="L353" s="63"/>
      <c r="M353" s="63"/>
      <c r="N353" s="63"/>
      <c r="O353" s="103"/>
      <c r="P353" s="103"/>
      <c r="Q353" s="103"/>
      <c r="R353" s="103"/>
      <c r="S353" s="63"/>
      <c r="T353" s="63"/>
      <c r="U353" s="63"/>
      <c r="V353" s="63"/>
      <c r="W353" s="103"/>
      <c r="X353" s="103"/>
      <c r="Y353" s="103"/>
      <c r="Z353" s="103"/>
      <c r="AA353" s="63"/>
      <c r="AB353" s="63"/>
      <c r="AC353" s="63"/>
      <c r="AD353" s="63"/>
      <c r="AE353" s="103"/>
      <c r="AF353" s="103"/>
      <c r="AG353" s="103"/>
      <c r="AH353" s="103"/>
      <c r="AI353" s="63"/>
      <c r="AJ353" s="63"/>
      <c r="AK353" s="63"/>
      <c r="AL353" s="63"/>
      <c r="AM353" s="103"/>
      <c r="AN353" s="103"/>
      <c r="AO353" s="103"/>
      <c r="AP353" s="103"/>
      <c r="AQ353" s="63"/>
      <c r="AR353" s="63"/>
      <c r="AS353" s="63"/>
      <c r="AT353" s="63"/>
      <c r="AU353" s="103"/>
      <c r="AV353" s="103"/>
      <c r="AW353" s="103"/>
      <c r="AX353" s="103"/>
      <c r="AY353" s="63"/>
      <c r="AZ353" s="63"/>
      <c r="BA353" s="63"/>
      <c r="BB353" s="63"/>
      <c r="BC353" s="103"/>
      <c r="BD353" s="103"/>
      <c r="BE353" s="103"/>
      <c r="BF353" s="103"/>
      <c r="BG353" s="63"/>
      <c r="BH353" s="63"/>
      <c r="BI353" s="63"/>
      <c r="BJ353" s="63"/>
      <c r="BK353" s="103"/>
      <c r="BL353" s="103"/>
      <c r="BM353" s="103"/>
      <c r="BN353" s="103"/>
      <c r="BO353" s="63"/>
      <c r="BP353" s="63"/>
      <c r="BQ353" s="63"/>
      <c r="BR353" s="63"/>
      <c r="BS353" s="103"/>
      <c r="BT353" s="103"/>
      <c r="BU353" s="103"/>
      <c r="BV353" s="103"/>
      <c r="BW353" s="63"/>
      <c r="BX353" s="63"/>
      <c r="BY353" s="63"/>
      <c r="BZ353" s="63"/>
      <c r="CA353" s="103"/>
      <c r="CB353" s="103"/>
      <c r="CC353" s="103"/>
      <c r="CD353" s="103"/>
      <c r="CE353" s="63"/>
      <c r="CF353" s="63"/>
      <c r="CG353" s="63"/>
      <c r="CH353" s="63"/>
      <c r="CI353" s="103"/>
      <c r="CJ353" s="103"/>
      <c r="CK353" s="103"/>
      <c r="CL353" s="103"/>
    </row>
    <row r="354" spans="2:90" ht="13" x14ac:dyDescent="0.15">
      <c r="B354" s="13"/>
      <c r="C354" s="14"/>
      <c r="D354" s="14"/>
      <c r="E354" s="14"/>
      <c r="F354" s="14"/>
      <c r="G354" s="103"/>
      <c r="H354" s="103"/>
      <c r="I354" s="103"/>
      <c r="J354" s="103"/>
      <c r="K354" s="63"/>
      <c r="L354" s="63"/>
      <c r="M354" s="63"/>
      <c r="N354" s="63"/>
      <c r="O354" s="103"/>
      <c r="P354" s="103"/>
      <c r="Q354" s="103"/>
      <c r="R354" s="103"/>
      <c r="S354" s="63"/>
      <c r="T354" s="63"/>
      <c r="U354" s="63"/>
      <c r="V354" s="63"/>
      <c r="W354" s="103"/>
      <c r="X354" s="103"/>
      <c r="Y354" s="103"/>
      <c r="Z354" s="103"/>
      <c r="AA354" s="63"/>
      <c r="AB354" s="63"/>
      <c r="AC354" s="63"/>
      <c r="AD354" s="63"/>
      <c r="AE354" s="103"/>
      <c r="AF354" s="103"/>
      <c r="AG354" s="103"/>
      <c r="AH354" s="103"/>
      <c r="AI354" s="63"/>
      <c r="AJ354" s="63"/>
      <c r="AK354" s="63"/>
      <c r="AL354" s="63"/>
      <c r="AM354" s="103"/>
      <c r="AN354" s="103"/>
      <c r="AO354" s="103"/>
      <c r="AP354" s="103"/>
      <c r="AQ354" s="63"/>
      <c r="AR354" s="63"/>
      <c r="AS354" s="63"/>
      <c r="AT354" s="63"/>
      <c r="AU354" s="103"/>
      <c r="AV354" s="103"/>
      <c r="AW354" s="103"/>
      <c r="AX354" s="103"/>
      <c r="AY354" s="63"/>
      <c r="AZ354" s="63"/>
      <c r="BA354" s="63"/>
      <c r="BB354" s="63"/>
      <c r="BC354" s="103"/>
      <c r="BD354" s="103"/>
      <c r="BE354" s="103"/>
      <c r="BF354" s="103"/>
      <c r="BG354" s="63"/>
      <c r="BH354" s="63"/>
      <c r="BI354" s="63"/>
      <c r="BJ354" s="63"/>
      <c r="BK354" s="103"/>
      <c r="BL354" s="103"/>
      <c r="BM354" s="103"/>
      <c r="BN354" s="103"/>
      <c r="BO354" s="63"/>
      <c r="BP354" s="63"/>
      <c r="BQ354" s="63"/>
      <c r="BR354" s="63"/>
      <c r="BS354" s="103"/>
      <c r="BT354" s="103"/>
      <c r="BU354" s="103"/>
      <c r="BV354" s="103"/>
      <c r="BW354" s="63"/>
      <c r="BX354" s="63"/>
      <c r="BY354" s="63"/>
      <c r="BZ354" s="63"/>
      <c r="CA354" s="103"/>
      <c r="CB354" s="103"/>
      <c r="CC354" s="103"/>
      <c r="CD354" s="103"/>
      <c r="CE354" s="63"/>
      <c r="CF354" s="63"/>
      <c r="CG354" s="63"/>
      <c r="CH354" s="63"/>
      <c r="CI354" s="103"/>
      <c r="CJ354" s="103"/>
      <c r="CK354" s="103"/>
      <c r="CL354" s="103"/>
    </row>
    <row r="355" spans="2:90" ht="13" x14ac:dyDescent="0.15">
      <c r="B355" s="13"/>
      <c r="C355" s="14"/>
      <c r="D355" s="14"/>
      <c r="E355" s="14"/>
      <c r="F355" s="14"/>
      <c r="G355" s="103"/>
      <c r="H355" s="103"/>
      <c r="I355" s="103"/>
      <c r="J355" s="103"/>
      <c r="K355" s="63"/>
      <c r="L355" s="63"/>
      <c r="M355" s="63"/>
      <c r="N355" s="63"/>
      <c r="O355" s="103"/>
      <c r="P355" s="103"/>
      <c r="Q355" s="103"/>
      <c r="R355" s="103"/>
      <c r="S355" s="63"/>
      <c r="T355" s="63"/>
      <c r="U355" s="63"/>
      <c r="V355" s="63"/>
      <c r="W355" s="103"/>
      <c r="X355" s="103"/>
      <c r="Y355" s="103"/>
      <c r="Z355" s="103"/>
      <c r="AA355" s="63"/>
      <c r="AB355" s="63"/>
      <c r="AC355" s="63"/>
      <c r="AD355" s="63"/>
      <c r="AE355" s="103"/>
      <c r="AF355" s="103"/>
      <c r="AG355" s="103"/>
      <c r="AH355" s="103"/>
      <c r="AI355" s="63"/>
      <c r="AJ355" s="63"/>
      <c r="AK355" s="63"/>
      <c r="AL355" s="63"/>
      <c r="AM355" s="103"/>
      <c r="AN355" s="103"/>
      <c r="AO355" s="103"/>
      <c r="AP355" s="103"/>
      <c r="AQ355" s="63"/>
      <c r="AR355" s="63"/>
      <c r="AS355" s="63"/>
      <c r="AT355" s="63"/>
      <c r="AU355" s="103"/>
      <c r="AV355" s="103"/>
      <c r="AW355" s="103"/>
      <c r="AX355" s="103"/>
      <c r="AY355" s="63"/>
      <c r="AZ355" s="63"/>
      <c r="BA355" s="63"/>
      <c r="BB355" s="63"/>
      <c r="BC355" s="103"/>
      <c r="BD355" s="103"/>
      <c r="BE355" s="103"/>
      <c r="BF355" s="103"/>
      <c r="BG355" s="63"/>
      <c r="BH355" s="63"/>
      <c r="BI355" s="63"/>
      <c r="BJ355" s="63"/>
      <c r="BK355" s="103"/>
      <c r="BL355" s="103"/>
      <c r="BM355" s="103"/>
      <c r="BN355" s="103"/>
      <c r="BO355" s="63"/>
      <c r="BP355" s="63"/>
      <c r="BQ355" s="63"/>
      <c r="BR355" s="63"/>
      <c r="BS355" s="103"/>
      <c r="BT355" s="103"/>
      <c r="BU355" s="103"/>
      <c r="BV355" s="103"/>
      <c r="BW355" s="63"/>
      <c r="BX355" s="63"/>
      <c r="BY355" s="63"/>
      <c r="BZ355" s="63"/>
      <c r="CA355" s="103"/>
      <c r="CB355" s="103"/>
      <c r="CC355" s="103"/>
      <c r="CD355" s="103"/>
      <c r="CE355" s="63"/>
      <c r="CF355" s="63"/>
      <c r="CG355" s="63"/>
      <c r="CH355" s="63"/>
      <c r="CI355" s="103"/>
      <c r="CJ355" s="103"/>
      <c r="CK355" s="103"/>
      <c r="CL355" s="103"/>
    </row>
    <row r="356" spans="2:90" ht="13" x14ac:dyDescent="0.15">
      <c r="B356" s="13"/>
      <c r="C356" s="14"/>
      <c r="D356" s="14"/>
      <c r="E356" s="14"/>
      <c r="F356" s="14"/>
      <c r="G356" s="103"/>
      <c r="H356" s="103"/>
      <c r="I356" s="103"/>
      <c r="J356" s="103"/>
      <c r="K356" s="63"/>
      <c r="L356" s="63"/>
      <c r="M356" s="63"/>
      <c r="N356" s="63"/>
      <c r="O356" s="103"/>
      <c r="P356" s="103"/>
      <c r="Q356" s="103"/>
      <c r="R356" s="103"/>
      <c r="S356" s="63"/>
      <c r="T356" s="63"/>
      <c r="U356" s="63"/>
      <c r="V356" s="63"/>
      <c r="W356" s="103"/>
      <c r="X356" s="103"/>
      <c r="Y356" s="103"/>
      <c r="Z356" s="103"/>
      <c r="AA356" s="63"/>
      <c r="AB356" s="63"/>
      <c r="AC356" s="63"/>
      <c r="AD356" s="63"/>
      <c r="AE356" s="103"/>
      <c r="AF356" s="103"/>
      <c r="AG356" s="103"/>
      <c r="AH356" s="103"/>
      <c r="AI356" s="63"/>
      <c r="AJ356" s="63"/>
      <c r="AK356" s="63"/>
      <c r="AL356" s="63"/>
      <c r="AM356" s="103"/>
      <c r="AN356" s="103"/>
      <c r="AO356" s="103"/>
      <c r="AP356" s="103"/>
      <c r="AQ356" s="63"/>
      <c r="AR356" s="63"/>
      <c r="AS356" s="63"/>
      <c r="AT356" s="63"/>
      <c r="AU356" s="103"/>
      <c r="AV356" s="103"/>
      <c r="AW356" s="103"/>
      <c r="AX356" s="103"/>
      <c r="AY356" s="63"/>
      <c r="AZ356" s="63"/>
      <c r="BA356" s="63"/>
      <c r="BB356" s="63"/>
      <c r="BC356" s="103"/>
      <c r="BD356" s="103"/>
      <c r="BE356" s="103"/>
      <c r="BF356" s="103"/>
      <c r="BG356" s="63"/>
      <c r="BH356" s="63"/>
      <c r="BI356" s="63"/>
      <c r="BJ356" s="63"/>
      <c r="BK356" s="103"/>
      <c r="BL356" s="103"/>
      <c r="BM356" s="103"/>
      <c r="BN356" s="103"/>
      <c r="BO356" s="63"/>
      <c r="BP356" s="63"/>
      <c r="BQ356" s="63"/>
      <c r="BR356" s="63"/>
      <c r="BS356" s="103"/>
      <c r="BT356" s="103"/>
      <c r="BU356" s="103"/>
      <c r="BV356" s="103"/>
      <c r="BW356" s="63"/>
      <c r="BX356" s="63"/>
      <c r="BY356" s="63"/>
      <c r="BZ356" s="63"/>
      <c r="CA356" s="103"/>
      <c r="CB356" s="103"/>
      <c r="CC356" s="103"/>
      <c r="CD356" s="103"/>
      <c r="CE356" s="63"/>
      <c r="CF356" s="63"/>
      <c r="CG356" s="63"/>
      <c r="CH356" s="63"/>
      <c r="CI356" s="103"/>
      <c r="CJ356" s="103"/>
      <c r="CK356" s="103"/>
      <c r="CL356" s="103"/>
    </row>
    <row r="357" spans="2:90" ht="13" x14ac:dyDescent="0.15">
      <c r="B357" s="13"/>
      <c r="C357" s="14"/>
      <c r="D357" s="14"/>
      <c r="E357" s="14"/>
      <c r="F357" s="14"/>
      <c r="G357" s="103"/>
      <c r="H357" s="103"/>
      <c r="I357" s="103"/>
      <c r="J357" s="103"/>
      <c r="K357" s="63"/>
      <c r="L357" s="63"/>
      <c r="M357" s="63"/>
      <c r="N357" s="63"/>
      <c r="O357" s="103"/>
      <c r="P357" s="103"/>
      <c r="Q357" s="103"/>
      <c r="R357" s="103"/>
      <c r="S357" s="63"/>
      <c r="T357" s="63"/>
      <c r="U357" s="63"/>
      <c r="V357" s="63"/>
      <c r="W357" s="103"/>
      <c r="X357" s="103"/>
      <c r="Y357" s="103"/>
      <c r="Z357" s="103"/>
      <c r="AA357" s="63"/>
      <c r="AB357" s="63"/>
      <c r="AC357" s="63"/>
      <c r="AD357" s="63"/>
      <c r="AE357" s="103"/>
      <c r="AF357" s="103"/>
      <c r="AG357" s="103"/>
      <c r="AH357" s="103"/>
      <c r="AI357" s="63"/>
      <c r="AJ357" s="63"/>
      <c r="AK357" s="63"/>
      <c r="AL357" s="63"/>
      <c r="AM357" s="103"/>
      <c r="AN357" s="103"/>
      <c r="AO357" s="103"/>
      <c r="AP357" s="103"/>
      <c r="AQ357" s="63"/>
      <c r="AR357" s="63"/>
      <c r="AS357" s="63"/>
      <c r="AT357" s="63"/>
      <c r="AU357" s="103"/>
      <c r="AV357" s="103"/>
      <c r="AW357" s="103"/>
      <c r="AX357" s="103"/>
      <c r="AY357" s="63"/>
      <c r="AZ357" s="63"/>
      <c r="BA357" s="63"/>
      <c r="BB357" s="63"/>
      <c r="BC357" s="103"/>
      <c r="BD357" s="103"/>
      <c r="BE357" s="103"/>
      <c r="BF357" s="103"/>
      <c r="BG357" s="63"/>
      <c r="BH357" s="63"/>
      <c r="BI357" s="63"/>
      <c r="BJ357" s="63"/>
      <c r="BK357" s="103"/>
      <c r="BL357" s="103"/>
      <c r="BM357" s="103"/>
      <c r="BN357" s="103"/>
      <c r="BO357" s="63"/>
      <c r="BP357" s="63"/>
      <c r="BQ357" s="63"/>
      <c r="BR357" s="63"/>
      <c r="BS357" s="103"/>
      <c r="BT357" s="103"/>
      <c r="BU357" s="103"/>
      <c r="BV357" s="103"/>
      <c r="BW357" s="63"/>
      <c r="BX357" s="63"/>
      <c r="BY357" s="63"/>
      <c r="BZ357" s="63"/>
      <c r="CA357" s="103"/>
      <c r="CB357" s="103"/>
      <c r="CC357" s="103"/>
      <c r="CD357" s="103"/>
      <c r="CE357" s="63"/>
      <c r="CF357" s="63"/>
      <c r="CG357" s="63"/>
      <c r="CH357" s="63"/>
      <c r="CI357" s="103"/>
      <c r="CJ357" s="103"/>
      <c r="CK357" s="103"/>
      <c r="CL357" s="103"/>
    </row>
    <row r="358" spans="2:90" ht="13" x14ac:dyDescent="0.15">
      <c r="B358" s="13"/>
      <c r="C358" s="14"/>
      <c r="D358" s="14"/>
      <c r="E358" s="14"/>
      <c r="F358" s="14"/>
      <c r="G358" s="103"/>
      <c r="H358" s="103"/>
      <c r="I358" s="103"/>
      <c r="J358" s="103"/>
      <c r="K358" s="63"/>
      <c r="L358" s="63"/>
      <c r="M358" s="63"/>
      <c r="N358" s="63"/>
      <c r="O358" s="103"/>
      <c r="P358" s="103"/>
      <c r="Q358" s="103"/>
      <c r="R358" s="103"/>
      <c r="S358" s="63"/>
      <c r="T358" s="63"/>
      <c r="U358" s="63"/>
      <c r="V358" s="63"/>
      <c r="W358" s="103"/>
      <c r="X358" s="103"/>
      <c r="Y358" s="103"/>
      <c r="Z358" s="103"/>
      <c r="AA358" s="63"/>
      <c r="AB358" s="63"/>
      <c r="AC358" s="63"/>
      <c r="AD358" s="63"/>
      <c r="AE358" s="103"/>
      <c r="AF358" s="103"/>
      <c r="AG358" s="103"/>
      <c r="AH358" s="103"/>
      <c r="AI358" s="63"/>
      <c r="AJ358" s="63"/>
      <c r="AK358" s="63"/>
      <c r="AL358" s="63"/>
      <c r="AM358" s="103"/>
      <c r="AN358" s="103"/>
      <c r="AO358" s="103"/>
      <c r="AP358" s="103"/>
      <c r="AQ358" s="63"/>
      <c r="AR358" s="63"/>
      <c r="AS358" s="63"/>
      <c r="AT358" s="63"/>
      <c r="AU358" s="103"/>
      <c r="AV358" s="103"/>
      <c r="AW358" s="103"/>
      <c r="AX358" s="103"/>
      <c r="AY358" s="63"/>
      <c r="AZ358" s="63"/>
      <c r="BA358" s="63"/>
      <c r="BB358" s="63"/>
      <c r="BC358" s="103"/>
      <c r="BD358" s="103"/>
      <c r="BE358" s="103"/>
      <c r="BF358" s="103"/>
      <c r="BG358" s="63"/>
      <c r="BH358" s="63"/>
      <c r="BI358" s="63"/>
      <c r="BJ358" s="63"/>
      <c r="BK358" s="103"/>
      <c r="BL358" s="103"/>
      <c r="BM358" s="103"/>
      <c r="BN358" s="103"/>
      <c r="BO358" s="63"/>
      <c r="BP358" s="63"/>
      <c r="BQ358" s="63"/>
      <c r="BR358" s="63"/>
      <c r="BS358" s="103"/>
      <c r="BT358" s="103"/>
      <c r="BU358" s="103"/>
      <c r="BV358" s="103"/>
      <c r="BW358" s="63"/>
      <c r="BX358" s="63"/>
      <c r="BY358" s="63"/>
      <c r="BZ358" s="63"/>
      <c r="CA358" s="103"/>
      <c r="CB358" s="103"/>
      <c r="CC358" s="103"/>
      <c r="CD358" s="103"/>
      <c r="CE358" s="63"/>
      <c r="CF358" s="63"/>
      <c r="CG358" s="63"/>
      <c r="CH358" s="63"/>
      <c r="CI358" s="103"/>
      <c r="CJ358" s="103"/>
      <c r="CK358" s="103"/>
      <c r="CL358" s="103"/>
    </row>
    <row r="359" spans="2:90" ht="13" x14ac:dyDescent="0.15">
      <c r="B359" s="13"/>
      <c r="C359" s="14"/>
      <c r="D359" s="14"/>
      <c r="E359" s="14"/>
      <c r="F359" s="14"/>
      <c r="G359" s="103"/>
      <c r="H359" s="103"/>
      <c r="I359" s="103"/>
      <c r="J359" s="103"/>
      <c r="K359" s="63"/>
      <c r="L359" s="63"/>
      <c r="M359" s="63"/>
      <c r="N359" s="63"/>
      <c r="O359" s="103"/>
      <c r="P359" s="103"/>
      <c r="Q359" s="103"/>
      <c r="R359" s="103"/>
      <c r="S359" s="63"/>
      <c r="T359" s="63"/>
      <c r="U359" s="63"/>
      <c r="V359" s="63"/>
      <c r="W359" s="103"/>
      <c r="X359" s="103"/>
      <c r="Y359" s="103"/>
      <c r="Z359" s="103"/>
      <c r="AA359" s="63"/>
      <c r="AB359" s="63"/>
      <c r="AC359" s="63"/>
      <c r="AD359" s="63"/>
      <c r="AE359" s="103"/>
      <c r="AF359" s="103"/>
      <c r="AG359" s="103"/>
      <c r="AH359" s="103"/>
      <c r="AI359" s="63"/>
      <c r="AJ359" s="63"/>
      <c r="AK359" s="63"/>
      <c r="AL359" s="63"/>
      <c r="AM359" s="103"/>
      <c r="AN359" s="103"/>
      <c r="AO359" s="103"/>
      <c r="AP359" s="103"/>
      <c r="AQ359" s="63"/>
      <c r="AR359" s="63"/>
      <c r="AS359" s="63"/>
      <c r="AT359" s="63"/>
      <c r="AU359" s="103"/>
      <c r="AV359" s="103"/>
      <c r="AW359" s="103"/>
      <c r="AX359" s="103"/>
      <c r="AY359" s="63"/>
      <c r="AZ359" s="63"/>
      <c r="BA359" s="63"/>
      <c r="BB359" s="63"/>
      <c r="BC359" s="103"/>
      <c r="BD359" s="103"/>
      <c r="BE359" s="103"/>
      <c r="BF359" s="103"/>
      <c r="BG359" s="63"/>
      <c r="BH359" s="63"/>
      <c r="BI359" s="63"/>
      <c r="BJ359" s="63"/>
      <c r="BK359" s="103"/>
      <c r="BL359" s="103"/>
      <c r="BM359" s="103"/>
      <c r="BN359" s="103"/>
      <c r="BO359" s="63"/>
      <c r="BP359" s="63"/>
      <c r="BQ359" s="63"/>
      <c r="BR359" s="63"/>
      <c r="BS359" s="103"/>
      <c r="BT359" s="103"/>
      <c r="BU359" s="103"/>
      <c r="BV359" s="103"/>
      <c r="BW359" s="63"/>
      <c r="BX359" s="63"/>
      <c r="BY359" s="63"/>
      <c r="BZ359" s="63"/>
      <c r="CA359" s="103"/>
      <c r="CB359" s="103"/>
      <c r="CC359" s="103"/>
      <c r="CD359" s="103"/>
      <c r="CE359" s="63"/>
      <c r="CF359" s="63"/>
      <c r="CG359" s="63"/>
      <c r="CH359" s="63"/>
      <c r="CI359" s="103"/>
      <c r="CJ359" s="103"/>
      <c r="CK359" s="103"/>
      <c r="CL359" s="103"/>
    </row>
    <row r="360" spans="2:90" ht="13" x14ac:dyDescent="0.15">
      <c r="B360" s="13"/>
      <c r="C360" s="14"/>
      <c r="D360" s="14"/>
      <c r="E360" s="14"/>
      <c r="F360" s="14"/>
      <c r="G360" s="103"/>
      <c r="H360" s="103"/>
      <c r="I360" s="103"/>
      <c r="J360" s="103"/>
      <c r="K360" s="63"/>
      <c r="L360" s="63"/>
      <c r="M360" s="63"/>
      <c r="N360" s="63"/>
      <c r="O360" s="103"/>
      <c r="P360" s="103"/>
      <c r="Q360" s="103"/>
      <c r="R360" s="103"/>
      <c r="S360" s="63"/>
      <c r="T360" s="63"/>
      <c r="U360" s="63"/>
      <c r="V360" s="63"/>
      <c r="W360" s="103"/>
      <c r="X360" s="103"/>
      <c r="Y360" s="103"/>
      <c r="Z360" s="103"/>
      <c r="AA360" s="63"/>
      <c r="AB360" s="63"/>
      <c r="AC360" s="63"/>
      <c r="AD360" s="63"/>
      <c r="AE360" s="103"/>
      <c r="AF360" s="103"/>
      <c r="AG360" s="103"/>
      <c r="AH360" s="103"/>
      <c r="AI360" s="63"/>
      <c r="AJ360" s="63"/>
      <c r="AK360" s="63"/>
      <c r="AL360" s="63"/>
      <c r="AM360" s="103"/>
      <c r="AN360" s="103"/>
      <c r="AO360" s="103"/>
      <c r="AP360" s="103"/>
      <c r="AQ360" s="63"/>
      <c r="AR360" s="63"/>
      <c r="AS360" s="63"/>
      <c r="AT360" s="63"/>
      <c r="AU360" s="103"/>
      <c r="AV360" s="103"/>
      <c r="AW360" s="103"/>
      <c r="AX360" s="103"/>
      <c r="AY360" s="63"/>
      <c r="AZ360" s="63"/>
      <c r="BA360" s="63"/>
      <c r="BB360" s="63"/>
      <c r="BC360" s="103"/>
      <c r="BD360" s="103"/>
      <c r="BE360" s="103"/>
      <c r="BF360" s="103"/>
      <c r="BG360" s="63"/>
      <c r="BH360" s="63"/>
      <c r="BI360" s="63"/>
      <c r="BJ360" s="63"/>
      <c r="BK360" s="103"/>
      <c r="BL360" s="103"/>
      <c r="BM360" s="103"/>
      <c r="BN360" s="103"/>
      <c r="BO360" s="63"/>
      <c r="BP360" s="63"/>
      <c r="BQ360" s="63"/>
      <c r="BR360" s="63"/>
      <c r="BS360" s="103"/>
      <c r="BT360" s="103"/>
      <c r="BU360" s="103"/>
      <c r="BV360" s="103"/>
      <c r="BW360" s="63"/>
      <c r="BX360" s="63"/>
      <c r="BY360" s="63"/>
      <c r="BZ360" s="63"/>
      <c r="CA360" s="103"/>
      <c r="CB360" s="103"/>
      <c r="CC360" s="103"/>
      <c r="CD360" s="103"/>
      <c r="CE360" s="63"/>
      <c r="CF360" s="63"/>
      <c r="CG360" s="63"/>
      <c r="CH360" s="63"/>
      <c r="CI360" s="103"/>
      <c r="CJ360" s="103"/>
      <c r="CK360" s="103"/>
      <c r="CL360" s="103"/>
    </row>
    <row r="361" spans="2:90" ht="13" x14ac:dyDescent="0.15">
      <c r="B361" s="13"/>
      <c r="C361" s="14"/>
      <c r="D361" s="14"/>
      <c r="E361" s="14"/>
      <c r="F361" s="14"/>
      <c r="G361" s="103"/>
      <c r="H361" s="103"/>
      <c r="I361" s="103"/>
      <c r="J361" s="103"/>
      <c r="K361" s="63"/>
      <c r="L361" s="63"/>
      <c r="M361" s="63"/>
      <c r="N361" s="63"/>
      <c r="O361" s="103"/>
      <c r="P361" s="103"/>
      <c r="Q361" s="103"/>
      <c r="R361" s="103"/>
      <c r="S361" s="63"/>
      <c r="T361" s="63"/>
      <c r="U361" s="63"/>
      <c r="V361" s="63"/>
      <c r="W361" s="103"/>
      <c r="X361" s="103"/>
      <c r="Y361" s="103"/>
      <c r="Z361" s="103"/>
      <c r="AA361" s="63"/>
      <c r="AB361" s="63"/>
      <c r="AC361" s="63"/>
      <c r="AD361" s="63"/>
      <c r="AE361" s="103"/>
      <c r="AF361" s="103"/>
      <c r="AG361" s="103"/>
      <c r="AH361" s="103"/>
      <c r="AI361" s="63"/>
      <c r="AJ361" s="63"/>
      <c r="AK361" s="63"/>
      <c r="AL361" s="63"/>
      <c r="AM361" s="103"/>
      <c r="AN361" s="103"/>
      <c r="AO361" s="103"/>
      <c r="AP361" s="103"/>
      <c r="AQ361" s="63"/>
      <c r="AR361" s="63"/>
      <c r="AS361" s="63"/>
      <c r="AT361" s="63"/>
      <c r="AU361" s="103"/>
      <c r="AV361" s="103"/>
      <c r="AW361" s="103"/>
      <c r="AX361" s="103"/>
      <c r="AY361" s="63"/>
      <c r="AZ361" s="63"/>
      <c r="BA361" s="63"/>
      <c r="BB361" s="63"/>
      <c r="BC361" s="103"/>
      <c r="BD361" s="103"/>
      <c r="BE361" s="103"/>
      <c r="BF361" s="103"/>
      <c r="BG361" s="63"/>
      <c r="BH361" s="63"/>
      <c r="BI361" s="63"/>
      <c r="BJ361" s="63"/>
      <c r="BK361" s="103"/>
      <c r="BL361" s="103"/>
      <c r="BM361" s="103"/>
      <c r="BN361" s="103"/>
      <c r="BO361" s="63"/>
      <c r="BP361" s="63"/>
      <c r="BQ361" s="63"/>
      <c r="BR361" s="63"/>
      <c r="BS361" s="103"/>
      <c r="BT361" s="103"/>
      <c r="BU361" s="103"/>
      <c r="BV361" s="103"/>
      <c r="BW361" s="63"/>
      <c r="BX361" s="63"/>
      <c r="BY361" s="63"/>
      <c r="BZ361" s="63"/>
      <c r="CA361" s="103"/>
      <c r="CB361" s="103"/>
      <c r="CC361" s="103"/>
      <c r="CD361" s="103"/>
      <c r="CE361" s="63"/>
      <c r="CF361" s="63"/>
      <c r="CG361" s="63"/>
      <c r="CH361" s="63"/>
      <c r="CI361" s="103"/>
      <c r="CJ361" s="103"/>
      <c r="CK361" s="103"/>
      <c r="CL361" s="103"/>
    </row>
    <row r="362" spans="2:90" ht="13" x14ac:dyDescent="0.15">
      <c r="B362" s="13"/>
      <c r="C362" s="14"/>
      <c r="D362" s="14"/>
      <c r="E362" s="14"/>
      <c r="F362" s="14"/>
      <c r="G362" s="103"/>
      <c r="H362" s="103"/>
      <c r="I362" s="103"/>
      <c r="J362" s="103"/>
      <c r="K362" s="63"/>
      <c r="L362" s="63"/>
      <c r="M362" s="63"/>
      <c r="N362" s="63"/>
      <c r="O362" s="103"/>
      <c r="P362" s="103"/>
      <c r="Q362" s="103"/>
      <c r="R362" s="103"/>
      <c r="S362" s="63"/>
      <c r="T362" s="63"/>
      <c r="U362" s="63"/>
      <c r="V362" s="63"/>
      <c r="W362" s="103"/>
      <c r="X362" s="103"/>
      <c r="Y362" s="103"/>
      <c r="Z362" s="103"/>
      <c r="AA362" s="63"/>
      <c r="AB362" s="63"/>
      <c r="AC362" s="63"/>
      <c r="AD362" s="63"/>
      <c r="AE362" s="103"/>
      <c r="AF362" s="103"/>
      <c r="AG362" s="103"/>
      <c r="AH362" s="103"/>
      <c r="AI362" s="63"/>
      <c r="AJ362" s="63"/>
      <c r="AK362" s="63"/>
      <c r="AL362" s="63"/>
      <c r="AM362" s="103"/>
      <c r="AN362" s="103"/>
      <c r="AO362" s="103"/>
      <c r="AP362" s="103"/>
      <c r="AQ362" s="63"/>
      <c r="AR362" s="63"/>
      <c r="AS362" s="63"/>
      <c r="AT362" s="63"/>
      <c r="AU362" s="103"/>
      <c r="AV362" s="103"/>
      <c r="AW362" s="103"/>
      <c r="AX362" s="103"/>
      <c r="AY362" s="63"/>
      <c r="AZ362" s="63"/>
      <c r="BA362" s="63"/>
      <c r="BB362" s="63"/>
      <c r="BC362" s="103"/>
      <c r="BD362" s="103"/>
      <c r="BE362" s="103"/>
      <c r="BF362" s="103"/>
      <c r="BG362" s="63"/>
      <c r="BH362" s="63"/>
      <c r="BI362" s="63"/>
      <c r="BJ362" s="63"/>
      <c r="BK362" s="103"/>
      <c r="BL362" s="103"/>
      <c r="BM362" s="103"/>
      <c r="BN362" s="103"/>
      <c r="BO362" s="63"/>
      <c r="BP362" s="63"/>
      <c r="BQ362" s="63"/>
      <c r="BR362" s="63"/>
      <c r="BS362" s="103"/>
      <c r="BT362" s="103"/>
      <c r="BU362" s="103"/>
      <c r="BV362" s="103"/>
      <c r="BW362" s="63"/>
      <c r="BX362" s="63"/>
      <c r="BY362" s="63"/>
      <c r="BZ362" s="63"/>
      <c r="CA362" s="103"/>
      <c r="CB362" s="103"/>
      <c r="CC362" s="103"/>
      <c r="CD362" s="103"/>
      <c r="CE362" s="63"/>
      <c r="CF362" s="63"/>
      <c r="CG362" s="63"/>
      <c r="CH362" s="63"/>
      <c r="CI362" s="103"/>
      <c r="CJ362" s="103"/>
      <c r="CK362" s="103"/>
      <c r="CL362" s="103"/>
    </row>
    <row r="363" spans="2:90" ht="13" x14ac:dyDescent="0.15">
      <c r="B363" s="13"/>
      <c r="C363" s="14"/>
      <c r="D363" s="14"/>
      <c r="E363" s="14"/>
      <c r="F363" s="14"/>
      <c r="G363" s="103"/>
      <c r="H363" s="103"/>
      <c r="I363" s="103"/>
      <c r="J363" s="103"/>
      <c r="K363" s="63"/>
      <c r="L363" s="63"/>
      <c r="M363" s="63"/>
      <c r="N363" s="63"/>
      <c r="O363" s="103"/>
      <c r="P363" s="103"/>
      <c r="Q363" s="103"/>
      <c r="R363" s="103"/>
      <c r="S363" s="63"/>
      <c r="T363" s="63"/>
      <c r="U363" s="63"/>
      <c r="V363" s="63"/>
      <c r="W363" s="103"/>
      <c r="X363" s="103"/>
      <c r="Y363" s="103"/>
      <c r="Z363" s="103"/>
      <c r="AA363" s="63"/>
      <c r="AB363" s="63"/>
      <c r="AC363" s="63"/>
      <c r="AD363" s="63"/>
      <c r="AE363" s="103"/>
      <c r="AF363" s="103"/>
      <c r="AG363" s="103"/>
      <c r="AH363" s="103"/>
      <c r="AI363" s="63"/>
      <c r="AJ363" s="63"/>
      <c r="AK363" s="63"/>
      <c r="AL363" s="63"/>
      <c r="AM363" s="103"/>
      <c r="AN363" s="103"/>
      <c r="AO363" s="103"/>
      <c r="AP363" s="103"/>
      <c r="AQ363" s="63"/>
      <c r="AR363" s="63"/>
      <c r="AS363" s="63"/>
      <c r="AT363" s="63"/>
      <c r="AU363" s="103"/>
      <c r="AV363" s="103"/>
      <c r="AW363" s="103"/>
      <c r="AX363" s="103"/>
      <c r="AY363" s="63"/>
      <c r="AZ363" s="63"/>
      <c r="BA363" s="63"/>
      <c r="BB363" s="63"/>
      <c r="BC363" s="103"/>
      <c r="BD363" s="103"/>
      <c r="BE363" s="103"/>
      <c r="BF363" s="103"/>
      <c r="BG363" s="63"/>
      <c r="BH363" s="63"/>
      <c r="BI363" s="63"/>
      <c r="BJ363" s="63"/>
      <c r="BK363" s="103"/>
      <c r="BL363" s="103"/>
      <c r="BM363" s="103"/>
      <c r="BN363" s="103"/>
      <c r="BO363" s="63"/>
      <c r="BP363" s="63"/>
      <c r="BQ363" s="63"/>
      <c r="BR363" s="63"/>
      <c r="BS363" s="103"/>
      <c r="BT363" s="103"/>
      <c r="BU363" s="103"/>
      <c r="BV363" s="103"/>
      <c r="BW363" s="63"/>
      <c r="BX363" s="63"/>
      <c r="BY363" s="63"/>
      <c r="BZ363" s="63"/>
      <c r="CA363" s="103"/>
      <c r="CB363" s="103"/>
      <c r="CC363" s="103"/>
      <c r="CD363" s="103"/>
      <c r="CE363" s="63"/>
      <c r="CF363" s="63"/>
      <c r="CG363" s="63"/>
      <c r="CH363" s="63"/>
      <c r="CI363" s="103"/>
      <c r="CJ363" s="103"/>
      <c r="CK363" s="103"/>
      <c r="CL363" s="103"/>
    </row>
    <row r="364" spans="2:90" ht="13" x14ac:dyDescent="0.15">
      <c r="B364" s="13"/>
      <c r="C364" s="14"/>
      <c r="D364" s="14"/>
      <c r="E364" s="14"/>
      <c r="F364" s="14"/>
      <c r="G364" s="103"/>
      <c r="H364" s="103"/>
      <c r="I364" s="103"/>
      <c r="J364" s="103"/>
      <c r="K364" s="63"/>
      <c r="L364" s="63"/>
      <c r="M364" s="63"/>
      <c r="N364" s="63"/>
      <c r="O364" s="103"/>
      <c r="P364" s="103"/>
      <c r="Q364" s="103"/>
      <c r="R364" s="103"/>
      <c r="S364" s="63"/>
      <c r="T364" s="63"/>
      <c r="U364" s="63"/>
      <c r="V364" s="63"/>
      <c r="W364" s="103"/>
      <c r="X364" s="103"/>
      <c r="Y364" s="103"/>
      <c r="Z364" s="103"/>
      <c r="AA364" s="63"/>
      <c r="AB364" s="63"/>
      <c r="AC364" s="63"/>
      <c r="AD364" s="63"/>
      <c r="AE364" s="103"/>
      <c r="AF364" s="103"/>
      <c r="AG364" s="103"/>
      <c r="AH364" s="103"/>
      <c r="AI364" s="63"/>
      <c r="AJ364" s="63"/>
      <c r="AK364" s="63"/>
      <c r="AL364" s="63"/>
      <c r="AM364" s="103"/>
      <c r="AN364" s="103"/>
      <c r="AO364" s="103"/>
      <c r="AP364" s="103"/>
      <c r="AQ364" s="63"/>
      <c r="AR364" s="63"/>
      <c r="AS364" s="63"/>
      <c r="AT364" s="63"/>
      <c r="AU364" s="103"/>
      <c r="AV364" s="103"/>
      <c r="AW364" s="103"/>
      <c r="AX364" s="103"/>
      <c r="AY364" s="63"/>
      <c r="AZ364" s="63"/>
      <c r="BA364" s="63"/>
      <c r="BB364" s="63"/>
      <c r="BC364" s="103"/>
      <c r="BD364" s="103"/>
      <c r="BE364" s="103"/>
      <c r="BF364" s="103"/>
      <c r="BG364" s="63"/>
      <c r="BH364" s="63"/>
      <c r="BI364" s="63"/>
      <c r="BJ364" s="63"/>
      <c r="BK364" s="103"/>
      <c r="BL364" s="103"/>
      <c r="BM364" s="103"/>
      <c r="BN364" s="103"/>
      <c r="BO364" s="63"/>
      <c r="BP364" s="63"/>
      <c r="BQ364" s="63"/>
      <c r="BR364" s="63"/>
      <c r="BS364" s="103"/>
      <c r="BT364" s="103"/>
      <c r="BU364" s="103"/>
      <c r="BV364" s="103"/>
      <c r="BW364" s="63"/>
      <c r="BX364" s="63"/>
      <c r="BY364" s="63"/>
      <c r="BZ364" s="63"/>
      <c r="CA364" s="103"/>
      <c r="CB364" s="103"/>
      <c r="CC364" s="103"/>
      <c r="CD364" s="103"/>
      <c r="CE364" s="63"/>
      <c r="CF364" s="63"/>
      <c r="CG364" s="63"/>
      <c r="CH364" s="63"/>
      <c r="CI364" s="103"/>
      <c r="CJ364" s="103"/>
      <c r="CK364" s="103"/>
      <c r="CL364" s="103"/>
    </row>
    <row r="365" spans="2:90" ht="13" x14ac:dyDescent="0.15">
      <c r="B365" s="13"/>
      <c r="C365" s="14"/>
      <c r="D365" s="14"/>
      <c r="E365" s="14"/>
      <c r="F365" s="14"/>
      <c r="G365" s="103"/>
      <c r="H365" s="103"/>
      <c r="I365" s="103"/>
      <c r="J365" s="103"/>
      <c r="K365" s="63"/>
      <c r="L365" s="63"/>
      <c r="M365" s="63"/>
      <c r="N365" s="63"/>
      <c r="O365" s="103"/>
      <c r="P365" s="103"/>
      <c r="Q365" s="103"/>
      <c r="R365" s="103"/>
      <c r="S365" s="63"/>
      <c r="T365" s="63"/>
      <c r="U365" s="63"/>
      <c r="V365" s="63"/>
      <c r="W365" s="103"/>
      <c r="X365" s="103"/>
      <c r="Y365" s="103"/>
      <c r="Z365" s="103"/>
      <c r="AA365" s="63"/>
      <c r="AB365" s="63"/>
      <c r="AC365" s="63"/>
      <c r="AD365" s="63"/>
      <c r="AE365" s="103"/>
      <c r="AF365" s="103"/>
      <c r="AG365" s="103"/>
      <c r="AH365" s="103"/>
      <c r="AI365" s="63"/>
      <c r="AJ365" s="63"/>
      <c r="AK365" s="63"/>
      <c r="AL365" s="63"/>
      <c r="AM365" s="103"/>
      <c r="AN365" s="103"/>
      <c r="AO365" s="103"/>
      <c r="AP365" s="103"/>
      <c r="AQ365" s="63"/>
      <c r="AR365" s="63"/>
      <c r="AS365" s="63"/>
      <c r="AT365" s="63"/>
      <c r="AU365" s="103"/>
      <c r="AV365" s="103"/>
      <c r="AW365" s="103"/>
      <c r="AX365" s="103"/>
      <c r="AY365" s="63"/>
      <c r="AZ365" s="63"/>
      <c r="BA365" s="63"/>
      <c r="BB365" s="63"/>
      <c r="BC365" s="103"/>
      <c r="BD365" s="103"/>
      <c r="BE365" s="103"/>
      <c r="BF365" s="103"/>
      <c r="BG365" s="63"/>
      <c r="BH365" s="63"/>
      <c r="BI365" s="63"/>
      <c r="BJ365" s="63"/>
      <c r="BK365" s="103"/>
      <c r="BL365" s="103"/>
      <c r="BM365" s="103"/>
      <c r="BN365" s="103"/>
      <c r="BO365" s="63"/>
      <c r="BP365" s="63"/>
      <c r="BQ365" s="63"/>
      <c r="BR365" s="63"/>
      <c r="BS365" s="103"/>
      <c r="BT365" s="103"/>
      <c r="BU365" s="103"/>
      <c r="BV365" s="103"/>
      <c r="BW365" s="63"/>
      <c r="BX365" s="63"/>
      <c r="BY365" s="63"/>
      <c r="BZ365" s="63"/>
      <c r="CA365" s="103"/>
      <c r="CB365" s="103"/>
      <c r="CC365" s="103"/>
      <c r="CD365" s="103"/>
      <c r="CE365" s="63"/>
      <c r="CF365" s="63"/>
      <c r="CG365" s="63"/>
      <c r="CH365" s="63"/>
      <c r="CI365" s="103"/>
      <c r="CJ365" s="103"/>
      <c r="CK365" s="103"/>
      <c r="CL365" s="103"/>
    </row>
    <row r="366" spans="2:90" ht="13" x14ac:dyDescent="0.15">
      <c r="B366" s="13"/>
      <c r="C366" s="14"/>
      <c r="D366" s="14"/>
      <c r="E366" s="14"/>
      <c r="F366" s="14"/>
      <c r="G366" s="103"/>
      <c r="H366" s="103"/>
      <c r="I366" s="103"/>
      <c r="J366" s="103"/>
      <c r="K366" s="63"/>
      <c r="L366" s="63"/>
      <c r="M366" s="63"/>
      <c r="N366" s="63"/>
      <c r="O366" s="103"/>
      <c r="P366" s="103"/>
      <c r="Q366" s="103"/>
      <c r="R366" s="103"/>
      <c r="S366" s="63"/>
      <c r="T366" s="63"/>
      <c r="U366" s="63"/>
      <c r="V366" s="63"/>
      <c r="W366" s="103"/>
      <c r="X366" s="103"/>
      <c r="Y366" s="103"/>
      <c r="Z366" s="103"/>
      <c r="AA366" s="63"/>
      <c r="AB366" s="63"/>
      <c r="AC366" s="63"/>
      <c r="AD366" s="63"/>
      <c r="AE366" s="103"/>
      <c r="AF366" s="103"/>
      <c r="AG366" s="103"/>
      <c r="AH366" s="103"/>
      <c r="AI366" s="63"/>
      <c r="AJ366" s="63"/>
      <c r="AK366" s="63"/>
      <c r="AL366" s="63"/>
      <c r="AM366" s="103"/>
      <c r="AN366" s="103"/>
      <c r="AO366" s="103"/>
      <c r="AP366" s="103"/>
      <c r="AQ366" s="63"/>
      <c r="AR366" s="63"/>
      <c r="AS366" s="63"/>
      <c r="AT366" s="63"/>
      <c r="AU366" s="103"/>
      <c r="AV366" s="103"/>
      <c r="AW366" s="103"/>
      <c r="AX366" s="103"/>
      <c r="AY366" s="63"/>
      <c r="AZ366" s="63"/>
      <c r="BA366" s="63"/>
      <c r="BB366" s="63"/>
      <c r="BC366" s="103"/>
      <c r="BD366" s="103"/>
      <c r="BE366" s="103"/>
      <c r="BF366" s="103"/>
      <c r="BG366" s="63"/>
      <c r="BH366" s="63"/>
      <c r="BI366" s="63"/>
      <c r="BJ366" s="63"/>
      <c r="BK366" s="103"/>
      <c r="BL366" s="103"/>
      <c r="BM366" s="103"/>
      <c r="BN366" s="103"/>
      <c r="BO366" s="63"/>
      <c r="BP366" s="63"/>
      <c r="BQ366" s="63"/>
      <c r="BR366" s="63"/>
      <c r="BS366" s="103"/>
      <c r="BT366" s="103"/>
      <c r="BU366" s="103"/>
      <c r="BV366" s="103"/>
      <c r="BW366" s="63"/>
      <c r="BX366" s="63"/>
      <c r="BY366" s="63"/>
      <c r="BZ366" s="63"/>
      <c r="CA366" s="103"/>
      <c r="CB366" s="103"/>
      <c r="CC366" s="103"/>
      <c r="CD366" s="103"/>
      <c r="CE366" s="63"/>
      <c r="CF366" s="63"/>
      <c r="CG366" s="63"/>
      <c r="CH366" s="63"/>
      <c r="CI366" s="103"/>
      <c r="CJ366" s="103"/>
      <c r="CK366" s="103"/>
      <c r="CL366" s="103"/>
    </row>
    <row r="367" spans="2:90" ht="13" x14ac:dyDescent="0.15">
      <c r="B367" s="13"/>
      <c r="C367" s="14"/>
      <c r="D367" s="14"/>
      <c r="E367" s="14"/>
      <c r="F367" s="14"/>
      <c r="G367" s="103"/>
      <c r="H367" s="103"/>
      <c r="I367" s="103"/>
      <c r="J367" s="103"/>
      <c r="K367" s="63"/>
      <c r="L367" s="63"/>
      <c r="M367" s="63"/>
      <c r="N367" s="63"/>
      <c r="O367" s="103"/>
      <c r="P367" s="103"/>
      <c r="Q367" s="103"/>
      <c r="R367" s="103"/>
      <c r="S367" s="63"/>
      <c r="T367" s="63"/>
      <c r="U367" s="63"/>
      <c r="V367" s="63"/>
      <c r="W367" s="103"/>
      <c r="X367" s="103"/>
      <c r="Y367" s="103"/>
      <c r="Z367" s="103"/>
      <c r="AA367" s="63"/>
      <c r="AB367" s="63"/>
      <c r="AC367" s="63"/>
      <c r="AD367" s="63"/>
      <c r="AE367" s="103"/>
      <c r="AF367" s="103"/>
      <c r="AG367" s="103"/>
      <c r="AH367" s="103"/>
      <c r="AI367" s="63"/>
      <c r="AJ367" s="63"/>
      <c r="AK367" s="63"/>
      <c r="AL367" s="63"/>
      <c r="AM367" s="103"/>
      <c r="AN367" s="103"/>
      <c r="AO367" s="103"/>
      <c r="AP367" s="103"/>
      <c r="AQ367" s="63"/>
      <c r="AR367" s="63"/>
      <c r="AS367" s="63"/>
      <c r="AT367" s="63"/>
      <c r="AU367" s="103"/>
      <c r="AV367" s="103"/>
      <c r="AW367" s="103"/>
      <c r="AX367" s="103"/>
      <c r="AY367" s="63"/>
      <c r="AZ367" s="63"/>
      <c r="BA367" s="63"/>
      <c r="BB367" s="63"/>
      <c r="BC367" s="103"/>
      <c r="BD367" s="103"/>
      <c r="BE367" s="103"/>
      <c r="BF367" s="103"/>
      <c r="BG367" s="63"/>
      <c r="BH367" s="63"/>
      <c r="BI367" s="63"/>
      <c r="BJ367" s="63"/>
      <c r="BK367" s="103"/>
      <c r="BL367" s="103"/>
      <c r="BM367" s="103"/>
      <c r="BN367" s="103"/>
      <c r="BO367" s="63"/>
      <c r="BP367" s="63"/>
      <c r="BQ367" s="63"/>
      <c r="BR367" s="63"/>
      <c r="BS367" s="103"/>
      <c r="BT367" s="103"/>
      <c r="BU367" s="103"/>
      <c r="BV367" s="103"/>
      <c r="BW367" s="63"/>
      <c r="BX367" s="63"/>
      <c r="BY367" s="63"/>
      <c r="BZ367" s="63"/>
      <c r="CA367" s="103"/>
      <c r="CB367" s="103"/>
      <c r="CC367" s="103"/>
      <c r="CD367" s="103"/>
      <c r="CE367" s="63"/>
      <c r="CF367" s="63"/>
      <c r="CG367" s="63"/>
      <c r="CH367" s="63"/>
      <c r="CI367" s="103"/>
      <c r="CJ367" s="103"/>
      <c r="CK367" s="103"/>
      <c r="CL367" s="103"/>
    </row>
    <row r="368" spans="2:90" ht="13" x14ac:dyDescent="0.15">
      <c r="B368" s="13"/>
      <c r="C368" s="14"/>
      <c r="D368" s="14"/>
      <c r="E368" s="14"/>
      <c r="F368" s="14"/>
      <c r="G368" s="103"/>
      <c r="H368" s="103"/>
      <c r="I368" s="103"/>
      <c r="J368" s="103"/>
      <c r="K368" s="63"/>
      <c r="L368" s="63"/>
      <c r="M368" s="63"/>
      <c r="N368" s="63"/>
      <c r="O368" s="103"/>
      <c r="P368" s="103"/>
      <c r="Q368" s="103"/>
      <c r="R368" s="103"/>
      <c r="S368" s="63"/>
      <c r="T368" s="63"/>
      <c r="U368" s="63"/>
      <c r="V368" s="63"/>
      <c r="W368" s="103"/>
      <c r="X368" s="103"/>
      <c r="Y368" s="103"/>
      <c r="Z368" s="103"/>
      <c r="AA368" s="63"/>
      <c r="AB368" s="63"/>
      <c r="AC368" s="63"/>
      <c r="AD368" s="63"/>
      <c r="AE368" s="103"/>
      <c r="AF368" s="103"/>
      <c r="AG368" s="103"/>
      <c r="AH368" s="103"/>
      <c r="AI368" s="63"/>
      <c r="AJ368" s="63"/>
      <c r="AK368" s="63"/>
      <c r="AL368" s="63"/>
      <c r="AM368" s="103"/>
      <c r="AN368" s="103"/>
      <c r="AO368" s="103"/>
      <c r="AP368" s="103"/>
      <c r="AQ368" s="63"/>
      <c r="AR368" s="63"/>
      <c r="AS368" s="63"/>
      <c r="AT368" s="63"/>
      <c r="AU368" s="103"/>
      <c r="AV368" s="103"/>
      <c r="AW368" s="103"/>
      <c r="AX368" s="103"/>
      <c r="AY368" s="63"/>
      <c r="AZ368" s="63"/>
      <c r="BA368" s="63"/>
      <c r="BB368" s="63"/>
      <c r="BC368" s="103"/>
      <c r="BD368" s="103"/>
      <c r="BE368" s="103"/>
      <c r="BF368" s="103"/>
      <c r="BG368" s="63"/>
      <c r="BH368" s="63"/>
      <c r="BI368" s="63"/>
      <c r="BJ368" s="63"/>
      <c r="BK368" s="103"/>
      <c r="BL368" s="103"/>
      <c r="BM368" s="103"/>
      <c r="BN368" s="103"/>
      <c r="BO368" s="63"/>
      <c r="BP368" s="63"/>
      <c r="BQ368" s="63"/>
      <c r="BR368" s="63"/>
      <c r="BS368" s="103"/>
      <c r="BT368" s="103"/>
      <c r="BU368" s="103"/>
      <c r="BV368" s="103"/>
      <c r="BW368" s="63"/>
      <c r="BX368" s="63"/>
      <c r="BY368" s="63"/>
      <c r="BZ368" s="63"/>
      <c r="CA368" s="103"/>
      <c r="CB368" s="103"/>
      <c r="CC368" s="103"/>
      <c r="CD368" s="103"/>
      <c r="CE368" s="63"/>
      <c r="CF368" s="63"/>
      <c r="CG368" s="63"/>
      <c r="CH368" s="63"/>
      <c r="CI368" s="103"/>
      <c r="CJ368" s="103"/>
      <c r="CK368" s="103"/>
      <c r="CL368" s="103"/>
    </row>
    <row r="369" spans="2:90" ht="13" x14ac:dyDescent="0.15">
      <c r="B369" s="13"/>
      <c r="C369" s="14"/>
      <c r="D369" s="14"/>
      <c r="E369" s="14"/>
      <c r="F369" s="14"/>
      <c r="G369" s="103"/>
      <c r="H369" s="103"/>
      <c r="I369" s="103"/>
      <c r="J369" s="103"/>
      <c r="K369" s="63"/>
      <c r="L369" s="63"/>
      <c r="M369" s="63"/>
      <c r="N369" s="63"/>
      <c r="O369" s="103"/>
      <c r="P369" s="103"/>
      <c r="Q369" s="103"/>
      <c r="R369" s="103"/>
      <c r="S369" s="63"/>
      <c r="T369" s="63"/>
      <c r="U369" s="63"/>
      <c r="V369" s="63"/>
      <c r="W369" s="103"/>
      <c r="X369" s="103"/>
      <c r="Y369" s="103"/>
      <c r="Z369" s="103"/>
      <c r="AA369" s="63"/>
      <c r="AB369" s="63"/>
      <c r="AC369" s="63"/>
      <c r="AD369" s="63"/>
      <c r="AE369" s="103"/>
      <c r="AF369" s="103"/>
      <c r="AG369" s="103"/>
      <c r="AH369" s="103"/>
      <c r="AI369" s="63"/>
      <c r="AJ369" s="63"/>
      <c r="AK369" s="63"/>
      <c r="AL369" s="63"/>
      <c r="AM369" s="103"/>
      <c r="AN369" s="103"/>
      <c r="AO369" s="103"/>
      <c r="AP369" s="103"/>
      <c r="AQ369" s="63"/>
      <c r="AR369" s="63"/>
      <c r="AS369" s="63"/>
      <c r="AT369" s="63"/>
      <c r="AU369" s="103"/>
      <c r="AV369" s="103"/>
      <c r="AW369" s="103"/>
      <c r="AX369" s="103"/>
      <c r="AY369" s="63"/>
      <c r="AZ369" s="63"/>
      <c r="BA369" s="63"/>
      <c r="BB369" s="63"/>
      <c r="BC369" s="103"/>
      <c r="BD369" s="103"/>
      <c r="BE369" s="103"/>
      <c r="BF369" s="103"/>
      <c r="BG369" s="63"/>
      <c r="BH369" s="63"/>
      <c r="BI369" s="63"/>
      <c r="BJ369" s="63"/>
      <c r="BK369" s="103"/>
      <c r="BL369" s="103"/>
      <c r="BM369" s="103"/>
      <c r="BN369" s="103"/>
      <c r="BO369" s="63"/>
      <c r="BP369" s="63"/>
      <c r="BQ369" s="63"/>
      <c r="BR369" s="63"/>
      <c r="BS369" s="103"/>
      <c r="BT369" s="103"/>
      <c r="BU369" s="103"/>
      <c r="BV369" s="103"/>
      <c r="BW369" s="63"/>
      <c r="BX369" s="63"/>
      <c r="BY369" s="63"/>
      <c r="BZ369" s="63"/>
      <c r="CA369" s="103"/>
      <c r="CB369" s="103"/>
      <c r="CC369" s="103"/>
      <c r="CD369" s="103"/>
      <c r="CE369" s="63"/>
      <c r="CF369" s="63"/>
      <c r="CG369" s="63"/>
      <c r="CH369" s="63"/>
      <c r="CI369" s="103"/>
      <c r="CJ369" s="103"/>
      <c r="CK369" s="103"/>
      <c r="CL369" s="103"/>
    </row>
    <row r="370" spans="2:90" ht="13" x14ac:dyDescent="0.15">
      <c r="B370" s="13"/>
      <c r="C370" s="14"/>
      <c r="D370" s="14"/>
      <c r="E370" s="14"/>
      <c r="F370" s="14"/>
      <c r="G370" s="103"/>
      <c r="H370" s="103"/>
      <c r="I370" s="103"/>
      <c r="J370" s="103"/>
      <c r="K370" s="63"/>
      <c r="L370" s="63"/>
      <c r="M370" s="63"/>
      <c r="N370" s="63"/>
      <c r="O370" s="103"/>
      <c r="P370" s="103"/>
      <c r="Q370" s="103"/>
      <c r="R370" s="103"/>
      <c r="S370" s="63"/>
      <c r="T370" s="63"/>
      <c r="U370" s="63"/>
      <c r="V370" s="63"/>
      <c r="W370" s="103"/>
      <c r="X370" s="103"/>
      <c r="Y370" s="103"/>
      <c r="Z370" s="103"/>
      <c r="AA370" s="63"/>
      <c r="AB370" s="63"/>
      <c r="AC370" s="63"/>
      <c r="AD370" s="63"/>
      <c r="AE370" s="103"/>
      <c r="AF370" s="103"/>
      <c r="AG370" s="103"/>
      <c r="AH370" s="103"/>
      <c r="AI370" s="63"/>
      <c r="AJ370" s="63"/>
      <c r="AK370" s="63"/>
      <c r="AL370" s="63"/>
      <c r="AM370" s="103"/>
      <c r="AN370" s="103"/>
      <c r="AO370" s="103"/>
      <c r="AP370" s="103"/>
      <c r="AQ370" s="63"/>
      <c r="AR370" s="63"/>
      <c r="AS370" s="63"/>
      <c r="AT370" s="63"/>
      <c r="AU370" s="103"/>
      <c r="AV370" s="103"/>
      <c r="AW370" s="103"/>
      <c r="AX370" s="103"/>
      <c r="AY370" s="63"/>
      <c r="AZ370" s="63"/>
      <c r="BA370" s="63"/>
      <c r="BB370" s="63"/>
      <c r="BC370" s="103"/>
      <c r="BD370" s="103"/>
      <c r="BE370" s="103"/>
      <c r="BF370" s="103"/>
      <c r="BG370" s="63"/>
      <c r="BH370" s="63"/>
      <c r="BI370" s="63"/>
      <c r="BJ370" s="63"/>
      <c r="BK370" s="103"/>
      <c r="BL370" s="103"/>
      <c r="BM370" s="103"/>
      <c r="BN370" s="103"/>
      <c r="BO370" s="63"/>
      <c r="BP370" s="63"/>
      <c r="BQ370" s="63"/>
      <c r="BR370" s="63"/>
      <c r="BS370" s="103"/>
      <c r="BT370" s="103"/>
      <c r="BU370" s="103"/>
      <c r="BV370" s="103"/>
      <c r="BW370" s="63"/>
      <c r="BX370" s="63"/>
      <c r="BY370" s="63"/>
      <c r="BZ370" s="63"/>
      <c r="CA370" s="103"/>
      <c r="CB370" s="103"/>
      <c r="CC370" s="103"/>
      <c r="CD370" s="103"/>
      <c r="CE370" s="63"/>
      <c r="CF370" s="63"/>
      <c r="CG370" s="63"/>
      <c r="CH370" s="63"/>
      <c r="CI370" s="103"/>
      <c r="CJ370" s="103"/>
      <c r="CK370" s="103"/>
      <c r="CL370" s="103"/>
    </row>
    <row r="371" spans="2:90" ht="13" x14ac:dyDescent="0.15">
      <c r="B371" s="13"/>
      <c r="C371" s="14"/>
      <c r="D371" s="14"/>
      <c r="E371" s="14"/>
      <c r="F371" s="14"/>
      <c r="G371" s="103"/>
      <c r="H371" s="103"/>
      <c r="I371" s="103"/>
      <c r="J371" s="103"/>
      <c r="K371" s="63"/>
      <c r="L371" s="63"/>
      <c r="M371" s="63"/>
      <c r="N371" s="63"/>
      <c r="O371" s="103"/>
      <c r="P371" s="103"/>
      <c r="Q371" s="103"/>
      <c r="R371" s="103"/>
      <c r="S371" s="63"/>
      <c r="T371" s="63"/>
      <c r="U371" s="63"/>
      <c r="V371" s="63"/>
      <c r="W371" s="103"/>
      <c r="X371" s="103"/>
      <c r="Y371" s="103"/>
      <c r="Z371" s="103"/>
      <c r="AA371" s="63"/>
      <c r="AB371" s="63"/>
      <c r="AC371" s="63"/>
      <c r="AD371" s="63"/>
      <c r="AE371" s="103"/>
      <c r="AF371" s="103"/>
      <c r="AG371" s="103"/>
      <c r="AH371" s="103"/>
      <c r="AI371" s="63"/>
      <c r="AJ371" s="63"/>
      <c r="AK371" s="63"/>
      <c r="AL371" s="63"/>
      <c r="AM371" s="103"/>
      <c r="AN371" s="103"/>
      <c r="AO371" s="103"/>
      <c r="AP371" s="103"/>
      <c r="AQ371" s="63"/>
      <c r="AR371" s="63"/>
      <c r="AS371" s="63"/>
      <c r="AT371" s="63"/>
      <c r="AU371" s="103"/>
      <c r="AV371" s="103"/>
      <c r="AW371" s="103"/>
      <c r="AX371" s="103"/>
      <c r="AY371" s="63"/>
      <c r="AZ371" s="63"/>
      <c r="BA371" s="63"/>
      <c r="BB371" s="63"/>
      <c r="BC371" s="103"/>
      <c r="BD371" s="103"/>
      <c r="BE371" s="103"/>
      <c r="BF371" s="103"/>
      <c r="BG371" s="63"/>
      <c r="BH371" s="63"/>
      <c r="BI371" s="63"/>
      <c r="BJ371" s="63"/>
      <c r="BK371" s="103"/>
      <c r="BL371" s="103"/>
      <c r="BM371" s="103"/>
      <c r="BN371" s="103"/>
      <c r="BO371" s="63"/>
      <c r="BP371" s="63"/>
      <c r="BQ371" s="63"/>
      <c r="BR371" s="63"/>
      <c r="BS371" s="103"/>
      <c r="BT371" s="103"/>
      <c r="BU371" s="103"/>
      <c r="BV371" s="103"/>
      <c r="BW371" s="63"/>
      <c r="BX371" s="63"/>
      <c r="BY371" s="63"/>
      <c r="BZ371" s="63"/>
      <c r="CA371" s="103"/>
      <c r="CB371" s="103"/>
      <c r="CC371" s="103"/>
      <c r="CD371" s="103"/>
      <c r="CE371" s="63"/>
      <c r="CF371" s="63"/>
      <c r="CG371" s="63"/>
      <c r="CH371" s="63"/>
      <c r="CI371" s="103"/>
      <c r="CJ371" s="103"/>
      <c r="CK371" s="103"/>
      <c r="CL371" s="103"/>
    </row>
    <row r="372" spans="2:90" ht="13" x14ac:dyDescent="0.15">
      <c r="B372" s="13"/>
      <c r="C372" s="14"/>
      <c r="D372" s="14"/>
      <c r="E372" s="14"/>
      <c r="F372" s="14"/>
      <c r="G372" s="103"/>
      <c r="H372" s="103"/>
      <c r="I372" s="103"/>
      <c r="J372" s="103"/>
      <c r="K372" s="63"/>
      <c r="L372" s="63"/>
      <c r="M372" s="63"/>
      <c r="N372" s="63"/>
      <c r="O372" s="103"/>
      <c r="P372" s="103"/>
      <c r="Q372" s="103"/>
      <c r="R372" s="103"/>
      <c r="S372" s="63"/>
      <c r="T372" s="63"/>
      <c r="U372" s="63"/>
      <c r="V372" s="63"/>
      <c r="W372" s="103"/>
      <c r="X372" s="103"/>
      <c r="Y372" s="103"/>
      <c r="Z372" s="103"/>
      <c r="AA372" s="63"/>
      <c r="AB372" s="63"/>
      <c r="AC372" s="63"/>
      <c r="AD372" s="63"/>
      <c r="AE372" s="103"/>
      <c r="AF372" s="103"/>
      <c r="AG372" s="103"/>
      <c r="AH372" s="103"/>
      <c r="AI372" s="63"/>
      <c r="AJ372" s="63"/>
      <c r="AK372" s="63"/>
      <c r="AL372" s="63"/>
      <c r="AM372" s="103"/>
      <c r="AN372" s="103"/>
      <c r="AO372" s="103"/>
      <c r="AP372" s="103"/>
      <c r="AQ372" s="63"/>
      <c r="AR372" s="63"/>
      <c r="AS372" s="63"/>
      <c r="AT372" s="63"/>
      <c r="AU372" s="103"/>
      <c r="AV372" s="103"/>
      <c r="AW372" s="103"/>
      <c r="AX372" s="103"/>
      <c r="AY372" s="63"/>
      <c r="AZ372" s="63"/>
      <c r="BA372" s="63"/>
      <c r="BB372" s="63"/>
      <c r="BC372" s="103"/>
      <c r="BD372" s="103"/>
      <c r="BE372" s="103"/>
      <c r="BF372" s="103"/>
      <c r="BG372" s="63"/>
      <c r="BH372" s="63"/>
      <c r="BI372" s="63"/>
      <c r="BJ372" s="63"/>
      <c r="BK372" s="103"/>
      <c r="BL372" s="103"/>
      <c r="BM372" s="103"/>
      <c r="BN372" s="103"/>
      <c r="BO372" s="63"/>
      <c r="BP372" s="63"/>
      <c r="BQ372" s="63"/>
      <c r="BR372" s="63"/>
      <c r="BS372" s="103"/>
      <c r="BT372" s="103"/>
      <c r="BU372" s="103"/>
      <c r="BV372" s="103"/>
      <c r="BW372" s="63"/>
      <c r="BX372" s="63"/>
      <c r="BY372" s="63"/>
      <c r="BZ372" s="63"/>
      <c r="CA372" s="103"/>
      <c r="CB372" s="103"/>
      <c r="CC372" s="103"/>
      <c r="CD372" s="103"/>
      <c r="CE372" s="63"/>
      <c r="CF372" s="63"/>
      <c r="CG372" s="63"/>
      <c r="CH372" s="63"/>
      <c r="CI372" s="103"/>
      <c r="CJ372" s="103"/>
      <c r="CK372" s="103"/>
      <c r="CL372" s="103"/>
    </row>
    <row r="373" spans="2:90" ht="13" x14ac:dyDescent="0.15">
      <c r="B373" s="13"/>
      <c r="C373" s="14"/>
      <c r="D373" s="14"/>
      <c r="E373" s="14"/>
      <c r="F373" s="14"/>
      <c r="G373" s="103"/>
      <c r="H373" s="103"/>
      <c r="I373" s="103"/>
      <c r="J373" s="103"/>
      <c r="K373" s="63"/>
      <c r="L373" s="63"/>
      <c r="M373" s="63"/>
      <c r="N373" s="63"/>
      <c r="O373" s="103"/>
      <c r="P373" s="103"/>
      <c r="Q373" s="103"/>
      <c r="R373" s="103"/>
      <c r="S373" s="63"/>
      <c r="T373" s="63"/>
      <c r="U373" s="63"/>
      <c r="V373" s="63"/>
      <c r="W373" s="103"/>
      <c r="X373" s="103"/>
      <c r="Y373" s="103"/>
      <c r="Z373" s="103"/>
      <c r="AA373" s="63"/>
      <c r="AB373" s="63"/>
      <c r="AC373" s="63"/>
      <c r="AD373" s="63"/>
      <c r="AE373" s="103"/>
      <c r="AF373" s="103"/>
      <c r="AG373" s="103"/>
      <c r="AH373" s="103"/>
      <c r="AI373" s="63"/>
      <c r="AJ373" s="63"/>
      <c r="AK373" s="63"/>
      <c r="AL373" s="63"/>
      <c r="AM373" s="103"/>
      <c r="AN373" s="103"/>
      <c r="AO373" s="103"/>
      <c r="AP373" s="103"/>
      <c r="AQ373" s="63"/>
      <c r="AR373" s="63"/>
      <c r="AS373" s="63"/>
      <c r="AT373" s="63"/>
      <c r="AU373" s="103"/>
      <c r="AV373" s="103"/>
      <c r="AW373" s="103"/>
      <c r="AX373" s="103"/>
      <c r="AY373" s="63"/>
      <c r="AZ373" s="63"/>
      <c r="BA373" s="63"/>
      <c r="BB373" s="63"/>
      <c r="BC373" s="103"/>
      <c r="BD373" s="103"/>
      <c r="BE373" s="103"/>
      <c r="BF373" s="103"/>
      <c r="BG373" s="63"/>
      <c r="BH373" s="63"/>
      <c r="BI373" s="63"/>
      <c r="BJ373" s="63"/>
      <c r="BK373" s="103"/>
      <c r="BL373" s="103"/>
      <c r="BM373" s="103"/>
      <c r="BN373" s="103"/>
      <c r="BO373" s="63"/>
      <c r="BP373" s="63"/>
      <c r="BQ373" s="63"/>
      <c r="BR373" s="63"/>
      <c r="BS373" s="103"/>
      <c r="BT373" s="103"/>
      <c r="BU373" s="103"/>
      <c r="BV373" s="103"/>
      <c r="BW373" s="63"/>
      <c r="BX373" s="63"/>
      <c r="BY373" s="63"/>
      <c r="BZ373" s="63"/>
      <c r="CA373" s="103"/>
      <c r="CB373" s="103"/>
      <c r="CC373" s="103"/>
      <c r="CD373" s="103"/>
      <c r="CE373" s="63"/>
      <c r="CF373" s="63"/>
      <c r="CG373" s="63"/>
      <c r="CH373" s="63"/>
      <c r="CI373" s="103"/>
      <c r="CJ373" s="103"/>
      <c r="CK373" s="103"/>
      <c r="CL373" s="103"/>
    </row>
    <row r="374" spans="2:90" ht="13" x14ac:dyDescent="0.15">
      <c r="B374" s="13"/>
      <c r="C374" s="14"/>
      <c r="D374" s="14"/>
      <c r="E374" s="14"/>
      <c r="F374" s="14"/>
      <c r="G374" s="103"/>
      <c r="H374" s="103"/>
      <c r="I374" s="103"/>
      <c r="J374" s="103"/>
      <c r="K374" s="63"/>
      <c r="L374" s="63"/>
      <c r="M374" s="63"/>
      <c r="N374" s="63"/>
      <c r="O374" s="103"/>
      <c r="P374" s="103"/>
      <c r="Q374" s="103"/>
      <c r="R374" s="103"/>
      <c r="S374" s="63"/>
      <c r="T374" s="63"/>
      <c r="U374" s="63"/>
      <c r="V374" s="63"/>
      <c r="W374" s="103"/>
      <c r="X374" s="103"/>
      <c r="Y374" s="103"/>
      <c r="Z374" s="103"/>
      <c r="AA374" s="63"/>
      <c r="AB374" s="63"/>
      <c r="AC374" s="63"/>
      <c r="AD374" s="63"/>
      <c r="AE374" s="103"/>
      <c r="AF374" s="103"/>
      <c r="AG374" s="103"/>
      <c r="AH374" s="103"/>
      <c r="AI374" s="63"/>
      <c r="AJ374" s="63"/>
      <c r="AK374" s="63"/>
      <c r="AL374" s="63"/>
      <c r="AM374" s="103"/>
      <c r="AN374" s="103"/>
      <c r="AO374" s="103"/>
      <c r="AP374" s="103"/>
      <c r="AQ374" s="63"/>
      <c r="AR374" s="63"/>
      <c r="AS374" s="63"/>
      <c r="AT374" s="63"/>
      <c r="AU374" s="103"/>
      <c r="AV374" s="103"/>
      <c r="AW374" s="103"/>
      <c r="AX374" s="103"/>
      <c r="AY374" s="63"/>
      <c r="AZ374" s="63"/>
      <c r="BA374" s="63"/>
      <c r="BB374" s="63"/>
      <c r="BC374" s="103"/>
      <c r="BD374" s="103"/>
      <c r="BE374" s="103"/>
      <c r="BF374" s="103"/>
      <c r="BG374" s="63"/>
      <c r="BH374" s="63"/>
      <c r="BI374" s="63"/>
      <c r="BJ374" s="63"/>
      <c r="BK374" s="103"/>
      <c r="BL374" s="103"/>
      <c r="BM374" s="103"/>
      <c r="BN374" s="103"/>
      <c r="BO374" s="63"/>
      <c r="BP374" s="63"/>
      <c r="BQ374" s="63"/>
      <c r="BR374" s="63"/>
      <c r="BS374" s="103"/>
      <c r="BT374" s="103"/>
      <c r="BU374" s="103"/>
      <c r="BV374" s="103"/>
      <c r="BW374" s="63"/>
      <c r="BX374" s="63"/>
      <c r="BY374" s="63"/>
      <c r="BZ374" s="63"/>
      <c r="CA374" s="103"/>
      <c r="CB374" s="103"/>
      <c r="CC374" s="103"/>
      <c r="CD374" s="103"/>
      <c r="CE374" s="63"/>
      <c r="CF374" s="63"/>
      <c r="CG374" s="63"/>
      <c r="CH374" s="63"/>
      <c r="CI374" s="103"/>
      <c r="CJ374" s="103"/>
      <c r="CK374" s="103"/>
      <c r="CL374" s="103"/>
    </row>
    <row r="375" spans="2:90" ht="13" x14ac:dyDescent="0.15">
      <c r="B375" s="13"/>
      <c r="C375" s="14"/>
      <c r="D375" s="14"/>
      <c r="E375" s="14"/>
      <c r="F375" s="14"/>
      <c r="G375" s="103"/>
      <c r="H375" s="103"/>
      <c r="I375" s="103"/>
      <c r="J375" s="103"/>
      <c r="K375" s="63"/>
      <c r="L375" s="63"/>
      <c r="M375" s="63"/>
      <c r="N375" s="63"/>
      <c r="O375" s="103"/>
      <c r="P375" s="103"/>
      <c r="Q375" s="103"/>
      <c r="R375" s="103"/>
      <c r="S375" s="63"/>
      <c r="T375" s="63"/>
      <c r="U375" s="63"/>
      <c r="V375" s="63"/>
      <c r="W375" s="103"/>
      <c r="X375" s="103"/>
      <c r="Y375" s="103"/>
      <c r="Z375" s="103"/>
      <c r="AA375" s="63"/>
      <c r="AB375" s="63"/>
      <c r="AC375" s="63"/>
      <c r="AD375" s="63"/>
      <c r="AE375" s="103"/>
      <c r="AF375" s="103"/>
      <c r="AG375" s="103"/>
      <c r="AH375" s="103"/>
      <c r="AI375" s="63"/>
      <c r="AJ375" s="63"/>
      <c r="AK375" s="63"/>
      <c r="AL375" s="63"/>
      <c r="AM375" s="103"/>
      <c r="AN375" s="103"/>
      <c r="AO375" s="103"/>
      <c r="AP375" s="103"/>
      <c r="AQ375" s="63"/>
      <c r="AR375" s="63"/>
      <c r="AS375" s="63"/>
      <c r="AT375" s="63"/>
      <c r="AU375" s="103"/>
      <c r="AV375" s="103"/>
      <c r="AW375" s="103"/>
      <c r="AX375" s="103"/>
      <c r="AY375" s="63"/>
      <c r="AZ375" s="63"/>
      <c r="BA375" s="63"/>
      <c r="BB375" s="63"/>
      <c r="BC375" s="103"/>
      <c r="BD375" s="103"/>
      <c r="BE375" s="103"/>
      <c r="BF375" s="103"/>
      <c r="BG375" s="63"/>
      <c r="BH375" s="63"/>
      <c r="BI375" s="63"/>
      <c r="BJ375" s="63"/>
      <c r="BK375" s="103"/>
      <c r="BL375" s="103"/>
      <c r="BM375" s="103"/>
      <c r="BN375" s="103"/>
      <c r="BO375" s="63"/>
      <c r="BP375" s="63"/>
      <c r="BQ375" s="63"/>
      <c r="BR375" s="63"/>
      <c r="BS375" s="103"/>
      <c r="BT375" s="103"/>
      <c r="BU375" s="103"/>
      <c r="BV375" s="103"/>
      <c r="BW375" s="63"/>
      <c r="BX375" s="63"/>
      <c r="BY375" s="63"/>
      <c r="BZ375" s="63"/>
      <c r="CA375" s="103"/>
      <c r="CB375" s="103"/>
      <c r="CC375" s="103"/>
      <c r="CD375" s="103"/>
      <c r="CE375" s="63"/>
      <c r="CF375" s="63"/>
      <c r="CG375" s="63"/>
      <c r="CH375" s="63"/>
      <c r="CI375" s="103"/>
      <c r="CJ375" s="103"/>
      <c r="CK375" s="103"/>
      <c r="CL375" s="103"/>
    </row>
    <row r="376" spans="2:90" ht="13" x14ac:dyDescent="0.15">
      <c r="B376" s="13"/>
      <c r="C376" s="14"/>
      <c r="D376" s="14"/>
      <c r="E376" s="14"/>
      <c r="F376" s="14"/>
      <c r="G376" s="103"/>
      <c r="H376" s="103"/>
      <c r="I376" s="103"/>
      <c r="J376" s="103"/>
      <c r="K376" s="63"/>
      <c r="L376" s="63"/>
      <c r="M376" s="63"/>
      <c r="N376" s="63"/>
      <c r="O376" s="103"/>
      <c r="P376" s="103"/>
      <c r="Q376" s="103"/>
      <c r="R376" s="103"/>
      <c r="S376" s="63"/>
      <c r="T376" s="63"/>
      <c r="U376" s="63"/>
      <c r="V376" s="63"/>
      <c r="W376" s="103"/>
      <c r="X376" s="103"/>
      <c r="Y376" s="103"/>
      <c r="Z376" s="103"/>
      <c r="AA376" s="63"/>
      <c r="AB376" s="63"/>
      <c r="AC376" s="63"/>
      <c r="AD376" s="63"/>
      <c r="AE376" s="103"/>
      <c r="AF376" s="103"/>
      <c r="AG376" s="103"/>
      <c r="AH376" s="103"/>
      <c r="AI376" s="63"/>
      <c r="AJ376" s="63"/>
      <c r="AK376" s="63"/>
      <c r="AL376" s="63"/>
      <c r="AM376" s="103"/>
      <c r="AN376" s="103"/>
      <c r="AO376" s="103"/>
      <c r="AP376" s="103"/>
      <c r="AQ376" s="63"/>
      <c r="AR376" s="63"/>
      <c r="AS376" s="63"/>
      <c r="AT376" s="63"/>
      <c r="AU376" s="103"/>
      <c r="AV376" s="103"/>
      <c r="AW376" s="103"/>
      <c r="AX376" s="103"/>
      <c r="AY376" s="63"/>
      <c r="AZ376" s="63"/>
      <c r="BA376" s="63"/>
      <c r="BB376" s="63"/>
      <c r="BC376" s="103"/>
      <c r="BD376" s="103"/>
      <c r="BE376" s="103"/>
      <c r="BF376" s="103"/>
      <c r="BG376" s="63"/>
      <c r="BH376" s="63"/>
      <c r="BI376" s="63"/>
      <c r="BJ376" s="63"/>
      <c r="BK376" s="103"/>
      <c r="BL376" s="103"/>
      <c r="BM376" s="103"/>
      <c r="BN376" s="103"/>
      <c r="BO376" s="63"/>
      <c r="BP376" s="63"/>
      <c r="BQ376" s="63"/>
      <c r="BR376" s="63"/>
      <c r="BS376" s="103"/>
      <c r="BT376" s="103"/>
      <c r="BU376" s="103"/>
      <c r="BV376" s="103"/>
      <c r="BW376" s="63"/>
      <c r="BX376" s="63"/>
      <c r="BY376" s="63"/>
      <c r="BZ376" s="63"/>
      <c r="CA376" s="103"/>
      <c r="CB376" s="103"/>
      <c r="CC376" s="103"/>
      <c r="CD376" s="103"/>
      <c r="CE376" s="63"/>
      <c r="CF376" s="63"/>
      <c r="CG376" s="63"/>
      <c r="CH376" s="63"/>
      <c r="CI376" s="103"/>
      <c r="CJ376" s="103"/>
      <c r="CK376" s="103"/>
      <c r="CL376" s="103"/>
    </row>
    <row r="377" spans="2:90" ht="13" x14ac:dyDescent="0.15">
      <c r="B377" s="13"/>
      <c r="C377" s="14"/>
      <c r="D377" s="14"/>
      <c r="E377" s="14"/>
      <c r="F377" s="14"/>
      <c r="G377" s="103"/>
      <c r="H377" s="103"/>
      <c r="I377" s="103"/>
      <c r="J377" s="103"/>
      <c r="K377" s="63"/>
      <c r="L377" s="63"/>
      <c r="M377" s="63"/>
      <c r="N377" s="63"/>
      <c r="O377" s="103"/>
      <c r="P377" s="103"/>
      <c r="Q377" s="103"/>
      <c r="R377" s="103"/>
      <c r="S377" s="63"/>
      <c r="T377" s="63"/>
      <c r="U377" s="63"/>
      <c r="V377" s="63"/>
      <c r="W377" s="103"/>
      <c r="X377" s="103"/>
      <c r="Y377" s="103"/>
      <c r="Z377" s="103"/>
      <c r="AA377" s="63"/>
      <c r="AB377" s="63"/>
      <c r="AC377" s="63"/>
      <c r="AD377" s="63"/>
      <c r="AE377" s="103"/>
      <c r="AF377" s="103"/>
      <c r="AG377" s="103"/>
      <c r="AH377" s="103"/>
      <c r="AI377" s="63"/>
      <c r="AJ377" s="63"/>
      <c r="AK377" s="63"/>
      <c r="AL377" s="63"/>
      <c r="AM377" s="103"/>
      <c r="AN377" s="103"/>
      <c r="AO377" s="103"/>
      <c r="AP377" s="103"/>
      <c r="AQ377" s="63"/>
      <c r="AR377" s="63"/>
      <c r="AS377" s="63"/>
      <c r="AT377" s="63"/>
      <c r="AU377" s="103"/>
      <c r="AV377" s="103"/>
      <c r="AW377" s="103"/>
      <c r="AX377" s="103"/>
      <c r="AY377" s="63"/>
      <c r="AZ377" s="63"/>
      <c r="BA377" s="63"/>
      <c r="BB377" s="63"/>
      <c r="BC377" s="103"/>
      <c r="BD377" s="103"/>
      <c r="BE377" s="103"/>
      <c r="BF377" s="103"/>
      <c r="BG377" s="63"/>
      <c r="BH377" s="63"/>
      <c r="BI377" s="63"/>
      <c r="BJ377" s="63"/>
      <c r="BK377" s="103"/>
      <c r="BL377" s="103"/>
      <c r="BM377" s="103"/>
      <c r="BN377" s="103"/>
      <c r="BO377" s="63"/>
      <c r="BP377" s="63"/>
      <c r="BQ377" s="63"/>
      <c r="BR377" s="63"/>
      <c r="BS377" s="103"/>
      <c r="BT377" s="103"/>
      <c r="BU377" s="103"/>
      <c r="BV377" s="103"/>
      <c r="BW377" s="63"/>
      <c r="BX377" s="63"/>
      <c r="BY377" s="63"/>
      <c r="BZ377" s="63"/>
      <c r="CA377" s="103"/>
      <c r="CB377" s="103"/>
      <c r="CC377" s="103"/>
      <c r="CD377" s="103"/>
      <c r="CE377" s="63"/>
      <c r="CF377" s="63"/>
      <c r="CG377" s="63"/>
      <c r="CH377" s="63"/>
      <c r="CI377" s="103"/>
      <c r="CJ377" s="103"/>
      <c r="CK377" s="103"/>
      <c r="CL377" s="103"/>
    </row>
    <row r="378" spans="2:90" ht="13" x14ac:dyDescent="0.15">
      <c r="B378" s="13"/>
      <c r="C378" s="14"/>
      <c r="D378" s="14"/>
      <c r="E378" s="14"/>
      <c r="F378" s="14"/>
      <c r="G378" s="103"/>
      <c r="H378" s="103"/>
      <c r="I378" s="103"/>
      <c r="J378" s="103"/>
      <c r="K378" s="63"/>
      <c r="L378" s="63"/>
      <c r="M378" s="63"/>
      <c r="N378" s="63"/>
      <c r="O378" s="103"/>
      <c r="P378" s="103"/>
      <c r="Q378" s="103"/>
      <c r="R378" s="103"/>
      <c r="S378" s="63"/>
      <c r="T378" s="63"/>
      <c r="U378" s="63"/>
      <c r="V378" s="63"/>
      <c r="W378" s="103"/>
      <c r="X378" s="103"/>
      <c r="Y378" s="103"/>
      <c r="Z378" s="103"/>
      <c r="AA378" s="63"/>
      <c r="AB378" s="63"/>
      <c r="AC378" s="63"/>
      <c r="AD378" s="63"/>
      <c r="AE378" s="103"/>
      <c r="AF378" s="103"/>
      <c r="AG378" s="103"/>
      <c r="AH378" s="103"/>
      <c r="AI378" s="63"/>
      <c r="AJ378" s="63"/>
      <c r="AK378" s="63"/>
      <c r="AL378" s="63"/>
      <c r="AM378" s="103"/>
      <c r="AN378" s="103"/>
      <c r="AO378" s="103"/>
      <c r="AP378" s="103"/>
      <c r="AQ378" s="63"/>
      <c r="AR378" s="63"/>
      <c r="AS378" s="63"/>
      <c r="AT378" s="63"/>
      <c r="AU378" s="103"/>
      <c r="AV378" s="103"/>
      <c r="AW378" s="103"/>
      <c r="AX378" s="103"/>
      <c r="AY378" s="63"/>
      <c r="AZ378" s="63"/>
      <c r="BA378" s="63"/>
      <c r="BB378" s="63"/>
      <c r="BC378" s="103"/>
      <c r="BD378" s="103"/>
      <c r="BE378" s="103"/>
      <c r="BF378" s="103"/>
      <c r="BG378" s="63"/>
      <c r="BH378" s="63"/>
      <c r="BI378" s="63"/>
      <c r="BJ378" s="63"/>
      <c r="BK378" s="103"/>
      <c r="BL378" s="103"/>
      <c r="BM378" s="103"/>
      <c r="BN378" s="103"/>
      <c r="BO378" s="63"/>
      <c r="BP378" s="63"/>
      <c r="BQ378" s="63"/>
      <c r="BR378" s="63"/>
      <c r="BS378" s="103"/>
      <c r="BT378" s="103"/>
      <c r="BU378" s="103"/>
      <c r="BV378" s="103"/>
      <c r="BW378" s="63"/>
      <c r="BX378" s="63"/>
      <c r="BY378" s="63"/>
      <c r="BZ378" s="63"/>
      <c r="CA378" s="103"/>
      <c r="CB378" s="103"/>
      <c r="CC378" s="103"/>
      <c r="CD378" s="103"/>
      <c r="CE378" s="63"/>
      <c r="CF378" s="63"/>
      <c r="CG378" s="63"/>
      <c r="CH378" s="63"/>
      <c r="CI378" s="103"/>
      <c r="CJ378" s="103"/>
      <c r="CK378" s="103"/>
      <c r="CL378" s="103"/>
    </row>
    <row r="379" spans="2:90" ht="13" x14ac:dyDescent="0.15">
      <c r="B379" s="13"/>
      <c r="C379" s="14"/>
      <c r="D379" s="14"/>
      <c r="E379" s="14"/>
      <c r="F379" s="14"/>
      <c r="G379" s="103"/>
      <c r="H379" s="103"/>
      <c r="I379" s="103"/>
      <c r="J379" s="103"/>
      <c r="K379" s="63"/>
      <c r="L379" s="63"/>
      <c r="M379" s="63"/>
      <c r="N379" s="63"/>
      <c r="O379" s="103"/>
      <c r="P379" s="103"/>
      <c r="Q379" s="103"/>
      <c r="R379" s="103"/>
      <c r="S379" s="63"/>
      <c r="T379" s="63"/>
      <c r="U379" s="63"/>
      <c r="V379" s="63"/>
      <c r="W379" s="103"/>
      <c r="X379" s="103"/>
      <c r="Y379" s="103"/>
      <c r="Z379" s="103"/>
      <c r="AA379" s="63"/>
      <c r="AB379" s="63"/>
      <c r="AC379" s="63"/>
      <c r="AD379" s="63"/>
      <c r="AE379" s="103"/>
      <c r="AF379" s="103"/>
      <c r="AG379" s="103"/>
      <c r="AH379" s="103"/>
      <c r="AI379" s="63"/>
      <c r="AJ379" s="63"/>
      <c r="AK379" s="63"/>
      <c r="AL379" s="63"/>
      <c r="AM379" s="103"/>
      <c r="AN379" s="103"/>
      <c r="AO379" s="103"/>
      <c r="AP379" s="103"/>
      <c r="AQ379" s="63"/>
      <c r="AR379" s="63"/>
      <c r="AS379" s="63"/>
      <c r="AT379" s="63"/>
      <c r="AU379" s="103"/>
      <c r="AV379" s="103"/>
      <c r="AW379" s="103"/>
      <c r="AX379" s="103"/>
      <c r="AY379" s="63"/>
      <c r="AZ379" s="63"/>
      <c r="BA379" s="63"/>
      <c r="BB379" s="63"/>
      <c r="BC379" s="103"/>
      <c r="BD379" s="103"/>
      <c r="BE379" s="103"/>
      <c r="BF379" s="103"/>
      <c r="BG379" s="63"/>
      <c r="BH379" s="63"/>
      <c r="BI379" s="63"/>
      <c r="BJ379" s="63"/>
      <c r="BK379" s="103"/>
      <c r="BL379" s="103"/>
      <c r="BM379" s="103"/>
      <c r="BN379" s="103"/>
      <c r="BO379" s="63"/>
      <c r="BP379" s="63"/>
      <c r="BQ379" s="63"/>
      <c r="BR379" s="63"/>
      <c r="BS379" s="103"/>
      <c r="BT379" s="103"/>
      <c r="BU379" s="103"/>
      <c r="BV379" s="103"/>
      <c r="BW379" s="63"/>
      <c r="BX379" s="63"/>
      <c r="BY379" s="63"/>
      <c r="BZ379" s="63"/>
      <c r="CA379" s="103"/>
      <c r="CB379" s="103"/>
      <c r="CC379" s="103"/>
      <c r="CD379" s="103"/>
      <c r="CE379" s="63"/>
      <c r="CF379" s="63"/>
      <c r="CG379" s="63"/>
      <c r="CH379" s="63"/>
      <c r="CI379" s="103"/>
      <c r="CJ379" s="103"/>
      <c r="CK379" s="103"/>
      <c r="CL379" s="103"/>
    </row>
    <row r="380" spans="2:90" ht="13" x14ac:dyDescent="0.15">
      <c r="B380" s="13"/>
      <c r="C380" s="14"/>
      <c r="D380" s="14"/>
      <c r="E380" s="14"/>
      <c r="F380" s="14"/>
      <c r="G380" s="103"/>
      <c r="H380" s="103"/>
      <c r="I380" s="103"/>
      <c r="J380" s="103"/>
      <c r="K380" s="63"/>
      <c r="L380" s="63"/>
      <c r="M380" s="63"/>
      <c r="N380" s="63"/>
      <c r="O380" s="103"/>
      <c r="P380" s="103"/>
      <c r="Q380" s="103"/>
      <c r="R380" s="103"/>
      <c r="S380" s="63"/>
      <c r="T380" s="63"/>
      <c r="U380" s="63"/>
      <c r="V380" s="63"/>
      <c r="W380" s="103"/>
      <c r="X380" s="103"/>
      <c r="Y380" s="103"/>
      <c r="Z380" s="103"/>
      <c r="AA380" s="63"/>
      <c r="AB380" s="63"/>
      <c r="AC380" s="63"/>
      <c r="AD380" s="63"/>
      <c r="AE380" s="103"/>
      <c r="AF380" s="103"/>
      <c r="AG380" s="103"/>
      <c r="AH380" s="103"/>
      <c r="AI380" s="63"/>
      <c r="AJ380" s="63"/>
      <c r="AK380" s="63"/>
      <c r="AL380" s="63"/>
      <c r="AM380" s="103"/>
      <c r="AN380" s="103"/>
      <c r="AO380" s="103"/>
      <c r="AP380" s="103"/>
      <c r="AQ380" s="63"/>
      <c r="AR380" s="63"/>
      <c r="AS380" s="63"/>
      <c r="AT380" s="63"/>
      <c r="AU380" s="103"/>
      <c r="AV380" s="103"/>
      <c r="AW380" s="103"/>
      <c r="AX380" s="103"/>
      <c r="AY380" s="63"/>
      <c r="AZ380" s="63"/>
      <c r="BA380" s="63"/>
      <c r="BB380" s="63"/>
      <c r="BC380" s="103"/>
      <c r="BD380" s="103"/>
      <c r="BE380" s="103"/>
      <c r="BF380" s="103"/>
      <c r="BG380" s="63"/>
      <c r="BH380" s="63"/>
      <c r="BI380" s="63"/>
      <c r="BJ380" s="63"/>
      <c r="BK380" s="103"/>
      <c r="BL380" s="103"/>
      <c r="BM380" s="103"/>
      <c r="BN380" s="103"/>
      <c r="BO380" s="63"/>
      <c r="BP380" s="63"/>
      <c r="BQ380" s="63"/>
      <c r="BR380" s="63"/>
      <c r="BS380" s="103"/>
      <c r="BT380" s="103"/>
      <c r="BU380" s="103"/>
      <c r="BV380" s="103"/>
      <c r="BW380" s="63"/>
      <c r="BX380" s="63"/>
      <c r="BY380" s="63"/>
      <c r="BZ380" s="63"/>
      <c r="CA380" s="103"/>
      <c r="CB380" s="103"/>
      <c r="CC380" s="103"/>
      <c r="CD380" s="103"/>
      <c r="CE380" s="63"/>
      <c r="CF380" s="63"/>
      <c r="CG380" s="63"/>
      <c r="CH380" s="63"/>
      <c r="CI380" s="103"/>
      <c r="CJ380" s="103"/>
      <c r="CK380" s="103"/>
      <c r="CL380" s="103"/>
    </row>
    <row r="381" spans="2:90" ht="13" x14ac:dyDescent="0.15">
      <c r="B381" s="13"/>
      <c r="C381" s="14"/>
      <c r="D381" s="14"/>
      <c r="E381" s="14"/>
      <c r="F381" s="14"/>
      <c r="G381" s="103"/>
      <c r="H381" s="103"/>
      <c r="I381" s="103"/>
      <c r="J381" s="103"/>
      <c r="K381" s="63"/>
      <c r="L381" s="63"/>
      <c r="M381" s="63"/>
      <c r="N381" s="63"/>
      <c r="O381" s="103"/>
      <c r="P381" s="103"/>
      <c r="Q381" s="103"/>
      <c r="R381" s="103"/>
      <c r="S381" s="63"/>
      <c r="T381" s="63"/>
      <c r="U381" s="63"/>
      <c r="V381" s="63"/>
      <c r="W381" s="103"/>
      <c r="X381" s="103"/>
      <c r="Y381" s="103"/>
      <c r="Z381" s="103"/>
      <c r="AA381" s="63"/>
      <c r="AB381" s="63"/>
      <c r="AC381" s="63"/>
      <c r="AD381" s="63"/>
      <c r="AE381" s="103"/>
      <c r="AF381" s="103"/>
      <c r="AG381" s="103"/>
      <c r="AH381" s="103"/>
      <c r="AI381" s="63"/>
      <c r="AJ381" s="63"/>
      <c r="AK381" s="63"/>
      <c r="AL381" s="63"/>
      <c r="AM381" s="103"/>
      <c r="AN381" s="103"/>
      <c r="AO381" s="103"/>
      <c r="AP381" s="103"/>
      <c r="AQ381" s="63"/>
      <c r="AR381" s="63"/>
      <c r="AS381" s="63"/>
      <c r="AT381" s="63"/>
      <c r="AU381" s="103"/>
      <c r="AV381" s="103"/>
      <c r="AW381" s="103"/>
      <c r="AX381" s="103"/>
      <c r="AY381" s="63"/>
      <c r="AZ381" s="63"/>
      <c r="BA381" s="63"/>
      <c r="BB381" s="63"/>
      <c r="BC381" s="103"/>
      <c r="BD381" s="103"/>
      <c r="BE381" s="103"/>
      <c r="BF381" s="103"/>
      <c r="BG381" s="63"/>
      <c r="BH381" s="63"/>
      <c r="BI381" s="63"/>
      <c r="BJ381" s="63"/>
      <c r="BK381" s="103"/>
      <c r="BL381" s="103"/>
      <c r="BM381" s="103"/>
      <c r="BN381" s="103"/>
      <c r="BO381" s="63"/>
      <c r="BP381" s="63"/>
      <c r="BQ381" s="63"/>
      <c r="BR381" s="63"/>
      <c r="BS381" s="103"/>
      <c r="BT381" s="103"/>
      <c r="BU381" s="103"/>
      <c r="BV381" s="103"/>
      <c r="BW381" s="63"/>
      <c r="BX381" s="63"/>
      <c r="BY381" s="63"/>
      <c r="BZ381" s="63"/>
      <c r="CA381" s="103"/>
      <c r="CB381" s="103"/>
      <c r="CC381" s="103"/>
      <c r="CD381" s="103"/>
      <c r="CE381" s="63"/>
      <c r="CF381" s="63"/>
      <c r="CG381" s="63"/>
      <c r="CH381" s="63"/>
      <c r="CI381" s="103"/>
      <c r="CJ381" s="103"/>
      <c r="CK381" s="103"/>
      <c r="CL381" s="103"/>
    </row>
    <row r="382" spans="2:90" ht="13" x14ac:dyDescent="0.15">
      <c r="B382" s="13"/>
      <c r="C382" s="14"/>
      <c r="D382" s="14"/>
      <c r="E382" s="14"/>
      <c r="F382" s="14"/>
      <c r="G382" s="103"/>
      <c r="H382" s="103"/>
      <c r="I382" s="103"/>
      <c r="J382" s="103"/>
      <c r="K382" s="63"/>
      <c r="L382" s="63"/>
      <c r="M382" s="63"/>
      <c r="N382" s="63"/>
      <c r="O382" s="103"/>
      <c r="P382" s="103"/>
      <c r="Q382" s="103"/>
      <c r="R382" s="103"/>
      <c r="S382" s="63"/>
      <c r="T382" s="63"/>
      <c r="U382" s="63"/>
      <c r="V382" s="63"/>
      <c r="W382" s="103"/>
      <c r="X382" s="103"/>
      <c r="Y382" s="103"/>
      <c r="Z382" s="103"/>
      <c r="AA382" s="63"/>
      <c r="AB382" s="63"/>
      <c r="AC382" s="63"/>
      <c r="AD382" s="63"/>
      <c r="AE382" s="103"/>
      <c r="AF382" s="103"/>
      <c r="AG382" s="103"/>
      <c r="AH382" s="103"/>
      <c r="AI382" s="63"/>
      <c r="AJ382" s="63"/>
      <c r="AK382" s="63"/>
      <c r="AL382" s="63"/>
      <c r="AM382" s="103"/>
      <c r="AN382" s="103"/>
      <c r="AO382" s="103"/>
      <c r="AP382" s="103"/>
      <c r="AQ382" s="63"/>
      <c r="AR382" s="63"/>
      <c r="AS382" s="63"/>
      <c r="AT382" s="63"/>
      <c r="AU382" s="103"/>
      <c r="AV382" s="103"/>
      <c r="AW382" s="103"/>
      <c r="AX382" s="103"/>
      <c r="AY382" s="63"/>
      <c r="AZ382" s="63"/>
      <c r="BA382" s="63"/>
      <c r="BB382" s="63"/>
      <c r="BC382" s="103"/>
      <c r="BD382" s="103"/>
      <c r="BE382" s="103"/>
      <c r="BF382" s="103"/>
      <c r="BG382" s="63"/>
      <c r="BH382" s="63"/>
      <c r="BI382" s="63"/>
      <c r="BJ382" s="63"/>
      <c r="BK382" s="103"/>
      <c r="BL382" s="103"/>
      <c r="BM382" s="103"/>
      <c r="BN382" s="103"/>
      <c r="BO382" s="63"/>
      <c r="BP382" s="63"/>
      <c r="BQ382" s="63"/>
      <c r="BR382" s="63"/>
      <c r="BS382" s="103"/>
      <c r="BT382" s="103"/>
      <c r="BU382" s="103"/>
      <c r="BV382" s="103"/>
      <c r="BW382" s="63"/>
      <c r="BX382" s="63"/>
      <c r="BY382" s="63"/>
      <c r="BZ382" s="63"/>
      <c r="CA382" s="103"/>
      <c r="CB382" s="103"/>
      <c r="CC382" s="103"/>
      <c r="CD382" s="103"/>
      <c r="CE382" s="63"/>
      <c r="CF382" s="63"/>
      <c r="CG382" s="63"/>
      <c r="CH382" s="63"/>
      <c r="CI382" s="103"/>
      <c r="CJ382" s="103"/>
      <c r="CK382" s="103"/>
      <c r="CL382" s="103"/>
    </row>
    <row r="383" spans="2:90" ht="13" x14ac:dyDescent="0.15">
      <c r="B383" s="13"/>
      <c r="C383" s="14"/>
      <c r="D383" s="14"/>
      <c r="E383" s="14"/>
      <c r="F383" s="14"/>
      <c r="G383" s="103"/>
      <c r="H383" s="103"/>
      <c r="I383" s="103"/>
      <c r="J383" s="103"/>
      <c r="K383" s="63"/>
      <c r="L383" s="63"/>
      <c r="M383" s="63"/>
      <c r="N383" s="63"/>
      <c r="O383" s="103"/>
      <c r="P383" s="103"/>
      <c r="Q383" s="103"/>
      <c r="R383" s="103"/>
      <c r="S383" s="63"/>
      <c r="T383" s="63"/>
      <c r="U383" s="63"/>
      <c r="V383" s="63"/>
      <c r="W383" s="103"/>
      <c r="X383" s="103"/>
      <c r="Y383" s="103"/>
      <c r="Z383" s="103"/>
      <c r="AA383" s="63"/>
      <c r="AB383" s="63"/>
      <c r="AC383" s="63"/>
      <c r="AD383" s="63"/>
      <c r="AE383" s="103"/>
      <c r="AF383" s="103"/>
      <c r="AG383" s="103"/>
      <c r="AH383" s="103"/>
      <c r="AI383" s="63"/>
      <c r="AJ383" s="63"/>
      <c r="AK383" s="63"/>
      <c r="AL383" s="63"/>
      <c r="AM383" s="103"/>
      <c r="AN383" s="103"/>
      <c r="AO383" s="103"/>
      <c r="AP383" s="103"/>
      <c r="AQ383" s="63"/>
      <c r="AR383" s="63"/>
      <c r="AS383" s="63"/>
      <c r="AT383" s="63"/>
      <c r="AU383" s="103"/>
      <c r="AV383" s="103"/>
      <c r="AW383" s="103"/>
      <c r="AX383" s="103"/>
      <c r="AY383" s="63"/>
      <c r="AZ383" s="63"/>
      <c r="BA383" s="63"/>
      <c r="BB383" s="63"/>
      <c r="BC383" s="103"/>
      <c r="BD383" s="103"/>
      <c r="BE383" s="103"/>
      <c r="BF383" s="103"/>
      <c r="BG383" s="63"/>
      <c r="BH383" s="63"/>
      <c r="BI383" s="63"/>
      <c r="BJ383" s="63"/>
      <c r="BK383" s="103"/>
      <c r="BL383" s="103"/>
      <c r="BM383" s="103"/>
      <c r="BN383" s="103"/>
      <c r="BO383" s="63"/>
      <c r="BP383" s="63"/>
      <c r="BQ383" s="63"/>
      <c r="BR383" s="63"/>
      <c r="BS383" s="103"/>
      <c r="BT383" s="103"/>
      <c r="BU383" s="103"/>
      <c r="BV383" s="103"/>
      <c r="BW383" s="63"/>
      <c r="BX383" s="63"/>
      <c r="BY383" s="63"/>
      <c r="BZ383" s="63"/>
      <c r="CA383" s="103"/>
      <c r="CB383" s="103"/>
      <c r="CC383" s="103"/>
      <c r="CD383" s="103"/>
      <c r="CE383" s="63"/>
      <c r="CF383" s="63"/>
      <c r="CG383" s="63"/>
      <c r="CH383" s="63"/>
      <c r="CI383" s="103"/>
      <c r="CJ383" s="103"/>
      <c r="CK383" s="103"/>
      <c r="CL383" s="103"/>
    </row>
    <row r="384" spans="2:90" ht="13" x14ac:dyDescent="0.15">
      <c r="B384" s="13"/>
      <c r="C384" s="14"/>
      <c r="D384" s="14"/>
      <c r="E384" s="14"/>
      <c r="F384" s="14"/>
      <c r="G384" s="103"/>
      <c r="H384" s="103"/>
      <c r="I384" s="103"/>
      <c r="J384" s="103"/>
      <c r="K384" s="63"/>
      <c r="L384" s="63"/>
      <c r="M384" s="63"/>
      <c r="N384" s="63"/>
      <c r="O384" s="103"/>
      <c r="P384" s="103"/>
      <c r="Q384" s="103"/>
      <c r="R384" s="103"/>
      <c r="S384" s="63"/>
      <c r="T384" s="63"/>
      <c r="U384" s="63"/>
      <c r="V384" s="63"/>
      <c r="W384" s="103"/>
      <c r="X384" s="103"/>
      <c r="Y384" s="103"/>
      <c r="Z384" s="103"/>
      <c r="AA384" s="63"/>
      <c r="AB384" s="63"/>
      <c r="AC384" s="63"/>
      <c r="AD384" s="63"/>
      <c r="AE384" s="103"/>
      <c r="AF384" s="103"/>
      <c r="AG384" s="103"/>
      <c r="AH384" s="103"/>
      <c r="AI384" s="63"/>
      <c r="AJ384" s="63"/>
      <c r="AK384" s="63"/>
      <c r="AL384" s="63"/>
      <c r="AM384" s="103"/>
      <c r="AN384" s="103"/>
      <c r="AO384" s="103"/>
      <c r="AP384" s="103"/>
      <c r="AQ384" s="63"/>
      <c r="AR384" s="63"/>
      <c r="AS384" s="63"/>
      <c r="AT384" s="63"/>
      <c r="AU384" s="103"/>
      <c r="AV384" s="103"/>
      <c r="AW384" s="103"/>
      <c r="AX384" s="103"/>
      <c r="AY384" s="63"/>
      <c r="AZ384" s="63"/>
      <c r="BA384" s="63"/>
      <c r="BB384" s="63"/>
      <c r="BC384" s="103"/>
      <c r="BD384" s="103"/>
      <c r="BE384" s="103"/>
      <c r="BF384" s="103"/>
      <c r="BG384" s="63"/>
      <c r="BH384" s="63"/>
      <c r="BI384" s="63"/>
      <c r="BJ384" s="63"/>
      <c r="BK384" s="103"/>
      <c r="BL384" s="103"/>
      <c r="BM384" s="103"/>
      <c r="BN384" s="103"/>
      <c r="BO384" s="63"/>
      <c r="BP384" s="63"/>
      <c r="BQ384" s="63"/>
      <c r="BR384" s="63"/>
      <c r="BS384" s="103"/>
      <c r="BT384" s="103"/>
      <c r="BU384" s="103"/>
      <c r="BV384" s="103"/>
      <c r="BW384" s="63"/>
      <c r="BX384" s="63"/>
      <c r="BY384" s="63"/>
      <c r="BZ384" s="63"/>
      <c r="CA384" s="103"/>
      <c r="CB384" s="103"/>
      <c r="CC384" s="103"/>
      <c r="CD384" s="103"/>
      <c r="CE384" s="63"/>
      <c r="CF384" s="63"/>
      <c r="CG384" s="63"/>
      <c r="CH384" s="63"/>
      <c r="CI384" s="103"/>
      <c r="CJ384" s="103"/>
      <c r="CK384" s="103"/>
      <c r="CL384" s="103"/>
    </row>
    <row r="385" spans="2:90" ht="13" x14ac:dyDescent="0.15">
      <c r="B385" s="13"/>
      <c r="C385" s="14"/>
      <c r="D385" s="14"/>
      <c r="E385" s="14"/>
      <c r="F385" s="14"/>
      <c r="G385" s="103"/>
      <c r="H385" s="103"/>
      <c r="I385" s="103"/>
      <c r="J385" s="103"/>
      <c r="K385" s="63"/>
      <c r="L385" s="63"/>
      <c r="M385" s="63"/>
      <c r="N385" s="63"/>
      <c r="O385" s="103"/>
      <c r="P385" s="103"/>
      <c r="Q385" s="103"/>
      <c r="R385" s="103"/>
      <c r="S385" s="63"/>
      <c r="T385" s="63"/>
      <c r="U385" s="63"/>
      <c r="V385" s="63"/>
      <c r="W385" s="103"/>
      <c r="X385" s="103"/>
      <c r="Y385" s="103"/>
      <c r="Z385" s="103"/>
      <c r="AA385" s="63"/>
      <c r="AB385" s="63"/>
      <c r="AC385" s="63"/>
      <c r="AD385" s="63"/>
      <c r="AE385" s="103"/>
      <c r="AF385" s="103"/>
      <c r="AG385" s="103"/>
      <c r="AH385" s="103"/>
      <c r="AI385" s="63"/>
      <c r="AJ385" s="63"/>
      <c r="AK385" s="63"/>
      <c r="AL385" s="63"/>
      <c r="AM385" s="103"/>
      <c r="AN385" s="103"/>
      <c r="AO385" s="103"/>
      <c r="AP385" s="103"/>
      <c r="AQ385" s="63"/>
      <c r="AR385" s="63"/>
      <c r="AS385" s="63"/>
      <c r="AT385" s="63"/>
      <c r="AU385" s="103"/>
      <c r="AV385" s="103"/>
      <c r="AW385" s="103"/>
      <c r="AX385" s="103"/>
      <c r="AY385" s="63"/>
      <c r="AZ385" s="63"/>
      <c r="BA385" s="63"/>
      <c r="BB385" s="63"/>
      <c r="BC385" s="103"/>
      <c r="BD385" s="103"/>
      <c r="BE385" s="103"/>
      <c r="BF385" s="103"/>
      <c r="BG385" s="63"/>
      <c r="BH385" s="63"/>
      <c r="BI385" s="63"/>
      <c r="BJ385" s="63"/>
      <c r="BK385" s="103"/>
      <c r="BL385" s="103"/>
      <c r="BM385" s="103"/>
      <c r="BN385" s="103"/>
      <c r="BO385" s="63"/>
      <c r="BP385" s="63"/>
      <c r="BQ385" s="63"/>
      <c r="BR385" s="63"/>
      <c r="BS385" s="103"/>
      <c r="BT385" s="103"/>
      <c r="BU385" s="103"/>
      <c r="BV385" s="103"/>
      <c r="BW385" s="63"/>
      <c r="BX385" s="63"/>
      <c r="BY385" s="63"/>
      <c r="BZ385" s="63"/>
      <c r="CA385" s="103"/>
      <c r="CB385" s="103"/>
      <c r="CC385" s="103"/>
      <c r="CD385" s="103"/>
      <c r="CE385" s="63"/>
      <c r="CF385" s="63"/>
      <c r="CG385" s="63"/>
      <c r="CH385" s="63"/>
      <c r="CI385" s="103"/>
      <c r="CJ385" s="103"/>
      <c r="CK385" s="103"/>
      <c r="CL385" s="103"/>
    </row>
    <row r="386" spans="2:90" ht="13" x14ac:dyDescent="0.15">
      <c r="B386" s="13"/>
      <c r="C386" s="14"/>
      <c r="D386" s="14"/>
      <c r="E386" s="14"/>
      <c r="F386" s="14"/>
      <c r="G386" s="103"/>
      <c r="H386" s="103"/>
      <c r="I386" s="103"/>
      <c r="J386" s="103"/>
      <c r="K386" s="63"/>
      <c r="L386" s="63"/>
      <c r="M386" s="63"/>
      <c r="N386" s="63"/>
      <c r="O386" s="103"/>
      <c r="P386" s="103"/>
      <c r="Q386" s="103"/>
      <c r="R386" s="103"/>
      <c r="S386" s="63"/>
      <c r="T386" s="63"/>
      <c r="U386" s="63"/>
      <c r="V386" s="63"/>
      <c r="W386" s="103"/>
      <c r="X386" s="103"/>
      <c r="Y386" s="103"/>
      <c r="Z386" s="103"/>
      <c r="AA386" s="63"/>
      <c r="AB386" s="63"/>
      <c r="AC386" s="63"/>
      <c r="AD386" s="63"/>
      <c r="AE386" s="103"/>
      <c r="AF386" s="103"/>
      <c r="AG386" s="103"/>
      <c r="AH386" s="103"/>
      <c r="AI386" s="63"/>
      <c r="AJ386" s="63"/>
      <c r="AK386" s="63"/>
      <c r="AL386" s="63"/>
      <c r="AM386" s="103"/>
      <c r="AN386" s="103"/>
      <c r="AO386" s="103"/>
      <c r="AP386" s="103"/>
      <c r="AQ386" s="63"/>
      <c r="AR386" s="63"/>
      <c r="AS386" s="63"/>
      <c r="AT386" s="63"/>
      <c r="AU386" s="103"/>
      <c r="AV386" s="103"/>
      <c r="AW386" s="103"/>
      <c r="AX386" s="103"/>
      <c r="AY386" s="63"/>
      <c r="AZ386" s="63"/>
      <c r="BA386" s="63"/>
      <c r="BB386" s="63"/>
      <c r="BC386" s="103"/>
      <c r="BD386" s="103"/>
      <c r="BE386" s="103"/>
      <c r="BF386" s="103"/>
      <c r="BG386" s="63"/>
      <c r="BH386" s="63"/>
      <c r="BI386" s="63"/>
      <c r="BJ386" s="63"/>
      <c r="BK386" s="103"/>
      <c r="BL386" s="103"/>
      <c r="BM386" s="103"/>
      <c r="BN386" s="103"/>
      <c r="BO386" s="63"/>
      <c r="BP386" s="63"/>
      <c r="BQ386" s="63"/>
      <c r="BR386" s="63"/>
      <c r="BS386" s="103"/>
      <c r="BT386" s="103"/>
      <c r="BU386" s="103"/>
      <c r="BV386" s="103"/>
      <c r="BW386" s="63"/>
      <c r="BX386" s="63"/>
      <c r="BY386" s="63"/>
      <c r="BZ386" s="63"/>
      <c r="CA386" s="103"/>
      <c r="CB386" s="103"/>
      <c r="CC386" s="103"/>
      <c r="CD386" s="103"/>
      <c r="CE386" s="63"/>
      <c r="CF386" s="63"/>
      <c r="CG386" s="63"/>
      <c r="CH386" s="63"/>
      <c r="CI386" s="103"/>
      <c r="CJ386" s="103"/>
      <c r="CK386" s="103"/>
      <c r="CL386" s="103"/>
    </row>
    <row r="387" spans="2:90" ht="13" x14ac:dyDescent="0.15">
      <c r="B387" s="13"/>
      <c r="C387" s="14"/>
      <c r="D387" s="14"/>
      <c r="E387" s="14"/>
      <c r="F387" s="14"/>
      <c r="G387" s="103"/>
      <c r="H387" s="103"/>
      <c r="I387" s="103"/>
      <c r="J387" s="103"/>
      <c r="K387" s="63"/>
      <c r="L387" s="63"/>
      <c r="M387" s="63"/>
      <c r="N387" s="63"/>
      <c r="O387" s="103"/>
      <c r="P387" s="103"/>
      <c r="Q387" s="103"/>
      <c r="R387" s="103"/>
      <c r="S387" s="63"/>
      <c r="T387" s="63"/>
      <c r="U387" s="63"/>
      <c r="V387" s="63"/>
      <c r="W387" s="103"/>
      <c r="X387" s="103"/>
      <c r="Y387" s="103"/>
      <c r="Z387" s="103"/>
      <c r="AA387" s="63"/>
      <c r="AB387" s="63"/>
      <c r="AC387" s="63"/>
      <c r="AD387" s="63"/>
      <c r="AE387" s="103"/>
      <c r="AF387" s="103"/>
      <c r="AG387" s="103"/>
      <c r="AH387" s="103"/>
      <c r="AI387" s="63"/>
      <c r="AJ387" s="63"/>
      <c r="AK387" s="63"/>
      <c r="AL387" s="63"/>
      <c r="AM387" s="103"/>
      <c r="AN387" s="103"/>
      <c r="AO387" s="103"/>
      <c r="AP387" s="103"/>
      <c r="AQ387" s="63"/>
      <c r="AR387" s="63"/>
      <c r="AS387" s="63"/>
      <c r="AT387" s="63"/>
      <c r="AU387" s="103"/>
      <c r="AV387" s="103"/>
      <c r="AW387" s="103"/>
      <c r="AX387" s="103"/>
      <c r="AY387" s="63"/>
      <c r="AZ387" s="63"/>
      <c r="BA387" s="63"/>
      <c r="BB387" s="63"/>
      <c r="BC387" s="103"/>
      <c r="BD387" s="103"/>
      <c r="BE387" s="103"/>
      <c r="BF387" s="103"/>
      <c r="BG387" s="63"/>
      <c r="BH387" s="63"/>
      <c r="BI387" s="63"/>
      <c r="BJ387" s="63"/>
      <c r="BK387" s="103"/>
      <c r="BL387" s="103"/>
      <c r="BM387" s="103"/>
      <c r="BN387" s="103"/>
      <c r="BO387" s="63"/>
      <c r="BP387" s="63"/>
      <c r="BQ387" s="63"/>
      <c r="BR387" s="63"/>
      <c r="BS387" s="103"/>
      <c r="BT387" s="103"/>
      <c r="BU387" s="103"/>
      <c r="BV387" s="103"/>
      <c r="BW387" s="63"/>
      <c r="BX387" s="63"/>
      <c r="BY387" s="63"/>
      <c r="BZ387" s="63"/>
      <c r="CA387" s="103"/>
      <c r="CB387" s="103"/>
      <c r="CC387" s="103"/>
      <c r="CD387" s="103"/>
      <c r="CE387" s="63"/>
      <c r="CF387" s="63"/>
      <c r="CG387" s="63"/>
      <c r="CH387" s="63"/>
      <c r="CI387" s="103"/>
      <c r="CJ387" s="103"/>
      <c r="CK387" s="103"/>
      <c r="CL387" s="103"/>
    </row>
    <row r="388" spans="2:90" ht="13" x14ac:dyDescent="0.15">
      <c r="B388" s="13"/>
      <c r="C388" s="14"/>
      <c r="D388" s="14"/>
      <c r="E388" s="14"/>
      <c r="F388" s="14"/>
      <c r="G388" s="103"/>
      <c r="H388" s="103"/>
      <c r="I388" s="103"/>
      <c r="J388" s="103"/>
      <c r="K388" s="63"/>
      <c r="L388" s="63"/>
      <c r="M388" s="63"/>
      <c r="N388" s="63"/>
      <c r="O388" s="103"/>
      <c r="P388" s="103"/>
      <c r="Q388" s="103"/>
      <c r="R388" s="103"/>
      <c r="S388" s="63"/>
      <c r="T388" s="63"/>
      <c r="U388" s="63"/>
      <c r="V388" s="63"/>
      <c r="W388" s="103"/>
      <c r="X388" s="103"/>
      <c r="Y388" s="103"/>
      <c r="Z388" s="103"/>
      <c r="AA388" s="63"/>
      <c r="AB388" s="63"/>
      <c r="AC388" s="63"/>
      <c r="AD388" s="63"/>
      <c r="AE388" s="103"/>
      <c r="AF388" s="103"/>
      <c r="AG388" s="103"/>
      <c r="AH388" s="103"/>
      <c r="AI388" s="63"/>
      <c r="AJ388" s="63"/>
      <c r="AK388" s="63"/>
      <c r="AL388" s="63"/>
      <c r="AM388" s="103"/>
      <c r="AN388" s="103"/>
      <c r="AO388" s="103"/>
      <c r="AP388" s="103"/>
      <c r="AQ388" s="63"/>
      <c r="AR388" s="63"/>
      <c r="AS388" s="63"/>
      <c r="AT388" s="63"/>
      <c r="AU388" s="103"/>
      <c r="AV388" s="103"/>
      <c r="AW388" s="103"/>
      <c r="AX388" s="103"/>
      <c r="AY388" s="63"/>
      <c r="AZ388" s="63"/>
      <c r="BA388" s="63"/>
      <c r="BB388" s="63"/>
      <c r="BC388" s="103"/>
      <c r="BD388" s="103"/>
      <c r="BE388" s="103"/>
      <c r="BF388" s="103"/>
      <c r="BG388" s="63"/>
      <c r="BH388" s="63"/>
      <c r="BI388" s="63"/>
      <c r="BJ388" s="63"/>
      <c r="BK388" s="103"/>
      <c r="BL388" s="103"/>
      <c r="BM388" s="103"/>
      <c r="BN388" s="103"/>
      <c r="BO388" s="63"/>
      <c r="BP388" s="63"/>
      <c r="BQ388" s="63"/>
      <c r="BR388" s="63"/>
      <c r="BS388" s="103"/>
      <c r="BT388" s="103"/>
      <c r="BU388" s="103"/>
      <c r="BV388" s="103"/>
      <c r="BW388" s="63"/>
      <c r="BX388" s="63"/>
      <c r="BY388" s="63"/>
      <c r="BZ388" s="63"/>
      <c r="CA388" s="103"/>
      <c r="CB388" s="103"/>
      <c r="CC388" s="103"/>
      <c r="CD388" s="103"/>
      <c r="CE388" s="63"/>
      <c r="CF388" s="63"/>
      <c r="CG388" s="63"/>
      <c r="CH388" s="63"/>
      <c r="CI388" s="103"/>
      <c r="CJ388" s="103"/>
      <c r="CK388" s="103"/>
      <c r="CL388" s="103"/>
    </row>
    <row r="389" spans="2:90" ht="13" x14ac:dyDescent="0.15">
      <c r="B389" s="13"/>
      <c r="C389" s="14"/>
      <c r="D389" s="14"/>
      <c r="E389" s="14"/>
      <c r="F389" s="14"/>
      <c r="G389" s="103"/>
      <c r="H389" s="103"/>
      <c r="I389" s="103"/>
      <c r="J389" s="103"/>
      <c r="K389" s="63"/>
      <c r="L389" s="63"/>
      <c r="M389" s="63"/>
      <c r="N389" s="63"/>
      <c r="O389" s="103"/>
      <c r="P389" s="103"/>
      <c r="Q389" s="103"/>
      <c r="R389" s="103"/>
      <c r="S389" s="63"/>
      <c r="T389" s="63"/>
      <c r="U389" s="63"/>
      <c r="V389" s="63"/>
      <c r="W389" s="103"/>
      <c r="X389" s="103"/>
      <c r="Y389" s="103"/>
      <c r="Z389" s="103"/>
      <c r="AA389" s="63"/>
      <c r="AB389" s="63"/>
      <c r="AC389" s="63"/>
      <c r="AD389" s="63"/>
      <c r="AE389" s="103"/>
      <c r="AF389" s="103"/>
      <c r="AG389" s="103"/>
      <c r="AH389" s="103"/>
      <c r="AI389" s="63"/>
      <c r="AJ389" s="63"/>
      <c r="AK389" s="63"/>
      <c r="AL389" s="63"/>
      <c r="AM389" s="103"/>
      <c r="AN389" s="103"/>
      <c r="AO389" s="103"/>
      <c r="AP389" s="103"/>
      <c r="AQ389" s="63"/>
      <c r="AR389" s="63"/>
      <c r="AS389" s="63"/>
      <c r="AT389" s="63"/>
      <c r="AU389" s="103"/>
      <c r="AV389" s="103"/>
      <c r="AW389" s="103"/>
      <c r="AX389" s="103"/>
      <c r="AY389" s="63"/>
      <c r="AZ389" s="63"/>
      <c r="BA389" s="63"/>
      <c r="BB389" s="63"/>
      <c r="BC389" s="103"/>
      <c r="BD389" s="103"/>
      <c r="BE389" s="103"/>
      <c r="BF389" s="103"/>
      <c r="BG389" s="63"/>
      <c r="BH389" s="63"/>
      <c r="BI389" s="63"/>
      <c r="BJ389" s="63"/>
      <c r="BK389" s="103"/>
      <c r="BL389" s="103"/>
      <c r="BM389" s="103"/>
      <c r="BN389" s="103"/>
      <c r="BO389" s="63"/>
      <c r="BP389" s="63"/>
      <c r="BQ389" s="63"/>
      <c r="BR389" s="63"/>
      <c r="BS389" s="103"/>
      <c r="BT389" s="103"/>
      <c r="BU389" s="103"/>
      <c r="BV389" s="103"/>
      <c r="BW389" s="63"/>
      <c r="BX389" s="63"/>
      <c r="BY389" s="63"/>
      <c r="BZ389" s="63"/>
      <c r="CA389" s="103"/>
      <c r="CB389" s="103"/>
      <c r="CC389" s="103"/>
      <c r="CD389" s="103"/>
      <c r="CE389" s="63"/>
      <c r="CF389" s="63"/>
      <c r="CG389" s="63"/>
      <c r="CH389" s="63"/>
      <c r="CI389" s="103"/>
      <c r="CJ389" s="103"/>
      <c r="CK389" s="103"/>
      <c r="CL389" s="103"/>
    </row>
    <row r="390" spans="2:90" ht="13" x14ac:dyDescent="0.15">
      <c r="B390" s="13"/>
      <c r="C390" s="14"/>
      <c r="D390" s="14"/>
      <c r="E390" s="14"/>
      <c r="F390" s="14"/>
      <c r="G390" s="103"/>
      <c r="H390" s="103"/>
      <c r="I390" s="103"/>
      <c r="J390" s="103"/>
      <c r="K390" s="63"/>
      <c r="L390" s="63"/>
      <c r="M390" s="63"/>
      <c r="N390" s="63"/>
      <c r="O390" s="103"/>
      <c r="P390" s="103"/>
      <c r="Q390" s="103"/>
      <c r="R390" s="103"/>
      <c r="S390" s="63"/>
      <c r="T390" s="63"/>
      <c r="U390" s="63"/>
      <c r="V390" s="63"/>
      <c r="W390" s="103"/>
      <c r="X390" s="103"/>
      <c r="Y390" s="103"/>
      <c r="Z390" s="103"/>
      <c r="AA390" s="63"/>
      <c r="AB390" s="63"/>
      <c r="AC390" s="63"/>
      <c r="AD390" s="63"/>
      <c r="AE390" s="103"/>
      <c r="AF390" s="103"/>
      <c r="AG390" s="103"/>
      <c r="AH390" s="103"/>
      <c r="AI390" s="63"/>
      <c r="AJ390" s="63"/>
      <c r="AK390" s="63"/>
      <c r="AL390" s="63"/>
      <c r="AM390" s="103"/>
      <c r="AN390" s="103"/>
      <c r="AO390" s="103"/>
      <c r="AP390" s="103"/>
      <c r="AQ390" s="63"/>
      <c r="AR390" s="63"/>
      <c r="AS390" s="63"/>
      <c r="AT390" s="63"/>
      <c r="AU390" s="103"/>
      <c r="AV390" s="103"/>
      <c r="AW390" s="103"/>
      <c r="AX390" s="103"/>
      <c r="AY390" s="63"/>
      <c r="AZ390" s="63"/>
      <c r="BA390" s="63"/>
      <c r="BB390" s="63"/>
      <c r="BC390" s="103"/>
      <c r="BD390" s="103"/>
      <c r="BE390" s="103"/>
      <c r="BF390" s="103"/>
      <c r="BG390" s="63"/>
      <c r="BH390" s="63"/>
      <c r="BI390" s="63"/>
      <c r="BJ390" s="63"/>
      <c r="BK390" s="103"/>
      <c r="BL390" s="103"/>
      <c r="BM390" s="103"/>
      <c r="BN390" s="103"/>
      <c r="BO390" s="63"/>
      <c r="BP390" s="63"/>
      <c r="BQ390" s="63"/>
      <c r="BR390" s="63"/>
      <c r="BS390" s="103"/>
      <c r="BT390" s="103"/>
      <c r="BU390" s="103"/>
      <c r="BV390" s="103"/>
      <c r="BW390" s="63"/>
      <c r="BX390" s="63"/>
      <c r="BY390" s="63"/>
      <c r="BZ390" s="63"/>
      <c r="CA390" s="103"/>
      <c r="CB390" s="103"/>
      <c r="CC390" s="103"/>
      <c r="CD390" s="103"/>
      <c r="CE390" s="63"/>
      <c r="CF390" s="63"/>
      <c r="CG390" s="63"/>
      <c r="CH390" s="63"/>
      <c r="CI390" s="103"/>
      <c r="CJ390" s="103"/>
      <c r="CK390" s="103"/>
      <c r="CL390" s="103"/>
    </row>
    <row r="391" spans="2:90" ht="13" x14ac:dyDescent="0.15">
      <c r="B391" s="13"/>
      <c r="C391" s="14"/>
      <c r="D391" s="14"/>
      <c r="E391" s="14"/>
      <c r="F391" s="14"/>
      <c r="G391" s="103"/>
      <c r="H391" s="103"/>
      <c r="I391" s="103"/>
      <c r="J391" s="103"/>
      <c r="K391" s="63"/>
      <c r="L391" s="63"/>
      <c r="M391" s="63"/>
      <c r="N391" s="63"/>
      <c r="O391" s="103"/>
      <c r="P391" s="103"/>
      <c r="Q391" s="103"/>
      <c r="R391" s="103"/>
      <c r="S391" s="63"/>
      <c r="T391" s="63"/>
      <c r="U391" s="63"/>
      <c r="V391" s="63"/>
      <c r="W391" s="103"/>
      <c r="X391" s="103"/>
      <c r="Y391" s="103"/>
      <c r="Z391" s="103"/>
      <c r="AA391" s="63"/>
      <c r="AB391" s="63"/>
      <c r="AC391" s="63"/>
      <c r="AD391" s="63"/>
      <c r="AE391" s="103"/>
      <c r="AF391" s="103"/>
      <c r="AG391" s="103"/>
      <c r="AH391" s="103"/>
      <c r="AI391" s="63"/>
      <c r="AJ391" s="63"/>
      <c r="AK391" s="63"/>
      <c r="AL391" s="63"/>
      <c r="AM391" s="103"/>
      <c r="AN391" s="103"/>
      <c r="AO391" s="103"/>
      <c r="AP391" s="103"/>
      <c r="AQ391" s="63"/>
      <c r="AR391" s="63"/>
      <c r="AS391" s="63"/>
      <c r="AT391" s="63"/>
      <c r="AU391" s="103"/>
      <c r="AV391" s="103"/>
      <c r="AW391" s="103"/>
      <c r="AX391" s="103"/>
      <c r="AY391" s="63"/>
      <c r="AZ391" s="63"/>
      <c r="BA391" s="63"/>
      <c r="BB391" s="63"/>
      <c r="BC391" s="103"/>
      <c r="BD391" s="103"/>
      <c r="BE391" s="103"/>
      <c r="BF391" s="103"/>
      <c r="BG391" s="63"/>
      <c r="BH391" s="63"/>
      <c r="BI391" s="63"/>
      <c r="BJ391" s="63"/>
      <c r="BK391" s="103"/>
      <c r="BL391" s="103"/>
      <c r="BM391" s="103"/>
      <c r="BN391" s="103"/>
      <c r="BO391" s="63"/>
      <c r="BP391" s="63"/>
      <c r="BQ391" s="63"/>
      <c r="BR391" s="63"/>
      <c r="BS391" s="103"/>
      <c r="BT391" s="103"/>
      <c r="BU391" s="103"/>
      <c r="BV391" s="103"/>
      <c r="BW391" s="63"/>
      <c r="BX391" s="63"/>
      <c r="BY391" s="63"/>
      <c r="BZ391" s="63"/>
      <c r="CA391" s="103"/>
      <c r="CB391" s="103"/>
      <c r="CC391" s="103"/>
      <c r="CD391" s="103"/>
      <c r="CE391" s="63"/>
      <c r="CF391" s="63"/>
      <c r="CG391" s="63"/>
      <c r="CH391" s="63"/>
      <c r="CI391" s="103"/>
      <c r="CJ391" s="103"/>
      <c r="CK391" s="103"/>
      <c r="CL391" s="103"/>
    </row>
    <row r="392" spans="2:90" ht="13" x14ac:dyDescent="0.15">
      <c r="B392" s="13"/>
      <c r="C392" s="14"/>
      <c r="D392" s="14"/>
      <c r="E392" s="14"/>
      <c r="F392" s="14"/>
      <c r="G392" s="103"/>
      <c r="H392" s="103"/>
      <c r="I392" s="103"/>
      <c r="J392" s="103"/>
      <c r="K392" s="63"/>
      <c r="L392" s="63"/>
      <c r="M392" s="63"/>
      <c r="N392" s="63"/>
      <c r="O392" s="103"/>
      <c r="P392" s="103"/>
      <c r="Q392" s="103"/>
      <c r="R392" s="103"/>
      <c r="S392" s="63"/>
      <c r="T392" s="63"/>
      <c r="U392" s="63"/>
      <c r="V392" s="63"/>
      <c r="W392" s="103"/>
      <c r="X392" s="103"/>
      <c r="Y392" s="103"/>
      <c r="Z392" s="103"/>
      <c r="AA392" s="63"/>
      <c r="AB392" s="63"/>
      <c r="AC392" s="63"/>
      <c r="AD392" s="63"/>
      <c r="AE392" s="103"/>
      <c r="AF392" s="103"/>
      <c r="AG392" s="103"/>
      <c r="AH392" s="103"/>
      <c r="AI392" s="63"/>
      <c r="AJ392" s="63"/>
      <c r="AK392" s="63"/>
      <c r="AL392" s="63"/>
      <c r="AM392" s="103"/>
      <c r="AN392" s="103"/>
      <c r="AO392" s="103"/>
      <c r="AP392" s="103"/>
      <c r="AQ392" s="63"/>
      <c r="AR392" s="63"/>
      <c r="AS392" s="63"/>
      <c r="AT392" s="63"/>
      <c r="AU392" s="103"/>
      <c r="AV392" s="103"/>
      <c r="AW392" s="103"/>
      <c r="AX392" s="103"/>
      <c r="AY392" s="63"/>
      <c r="AZ392" s="63"/>
      <c r="BA392" s="63"/>
      <c r="BB392" s="63"/>
      <c r="BC392" s="103"/>
      <c r="BD392" s="103"/>
      <c r="BE392" s="103"/>
      <c r="BF392" s="103"/>
      <c r="BG392" s="63"/>
      <c r="BH392" s="63"/>
      <c r="BI392" s="63"/>
      <c r="BJ392" s="63"/>
      <c r="BK392" s="103"/>
      <c r="BL392" s="103"/>
      <c r="BM392" s="103"/>
      <c r="BN392" s="103"/>
      <c r="BO392" s="63"/>
      <c r="BP392" s="63"/>
      <c r="BQ392" s="63"/>
      <c r="BR392" s="63"/>
      <c r="BS392" s="103"/>
      <c r="BT392" s="103"/>
      <c r="BU392" s="103"/>
      <c r="BV392" s="103"/>
      <c r="BW392" s="63"/>
      <c r="BX392" s="63"/>
      <c r="BY392" s="63"/>
      <c r="BZ392" s="63"/>
      <c r="CA392" s="103"/>
      <c r="CB392" s="103"/>
      <c r="CC392" s="103"/>
      <c r="CD392" s="103"/>
      <c r="CE392" s="63"/>
      <c r="CF392" s="63"/>
      <c r="CG392" s="63"/>
      <c r="CH392" s="63"/>
      <c r="CI392" s="103"/>
      <c r="CJ392" s="103"/>
      <c r="CK392" s="103"/>
      <c r="CL392" s="103"/>
    </row>
    <row r="393" spans="2:90" ht="13" x14ac:dyDescent="0.15">
      <c r="B393" s="13"/>
      <c r="C393" s="14"/>
      <c r="D393" s="14"/>
      <c r="E393" s="14"/>
      <c r="F393" s="14"/>
      <c r="G393" s="103"/>
      <c r="H393" s="103"/>
      <c r="I393" s="103"/>
      <c r="J393" s="103"/>
      <c r="K393" s="63"/>
      <c r="L393" s="63"/>
      <c r="M393" s="63"/>
      <c r="N393" s="63"/>
      <c r="O393" s="103"/>
      <c r="P393" s="103"/>
      <c r="Q393" s="103"/>
      <c r="R393" s="103"/>
      <c r="S393" s="63"/>
      <c r="T393" s="63"/>
      <c r="U393" s="63"/>
      <c r="V393" s="63"/>
      <c r="W393" s="103"/>
      <c r="X393" s="103"/>
      <c r="Y393" s="103"/>
      <c r="Z393" s="103"/>
      <c r="AA393" s="63"/>
      <c r="AB393" s="63"/>
      <c r="AC393" s="63"/>
      <c r="AD393" s="63"/>
      <c r="AE393" s="103"/>
      <c r="AF393" s="103"/>
      <c r="AG393" s="103"/>
      <c r="AH393" s="103"/>
      <c r="AI393" s="63"/>
      <c r="AJ393" s="63"/>
      <c r="AK393" s="63"/>
      <c r="AL393" s="63"/>
      <c r="AM393" s="103"/>
      <c r="AN393" s="103"/>
      <c r="AO393" s="103"/>
      <c r="AP393" s="103"/>
      <c r="AQ393" s="63"/>
      <c r="AR393" s="63"/>
      <c r="AS393" s="63"/>
      <c r="AT393" s="63"/>
      <c r="AU393" s="103"/>
      <c r="AV393" s="103"/>
      <c r="AW393" s="103"/>
      <c r="AX393" s="103"/>
      <c r="AY393" s="63"/>
      <c r="AZ393" s="63"/>
      <c r="BA393" s="63"/>
      <c r="BB393" s="63"/>
      <c r="BC393" s="103"/>
      <c r="BD393" s="103"/>
      <c r="BE393" s="103"/>
      <c r="BF393" s="103"/>
      <c r="BG393" s="63"/>
      <c r="BH393" s="63"/>
      <c r="BI393" s="63"/>
      <c r="BJ393" s="63"/>
      <c r="BK393" s="103"/>
      <c r="BL393" s="103"/>
      <c r="BM393" s="103"/>
      <c r="BN393" s="103"/>
      <c r="BO393" s="63"/>
      <c r="BP393" s="63"/>
      <c r="BQ393" s="63"/>
      <c r="BR393" s="63"/>
      <c r="BS393" s="103"/>
      <c r="BT393" s="103"/>
      <c r="BU393" s="103"/>
      <c r="BV393" s="103"/>
      <c r="BW393" s="63"/>
      <c r="BX393" s="63"/>
      <c r="BY393" s="63"/>
      <c r="BZ393" s="63"/>
      <c r="CA393" s="103"/>
      <c r="CB393" s="103"/>
      <c r="CC393" s="103"/>
      <c r="CD393" s="103"/>
      <c r="CE393" s="63"/>
      <c r="CF393" s="63"/>
      <c r="CG393" s="63"/>
      <c r="CH393" s="63"/>
      <c r="CI393" s="103"/>
      <c r="CJ393" s="103"/>
      <c r="CK393" s="103"/>
      <c r="CL393" s="103"/>
    </row>
    <row r="394" spans="2:90" ht="13" x14ac:dyDescent="0.15">
      <c r="B394" s="13"/>
      <c r="C394" s="14"/>
      <c r="D394" s="14"/>
      <c r="E394" s="14"/>
      <c r="F394" s="14"/>
      <c r="G394" s="103"/>
      <c r="H394" s="103"/>
      <c r="I394" s="103"/>
      <c r="J394" s="103"/>
      <c r="K394" s="63"/>
      <c r="L394" s="63"/>
      <c r="M394" s="63"/>
      <c r="N394" s="63"/>
      <c r="O394" s="103"/>
      <c r="P394" s="103"/>
      <c r="Q394" s="103"/>
      <c r="R394" s="103"/>
      <c r="S394" s="63"/>
      <c r="T394" s="63"/>
      <c r="U394" s="63"/>
      <c r="V394" s="63"/>
      <c r="W394" s="103"/>
      <c r="X394" s="103"/>
      <c r="Y394" s="103"/>
      <c r="Z394" s="103"/>
      <c r="AA394" s="63"/>
      <c r="AB394" s="63"/>
      <c r="AC394" s="63"/>
      <c r="AD394" s="63"/>
      <c r="AE394" s="103"/>
      <c r="AF394" s="103"/>
      <c r="AG394" s="103"/>
      <c r="AH394" s="103"/>
      <c r="AI394" s="63"/>
      <c r="AJ394" s="63"/>
      <c r="AK394" s="63"/>
      <c r="AL394" s="63"/>
      <c r="AM394" s="103"/>
      <c r="AN394" s="103"/>
      <c r="AO394" s="103"/>
      <c r="AP394" s="103"/>
      <c r="AQ394" s="63"/>
      <c r="AR394" s="63"/>
      <c r="AS394" s="63"/>
      <c r="AT394" s="63"/>
      <c r="AU394" s="103"/>
      <c r="AV394" s="103"/>
      <c r="AW394" s="103"/>
      <c r="AX394" s="103"/>
      <c r="AY394" s="63"/>
      <c r="AZ394" s="63"/>
      <c r="BA394" s="63"/>
      <c r="BB394" s="63"/>
      <c r="BC394" s="103"/>
      <c r="BD394" s="103"/>
      <c r="BE394" s="103"/>
      <c r="BF394" s="103"/>
      <c r="BG394" s="63"/>
      <c r="BH394" s="63"/>
      <c r="BI394" s="63"/>
      <c r="BJ394" s="63"/>
      <c r="BK394" s="103"/>
      <c r="BL394" s="103"/>
      <c r="BM394" s="103"/>
      <c r="BN394" s="103"/>
      <c r="BO394" s="63"/>
      <c r="BP394" s="63"/>
      <c r="BQ394" s="63"/>
      <c r="BR394" s="63"/>
      <c r="BS394" s="103"/>
      <c r="BT394" s="103"/>
      <c r="BU394" s="103"/>
      <c r="BV394" s="103"/>
      <c r="BW394" s="63"/>
      <c r="BX394" s="63"/>
      <c r="BY394" s="63"/>
      <c r="BZ394" s="63"/>
      <c r="CA394" s="103"/>
      <c r="CB394" s="103"/>
      <c r="CC394" s="103"/>
      <c r="CD394" s="103"/>
      <c r="CE394" s="63"/>
      <c r="CF394" s="63"/>
      <c r="CG394" s="63"/>
      <c r="CH394" s="63"/>
      <c r="CI394" s="103"/>
      <c r="CJ394" s="103"/>
      <c r="CK394" s="103"/>
      <c r="CL394" s="103"/>
    </row>
    <row r="395" spans="2:90" ht="13" x14ac:dyDescent="0.15">
      <c r="B395" s="13"/>
      <c r="C395" s="14"/>
      <c r="D395" s="14"/>
      <c r="E395" s="14"/>
      <c r="F395" s="14"/>
      <c r="G395" s="103"/>
      <c r="H395" s="103"/>
      <c r="I395" s="103"/>
      <c r="J395" s="103"/>
      <c r="K395" s="63"/>
      <c r="L395" s="63"/>
      <c r="M395" s="63"/>
      <c r="N395" s="63"/>
      <c r="O395" s="103"/>
      <c r="P395" s="103"/>
      <c r="Q395" s="103"/>
      <c r="R395" s="103"/>
      <c r="S395" s="63"/>
      <c r="T395" s="63"/>
      <c r="U395" s="63"/>
      <c r="V395" s="63"/>
      <c r="W395" s="103"/>
      <c r="X395" s="103"/>
      <c r="Y395" s="103"/>
      <c r="Z395" s="103"/>
      <c r="AA395" s="63"/>
      <c r="AB395" s="63"/>
      <c r="AC395" s="63"/>
      <c r="AD395" s="63"/>
      <c r="AE395" s="103"/>
      <c r="AF395" s="103"/>
      <c r="AG395" s="103"/>
      <c r="AH395" s="103"/>
      <c r="AI395" s="63"/>
      <c r="AJ395" s="63"/>
      <c r="AK395" s="63"/>
      <c r="AL395" s="63"/>
      <c r="AM395" s="103"/>
      <c r="AN395" s="103"/>
      <c r="AO395" s="103"/>
      <c r="AP395" s="103"/>
      <c r="AQ395" s="63"/>
      <c r="AR395" s="63"/>
      <c r="AS395" s="63"/>
      <c r="AT395" s="63"/>
      <c r="AU395" s="103"/>
      <c r="AV395" s="103"/>
      <c r="AW395" s="103"/>
      <c r="AX395" s="103"/>
      <c r="AY395" s="63"/>
      <c r="AZ395" s="63"/>
      <c r="BA395" s="63"/>
      <c r="BB395" s="63"/>
      <c r="BC395" s="103"/>
      <c r="BD395" s="103"/>
      <c r="BE395" s="103"/>
      <c r="BF395" s="103"/>
      <c r="BG395" s="63"/>
      <c r="BH395" s="63"/>
      <c r="BI395" s="63"/>
      <c r="BJ395" s="63"/>
      <c r="BK395" s="103"/>
      <c r="BL395" s="103"/>
      <c r="BM395" s="103"/>
      <c r="BN395" s="103"/>
      <c r="BO395" s="63"/>
      <c r="BP395" s="63"/>
      <c r="BQ395" s="63"/>
      <c r="BR395" s="63"/>
      <c r="BS395" s="103"/>
      <c r="BT395" s="103"/>
      <c r="BU395" s="103"/>
      <c r="BV395" s="103"/>
      <c r="BW395" s="63"/>
      <c r="BX395" s="63"/>
      <c r="BY395" s="63"/>
      <c r="BZ395" s="63"/>
      <c r="CA395" s="103"/>
      <c r="CB395" s="103"/>
      <c r="CC395" s="103"/>
      <c r="CD395" s="103"/>
      <c r="CE395" s="63"/>
      <c r="CF395" s="63"/>
      <c r="CG395" s="63"/>
      <c r="CH395" s="63"/>
      <c r="CI395" s="103"/>
      <c r="CJ395" s="103"/>
      <c r="CK395" s="103"/>
      <c r="CL395" s="103"/>
    </row>
    <row r="396" spans="2:90" ht="13" x14ac:dyDescent="0.15">
      <c r="B396" s="13"/>
      <c r="C396" s="14"/>
      <c r="D396" s="14"/>
      <c r="E396" s="14"/>
      <c r="F396" s="14"/>
      <c r="G396" s="103"/>
      <c r="H396" s="103"/>
      <c r="I396" s="103"/>
      <c r="J396" s="103"/>
      <c r="K396" s="63"/>
      <c r="L396" s="63"/>
      <c r="M396" s="63"/>
      <c r="N396" s="63"/>
      <c r="O396" s="103"/>
      <c r="P396" s="103"/>
      <c r="Q396" s="103"/>
      <c r="R396" s="103"/>
      <c r="S396" s="63"/>
      <c r="T396" s="63"/>
      <c r="U396" s="63"/>
      <c r="V396" s="63"/>
      <c r="W396" s="103"/>
      <c r="X396" s="103"/>
      <c r="Y396" s="103"/>
      <c r="Z396" s="103"/>
      <c r="AA396" s="63"/>
      <c r="AB396" s="63"/>
      <c r="AC396" s="63"/>
      <c r="AD396" s="63"/>
      <c r="AE396" s="103"/>
      <c r="AF396" s="103"/>
      <c r="AG396" s="103"/>
      <c r="AH396" s="103"/>
      <c r="AI396" s="63"/>
      <c r="AJ396" s="63"/>
      <c r="AK396" s="63"/>
      <c r="AL396" s="63"/>
      <c r="AM396" s="103"/>
      <c r="AN396" s="103"/>
      <c r="AO396" s="103"/>
      <c r="AP396" s="103"/>
      <c r="AQ396" s="63"/>
      <c r="AR396" s="63"/>
      <c r="AS396" s="63"/>
      <c r="AT396" s="63"/>
      <c r="AU396" s="103"/>
      <c r="AV396" s="103"/>
      <c r="AW396" s="103"/>
      <c r="AX396" s="103"/>
      <c r="AY396" s="63"/>
      <c r="AZ396" s="63"/>
      <c r="BA396" s="63"/>
      <c r="BB396" s="63"/>
      <c r="BC396" s="103"/>
      <c r="BD396" s="103"/>
      <c r="BE396" s="103"/>
      <c r="BF396" s="103"/>
      <c r="BG396" s="63"/>
      <c r="BH396" s="63"/>
      <c r="BI396" s="63"/>
      <c r="BJ396" s="63"/>
      <c r="BK396" s="103"/>
      <c r="BL396" s="103"/>
      <c r="BM396" s="103"/>
      <c r="BN396" s="103"/>
      <c r="BO396" s="63"/>
      <c r="BP396" s="63"/>
      <c r="BQ396" s="63"/>
      <c r="BR396" s="63"/>
      <c r="BS396" s="103"/>
      <c r="BT396" s="103"/>
      <c r="BU396" s="103"/>
      <c r="BV396" s="103"/>
      <c r="BW396" s="63"/>
      <c r="BX396" s="63"/>
      <c r="BY396" s="63"/>
      <c r="BZ396" s="63"/>
      <c r="CA396" s="103"/>
      <c r="CB396" s="103"/>
      <c r="CC396" s="103"/>
      <c r="CD396" s="103"/>
      <c r="CE396" s="63"/>
      <c r="CF396" s="63"/>
      <c r="CG396" s="63"/>
      <c r="CH396" s="63"/>
      <c r="CI396" s="103"/>
      <c r="CJ396" s="103"/>
      <c r="CK396" s="103"/>
      <c r="CL396" s="103"/>
    </row>
    <row r="397" spans="2:90" ht="13" x14ac:dyDescent="0.15">
      <c r="B397" s="13"/>
      <c r="C397" s="14"/>
      <c r="D397" s="14"/>
      <c r="E397" s="14"/>
      <c r="F397" s="14"/>
      <c r="G397" s="103"/>
      <c r="H397" s="103"/>
      <c r="I397" s="103"/>
      <c r="J397" s="103"/>
      <c r="K397" s="63"/>
      <c r="L397" s="63"/>
      <c r="M397" s="63"/>
      <c r="N397" s="63"/>
      <c r="O397" s="103"/>
      <c r="P397" s="103"/>
      <c r="Q397" s="103"/>
      <c r="R397" s="103"/>
      <c r="S397" s="63"/>
      <c r="T397" s="63"/>
      <c r="U397" s="63"/>
      <c r="V397" s="63"/>
      <c r="W397" s="103"/>
      <c r="X397" s="103"/>
      <c r="Y397" s="103"/>
      <c r="Z397" s="103"/>
      <c r="AA397" s="63"/>
      <c r="AB397" s="63"/>
      <c r="AC397" s="63"/>
      <c r="AD397" s="63"/>
      <c r="AE397" s="103"/>
      <c r="AF397" s="103"/>
      <c r="AG397" s="103"/>
      <c r="AH397" s="103"/>
      <c r="AI397" s="63"/>
      <c r="AJ397" s="63"/>
      <c r="AK397" s="63"/>
      <c r="AL397" s="63"/>
      <c r="AM397" s="103"/>
      <c r="AN397" s="103"/>
      <c r="AO397" s="103"/>
      <c r="AP397" s="103"/>
      <c r="AQ397" s="63"/>
      <c r="AR397" s="63"/>
      <c r="AS397" s="63"/>
      <c r="AT397" s="63"/>
      <c r="AU397" s="103"/>
      <c r="AV397" s="103"/>
      <c r="AW397" s="103"/>
      <c r="AX397" s="103"/>
      <c r="AY397" s="63"/>
      <c r="AZ397" s="63"/>
      <c r="BA397" s="63"/>
      <c r="BB397" s="63"/>
      <c r="BC397" s="103"/>
      <c r="BD397" s="103"/>
      <c r="BE397" s="103"/>
      <c r="BF397" s="103"/>
      <c r="BG397" s="63"/>
      <c r="BH397" s="63"/>
      <c r="BI397" s="63"/>
      <c r="BJ397" s="63"/>
      <c r="BK397" s="103"/>
      <c r="BL397" s="103"/>
      <c r="BM397" s="103"/>
      <c r="BN397" s="103"/>
      <c r="BO397" s="63"/>
      <c r="BP397" s="63"/>
      <c r="BQ397" s="63"/>
      <c r="BR397" s="63"/>
      <c r="BS397" s="103"/>
      <c r="BT397" s="103"/>
      <c r="BU397" s="103"/>
      <c r="BV397" s="103"/>
      <c r="BW397" s="63"/>
      <c r="BX397" s="63"/>
      <c r="BY397" s="63"/>
      <c r="BZ397" s="63"/>
      <c r="CA397" s="103"/>
      <c r="CB397" s="103"/>
      <c r="CC397" s="103"/>
      <c r="CD397" s="103"/>
      <c r="CE397" s="63"/>
      <c r="CF397" s="63"/>
      <c r="CG397" s="63"/>
      <c r="CH397" s="63"/>
      <c r="CI397" s="103"/>
      <c r="CJ397" s="103"/>
      <c r="CK397" s="103"/>
      <c r="CL397" s="103"/>
    </row>
    <row r="398" spans="2:90" ht="13" x14ac:dyDescent="0.15">
      <c r="B398" s="13"/>
      <c r="C398" s="14"/>
      <c r="D398" s="14"/>
      <c r="E398" s="14"/>
      <c r="F398" s="14"/>
      <c r="G398" s="103"/>
      <c r="H398" s="103"/>
      <c r="I398" s="103"/>
      <c r="J398" s="103"/>
      <c r="K398" s="63"/>
      <c r="L398" s="63"/>
      <c r="M398" s="63"/>
      <c r="N398" s="63"/>
      <c r="O398" s="103"/>
      <c r="P398" s="103"/>
      <c r="Q398" s="103"/>
      <c r="R398" s="103"/>
      <c r="S398" s="63"/>
      <c r="T398" s="63"/>
      <c r="U398" s="63"/>
      <c r="V398" s="63"/>
      <c r="W398" s="103"/>
      <c r="X398" s="103"/>
      <c r="Y398" s="103"/>
      <c r="Z398" s="103"/>
      <c r="AA398" s="63"/>
      <c r="AB398" s="63"/>
      <c r="AC398" s="63"/>
      <c r="AD398" s="63"/>
      <c r="AE398" s="103"/>
      <c r="AF398" s="103"/>
      <c r="AG398" s="103"/>
      <c r="AH398" s="103"/>
      <c r="AI398" s="63"/>
      <c r="AJ398" s="63"/>
      <c r="AK398" s="63"/>
      <c r="AL398" s="63"/>
      <c r="AM398" s="103"/>
      <c r="AN398" s="103"/>
      <c r="AO398" s="103"/>
      <c r="AP398" s="103"/>
      <c r="AQ398" s="63"/>
      <c r="AR398" s="63"/>
      <c r="AS398" s="63"/>
      <c r="AT398" s="63"/>
      <c r="AU398" s="103"/>
      <c r="AV398" s="103"/>
      <c r="AW398" s="103"/>
      <c r="AX398" s="103"/>
      <c r="AY398" s="63"/>
      <c r="AZ398" s="63"/>
      <c r="BA398" s="63"/>
      <c r="BB398" s="63"/>
      <c r="BC398" s="103"/>
      <c r="BD398" s="103"/>
      <c r="BE398" s="103"/>
      <c r="BF398" s="103"/>
      <c r="BG398" s="63"/>
      <c r="BH398" s="63"/>
      <c r="BI398" s="63"/>
      <c r="BJ398" s="63"/>
      <c r="BK398" s="103"/>
      <c r="BL398" s="103"/>
      <c r="BM398" s="103"/>
      <c r="BN398" s="103"/>
      <c r="BO398" s="63"/>
      <c r="BP398" s="63"/>
      <c r="BQ398" s="63"/>
      <c r="BR398" s="63"/>
      <c r="BS398" s="103"/>
      <c r="BT398" s="103"/>
      <c r="BU398" s="103"/>
      <c r="BV398" s="103"/>
      <c r="BW398" s="63"/>
      <c r="BX398" s="63"/>
      <c r="BY398" s="63"/>
      <c r="BZ398" s="63"/>
      <c r="CA398" s="103"/>
      <c r="CB398" s="103"/>
      <c r="CC398" s="103"/>
      <c r="CD398" s="103"/>
      <c r="CE398" s="63"/>
      <c r="CF398" s="63"/>
      <c r="CG398" s="63"/>
      <c r="CH398" s="63"/>
      <c r="CI398" s="103"/>
      <c r="CJ398" s="103"/>
      <c r="CK398" s="103"/>
      <c r="CL398" s="103"/>
    </row>
    <row r="399" spans="2:90" ht="13" x14ac:dyDescent="0.15">
      <c r="B399" s="13"/>
      <c r="C399" s="14"/>
      <c r="D399" s="14"/>
      <c r="E399" s="14"/>
      <c r="F399" s="14"/>
      <c r="G399" s="103"/>
      <c r="H399" s="103"/>
      <c r="I399" s="103"/>
      <c r="J399" s="103"/>
      <c r="K399" s="63"/>
      <c r="L399" s="63"/>
      <c r="M399" s="63"/>
      <c r="N399" s="63"/>
      <c r="O399" s="103"/>
      <c r="P399" s="103"/>
      <c r="Q399" s="103"/>
      <c r="R399" s="103"/>
      <c r="S399" s="63"/>
      <c r="T399" s="63"/>
      <c r="U399" s="63"/>
      <c r="V399" s="63"/>
      <c r="W399" s="103"/>
      <c r="X399" s="103"/>
      <c r="Y399" s="103"/>
      <c r="Z399" s="103"/>
      <c r="AA399" s="63"/>
      <c r="AB399" s="63"/>
      <c r="AC399" s="63"/>
      <c r="AD399" s="63"/>
      <c r="AE399" s="103"/>
      <c r="AF399" s="103"/>
      <c r="AG399" s="103"/>
      <c r="AH399" s="103"/>
      <c r="AI399" s="63"/>
      <c r="AJ399" s="63"/>
      <c r="AK399" s="63"/>
      <c r="AL399" s="63"/>
      <c r="AM399" s="103"/>
      <c r="AN399" s="103"/>
      <c r="AO399" s="103"/>
      <c r="AP399" s="103"/>
      <c r="AQ399" s="63"/>
      <c r="AR399" s="63"/>
      <c r="AS399" s="63"/>
      <c r="AT399" s="63"/>
      <c r="AU399" s="103"/>
      <c r="AV399" s="103"/>
      <c r="AW399" s="103"/>
      <c r="AX399" s="103"/>
      <c r="AY399" s="63"/>
      <c r="AZ399" s="63"/>
      <c r="BA399" s="63"/>
      <c r="BB399" s="63"/>
      <c r="BC399" s="103"/>
      <c r="BD399" s="103"/>
      <c r="BE399" s="103"/>
      <c r="BF399" s="103"/>
      <c r="BG399" s="63"/>
      <c r="BH399" s="63"/>
      <c r="BI399" s="63"/>
      <c r="BJ399" s="63"/>
      <c r="BK399" s="103"/>
      <c r="BL399" s="103"/>
      <c r="BM399" s="103"/>
      <c r="BN399" s="103"/>
      <c r="BO399" s="63"/>
      <c r="BP399" s="63"/>
      <c r="BQ399" s="63"/>
      <c r="BR399" s="63"/>
      <c r="BS399" s="103"/>
      <c r="BT399" s="103"/>
      <c r="BU399" s="103"/>
      <c r="BV399" s="103"/>
      <c r="BW399" s="63"/>
      <c r="BX399" s="63"/>
      <c r="BY399" s="63"/>
      <c r="BZ399" s="63"/>
      <c r="CA399" s="103"/>
      <c r="CB399" s="103"/>
      <c r="CC399" s="103"/>
      <c r="CD399" s="103"/>
      <c r="CE399" s="63"/>
      <c r="CF399" s="63"/>
      <c r="CG399" s="63"/>
      <c r="CH399" s="63"/>
      <c r="CI399" s="103"/>
      <c r="CJ399" s="103"/>
      <c r="CK399" s="103"/>
      <c r="CL399" s="103"/>
    </row>
    <row r="400" spans="2:90" ht="13" x14ac:dyDescent="0.15">
      <c r="B400" s="13"/>
      <c r="C400" s="14"/>
      <c r="D400" s="14"/>
      <c r="E400" s="14"/>
      <c r="F400" s="14"/>
      <c r="G400" s="103"/>
      <c r="H400" s="103"/>
      <c r="I400" s="103"/>
      <c r="J400" s="103"/>
      <c r="K400" s="63"/>
      <c r="L400" s="63"/>
      <c r="M400" s="63"/>
      <c r="N400" s="63"/>
      <c r="O400" s="103"/>
      <c r="P400" s="103"/>
      <c r="Q400" s="103"/>
      <c r="R400" s="103"/>
      <c r="S400" s="63"/>
      <c r="T400" s="63"/>
      <c r="U400" s="63"/>
      <c r="V400" s="63"/>
      <c r="W400" s="103"/>
      <c r="X400" s="103"/>
      <c r="Y400" s="103"/>
      <c r="Z400" s="103"/>
      <c r="AA400" s="63"/>
      <c r="AB400" s="63"/>
      <c r="AC400" s="63"/>
      <c r="AD400" s="63"/>
      <c r="AE400" s="103"/>
      <c r="AF400" s="103"/>
      <c r="AG400" s="103"/>
      <c r="AH400" s="103"/>
      <c r="AI400" s="63"/>
      <c r="AJ400" s="63"/>
      <c r="AK400" s="63"/>
      <c r="AL400" s="63"/>
      <c r="AM400" s="103"/>
      <c r="AN400" s="103"/>
      <c r="AO400" s="103"/>
      <c r="AP400" s="103"/>
      <c r="AQ400" s="63"/>
      <c r="AR400" s="63"/>
      <c r="AS400" s="63"/>
      <c r="AT400" s="63"/>
      <c r="AU400" s="103"/>
      <c r="AV400" s="103"/>
      <c r="AW400" s="103"/>
      <c r="AX400" s="103"/>
      <c r="AY400" s="63"/>
      <c r="AZ400" s="63"/>
      <c r="BA400" s="63"/>
      <c r="BB400" s="63"/>
      <c r="BC400" s="103"/>
      <c r="BD400" s="103"/>
      <c r="BE400" s="103"/>
      <c r="BF400" s="103"/>
      <c r="BG400" s="63"/>
      <c r="BH400" s="63"/>
      <c r="BI400" s="63"/>
      <c r="BJ400" s="63"/>
      <c r="BK400" s="103"/>
      <c r="BL400" s="103"/>
      <c r="BM400" s="103"/>
      <c r="BN400" s="103"/>
      <c r="BO400" s="63"/>
      <c r="BP400" s="63"/>
      <c r="BQ400" s="63"/>
      <c r="BR400" s="63"/>
      <c r="BS400" s="103"/>
      <c r="BT400" s="103"/>
      <c r="BU400" s="103"/>
      <c r="BV400" s="103"/>
      <c r="BW400" s="63"/>
      <c r="BX400" s="63"/>
      <c r="BY400" s="63"/>
      <c r="BZ400" s="63"/>
      <c r="CA400" s="103"/>
      <c r="CB400" s="103"/>
      <c r="CC400" s="103"/>
      <c r="CD400" s="103"/>
      <c r="CE400" s="63"/>
      <c r="CF400" s="63"/>
      <c r="CG400" s="63"/>
      <c r="CH400" s="63"/>
      <c r="CI400" s="103"/>
      <c r="CJ400" s="103"/>
      <c r="CK400" s="103"/>
      <c r="CL400" s="103"/>
    </row>
    <row r="401" spans="2:90" ht="13" x14ac:dyDescent="0.15">
      <c r="B401" s="13"/>
      <c r="C401" s="14"/>
      <c r="D401" s="14"/>
      <c r="E401" s="14"/>
      <c r="F401" s="14"/>
      <c r="G401" s="103"/>
      <c r="H401" s="103"/>
      <c r="I401" s="103"/>
      <c r="J401" s="103"/>
      <c r="K401" s="63"/>
      <c r="L401" s="63"/>
      <c r="M401" s="63"/>
      <c r="N401" s="63"/>
      <c r="O401" s="103"/>
      <c r="P401" s="103"/>
      <c r="Q401" s="103"/>
      <c r="R401" s="103"/>
      <c r="S401" s="63"/>
      <c r="T401" s="63"/>
      <c r="U401" s="63"/>
      <c r="V401" s="63"/>
      <c r="W401" s="103"/>
      <c r="X401" s="103"/>
      <c r="Y401" s="103"/>
      <c r="Z401" s="103"/>
      <c r="AA401" s="63"/>
      <c r="AB401" s="63"/>
      <c r="AC401" s="63"/>
      <c r="AD401" s="63"/>
      <c r="AE401" s="103"/>
      <c r="AF401" s="103"/>
      <c r="AG401" s="103"/>
      <c r="AH401" s="103"/>
      <c r="AI401" s="63"/>
      <c r="AJ401" s="63"/>
      <c r="AK401" s="63"/>
      <c r="AL401" s="63"/>
      <c r="AM401" s="103"/>
      <c r="AN401" s="103"/>
      <c r="AO401" s="103"/>
      <c r="AP401" s="103"/>
      <c r="AQ401" s="63"/>
      <c r="AR401" s="63"/>
      <c r="AS401" s="63"/>
      <c r="AT401" s="63"/>
      <c r="AU401" s="103"/>
      <c r="AV401" s="103"/>
      <c r="AW401" s="103"/>
      <c r="AX401" s="103"/>
      <c r="AY401" s="63"/>
      <c r="AZ401" s="63"/>
      <c r="BA401" s="63"/>
      <c r="BB401" s="63"/>
      <c r="BC401" s="103"/>
      <c r="BD401" s="103"/>
      <c r="BE401" s="103"/>
      <c r="BF401" s="103"/>
      <c r="BG401" s="63"/>
      <c r="BH401" s="63"/>
      <c r="BI401" s="63"/>
      <c r="BJ401" s="63"/>
      <c r="BK401" s="103"/>
      <c r="BL401" s="103"/>
      <c r="BM401" s="103"/>
      <c r="BN401" s="103"/>
      <c r="BO401" s="63"/>
      <c r="BP401" s="63"/>
      <c r="BQ401" s="63"/>
      <c r="BR401" s="63"/>
      <c r="BS401" s="103"/>
      <c r="BT401" s="103"/>
      <c r="BU401" s="103"/>
      <c r="BV401" s="103"/>
      <c r="BW401" s="63"/>
      <c r="BX401" s="63"/>
      <c r="BY401" s="63"/>
      <c r="BZ401" s="63"/>
      <c r="CA401" s="103"/>
      <c r="CB401" s="103"/>
      <c r="CC401" s="103"/>
      <c r="CD401" s="103"/>
      <c r="CE401" s="63"/>
      <c r="CF401" s="63"/>
      <c r="CG401" s="63"/>
      <c r="CH401" s="63"/>
      <c r="CI401" s="103"/>
      <c r="CJ401" s="103"/>
      <c r="CK401" s="103"/>
      <c r="CL401" s="103"/>
    </row>
    <row r="402" spans="2:90" ht="13" x14ac:dyDescent="0.15">
      <c r="B402" s="13"/>
      <c r="C402" s="14"/>
      <c r="D402" s="14"/>
      <c r="E402" s="14"/>
      <c r="F402" s="14"/>
      <c r="G402" s="103"/>
      <c r="H402" s="103"/>
      <c r="I402" s="103"/>
      <c r="J402" s="103"/>
      <c r="K402" s="63"/>
      <c r="L402" s="63"/>
      <c r="M402" s="63"/>
      <c r="N402" s="63"/>
      <c r="O402" s="103"/>
      <c r="P402" s="103"/>
      <c r="Q402" s="103"/>
      <c r="R402" s="103"/>
      <c r="S402" s="63"/>
      <c r="T402" s="63"/>
      <c r="U402" s="63"/>
      <c r="V402" s="63"/>
      <c r="W402" s="103"/>
      <c r="X402" s="103"/>
      <c r="Y402" s="103"/>
      <c r="Z402" s="103"/>
      <c r="AA402" s="63"/>
      <c r="AB402" s="63"/>
      <c r="AC402" s="63"/>
      <c r="AD402" s="63"/>
      <c r="AE402" s="103"/>
      <c r="AF402" s="103"/>
      <c r="AG402" s="103"/>
      <c r="AH402" s="103"/>
      <c r="AI402" s="63"/>
      <c r="AJ402" s="63"/>
      <c r="AK402" s="63"/>
      <c r="AL402" s="63"/>
      <c r="AM402" s="103"/>
      <c r="AN402" s="103"/>
      <c r="AO402" s="103"/>
      <c r="AP402" s="103"/>
      <c r="AQ402" s="63"/>
      <c r="AR402" s="63"/>
      <c r="AS402" s="63"/>
      <c r="AT402" s="63"/>
      <c r="AU402" s="103"/>
      <c r="AV402" s="103"/>
      <c r="AW402" s="103"/>
      <c r="AX402" s="103"/>
      <c r="AY402" s="63"/>
      <c r="AZ402" s="63"/>
      <c r="BA402" s="63"/>
      <c r="BB402" s="63"/>
      <c r="BC402" s="103"/>
      <c r="BD402" s="103"/>
      <c r="BE402" s="103"/>
      <c r="BF402" s="103"/>
      <c r="BG402" s="63"/>
      <c r="BH402" s="63"/>
      <c r="BI402" s="63"/>
      <c r="BJ402" s="63"/>
      <c r="BK402" s="103"/>
      <c r="BL402" s="103"/>
      <c r="BM402" s="103"/>
      <c r="BN402" s="103"/>
      <c r="BO402" s="63"/>
      <c r="BP402" s="63"/>
      <c r="BQ402" s="63"/>
      <c r="BR402" s="63"/>
      <c r="BS402" s="103"/>
      <c r="BT402" s="103"/>
      <c r="BU402" s="103"/>
      <c r="BV402" s="103"/>
      <c r="BW402" s="63"/>
      <c r="BX402" s="63"/>
      <c r="BY402" s="63"/>
      <c r="BZ402" s="63"/>
      <c r="CA402" s="103"/>
      <c r="CB402" s="103"/>
      <c r="CC402" s="103"/>
      <c r="CD402" s="103"/>
      <c r="CE402" s="63"/>
      <c r="CF402" s="63"/>
      <c r="CG402" s="63"/>
      <c r="CH402" s="63"/>
      <c r="CI402" s="103"/>
      <c r="CJ402" s="103"/>
      <c r="CK402" s="103"/>
      <c r="CL402" s="103"/>
    </row>
    <row r="403" spans="2:90" ht="13" x14ac:dyDescent="0.15">
      <c r="B403" s="13"/>
      <c r="C403" s="14"/>
      <c r="D403" s="14"/>
      <c r="E403" s="14"/>
      <c r="F403" s="14"/>
      <c r="G403" s="103"/>
      <c r="H403" s="103"/>
      <c r="I403" s="103"/>
      <c r="J403" s="103"/>
      <c r="K403" s="63"/>
      <c r="L403" s="63"/>
      <c r="M403" s="63"/>
      <c r="N403" s="63"/>
      <c r="O403" s="103"/>
      <c r="P403" s="103"/>
      <c r="Q403" s="103"/>
      <c r="R403" s="103"/>
      <c r="S403" s="63"/>
      <c r="T403" s="63"/>
      <c r="U403" s="63"/>
      <c r="V403" s="63"/>
      <c r="W403" s="103"/>
      <c r="X403" s="103"/>
      <c r="Y403" s="103"/>
      <c r="Z403" s="103"/>
      <c r="AA403" s="63"/>
      <c r="AB403" s="63"/>
      <c r="AC403" s="63"/>
      <c r="AD403" s="63"/>
      <c r="AE403" s="103"/>
      <c r="AF403" s="103"/>
      <c r="AG403" s="103"/>
      <c r="AH403" s="103"/>
      <c r="AI403" s="63"/>
      <c r="AJ403" s="63"/>
      <c r="AK403" s="63"/>
      <c r="AL403" s="63"/>
      <c r="AM403" s="103"/>
      <c r="AN403" s="103"/>
      <c r="AO403" s="103"/>
      <c r="AP403" s="103"/>
      <c r="AQ403" s="63"/>
      <c r="AR403" s="63"/>
      <c r="AS403" s="63"/>
      <c r="AT403" s="63"/>
      <c r="AU403" s="103"/>
      <c r="AV403" s="103"/>
      <c r="AW403" s="103"/>
      <c r="AX403" s="103"/>
      <c r="AY403" s="63"/>
      <c r="AZ403" s="63"/>
      <c r="BA403" s="63"/>
      <c r="BB403" s="63"/>
      <c r="BC403" s="103"/>
      <c r="BD403" s="103"/>
      <c r="BE403" s="103"/>
      <c r="BF403" s="103"/>
      <c r="BG403" s="63"/>
      <c r="BH403" s="63"/>
      <c r="BI403" s="63"/>
      <c r="BJ403" s="63"/>
      <c r="BK403" s="103"/>
      <c r="BL403" s="103"/>
      <c r="BM403" s="103"/>
      <c r="BN403" s="103"/>
      <c r="BO403" s="63"/>
      <c r="BP403" s="63"/>
      <c r="BQ403" s="63"/>
      <c r="BR403" s="63"/>
      <c r="BS403" s="103"/>
      <c r="BT403" s="103"/>
      <c r="BU403" s="103"/>
      <c r="BV403" s="103"/>
      <c r="BW403" s="63"/>
      <c r="BX403" s="63"/>
      <c r="BY403" s="63"/>
      <c r="BZ403" s="63"/>
      <c r="CA403" s="103"/>
      <c r="CB403" s="103"/>
      <c r="CC403" s="103"/>
      <c r="CD403" s="103"/>
      <c r="CE403" s="63"/>
      <c r="CF403" s="63"/>
      <c r="CG403" s="63"/>
      <c r="CH403" s="63"/>
      <c r="CI403" s="103"/>
      <c r="CJ403" s="103"/>
      <c r="CK403" s="103"/>
      <c r="CL403" s="103"/>
    </row>
    <row r="404" spans="2:90" ht="13" x14ac:dyDescent="0.15">
      <c r="B404" s="13"/>
      <c r="C404" s="14"/>
      <c r="D404" s="14"/>
      <c r="E404" s="14"/>
      <c r="F404" s="14"/>
      <c r="G404" s="103"/>
      <c r="H404" s="103"/>
      <c r="I404" s="103"/>
      <c r="J404" s="103"/>
      <c r="K404" s="63"/>
      <c r="L404" s="63"/>
      <c r="M404" s="63"/>
      <c r="N404" s="63"/>
      <c r="O404" s="103"/>
      <c r="P404" s="103"/>
      <c r="Q404" s="103"/>
      <c r="R404" s="103"/>
      <c r="S404" s="63"/>
      <c r="T404" s="63"/>
      <c r="U404" s="63"/>
      <c r="V404" s="63"/>
      <c r="W404" s="103"/>
      <c r="X404" s="103"/>
      <c r="Y404" s="103"/>
      <c r="Z404" s="103"/>
      <c r="AA404" s="63"/>
      <c r="AB404" s="63"/>
      <c r="AC404" s="63"/>
      <c r="AD404" s="63"/>
      <c r="AE404" s="103"/>
      <c r="AF404" s="103"/>
      <c r="AG404" s="103"/>
      <c r="AH404" s="103"/>
      <c r="AI404" s="63"/>
      <c r="AJ404" s="63"/>
      <c r="AK404" s="63"/>
      <c r="AL404" s="63"/>
      <c r="AM404" s="103"/>
      <c r="AN404" s="103"/>
      <c r="AO404" s="103"/>
      <c r="AP404" s="103"/>
      <c r="AQ404" s="63"/>
      <c r="AR404" s="63"/>
      <c r="AS404" s="63"/>
      <c r="AT404" s="63"/>
      <c r="AU404" s="103"/>
      <c r="AV404" s="103"/>
      <c r="AW404" s="103"/>
      <c r="AX404" s="103"/>
      <c r="AY404" s="63"/>
      <c r="AZ404" s="63"/>
      <c r="BA404" s="63"/>
      <c r="BB404" s="63"/>
      <c r="BC404" s="103"/>
      <c r="BD404" s="103"/>
      <c r="BE404" s="103"/>
      <c r="BF404" s="103"/>
      <c r="BG404" s="63"/>
      <c r="BH404" s="63"/>
      <c r="BI404" s="63"/>
      <c r="BJ404" s="63"/>
      <c r="BK404" s="103"/>
      <c r="BL404" s="103"/>
      <c r="BM404" s="103"/>
      <c r="BN404" s="103"/>
      <c r="BO404" s="63"/>
      <c r="BP404" s="63"/>
      <c r="BQ404" s="63"/>
      <c r="BR404" s="63"/>
      <c r="BS404" s="103"/>
      <c r="BT404" s="103"/>
      <c r="BU404" s="103"/>
      <c r="BV404" s="103"/>
      <c r="BW404" s="63"/>
      <c r="BX404" s="63"/>
      <c r="BY404" s="63"/>
      <c r="BZ404" s="63"/>
      <c r="CA404" s="103"/>
      <c r="CB404" s="103"/>
      <c r="CC404" s="103"/>
      <c r="CD404" s="103"/>
      <c r="CE404" s="63"/>
      <c r="CF404" s="63"/>
      <c r="CG404" s="63"/>
      <c r="CH404" s="63"/>
      <c r="CI404" s="103"/>
      <c r="CJ404" s="103"/>
      <c r="CK404" s="103"/>
      <c r="CL404" s="103"/>
    </row>
    <row r="405" spans="2:90" ht="13" x14ac:dyDescent="0.15">
      <c r="B405" s="13"/>
      <c r="C405" s="14"/>
      <c r="D405" s="14"/>
      <c r="E405" s="14"/>
      <c r="F405" s="14"/>
      <c r="G405" s="103"/>
      <c r="H405" s="103"/>
      <c r="I405" s="103"/>
      <c r="J405" s="103"/>
      <c r="K405" s="63"/>
      <c r="L405" s="63"/>
      <c r="M405" s="63"/>
      <c r="N405" s="63"/>
      <c r="O405" s="103"/>
      <c r="P405" s="103"/>
      <c r="Q405" s="103"/>
      <c r="R405" s="103"/>
      <c r="S405" s="63"/>
      <c r="T405" s="63"/>
      <c r="U405" s="63"/>
      <c r="V405" s="63"/>
      <c r="W405" s="103"/>
      <c r="X405" s="103"/>
      <c r="Y405" s="103"/>
      <c r="Z405" s="103"/>
      <c r="AA405" s="63"/>
      <c r="AB405" s="63"/>
      <c r="AC405" s="63"/>
      <c r="AD405" s="63"/>
      <c r="AE405" s="103"/>
      <c r="AF405" s="103"/>
      <c r="AG405" s="103"/>
      <c r="AH405" s="103"/>
      <c r="AI405" s="63"/>
      <c r="AJ405" s="63"/>
      <c r="AK405" s="63"/>
      <c r="AL405" s="63"/>
      <c r="AM405" s="103"/>
      <c r="AN405" s="103"/>
      <c r="AO405" s="103"/>
      <c r="AP405" s="103"/>
      <c r="AQ405" s="63"/>
      <c r="AR405" s="63"/>
      <c r="AS405" s="63"/>
      <c r="AT405" s="63"/>
      <c r="AU405" s="103"/>
      <c r="AV405" s="103"/>
      <c r="AW405" s="103"/>
      <c r="AX405" s="103"/>
      <c r="AY405" s="63"/>
      <c r="AZ405" s="63"/>
      <c r="BA405" s="63"/>
      <c r="BB405" s="63"/>
      <c r="BC405" s="103"/>
      <c r="BD405" s="103"/>
      <c r="BE405" s="103"/>
      <c r="BF405" s="103"/>
      <c r="BG405" s="63"/>
      <c r="BH405" s="63"/>
      <c r="BI405" s="63"/>
      <c r="BJ405" s="63"/>
      <c r="BK405" s="103"/>
      <c r="BL405" s="103"/>
      <c r="BM405" s="103"/>
      <c r="BN405" s="103"/>
      <c r="BO405" s="63"/>
      <c r="BP405" s="63"/>
      <c r="BQ405" s="63"/>
      <c r="BR405" s="63"/>
      <c r="BS405" s="103"/>
      <c r="BT405" s="103"/>
      <c r="BU405" s="103"/>
      <c r="BV405" s="103"/>
      <c r="BW405" s="63"/>
      <c r="BX405" s="63"/>
      <c r="BY405" s="63"/>
      <c r="BZ405" s="63"/>
      <c r="CA405" s="103"/>
      <c r="CB405" s="103"/>
      <c r="CC405" s="103"/>
      <c r="CD405" s="103"/>
      <c r="CE405" s="63"/>
      <c r="CF405" s="63"/>
      <c r="CG405" s="63"/>
      <c r="CH405" s="63"/>
      <c r="CI405" s="103"/>
      <c r="CJ405" s="103"/>
      <c r="CK405" s="103"/>
      <c r="CL405" s="103"/>
    </row>
    <row r="406" spans="2:90" ht="13" x14ac:dyDescent="0.15">
      <c r="B406" s="13"/>
      <c r="C406" s="14"/>
      <c r="D406" s="14"/>
      <c r="E406" s="14"/>
      <c r="F406" s="14"/>
      <c r="G406" s="103"/>
      <c r="H406" s="103"/>
      <c r="I406" s="103"/>
      <c r="J406" s="103"/>
      <c r="K406" s="63"/>
      <c r="L406" s="63"/>
      <c r="M406" s="63"/>
      <c r="N406" s="63"/>
      <c r="O406" s="103"/>
      <c r="P406" s="103"/>
      <c r="Q406" s="103"/>
      <c r="R406" s="103"/>
      <c r="S406" s="63"/>
      <c r="T406" s="63"/>
      <c r="U406" s="63"/>
      <c r="V406" s="63"/>
      <c r="W406" s="103"/>
      <c r="X406" s="103"/>
      <c r="Y406" s="103"/>
      <c r="Z406" s="103"/>
      <c r="AA406" s="63"/>
      <c r="AB406" s="63"/>
      <c r="AC406" s="63"/>
      <c r="AD406" s="63"/>
      <c r="AE406" s="103"/>
      <c r="AF406" s="103"/>
      <c r="AG406" s="103"/>
      <c r="AH406" s="103"/>
      <c r="AI406" s="63"/>
      <c r="AJ406" s="63"/>
      <c r="AK406" s="63"/>
      <c r="AL406" s="63"/>
      <c r="AM406" s="103"/>
      <c r="AN406" s="103"/>
      <c r="AO406" s="103"/>
      <c r="AP406" s="103"/>
      <c r="AQ406" s="63"/>
      <c r="AR406" s="63"/>
      <c r="AS406" s="63"/>
      <c r="AT406" s="63"/>
      <c r="AU406" s="103"/>
      <c r="AV406" s="103"/>
      <c r="AW406" s="103"/>
      <c r="AX406" s="103"/>
      <c r="AY406" s="63"/>
      <c r="AZ406" s="63"/>
      <c r="BA406" s="63"/>
      <c r="BB406" s="63"/>
      <c r="BC406" s="103"/>
      <c r="BD406" s="103"/>
      <c r="BE406" s="103"/>
      <c r="BF406" s="103"/>
      <c r="BG406" s="63"/>
      <c r="BH406" s="63"/>
      <c r="BI406" s="63"/>
      <c r="BJ406" s="63"/>
      <c r="BK406" s="103"/>
      <c r="BL406" s="103"/>
      <c r="BM406" s="103"/>
      <c r="BN406" s="103"/>
      <c r="BO406" s="63"/>
      <c r="BP406" s="63"/>
      <c r="BQ406" s="63"/>
      <c r="BR406" s="63"/>
      <c r="BS406" s="103"/>
      <c r="BT406" s="103"/>
      <c r="BU406" s="103"/>
      <c r="BV406" s="103"/>
      <c r="BW406" s="63"/>
      <c r="BX406" s="63"/>
      <c r="BY406" s="63"/>
      <c r="BZ406" s="63"/>
      <c r="CA406" s="103"/>
      <c r="CB406" s="103"/>
      <c r="CC406" s="103"/>
      <c r="CD406" s="103"/>
      <c r="CE406" s="63"/>
      <c r="CF406" s="63"/>
      <c r="CG406" s="63"/>
      <c r="CH406" s="63"/>
      <c r="CI406" s="103"/>
      <c r="CJ406" s="103"/>
      <c r="CK406" s="103"/>
      <c r="CL406" s="103"/>
    </row>
    <row r="407" spans="2:90" ht="13" x14ac:dyDescent="0.15">
      <c r="B407" s="13"/>
      <c r="C407" s="14"/>
      <c r="D407" s="14"/>
      <c r="E407" s="14"/>
      <c r="F407" s="14"/>
      <c r="G407" s="103"/>
      <c r="H407" s="103"/>
      <c r="I407" s="103"/>
      <c r="J407" s="103"/>
      <c r="K407" s="63"/>
      <c r="L407" s="63"/>
      <c r="M407" s="63"/>
      <c r="N407" s="63"/>
      <c r="O407" s="103"/>
      <c r="P407" s="103"/>
      <c r="Q407" s="103"/>
      <c r="R407" s="103"/>
      <c r="S407" s="63"/>
      <c r="T407" s="63"/>
      <c r="U407" s="63"/>
      <c r="V407" s="63"/>
      <c r="W407" s="103"/>
      <c r="X407" s="103"/>
      <c r="Y407" s="103"/>
      <c r="Z407" s="103"/>
      <c r="AA407" s="63"/>
      <c r="AB407" s="63"/>
      <c r="AC407" s="63"/>
      <c r="AD407" s="63"/>
      <c r="AE407" s="103"/>
      <c r="AF407" s="103"/>
      <c r="AG407" s="103"/>
      <c r="AH407" s="103"/>
      <c r="AI407" s="63"/>
      <c r="AJ407" s="63"/>
      <c r="AK407" s="63"/>
      <c r="AL407" s="63"/>
      <c r="AM407" s="103"/>
      <c r="AN407" s="103"/>
      <c r="AO407" s="103"/>
      <c r="AP407" s="103"/>
      <c r="AQ407" s="63"/>
      <c r="AR407" s="63"/>
      <c r="AS407" s="63"/>
      <c r="AT407" s="63"/>
      <c r="AU407" s="103"/>
      <c r="AV407" s="103"/>
      <c r="AW407" s="103"/>
      <c r="AX407" s="103"/>
      <c r="AY407" s="63"/>
      <c r="AZ407" s="63"/>
      <c r="BA407" s="63"/>
      <c r="BB407" s="63"/>
      <c r="BC407" s="103"/>
      <c r="BD407" s="103"/>
      <c r="BE407" s="103"/>
      <c r="BF407" s="103"/>
      <c r="BG407" s="63"/>
      <c r="BH407" s="63"/>
      <c r="BI407" s="63"/>
      <c r="BJ407" s="63"/>
      <c r="BK407" s="103"/>
      <c r="BL407" s="103"/>
      <c r="BM407" s="103"/>
      <c r="BN407" s="103"/>
      <c r="BO407" s="63"/>
      <c r="BP407" s="63"/>
      <c r="BQ407" s="63"/>
      <c r="BR407" s="63"/>
      <c r="BS407" s="103"/>
      <c r="BT407" s="103"/>
      <c r="BU407" s="103"/>
      <c r="BV407" s="103"/>
      <c r="BW407" s="63"/>
      <c r="BX407" s="63"/>
      <c r="BY407" s="63"/>
      <c r="BZ407" s="63"/>
      <c r="CA407" s="103"/>
      <c r="CB407" s="103"/>
      <c r="CC407" s="103"/>
      <c r="CD407" s="103"/>
      <c r="CE407" s="63"/>
      <c r="CF407" s="63"/>
      <c r="CG407" s="63"/>
      <c r="CH407" s="63"/>
      <c r="CI407" s="103"/>
      <c r="CJ407" s="103"/>
      <c r="CK407" s="103"/>
      <c r="CL407" s="103"/>
    </row>
    <row r="408" spans="2:90" ht="13" x14ac:dyDescent="0.15">
      <c r="B408" s="13"/>
      <c r="C408" s="14"/>
      <c r="D408" s="14"/>
      <c r="E408" s="14"/>
      <c r="F408" s="14"/>
      <c r="G408" s="103"/>
      <c r="H408" s="103"/>
      <c r="I408" s="103"/>
      <c r="J408" s="103"/>
      <c r="K408" s="63"/>
      <c r="L408" s="63"/>
      <c r="M408" s="63"/>
      <c r="N408" s="63"/>
      <c r="O408" s="103"/>
      <c r="P408" s="103"/>
      <c r="Q408" s="103"/>
      <c r="R408" s="103"/>
      <c r="S408" s="63"/>
      <c r="T408" s="63"/>
      <c r="U408" s="63"/>
      <c r="V408" s="63"/>
      <c r="W408" s="103"/>
      <c r="X408" s="103"/>
      <c r="Y408" s="103"/>
      <c r="Z408" s="103"/>
      <c r="AA408" s="63"/>
      <c r="AB408" s="63"/>
      <c r="AC408" s="63"/>
      <c r="AD408" s="63"/>
      <c r="AE408" s="103"/>
      <c r="AF408" s="103"/>
      <c r="AG408" s="103"/>
      <c r="AH408" s="103"/>
      <c r="AI408" s="63"/>
      <c r="AJ408" s="63"/>
      <c r="AK408" s="63"/>
      <c r="AL408" s="63"/>
      <c r="AM408" s="103"/>
      <c r="AN408" s="103"/>
      <c r="AO408" s="103"/>
      <c r="AP408" s="103"/>
      <c r="AQ408" s="63"/>
      <c r="AR408" s="63"/>
      <c r="AS408" s="63"/>
      <c r="AT408" s="63"/>
      <c r="AU408" s="103"/>
      <c r="AV408" s="103"/>
      <c r="AW408" s="103"/>
      <c r="AX408" s="103"/>
      <c r="AY408" s="63"/>
      <c r="AZ408" s="63"/>
      <c r="BA408" s="63"/>
      <c r="BB408" s="63"/>
      <c r="BC408" s="103"/>
      <c r="BD408" s="103"/>
      <c r="BE408" s="103"/>
      <c r="BF408" s="103"/>
      <c r="BG408" s="63"/>
      <c r="BH408" s="63"/>
      <c r="BI408" s="63"/>
      <c r="BJ408" s="63"/>
      <c r="BK408" s="103"/>
      <c r="BL408" s="103"/>
      <c r="BM408" s="103"/>
      <c r="BN408" s="103"/>
      <c r="BO408" s="63"/>
      <c r="BP408" s="63"/>
      <c r="BQ408" s="63"/>
      <c r="BR408" s="63"/>
      <c r="BS408" s="103"/>
      <c r="BT408" s="103"/>
      <c r="BU408" s="103"/>
      <c r="BV408" s="103"/>
      <c r="BW408" s="63"/>
      <c r="BX408" s="63"/>
      <c r="BY408" s="63"/>
      <c r="BZ408" s="63"/>
      <c r="CA408" s="103"/>
      <c r="CB408" s="103"/>
      <c r="CC408" s="103"/>
      <c r="CD408" s="103"/>
      <c r="CE408" s="63"/>
      <c r="CF408" s="63"/>
      <c r="CG408" s="63"/>
      <c r="CH408" s="63"/>
      <c r="CI408" s="103"/>
      <c r="CJ408" s="103"/>
      <c r="CK408" s="103"/>
      <c r="CL408" s="103"/>
    </row>
    <row r="409" spans="2:90" ht="13" x14ac:dyDescent="0.15">
      <c r="B409" s="13"/>
      <c r="C409" s="14"/>
      <c r="D409" s="14"/>
      <c r="E409" s="14"/>
      <c r="F409" s="14"/>
      <c r="G409" s="103"/>
      <c r="H409" s="103"/>
      <c r="I409" s="103"/>
      <c r="J409" s="103"/>
      <c r="K409" s="63"/>
      <c r="L409" s="63"/>
      <c r="M409" s="63"/>
      <c r="N409" s="63"/>
      <c r="O409" s="103"/>
      <c r="P409" s="103"/>
      <c r="Q409" s="103"/>
      <c r="R409" s="103"/>
      <c r="S409" s="63"/>
      <c r="T409" s="63"/>
      <c r="U409" s="63"/>
      <c r="V409" s="63"/>
      <c r="W409" s="103"/>
      <c r="X409" s="103"/>
      <c r="Y409" s="103"/>
      <c r="Z409" s="103"/>
      <c r="AA409" s="63"/>
      <c r="AB409" s="63"/>
      <c r="AC409" s="63"/>
      <c r="AD409" s="63"/>
      <c r="AE409" s="103"/>
      <c r="AF409" s="103"/>
      <c r="AG409" s="103"/>
      <c r="AH409" s="103"/>
      <c r="AI409" s="63"/>
      <c r="AJ409" s="63"/>
      <c r="AK409" s="63"/>
      <c r="AL409" s="63"/>
      <c r="AM409" s="103"/>
      <c r="AN409" s="103"/>
      <c r="AO409" s="103"/>
      <c r="AP409" s="103"/>
      <c r="AQ409" s="63"/>
      <c r="AR409" s="63"/>
      <c r="AS409" s="63"/>
      <c r="AT409" s="63"/>
      <c r="AU409" s="103"/>
      <c r="AV409" s="103"/>
      <c r="AW409" s="103"/>
      <c r="AX409" s="103"/>
      <c r="AY409" s="63"/>
      <c r="AZ409" s="63"/>
      <c r="BA409" s="63"/>
      <c r="BB409" s="63"/>
      <c r="BC409" s="103"/>
      <c r="BD409" s="103"/>
      <c r="BE409" s="103"/>
      <c r="BF409" s="103"/>
      <c r="BG409" s="63"/>
      <c r="BH409" s="63"/>
      <c r="BI409" s="63"/>
      <c r="BJ409" s="63"/>
      <c r="BK409" s="103"/>
      <c r="BL409" s="103"/>
      <c r="BM409" s="103"/>
      <c r="BN409" s="103"/>
      <c r="BO409" s="63"/>
      <c r="BP409" s="63"/>
      <c r="BQ409" s="63"/>
      <c r="BR409" s="63"/>
      <c r="BS409" s="103"/>
      <c r="BT409" s="103"/>
      <c r="BU409" s="103"/>
      <c r="BV409" s="103"/>
      <c r="BW409" s="63"/>
      <c r="BX409" s="63"/>
      <c r="BY409" s="63"/>
      <c r="BZ409" s="63"/>
      <c r="CA409" s="103"/>
      <c r="CB409" s="103"/>
      <c r="CC409" s="103"/>
      <c r="CD409" s="103"/>
      <c r="CE409" s="63"/>
      <c r="CF409" s="63"/>
      <c r="CG409" s="63"/>
      <c r="CH409" s="63"/>
      <c r="CI409" s="103"/>
      <c r="CJ409" s="103"/>
      <c r="CK409" s="103"/>
      <c r="CL409" s="103"/>
    </row>
    <row r="410" spans="2:90" ht="13" x14ac:dyDescent="0.15">
      <c r="B410" s="13"/>
      <c r="C410" s="14"/>
      <c r="D410" s="14"/>
      <c r="E410" s="14"/>
      <c r="F410" s="14"/>
      <c r="G410" s="103"/>
      <c r="H410" s="103"/>
      <c r="I410" s="103"/>
      <c r="J410" s="103"/>
      <c r="K410" s="63"/>
      <c r="L410" s="63"/>
      <c r="M410" s="63"/>
      <c r="N410" s="63"/>
      <c r="O410" s="103"/>
      <c r="P410" s="103"/>
      <c r="Q410" s="103"/>
      <c r="R410" s="103"/>
      <c r="S410" s="63"/>
      <c r="T410" s="63"/>
      <c r="U410" s="63"/>
      <c r="V410" s="63"/>
      <c r="W410" s="103"/>
      <c r="X410" s="103"/>
      <c r="Y410" s="103"/>
      <c r="Z410" s="103"/>
      <c r="AA410" s="63"/>
      <c r="AB410" s="63"/>
      <c r="AC410" s="63"/>
      <c r="AD410" s="63"/>
      <c r="AE410" s="103"/>
      <c r="AF410" s="103"/>
      <c r="AG410" s="103"/>
      <c r="AH410" s="103"/>
      <c r="AI410" s="63"/>
      <c r="AJ410" s="63"/>
      <c r="AK410" s="63"/>
      <c r="AL410" s="63"/>
      <c r="AM410" s="103"/>
      <c r="AN410" s="103"/>
      <c r="AO410" s="103"/>
      <c r="AP410" s="103"/>
      <c r="AQ410" s="63"/>
      <c r="AR410" s="63"/>
      <c r="AS410" s="63"/>
      <c r="AT410" s="63"/>
      <c r="AU410" s="103"/>
      <c r="AV410" s="103"/>
      <c r="AW410" s="103"/>
      <c r="AX410" s="103"/>
      <c r="AY410" s="63"/>
      <c r="AZ410" s="63"/>
      <c r="BA410" s="63"/>
      <c r="BB410" s="63"/>
      <c r="BC410" s="103"/>
      <c r="BD410" s="103"/>
      <c r="BE410" s="103"/>
      <c r="BF410" s="103"/>
      <c r="BG410" s="63"/>
      <c r="BH410" s="63"/>
      <c r="BI410" s="63"/>
      <c r="BJ410" s="63"/>
      <c r="BK410" s="103"/>
      <c r="BL410" s="103"/>
      <c r="BM410" s="103"/>
      <c r="BN410" s="103"/>
      <c r="BO410" s="63"/>
      <c r="BP410" s="63"/>
      <c r="BQ410" s="63"/>
      <c r="BR410" s="63"/>
      <c r="BS410" s="103"/>
      <c r="BT410" s="103"/>
      <c r="BU410" s="103"/>
      <c r="BV410" s="103"/>
      <c r="BW410" s="63"/>
      <c r="BX410" s="63"/>
      <c r="BY410" s="63"/>
      <c r="BZ410" s="63"/>
      <c r="CA410" s="103"/>
      <c r="CB410" s="103"/>
      <c r="CC410" s="103"/>
      <c r="CD410" s="103"/>
      <c r="CE410" s="63"/>
      <c r="CF410" s="63"/>
      <c r="CG410" s="63"/>
      <c r="CH410" s="63"/>
      <c r="CI410" s="103"/>
      <c r="CJ410" s="103"/>
      <c r="CK410" s="103"/>
      <c r="CL410" s="103"/>
    </row>
    <row r="411" spans="2:90" ht="13" x14ac:dyDescent="0.15">
      <c r="B411" s="13"/>
      <c r="C411" s="14"/>
      <c r="D411" s="14"/>
      <c r="E411" s="14"/>
      <c r="F411" s="14"/>
      <c r="G411" s="103"/>
      <c r="H411" s="103"/>
      <c r="I411" s="103"/>
      <c r="J411" s="103"/>
      <c r="K411" s="63"/>
      <c r="L411" s="63"/>
      <c r="M411" s="63"/>
      <c r="N411" s="63"/>
      <c r="O411" s="103"/>
      <c r="P411" s="103"/>
      <c r="Q411" s="103"/>
      <c r="R411" s="103"/>
      <c r="S411" s="63"/>
      <c r="T411" s="63"/>
      <c r="U411" s="63"/>
      <c r="V411" s="63"/>
      <c r="W411" s="103"/>
      <c r="X411" s="103"/>
      <c r="Y411" s="103"/>
      <c r="Z411" s="103"/>
      <c r="AA411" s="63"/>
      <c r="AB411" s="63"/>
      <c r="AC411" s="63"/>
      <c r="AD411" s="63"/>
      <c r="AE411" s="103"/>
      <c r="AF411" s="103"/>
      <c r="AG411" s="103"/>
      <c r="AH411" s="103"/>
      <c r="AI411" s="63"/>
      <c r="AJ411" s="63"/>
      <c r="AK411" s="63"/>
      <c r="AL411" s="63"/>
      <c r="AM411" s="103"/>
      <c r="AN411" s="103"/>
      <c r="AO411" s="103"/>
      <c r="AP411" s="103"/>
      <c r="AQ411" s="63"/>
      <c r="AR411" s="63"/>
      <c r="AS411" s="63"/>
      <c r="AT411" s="63"/>
      <c r="AU411" s="103"/>
      <c r="AV411" s="103"/>
      <c r="AW411" s="103"/>
      <c r="AX411" s="103"/>
      <c r="AY411" s="63"/>
      <c r="AZ411" s="63"/>
      <c r="BA411" s="63"/>
      <c r="BB411" s="63"/>
      <c r="BC411" s="103"/>
      <c r="BD411" s="103"/>
      <c r="BE411" s="103"/>
      <c r="BF411" s="103"/>
      <c r="BG411" s="63"/>
      <c r="BH411" s="63"/>
      <c r="BI411" s="63"/>
      <c r="BJ411" s="63"/>
      <c r="BK411" s="103"/>
      <c r="BL411" s="103"/>
      <c r="BM411" s="103"/>
      <c r="BN411" s="103"/>
      <c r="BO411" s="63"/>
      <c r="BP411" s="63"/>
      <c r="BQ411" s="63"/>
      <c r="BR411" s="63"/>
      <c r="BS411" s="103"/>
      <c r="BT411" s="103"/>
      <c r="BU411" s="103"/>
      <c r="BV411" s="103"/>
      <c r="BW411" s="63"/>
      <c r="BX411" s="63"/>
      <c r="BY411" s="63"/>
      <c r="BZ411" s="63"/>
      <c r="CA411" s="103"/>
      <c r="CB411" s="103"/>
      <c r="CC411" s="103"/>
      <c r="CD411" s="103"/>
      <c r="CE411" s="63"/>
      <c r="CF411" s="63"/>
      <c r="CG411" s="63"/>
      <c r="CH411" s="63"/>
      <c r="CI411" s="103"/>
      <c r="CJ411" s="103"/>
      <c r="CK411" s="103"/>
      <c r="CL411" s="103"/>
    </row>
    <row r="412" spans="2:90" ht="13" x14ac:dyDescent="0.15">
      <c r="B412" s="13"/>
      <c r="C412" s="14"/>
      <c r="D412" s="14"/>
      <c r="E412" s="14"/>
      <c r="F412" s="14"/>
      <c r="G412" s="103"/>
      <c r="H412" s="103"/>
      <c r="I412" s="103"/>
      <c r="J412" s="103"/>
      <c r="K412" s="63"/>
      <c r="L412" s="63"/>
      <c r="M412" s="63"/>
      <c r="N412" s="63"/>
      <c r="O412" s="103"/>
      <c r="P412" s="103"/>
      <c r="Q412" s="103"/>
      <c r="R412" s="103"/>
      <c r="S412" s="63"/>
      <c r="T412" s="63"/>
      <c r="U412" s="63"/>
      <c r="V412" s="63"/>
      <c r="W412" s="103"/>
      <c r="X412" s="103"/>
      <c r="Y412" s="103"/>
      <c r="Z412" s="103"/>
      <c r="AA412" s="63"/>
      <c r="AB412" s="63"/>
      <c r="AC412" s="63"/>
      <c r="AD412" s="63"/>
      <c r="AE412" s="103"/>
      <c r="AF412" s="103"/>
      <c r="AG412" s="103"/>
      <c r="AH412" s="103"/>
      <c r="AI412" s="63"/>
      <c r="AJ412" s="63"/>
      <c r="AK412" s="63"/>
      <c r="AL412" s="63"/>
      <c r="AM412" s="103"/>
      <c r="AN412" s="103"/>
      <c r="AO412" s="103"/>
      <c r="AP412" s="103"/>
      <c r="AQ412" s="63"/>
      <c r="AR412" s="63"/>
      <c r="AS412" s="63"/>
      <c r="AT412" s="63"/>
      <c r="AU412" s="103"/>
      <c r="AV412" s="103"/>
      <c r="AW412" s="103"/>
      <c r="AX412" s="103"/>
      <c r="AY412" s="63"/>
      <c r="AZ412" s="63"/>
      <c r="BA412" s="63"/>
      <c r="BB412" s="63"/>
      <c r="BC412" s="103"/>
      <c r="BD412" s="103"/>
      <c r="BE412" s="103"/>
      <c r="BF412" s="103"/>
      <c r="BG412" s="63"/>
      <c r="BH412" s="63"/>
      <c r="BI412" s="63"/>
      <c r="BJ412" s="63"/>
      <c r="BK412" s="103"/>
      <c r="BL412" s="103"/>
      <c r="BM412" s="103"/>
      <c r="BN412" s="103"/>
      <c r="BO412" s="63"/>
      <c r="BP412" s="63"/>
      <c r="BQ412" s="63"/>
      <c r="BR412" s="63"/>
      <c r="BS412" s="103"/>
      <c r="BT412" s="103"/>
      <c r="BU412" s="103"/>
      <c r="BV412" s="103"/>
      <c r="BW412" s="63"/>
      <c r="BX412" s="63"/>
      <c r="BY412" s="63"/>
      <c r="BZ412" s="63"/>
      <c r="CA412" s="103"/>
      <c r="CB412" s="103"/>
      <c r="CC412" s="103"/>
      <c r="CD412" s="103"/>
      <c r="CE412" s="63"/>
      <c r="CF412" s="63"/>
      <c r="CG412" s="63"/>
      <c r="CH412" s="63"/>
      <c r="CI412" s="103"/>
      <c r="CJ412" s="103"/>
      <c r="CK412" s="103"/>
      <c r="CL412" s="103"/>
    </row>
    <row r="413" spans="2:90" ht="13" x14ac:dyDescent="0.15">
      <c r="B413" s="13"/>
      <c r="C413" s="14"/>
      <c r="D413" s="14"/>
      <c r="E413" s="14"/>
      <c r="F413" s="14"/>
      <c r="G413" s="103"/>
      <c r="H413" s="103"/>
      <c r="I413" s="103"/>
      <c r="J413" s="103"/>
      <c r="K413" s="63"/>
      <c r="L413" s="63"/>
      <c r="M413" s="63"/>
      <c r="N413" s="63"/>
      <c r="O413" s="103"/>
      <c r="P413" s="103"/>
      <c r="Q413" s="103"/>
      <c r="R413" s="103"/>
      <c r="S413" s="63"/>
      <c r="T413" s="63"/>
      <c r="U413" s="63"/>
      <c r="V413" s="63"/>
      <c r="W413" s="103"/>
      <c r="X413" s="103"/>
      <c r="Y413" s="103"/>
      <c r="Z413" s="103"/>
      <c r="AA413" s="63"/>
      <c r="AB413" s="63"/>
      <c r="AC413" s="63"/>
      <c r="AD413" s="63"/>
      <c r="AE413" s="103"/>
      <c r="AF413" s="103"/>
      <c r="AG413" s="103"/>
      <c r="AH413" s="103"/>
      <c r="AI413" s="63"/>
      <c r="AJ413" s="63"/>
      <c r="AK413" s="63"/>
      <c r="AL413" s="63"/>
      <c r="AM413" s="103"/>
      <c r="AN413" s="103"/>
      <c r="AO413" s="103"/>
      <c r="AP413" s="103"/>
      <c r="AQ413" s="63"/>
      <c r="AR413" s="63"/>
      <c r="AS413" s="63"/>
      <c r="AT413" s="63"/>
      <c r="AU413" s="103"/>
      <c r="AV413" s="103"/>
      <c r="AW413" s="103"/>
      <c r="AX413" s="103"/>
      <c r="AY413" s="63"/>
      <c r="AZ413" s="63"/>
      <c r="BA413" s="63"/>
      <c r="BB413" s="63"/>
      <c r="BC413" s="103"/>
      <c r="BD413" s="103"/>
      <c r="BE413" s="103"/>
      <c r="BF413" s="103"/>
      <c r="BG413" s="63"/>
      <c r="BH413" s="63"/>
      <c r="BI413" s="63"/>
      <c r="BJ413" s="63"/>
      <c r="BK413" s="103"/>
      <c r="BL413" s="103"/>
      <c r="BM413" s="103"/>
      <c r="BN413" s="103"/>
      <c r="BO413" s="63"/>
      <c r="BP413" s="63"/>
      <c r="BQ413" s="63"/>
      <c r="BR413" s="63"/>
      <c r="BS413" s="103"/>
      <c r="BT413" s="103"/>
      <c r="BU413" s="103"/>
      <c r="BV413" s="103"/>
      <c r="BW413" s="63"/>
      <c r="BX413" s="63"/>
      <c r="BY413" s="63"/>
      <c r="BZ413" s="63"/>
      <c r="CA413" s="103"/>
      <c r="CB413" s="103"/>
      <c r="CC413" s="103"/>
      <c r="CD413" s="103"/>
      <c r="CE413" s="63"/>
      <c r="CF413" s="63"/>
      <c r="CG413" s="63"/>
      <c r="CH413" s="63"/>
      <c r="CI413" s="103"/>
      <c r="CJ413" s="103"/>
      <c r="CK413" s="103"/>
      <c r="CL413" s="103"/>
    </row>
    <row r="414" spans="2:90" ht="13" x14ac:dyDescent="0.15">
      <c r="B414" s="13"/>
      <c r="C414" s="14"/>
      <c r="D414" s="14"/>
      <c r="E414" s="14"/>
      <c r="F414" s="14"/>
      <c r="G414" s="103"/>
      <c r="H414" s="103"/>
      <c r="I414" s="103"/>
      <c r="J414" s="103"/>
      <c r="K414" s="63"/>
      <c r="L414" s="63"/>
      <c r="M414" s="63"/>
      <c r="N414" s="63"/>
      <c r="O414" s="103"/>
      <c r="P414" s="103"/>
      <c r="Q414" s="103"/>
      <c r="R414" s="103"/>
      <c r="S414" s="63"/>
      <c r="T414" s="63"/>
      <c r="U414" s="63"/>
      <c r="V414" s="63"/>
      <c r="W414" s="103"/>
      <c r="X414" s="103"/>
      <c r="Y414" s="103"/>
      <c r="Z414" s="103"/>
      <c r="AA414" s="63"/>
      <c r="AB414" s="63"/>
      <c r="AC414" s="63"/>
      <c r="AD414" s="63"/>
      <c r="AE414" s="103"/>
      <c r="AF414" s="103"/>
      <c r="AG414" s="103"/>
      <c r="AH414" s="103"/>
      <c r="AI414" s="63"/>
      <c r="AJ414" s="63"/>
      <c r="AK414" s="63"/>
      <c r="AL414" s="63"/>
      <c r="AM414" s="103"/>
      <c r="AN414" s="103"/>
      <c r="AO414" s="103"/>
      <c r="AP414" s="103"/>
      <c r="AQ414" s="63"/>
      <c r="AR414" s="63"/>
      <c r="AS414" s="63"/>
      <c r="AT414" s="63"/>
      <c r="AU414" s="103"/>
      <c r="AV414" s="103"/>
      <c r="AW414" s="103"/>
      <c r="AX414" s="103"/>
      <c r="AY414" s="63"/>
      <c r="AZ414" s="63"/>
      <c r="BA414" s="63"/>
      <c r="BB414" s="63"/>
      <c r="BC414" s="103"/>
      <c r="BD414" s="103"/>
      <c r="BE414" s="103"/>
      <c r="BF414" s="103"/>
      <c r="BG414" s="63"/>
      <c r="BH414" s="63"/>
      <c r="BI414" s="63"/>
      <c r="BJ414" s="63"/>
      <c r="BK414" s="103"/>
      <c r="BL414" s="103"/>
      <c r="BM414" s="103"/>
      <c r="BN414" s="103"/>
      <c r="BO414" s="63"/>
      <c r="BP414" s="63"/>
      <c r="BQ414" s="63"/>
      <c r="BR414" s="63"/>
      <c r="BS414" s="103"/>
      <c r="BT414" s="103"/>
      <c r="BU414" s="103"/>
      <c r="BV414" s="103"/>
      <c r="BW414" s="63"/>
      <c r="BX414" s="63"/>
      <c r="BY414" s="63"/>
      <c r="BZ414" s="63"/>
      <c r="CA414" s="103"/>
      <c r="CB414" s="103"/>
      <c r="CC414" s="103"/>
      <c r="CD414" s="103"/>
      <c r="CE414" s="63"/>
      <c r="CF414" s="63"/>
      <c r="CG414" s="63"/>
      <c r="CH414" s="63"/>
      <c r="CI414" s="103"/>
      <c r="CJ414" s="103"/>
      <c r="CK414" s="103"/>
      <c r="CL414" s="103"/>
    </row>
    <row r="415" spans="2:90" ht="13" x14ac:dyDescent="0.15">
      <c r="B415" s="13"/>
      <c r="C415" s="14"/>
      <c r="D415" s="14"/>
      <c r="E415" s="14"/>
      <c r="F415" s="14"/>
      <c r="G415" s="103"/>
      <c r="H415" s="103"/>
      <c r="I415" s="103"/>
      <c r="J415" s="103"/>
      <c r="K415" s="63"/>
      <c r="L415" s="63"/>
      <c r="M415" s="63"/>
      <c r="N415" s="63"/>
      <c r="O415" s="103"/>
      <c r="P415" s="103"/>
      <c r="Q415" s="103"/>
      <c r="R415" s="103"/>
      <c r="S415" s="63"/>
      <c r="T415" s="63"/>
      <c r="U415" s="63"/>
      <c r="V415" s="63"/>
      <c r="W415" s="103"/>
      <c r="X415" s="103"/>
      <c r="Y415" s="103"/>
      <c r="Z415" s="103"/>
      <c r="AA415" s="63"/>
      <c r="AB415" s="63"/>
      <c r="AC415" s="63"/>
      <c r="AD415" s="63"/>
      <c r="AE415" s="103"/>
      <c r="AF415" s="103"/>
      <c r="AG415" s="103"/>
      <c r="AH415" s="103"/>
      <c r="AI415" s="63"/>
      <c r="AJ415" s="63"/>
      <c r="AK415" s="63"/>
      <c r="AL415" s="63"/>
      <c r="AM415" s="103"/>
      <c r="AN415" s="103"/>
      <c r="AO415" s="103"/>
      <c r="AP415" s="103"/>
      <c r="AQ415" s="63"/>
      <c r="AR415" s="63"/>
      <c r="AS415" s="63"/>
      <c r="AT415" s="63"/>
      <c r="AU415" s="103"/>
      <c r="AV415" s="103"/>
      <c r="AW415" s="103"/>
      <c r="AX415" s="103"/>
      <c r="AY415" s="63"/>
      <c r="AZ415" s="63"/>
      <c r="BA415" s="63"/>
      <c r="BB415" s="63"/>
      <c r="BC415" s="103"/>
      <c r="BD415" s="103"/>
      <c r="BE415" s="103"/>
      <c r="BF415" s="103"/>
      <c r="BG415" s="63"/>
      <c r="BH415" s="63"/>
      <c r="BI415" s="63"/>
      <c r="BJ415" s="63"/>
      <c r="BK415" s="103"/>
      <c r="BL415" s="103"/>
      <c r="BM415" s="103"/>
      <c r="BN415" s="103"/>
      <c r="BO415" s="63"/>
      <c r="BP415" s="63"/>
      <c r="BQ415" s="63"/>
      <c r="BR415" s="63"/>
      <c r="BS415" s="103"/>
      <c r="BT415" s="103"/>
      <c r="BU415" s="103"/>
      <c r="BV415" s="103"/>
      <c r="BW415" s="63"/>
      <c r="BX415" s="63"/>
      <c r="BY415" s="63"/>
      <c r="BZ415" s="63"/>
      <c r="CA415" s="103"/>
      <c r="CB415" s="103"/>
      <c r="CC415" s="103"/>
      <c r="CD415" s="103"/>
      <c r="CE415" s="63"/>
      <c r="CF415" s="63"/>
      <c r="CG415" s="63"/>
      <c r="CH415" s="63"/>
      <c r="CI415" s="103"/>
      <c r="CJ415" s="103"/>
      <c r="CK415" s="103"/>
      <c r="CL415" s="103"/>
    </row>
    <row r="416" spans="2:90" ht="13" x14ac:dyDescent="0.15">
      <c r="B416" s="13"/>
      <c r="C416" s="14"/>
      <c r="D416" s="14"/>
      <c r="E416" s="14"/>
      <c r="F416" s="14"/>
      <c r="G416" s="103"/>
      <c r="H416" s="103"/>
      <c r="I416" s="103"/>
      <c r="J416" s="103"/>
      <c r="K416" s="63"/>
      <c r="L416" s="63"/>
      <c r="M416" s="63"/>
      <c r="N416" s="63"/>
      <c r="O416" s="103"/>
      <c r="P416" s="103"/>
      <c r="Q416" s="103"/>
      <c r="R416" s="103"/>
      <c r="S416" s="63"/>
      <c r="T416" s="63"/>
      <c r="U416" s="63"/>
      <c r="V416" s="63"/>
      <c r="W416" s="103"/>
      <c r="X416" s="103"/>
      <c r="Y416" s="103"/>
      <c r="Z416" s="103"/>
      <c r="AA416" s="63"/>
      <c r="AB416" s="63"/>
      <c r="AC416" s="63"/>
      <c r="AD416" s="63"/>
      <c r="AE416" s="103"/>
      <c r="AF416" s="103"/>
      <c r="AG416" s="103"/>
      <c r="AH416" s="103"/>
      <c r="AI416" s="63"/>
      <c r="AJ416" s="63"/>
      <c r="AK416" s="63"/>
      <c r="AL416" s="63"/>
      <c r="AM416" s="103"/>
      <c r="AN416" s="103"/>
      <c r="AO416" s="103"/>
      <c r="AP416" s="103"/>
      <c r="AQ416" s="63"/>
      <c r="AR416" s="63"/>
      <c r="AS416" s="63"/>
      <c r="AT416" s="63"/>
      <c r="AU416" s="103"/>
      <c r="AV416" s="103"/>
      <c r="AW416" s="103"/>
      <c r="AX416" s="103"/>
      <c r="AY416" s="63"/>
      <c r="AZ416" s="63"/>
      <c r="BA416" s="63"/>
      <c r="BB416" s="63"/>
      <c r="BC416" s="103"/>
      <c r="BD416" s="103"/>
      <c r="BE416" s="103"/>
      <c r="BF416" s="103"/>
      <c r="BG416" s="63"/>
      <c r="BH416" s="63"/>
      <c r="BI416" s="63"/>
      <c r="BJ416" s="63"/>
      <c r="BK416" s="103"/>
      <c r="BL416" s="103"/>
      <c r="BM416" s="103"/>
      <c r="BN416" s="103"/>
      <c r="BO416" s="63"/>
      <c r="BP416" s="63"/>
      <c r="BQ416" s="63"/>
      <c r="BR416" s="63"/>
      <c r="BS416" s="103"/>
      <c r="BT416" s="103"/>
      <c r="BU416" s="103"/>
      <c r="BV416" s="103"/>
      <c r="BW416" s="63"/>
      <c r="BX416" s="63"/>
      <c r="BY416" s="63"/>
      <c r="BZ416" s="63"/>
      <c r="CA416" s="103"/>
      <c r="CB416" s="103"/>
      <c r="CC416" s="103"/>
      <c r="CD416" s="103"/>
      <c r="CE416" s="63"/>
      <c r="CF416" s="63"/>
      <c r="CG416" s="63"/>
      <c r="CH416" s="63"/>
      <c r="CI416" s="103"/>
      <c r="CJ416" s="103"/>
      <c r="CK416" s="103"/>
      <c r="CL416" s="103"/>
    </row>
    <row r="417" spans="2:90" ht="13" x14ac:dyDescent="0.15">
      <c r="B417" s="13"/>
      <c r="C417" s="14"/>
      <c r="D417" s="14"/>
      <c r="E417" s="14"/>
      <c r="F417" s="14"/>
      <c r="G417" s="103"/>
      <c r="H417" s="103"/>
      <c r="I417" s="103"/>
      <c r="J417" s="103"/>
      <c r="K417" s="63"/>
      <c r="L417" s="63"/>
      <c r="M417" s="63"/>
      <c r="N417" s="63"/>
      <c r="O417" s="103"/>
      <c r="P417" s="103"/>
      <c r="Q417" s="103"/>
      <c r="R417" s="103"/>
      <c r="S417" s="63"/>
      <c r="T417" s="63"/>
      <c r="U417" s="63"/>
      <c r="V417" s="63"/>
      <c r="W417" s="103"/>
      <c r="X417" s="103"/>
      <c r="Y417" s="103"/>
      <c r="Z417" s="103"/>
      <c r="AA417" s="63"/>
      <c r="AB417" s="63"/>
      <c r="AC417" s="63"/>
      <c r="AD417" s="63"/>
      <c r="AE417" s="103"/>
      <c r="AF417" s="103"/>
      <c r="AG417" s="103"/>
      <c r="AH417" s="103"/>
      <c r="AI417" s="63"/>
      <c r="AJ417" s="63"/>
      <c r="AK417" s="63"/>
      <c r="AL417" s="63"/>
      <c r="AM417" s="103"/>
      <c r="AN417" s="103"/>
      <c r="AO417" s="103"/>
      <c r="AP417" s="103"/>
      <c r="AQ417" s="63"/>
      <c r="AR417" s="63"/>
      <c r="AS417" s="63"/>
      <c r="AT417" s="63"/>
      <c r="AU417" s="103"/>
      <c r="AV417" s="103"/>
      <c r="AW417" s="103"/>
      <c r="AX417" s="103"/>
      <c r="AY417" s="63"/>
      <c r="AZ417" s="63"/>
      <c r="BA417" s="63"/>
      <c r="BB417" s="63"/>
      <c r="BC417" s="103"/>
      <c r="BD417" s="103"/>
      <c r="BE417" s="103"/>
      <c r="BF417" s="103"/>
      <c r="BG417" s="63"/>
      <c r="BH417" s="63"/>
      <c r="BI417" s="63"/>
      <c r="BJ417" s="63"/>
      <c r="BK417" s="103"/>
      <c r="BL417" s="103"/>
      <c r="BM417" s="103"/>
      <c r="BN417" s="103"/>
      <c r="BO417" s="63"/>
      <c r="BP417" s="63"/>
      <c r="BQ417" s="63"/>
      <c r="BR417" s="63"/>
      <c r="BS417" s="103"/>
      <c r="BT417" s="103"/>
      <c r="BU417" s="103"/>
      <c r="BV417" s="103"/>
      <c r="BW417" s="63"/>
      <c r="BX417" s="63"/>
      <c r="BY417" s="63"/>
      <c r="BZ417" s="63"/>
      <c r="CA417" s="103"/>
      <c r="CB417" s="103"/>
      <c r="CC417" s="103"/>
      <c r="CD417" s="103"/>
      <c r="CE417" s="63"/>
      <c r="CF417" s="63"/>
      <c r="CG417" s="63"/>
      <c r="CH417" s="63"/>
      <c r="CI417" s="103"/>
      <c r="CJ417" s="103"/>
      <c r="CK417" s="103"/>
      <c r="CL417" s="103"/>
    </row>
    <row r="418" spans="2:90" ht="13" x14ac:dyDescent="0.15">
      <c r="B418" s="13"/>
      <c r="C418" s="14"/>
      <c r="D418" s="14"/>
      <c r="E418" s="14"/>
      <c r="F418" s="14"/>
      <c r="G418" s="103"/>
      <c r="H418" s="103"/>
      <c r="I418" s="103"/>
      <c r="J418" s="103"/>
      <c r="K418" s="63"/>
      <c r="L418" s="63"/>
      <c r="M418" s="63"/>
      <c r="N418" s="63"/>
      <c r="O418" s="103"/>
      <c r="P418" s="103"/>
      <c r="Q418" s="103"/>
      <c r="R418" s="103"/>
      <c r="S418" s="63"/>
      <c r="T418" s="63"/>
      <c r="U418" s="63"/>
      <c r="V418" s="63"/>
      <c r="W418" s="103"/>
      <c r="X418" s="103"/>
      <c r="Y418" s="103"/>
      <c r="Z418" s="103"/>
      <c r="AA418" s="63"/>
      <c r="AB418" s="63"/>
      <c r="AC418" s="63"/>
      <c r="AD418" s="63"/>
      <c r="AE418" s="103"/>
      <c r="AF418" s="103"/>
      <c r="AG418" s="103"/>
      <c r="AH418" s="103"/>
      <c r="AI418" s="63"/>
      <c r="AJ418" s="63"/>
      <c r="AK418" s="63"/>
      <c r="AL418" s="63"/>
      <c r="AM418" s="103"/>
      <c r="AN418" s="103"/>
      <c r="AO418" s="103"/>
      <c r="AP418" s="103"/>
      <c r="AQ418" s="63"/>
      <c r="AR418" s="63"/>
      <c r="AS418" s="63"/>
      <c r="AT418" s="63"/>
      <c r="AU418" s="103"/>
      <c r="AV418" s="103"/>
      <c r="AW418" s="103"/>
      <c r="AX418" s="103"/>
      <c r="AY418" s="63"/>
      <c r="AZ418" s="63"/>
      <c r="BA418" s="63"/>
      <c r="BB418" s="63"/>
      <c r="BC418" s="103"/>
      <c r="BD418" s="103"/>
      <c r="BE418" s="103"/>
      <c r="BF418" s="103"/>
      <c r="BG418" s="63"/>
      <c r="BH418" s="63"/>
      <c r="BI418" s="63"/>
      <c r="BJ418" s="63"/>
      <c r="BK418" s="103"/>
      <c r="BL418" s="103"/>
      <c r="BM418" s="103"/>
      <c r="BN418" s="103"/>
      <c r="BO418" s="63"/>
      <c r="BP418" s="63"/>
      <c r="BQ418" s="63"/>
      <c r="BR418" s="63"/>
      <c r="BS418" s="103"/>
      <c r="BT418" s="103"/>
      <c r="BU418" s="103"/>
      <c r="BV418" s="103"/>
      <c r="BW418" s="63"/>
      <c r="BX418" s="63"/>
      <c r="BY418" s="63"/>
      <c r="BZ418" s="63"/>
      <c r="CA418" s="103"/>
      <c r="CB418" s="103"/>
      <c r="CC418" s="103"/>
      <c r="CD418" s="103"/>
      <c r="CE418" s="63"/>
      <c r="CF418" s="63"/>
      <c r="CG418" s="63"/>
      <c r="CH418" s="63"/>
      <c r="CI418" s="103"/>
      <c r="CJ418" s="103"/>
      <c r="CK418" s="103"/>
      <c r="CL418" s="103"/>
    </row>
    <row r="419" spans="2:90" ht="13" x14ac:dyDescent="0.15">
      <c r="B419" s="13"/>
      <c r="C419" s="14"/>
      <c r="D419" s="14"/>
      <c r="E419" s="14"/>
      <c r="F419" s="14"/>
      <c r="G419" s="103"/>
      <c r="H419" s="103"/>
      <c r="I419" s="103"/>
      <c r="J419" s="103"/>
      <c r="K419" s="63"/>
      <c r="L419" s="63"/>
      <c r="M419" s="63"/>
      <c r="N419" s="63"/>
      <c r="O419" s="103"/>
      <c r="P419" s="103"/>
      <c r="Q419" s="103"/>
      <c r="R419" s="103"/>
      <c r="S419" s="63"/>
      <c r="T419" s="63"/>
      <c r="U419" s="63"/>
      <c r="V419" s="63"/>
      <c r="W419" s="103"/>
      <c r="X419" s="103"/>
      <c r="Y419" s="103"/>
      <c r="Z419" s="103"/>
      <c r="AA419" s="63"/>
      <c r="AB419" s="63"/>
      <c r="AC419" s="63"/>
      <c r="AD419" s="63"/>
      <c r="AE419" s="103"/>
      <c r="AF419" s="103"/>
      <c r="AG419" s="103"/>
      <c r="AH419" s="103"/>
      <c r="AI419" s="63"/>
      <c r="AJ419" s="63"/>
      <c r="AK419" s="63"/>
      <c r="AL419" s="63"/>
      <c r="AM419" s="103"/>
      <c r="AN419" s="103"/>
      <c r="AO419" s="103"/>
      <c r="AP419" s="103"/>
      <c r="AQ419" s="63"/>
      <c r="AR419" s="63"/>
      <c r="AS419" s="63"/>
      <c r="AT419" s="63"/>
      <c r="AU419" s="103"/>
      <c r="AV419" s="103"/>
      <c r="AW419" s="103"/>
      <c r="AX419" s="103"/>
      <c r="AY419" s="63"/>
      <c r="AZ419" s="63"/>
      <c r="BA419" s="63"/>
      <c r="BB419" s="63"/>
      <c r="BC419" s="103"/>
      <c r="BD419" s="103"/>
      <c r="BE419" s="103"/>
      <c r="BF419" s="103"/>
      <c r="BG419" s="63"/>
      <c r="BH419" s="63"/>
      <c r="BI419" s="63"/>
      <c r="BJ419" s="63"/>
      <c r="BK419" s="103"/>
      <c r="BL419" s="103"/>
      <c r="BM419" s="103"/>
      <c r="BN419" s="103"/>
      <c r="BO419" s="63"/>
      <c r="BP419" s="63"/>
      <c r="BQ419" s="63"/>
      <c r="BR419" s="63"/>
      <c r="BS419" s="103"/>
      <c r="BT419" s="103"/>
      <c r="BU419" s="103"/>
      <c r="BV419" s="103"/>
      <c r="BW419" s="63"/>
      <c r="BX419" s="63"/>
      <c r="BY419" s="63"/>
      <c r="BZ419" s="63"/>
      <c r="CA419" s="103"/>
      <c r="CB419" s="103"/>
      <c r="CC419" s="103"/>
      <c r="CD419" s="103"/>
      <c r="CE419" s="63"/>
      <c r="CF419" s="63"/>
      <c r="CG419" s="63"/>
      <c r="CH419" s="63"/>
      <c r="CI419" s="103"/>
      <c r="CJ419" s="103"/>
      <c r="CK419" s="103"/>
      <c r="CL419" s="103"/>
    </row>
    <row r="420" spans="2:90" ht="13" x14ac:dyDescent="0.15">
      <c r="B420" s="13"/>
      <c r="C420" s="14"/>
      <c r="D420" s="14"/>
      <c r="E420" s="14"/>
      <c r="F420" s="14"/>
      <c r="G420" s="103"/>
      <c r="H420" s="103"/>
      <c r="I420" s="103"/>
      <c r="J420" s="103"/>
      <c r="K420" s="63"/>
      <c r="L420" s="63"/>
      <c r="M420" s="63"/>
      <c r="N420" s="63"/>
      <c r="O420" s="103"/>
      <c r="P420" s="103"/>
      <c r="Q420" s="103"/>
      <c r="R420" s="103"/>
      <c r="S420" s="63"/>
      <c r="T420" s="63"/>
      <c r="U420" s="63"/>
      <c r="V420" s="63"/>
      <c r="W420" s="103"/>
      <c r="X420" s="103"/>
      <c r="Y420" s="103"/>
      <c r="Z420" s="103"/>
      <c r="AA420" s="63"/>
      <c r="AB420" s="63"/>
      <c r="AC420" s="63"/>
      <c r="AD420" s="63"/>
      <c r="AE420" s="103"/>
      <c r="AF420" s="103"/>
      <c r="AG420" s="103"/>
      <c r="AH420" s="103"/>
      <c r="AI420" s="63"/>
      <c r="AJ420" s="63"/>
      <c r="AK420" s="63"/>
      <c r="AL420" s="63"/>
      <c r="AM420" s="103"/>
      <c r="AN420" s="103"/>
      <c r="AO420" s="103"/>
      <c r="AP420" s="103"/>
      <c r="AQ420" s="63"/>
      <c r="AR420" s="63"/>
      <c r="AS420" s="63"/>
      <c r="AT420" s="63"/>
      <c r="AU420" s="103"/>
      <c r="AV420" s="103"/>
      <c r="AW420" s="103"/>
      <c r="AX420" s="103"/>
      <c r="AY420" s="63"/>
      <c r="AZ420" s="63"/>
      <c r="BA420" s="63"/>
      <c r="BB420" s="63"/>
      <c r="BC420" s="103"/>
      <c r="BD420" s="103"/>
      <c r="BE420" s="103"/>
      <c r="BF420" s="103"/>
      <c r="BG420" s="63"/>
      <c r="BH420" s="63"/>
      <c r="BI420" s="63"/>
      <c r="BJ420" s="63"/>
      <c r="BK420" s="103"/>
      <c r="BL420" s="103"/>
      <c r="BM420" s="103"/>
      <c r="BN420" s="103"/>
      <c r="BO420" s="63"/>
      <c r="BP420" s="63"/>
      <c r="BQ420" s="63"/>
      <c r="BR420" s="63"/>
      <c r="BS420" s="103"/>
      <c r="BT420" s="103"/>
      <c r="BU420" s="103"/>
      <c r="BV420" s="103"/>
      <c r="BW420" s="63"/>
      <c r="BX420" s="63"/>
      <c r="BY420" s="63"/>
      <c r="BZ420" s="63"/>
      <c r="CA420" s="103"/>
      <c r="CB420" s="103"/>
      <c r="CC420" s="103"/>
      <c r="CD420" s="103"/>
      <c r="CE420" s="63"/>
      <c r="CF420" s="63"/>
      <c r="CG420" s="63"/>
      <c r="CH420" s="63"/>
      <c r="CI420" s="103"/>
      <c r="CJ420" s="103"/>
      <c r="CK420" s="103"/>
      <c r="CL420" s="103"/>
    </row>
    <row r="421" spans="2:90" ht="13" x14ac:dyDescent="0.15">
      <c r="B421" s="13"/>
      <c r="C421" s="14"/>
      <c r="D421" s="14"/>
      <c r="E421" s="14"/>
      <c r="F421" s="14"/>
      <c r="G421" s="103"/>
      <c r="H421" s="103"/>
      <c r="I421" s="103"/>
      <c r="J421" s="103"/>
      <c r="K421" s="63"/>
      <c r="L421" s="63"/>
      <c r="M421" s="63"/>
      <c r="N421" s="63"/>
      <c r="O421" s="103"/>
      <c r="P421" s="103"/>
      <c r="Q421" s="103"/>
      <c r="R421" s="103"/>
      <c r="S421" s="63"/>
      <c r="T421" s="63"/>
      <c r="U421" s="63"/>
      <c r="V421" s="63"/>
      <c r="W421" s="103"/>
      <c r="X421" s="103"/>
      <c r="Y421" s="103"/>
      <c r="Z421" s="103"/>
      <c r="AA421" s="63"/>
      <c r="AB421" s="63"/>
      <c r="AC421" s="63"/>
      <c r="AD421" s="63"/>
      <c r="AE421" s="103"/>
      <c r="AF421" s="103"/>
      <c r="AG421" s="103"/>
      <c r="AH421" s="103"/>
      <c r="AI421" s="63"/>
      <c r="AJ421" s="63"/>
      <c r="AK421" s="63"/>
      <c r="AL421" s="63"/>
      <c r="AM421" s="103"/>
      <c r="AN421" s="103"/>
      <c r="AO421" s="103"/>
      <c r="AP421" s="103"/>
      <c r="AQ421" s="63"/>
      <c r="AR421" s="63"/>
      <c r="AS421" s="63"/>
      <c r="AT421" s="63"/>
      <c r="AU421" s="103"/>
      <c r="AV421" s="103"/>
      <c r="AW421" s="103"/>
      <c r="AX421" s="103"/>
      <c r="AY421" s="63"/>
      <c r="AZ421" s="63"/>
      <c r="BA421" s="63"/>
      <c r="BB421" s="63"/>
      <c r="BC421" s="103"/>
      <c r="BD421" s="103"/>
      <c r="BE421" s="103"/>
      <c r="BF421" s="103"/>
      <c r="BG421" s="63"/>
      <c r="BH421" s="63"/>
      <c r="BI421" s="63"/>
      <c r="BJ421" s="63"/>
      <c r="BK421" s="103"/>
      <c r="BL421" s="103"/>
      <c r="BM421" s="103"/>
      <c r="BN421" s="103"/>
      <c r="BO421" s="63"/>
      <c r="BP421" s="63"/>
      <c r="BQ421" s="63"/>
      <c r="BR421" s="63"/>
      <c r="BS421" s="103"/>
      <c r="BT421" s="103"/>
      <c r="BU421" s="103"/>
      <c r="BV421" s="103"/>
      <c r="BW421" s="63"/>
      <c r="BX421" s="63"/>
      <c r="BY421" s="63"/>
      <c r="BZ421" s="63"/>
      <c r="CA421" s="103"/>
      <c r="CB421" s="103"/>
      <c r="CC421" s="103"/>
      <c r="CD421" s="103"/>
      <c r="CE421" s="63"/>
      <c r="CF421" s="63"/>
      <c r="CG421" s="63"/>
      <c r="CH421" s="63"/>
      <c r="CI421" s="103"/>
      <c r="CJ421" s="103"/>
      <c r="CK421" s="103"/>
      <c r="CL421" s="103"/>
    </row>
    <row r="422" spans="2:90" ht="13" x14ac:dyDescent="0.15">
      <c r="B422" s="13"/>
      <c r="C422" s="14"/>
      <c r="D422" s="14"/>
      <c r="E422" s="14"/>
      <c r="F422" s="14"/>
      <c r="G422" s="103"/>
      <c r="H422" s="103"/>
      <c r="I422" s="103"/>
      <c r="J422" s="103"/>
      <c r="K422" s="63"/>
      <c r="L422" s="63"/>
      <c r="M422" s="63"/>
      <c r="N422" s="63"/>
      <c r="O422" s="103"/>
      <c r="P422" s="103"/>
      <c r="Q422" s="103"/>
      <c r="R422" s="103"/>
      <c r="S422" s="63"/>
      <c r="T422" s="63"/>
      <c r="U422" s="63"/>
      <c r="V422" s="63"/>
      <c r="W422" s="103"/>
      <c r="X422" s="103"/>
      <c r="Y422" s="103"/>
      <c r="Z422" s="103"/>
      <c r="AA422" s="63"/>
      <c r="AB422" s="63"/>
      <c r="AC422" s="63"/>
      <c r="AD422" s="63"/>
      <c r="AE422" s="103"/>
      <c r="AF422" s="103"/>
      <c r="AG422" s="103"/>
      <c r="AH422" s="103"/>
      <c r="AI422" s="63"/>
      <c r="AJ422" s="63"/>
      <c r="AK422" s="63"/>
      <c r="AL422" s="63"/>
      <c r="AM422" s="103"/>
      <c r="AN422" s="103"/>
      <c r="AO422" s="103"/>
      <c r="AP422" s="103"/>
      <c r="AQ422" s="63"/>
      <c r="AR422" s="63"/>
      <c r="AS422" s="63"/>
      <c r="AT422" s="63"/>
      <c r="AU422" s="103"/>
      <c r="AV422" s="103"/>
      <c r="AW422" s="103"/>
      <c r="AX422" s="103"/>
      <c r="AY422" s="63"/>
      <c r="AZ422" s="63"/>
      <c r="BA422" s="63"/>
      <c r="BB422" s="63"/>
      <c r="BC422" s="103"/>
      <c r="BD422" s="103"/>
      <c r="BE422" s="103"/>
      <c r="BF422" s="103"/>
      <c r="BG422" s="63"/>
      <c r="BH422" s="63"/>
      <c r="BI422" s="63"/>
      <c r="BJ422" s="63"/>
      <c r="BK422" s="103"/>
      <c r="BL422" s="103"/>
      <c r="BM422" s="103"/>
      <c r="BN422" s="103"/>
      <c r="BO422" s="63"/>
      <c r="BP422" s="63"/>
      <c r="BQ422" s="63"/>
      <c r="BR422" s="63"/>
      <c r="BS422" s="103"/>
      <c r="BT422" s="103"/>
      <c r="BU422" s="103"/>
      <c r="BV422" s="103"/>
      <c r="BW422" s="63"/>
      <c r="BX422" s="63"/>
      <c r="BY422" s="63"/>
      <c r="BZ422" s="63"/>
      <c r="CA422" s="103"/>
      <c r="CB422" s="103"/>
      <c r="CC422" s="103"/>
      <c r="CD422" s="103"/>
      <c r="CE422" s="63"/>
      <c r="CF422" s="63"/>
      <c r="CG422" s="63"/>
      <c r="CH422" s="63"/>
      <c r="CI422" s="103"/>
      <c r="CJ422" s="103"/>
      <c r="CK422" s="103"/>
      <c r="CL422" s="103"/>
    </row>
    <row r="423" spans="2:90" ht="13" x14ac:dyDescent="0.15">
      <c r="B423" s="13"/>
      <c r="C423" s="14"/>
      <c r="D423" s="14"/>
      <c r="E423" s="14"/>
      <c r="F423" s="14"/>
      <c r="G423" s="103"/>
      <c r="H423" s="103"/>
      <c r="I423" s="103"/>
      <c r="J423" s="103"/>
      <c r="K423" s="63"/>
      <c r="L423" s="63"/>
      <c r="M423" s="63"/>
      <c r="N423" s="63"/>
      <c r="O423" s="103"/>
      <c r="P423" s="103"/>
      <c r="Q423" s="103"/>
      <c r="R423" s="103"/>
      <c r="S423" s="63"/>
      <c r="T423" s="63"/>
      <c r="U423" s="63"/>
      <c r="V423" s="63"/>
      <c r="W423" s="103"/>
      <c r="X423" s="103"/>
      <c r="Y423" s="103"/>
      <c r="Z423" s="103"/>
      <c r="AA423" s="63"/>
      <c r="AB423" s="63"/>
      <c r="AC423" s="63"/>
      <c r="AD423" s="63"/>
      <c r="AE423" s="103"/>
      <c r="AF423" s="103"/>
      <c r="AG423" s="103"/>
      <c r="AH423" s="103"/>
      <c r="AI423" s="63"/>
      <c r="AJ423" s="63"/>
      <c r="AK423" s="63"/>
      <c r="AL423" s="63"/>
      <c r="AM423" s="103"/>
      <c r="AN423" s="103"/>
      <c r="AO423" s="103"/>
      <c r="AP423" s="103"/>
      <c r="AQ423" s="63"/>
      <c r="AR423" s="63"/>
      <c r="AS423" s="63"/>
      <c r="AT423" s="63"/>
      <c r="AU423" s="103"/>
      <c r="AV423" s="103"/>
      <c r="AW423" s="103"/>
      <c r="AX423" s="103"/>
      <c r="AY423" s="63"/>
      <c r="AZ423" s="63"/>
      <c r="BA423" s="63"/>
      <c r="BB423" s="63"/>
      <c r="BC423" s="103"/>
      <c r="BD423" s="103"/>
      <c r="BE423" s="103"/>
      <c r="BF423" s="103"/>
      <c r="BG423" s="63"/>
      <c r="BH423" s="63"/>
      <c r="BI423" s="63"/>
      <c r="BJ423" s="63"/>
      <c r="BK423" s="103"/>
      <c r="BL423" s="103"/>
      <c r="BM423" s="103"/>
      <c r="BN423" s="103"/>
      <c r="BO423" s="63"/>
      <c r="BP423" s="63"/>
      <c r="BQ423" s="63"/>
      <c r="BR423" s="63"/>
      <c r="BS423" s="103"/>
      <c r="BT423" s="103"/>
      <c r="BU423" s="103"/>
      <c r="BV423" s="103"/>
      <c r="BW423" s="63"/>
      <c r="BX423" s="63"/>
      <c r="BY423" s="63"/>
      <c r="BZ423" s="63"/>
      <c r="CA423" s="103"/>
      <c r="CB423" s="103"/>
      <c r="CC423" s="103"/>
      <c r="CD423" s="103"/>
      <c r="CE423" s="63"/>
      <c r="CF423" s="63"/>
      <c r="CG423" s="63"/>
      <c r="CH423" s="63"/>
      <c r="CI423" s="103"/>
      <c r="CJ423" s="103"/>
      <c r="CK423" s="103"/>
      <c r="CL423" s="103"/>
    </row>
    <row r="424" spans="2:90" ht="13" x14ac:dyDescent="0.15">
      <c r="B424" s="13"/>
      <c r="C424" s="14"/>
      <c r="D424" s="14"/>
      <c r="E424" s="14"/>
      <c r="F424" s="14"/>
      <c r="G424" s="103"/>
      <c r="H424" s="103"/>
      <c r="I424" s="103"/>
      <c r="J424" s="103"/>
      <c r="K424" s="63"/>
      <c r="L424" s="63"/>
      <c r="M424" s="63"/>
      <c r="N424" s="63"/>
      <c r="O424" s="103"/>
      <c r="P424" s="103"/>
      <c r="Q424" s="103"/>
      <c r="R424" s="103"/>
      <c r="S424" s="63"/>
      <c r="T424" s="63"/>
      <c r="U424" s="63"/>
      <c r="V424" s="63"/>
      <c r="W424" s="103"/>
      <c r="X424" s="103"/>
      <c r="Y424" s="103"/>
      <c r="Z424" s="103"/>
      <c r="AA424" s="63"/>
      <c r="AB424" s="63"/>
      <c r="AC424" s="63"/>
      <c r="AD424" s="63"/>
      <c r="AE424" s="103"/>
      <c r="AF424" s="103"/>
      <c r="AG424" s="103"/>
      <c r="AH424" s="103"/>
      <c r="AI424" s="63"/>
      <c r="AJ424" s="63"/>
      <c r="AK424" s="63"/>
      <c r="AL424" s="63"/>
      <c r="AM424" s="103"/>
      <c r="AN424" s="103"/>
      <c r="AO424" s="103"/>
      <c r="AP424" s="103"/>
      <c r="AQ424" s="63"/>
      <c r="AR424" s="63"/>
      <c r="AS424" s="63"/>
      <c r="AT424" s="63"/>
      <c r="AU424" s="103"/>
      <c r="AV424" s="103"/>
      <c r="AW424" s="103"/>
      <c r="AX424" s="103"/>
      <c r="AY424" s="63"/>
      <c r="AZ424" s="63"/>
      <c r="BA424" s="63"/>
      <c r="BB424" s="63"/>
      <c r="BC424" s="103"/>
      <c r="BD424" s="103"/>
      <c r="BE424" s="103"/>
      <c r="BF424" s="103"/>
      <c r="BG424" s="63"/>
      <c r="BH424" s="63"/>
      <c r="BI424" s="63"/>
      <c r="BJ424" s="63"/>
      <c r="BK424" s="103"/>
      <c r="BL424" s="103"/>
      <c r="BM424" s="103"/>
      <c r="BN424" s="103"/>
      <c r="BO424" s="63"/>
      <c r="BP424" s="63"/>
      <c r="BQ424" s="63"/>
      <c r="BR424" s="63"/>
      <c r="BS424" s="103"/>
      <c r="BT424" s="103"/>
      <c r="BU424" s="103"/>
      <c r="BV424" s="103"/>
      <c r="BW424" s="63"/>
      <c r="BX424" s="63"/>
      <c r="BY424" s="63"/>
      <c r="BZ424" s="63"/>
      <c r="CA424" s="103"/>
      <c r="CB424" s="103"/>
      <c r="CC424" s="103"/>
      <c r="CD424" s="103"/>
      <c r="CE424" s="63"/>
      <c r="CF424" s="63"/>
      <c r="CG424" s="63"/>
      <c r="CH424" s="63"/>
      <c r="CI424" s="103"/>
      <c r="CJ424" s="103"/>
      <c r="CK424" s="103"/>
      <c r="CL424" s="103"/>
    </row>
    <row r="425" spans="2:90" ht="13" x14ac:dyDescent="0.15">
      <c r="B425" s="13"/>
      <c r="C425" s="14"/>
      <c r="D425" s="14"/>
      <c r="E425" s="14"/>
      <c r="F425" s="14"/>
      <c r="G425" s="103"/>
      <c r="H425" s="103"/>
      <c r="I425" s="103"/>
      <c r="J425" s="103"/>
      <c r="K425" s="63"/>
      <c r="L425" s="63"/>
      <c r="M425" s="63"/>
      <c r="N425" s="63"/>
      <c r="O425" s="103"/>
      <c r="P425" s="103"/>
      <c r="Q425" s="103"/>
      <c r="R425" s="103"/>
      <c r="S425" s="63"/>
      <c r="T425" s="63"/>
      <c r="U425" s="63"/>
      <c r="V425" s="63"/>
      <c r="W425" s="103"/>
      <c r="X425" s="103"/>
      <c r="Y425" s="103"/>
      <c r="Z425" s="103"/>
      <c r="AA425" s="63"/>
      <c r="AB425" s="63"/>
      <c r="AC425" s="63"/>
      <c r="AD425" s="63"/>
      <c r="AE425" s="103"/>
      <c r="AF425" s="103"/>
      <c r="AG425" s="103"/>
      <c r="AH425" s="103"/>
      <c r="AI425" s="63"/>
      <c r="AJ425" s="63"/>
      <c r="AK425" s="63"/>
      <c r="AL425" s="63"/>
      <c r="AM425" s="103"/>
      <c r="AN425" s="103"/>
      <c r="AO425" s="103"/>
      <c r="AP425" s="103"/>
      <c r="AQ425" s="63"/>
      <c r="AR425" s="63"/>
      <c r="AS425" s="63"/>
      <c r="AT425" s="63"/>
      <c r="AU425" s="103"/>
      <c r="AV425" s="103"/>
      <c r="AW425" s="103"/>
      <c r="AX425" s="103"/>
      <c r="AY425" s="63"/>
      <c r="AZ425" s="63"/>
      <c r="BA425" s="63"/>
      <c r="BB425" s="63"/>
      <c r="BC425" s="103"/>
      <c r="BD425" s="103"/>
      <c r="BE425" s="103"/>
      <c r="BF425" s="103"/>
      <c r="BG425" s="63"/>
      <c r="BH425" s="63"/>
      <c r="BI425" s="63"/>
      <c r="BJ425" s="63"/>
      <c r="BK425" s="103"/>
      <c r="BL425" s="103"/>
      <c r="BM425" s="103"/>
      <c r="BN425" s="103"/>
      <c r="BO425" s="63"/>
      <c r="BP425" s="63"/>
      <c r="BQ425" s="63"/>
      <c r="BR425" s="63"/>
      <c r="BS425" s="103"/>
      <c r="BT425" s="103"/>
      <c r="BU425" s="103"/>
      <c r="BV425" s="103"/>
      <c r="BW425" s="63"/>
      <c r="BX425" s="63"/>
      <c r="BY425" s="63"/>
      <c r="BZ425" s="63"/>
      <c r="CA425" s="103"/>
      <c r="CB425" s="103"/>
      <c r="CC425" s="103"/>
      <c r="CD425" s="103"/>
      <c r="CE425" s="63"/>
      <c r="CF425" s="63"/>
      <c r="CG425" s="63"/>
      <c r="CH425" s="63"/>
      <c r="CI425" s="103"/>
      <c r="CJ425" s="103"/>
      <c r="CK425" s="103"/>
      <c r="CL425" s="103"/>
    </row>
    <row r="426" spans="2:90" ht="13" x14ac:dyDescent="0.15">
      <c r="B426" s="13"/>
      <c r="C426" s="14"/>
      <c r="D426" s="14"/>
      <c r="E426" s="14"/>
      <c r="F426" s="14"/>
      <c r="G426" s="103"/>
      <c r="H426" s="103"/>
      <c r="I426" s="103"/>
      <c r="J426" s="103"/>
      <c r="K426" s="63"/>
      <c r="L426" s="63"/>
      <c r="M426" s="63"/>
      <c r="N426" s="63"/>
      <c r="O426" s="103"/>
      <c r="P426" s="103"/>
      <c r="Q426" s="103"/>
      <c r="R426" s="103"/>
      <c r="S426" s="63"/>
      <c r="T426" s="63"/>
      <c r="U426" s="63"/>
      <c r="V426" s="63"/>
      <c r="W426" s="103"/>
      <c r="X426" s="103"/>
      <c r="Y426" s="103"/>
      <c r="Z426" s="103"/>
      <c r="AA426" s="63"/>
      <c r="AB426" s="63"/>
      <c r="AC426" s="63"/>
      <c r="AD426" s="63"/>
      <c r="AE426" s="103"/>
      <c r="AF426" s="103"/>
      <c r="AG426" s="103"/>
      <c r="AH426" s="103"/>
      <c r="AI426" s="63"/>
      <c r="AJ426" s="63"/>
      <c r="AK426" s="63"/>
      <c r="AL426" s="63"/>
      <c r="AM426" s="103"/>
      <c r="AN426" s="103"/>
      <c r="AO426" s="103"/>
      <c r="AP426" s="103"/>
      <c r="AQ426" s="63"/>
      <c r="AR426" s="63"/>
      <c r="AS426" s="63"/>
      <c r="AT426" s="63"/>
      <c r="AU426" s="103"/>
      <c r="AV426" s="103"/>
      <c r="AW426" s="103"/>
      <c r="AX426" s="103"/>
      <c r="AY426" s="63"/>
      <c r="AZ426" s="63"/>
      <c r="BA426" s="63"/>
      <c r="BB426" s="63"/>
      <c r="BC426" s="103"/>
      <c r="BD426" s="103"/>
      <c r="BE426" s="103"/>
      <c r="BF426" s="103"/>
      <c r="BG426" s="63"/>
      <c r="BH426" s="63"/>
      <c r="BI426" s="63"/>
      <c r="BJ426" s="63"/>
      <c r="BK426" s="103"/>
      <c r="BL426" s="103"/>
      <c r="BM426" s="103"/>
      <c r="BN426" s="103"/>
      <c r="BO426" s="63"/>
      <c r="BP426" s="63"/>
      <c r="BQ426" s="63"/>
      <c r="BR426" s="63"/>
      <c r="BS426" s="103"/>
      <c r="BT426" s="103"/>
      <c r="BU426" s="103"/>
      <c r="BV426" s="103"/>
      <c r="BW426" s="63"/>
      <c r="BX426" s="63"/>
      <c r="BY426" s="63"/>
      <c r="BZ426" s="63"/>
      <c r="CA426" s="103"/>
      <c r="CB426" s="103"/>
      <c r="CC426" s="103"/>
      <c r="CD426" s="103"/>
      <c r="CE426" s="63"/>
      <c r="CF426" s="63"/>
      <c r="CG426" s="63"/>
      <c r="CH426" s="63"/>
      <c r="CI426" s="103"/>
      <c r="CJ426" s="103"/>
      <c r="CK426" s="103"/>
      <c r="CL426" s="103"/>
    </row>
    <row r="427" spans="2:90" ht="13" x14ac:dyDescent="0.15">
      <c r="B427" s="13"/>
      <c r="C427" s="14"/>
      <c r="D427" s="14"/>
      <c r="E427" s="14"/>
      <c r="F427" s="14"/>
      <c r="G427" s="103"/>
      <c r="H427" s="103"/>
      <c r="I427" s="103"/>
      <c r="J427" s="103"/>
      <c r="K427" s="63"/>
      <c r="L427" s="63"/>
      <c r="M427" s="63"/>
      <c r="N427" s="63"/>
      <c r="O427" s="103"/>
      <c r="P427" s="103"/>
      <c r="Q427" s="103"/>
      <c r="R427" s="103"/>
      <c r="S427" s="63"/>
      <c r="T427" s="63"/>
      <c r="U427" s="63"/>
      <c r="V427" s="63"/>
      <c r="W427" s="103"/>
      <c r="X427" s="103"/>
      <c r="Y427" s="103"/>
      <c r="Z427" s="103"/>
      <c r="AA427" s="63"/>
      <c r="AB427" s="63"/>
      <c r="AC427" s="63"/>
      <c r="AD427" s="63"/>
      <c r="AE427" s="103"/>
      <c r="AF427" s="103"/>
      <c r="AG427" s="103"/>
      <c r="AH427" s="103"/>
      <c r="AI427" s="63"/>
      <c r="AJ427" s="63"/>
      <c r="AK427" s="63"/>
      <c r="AL427" s="63"/>
      <c r="AM427" s="103"/>
      <c r="AN427" s="103"/>
      <c r="AO427" s="103"/>
      <c r="AP427" s="103"/>
      <c r="AQ427" s="63"/>
      <c r="AR427" s="63"/>
      <c r="AS427" s="63"/>
      <c r="AT427" s="63"/>
      <c r="AU427" s="103"/>
      <c r="AV427" s="103"/>
      <c r="AW427" s="103"/>
      <c r="AX427" s="103"/>
      <c r="AY427" s="63"/>
      <c r="AZ427" s="63"/>
      <c r="BA427" s="63"/>
      <c r="BB427" s="63"/>
      <c r="BC427" s="103"/>
      <c r="BD427" s="103"/>
      <c r="BE427" s="103"/>
      <c r="BF427" s="103"/>
      <c r="BG427" s="63"/>
      <c r="BH427" s="63"/>
      <c r="BI427" s="63"/>
      <c r="BJ427" s="63"/>
      <c r="BK427" s="103"/>
      <c r="BL427" s="103"/>
      <c r="BM427" s="103"/>
      <c r="BN427" s="103"/>
      <c r="BO427" s="63"/>
      <c r="BP427" s="63"/>
      <c r="BQ427" s="63"/>
      <c r="BR427" s="63"/>
      <c r="BS427" s="103"/>
      <c r="BT427" s="103"/>
      <c r="BU427" s="103"/>
      <c r="BV427" s="103"/>
      <c r="BW427" s="63"/>
      <c r="BX427" s="63"/>
      <c r="BY427" s="63"/>
      <c r="BZ427" s="63"/>
      <c r="CA427" s="103"/>
      <c r="CB427" s="103"/>
      <c r="CC427" s="103"/>
      <c r="CD427" s="103"/>
      <c r="CE427" s="63"/>
      <c r="CF427" s="63"/>
      <c r="CG427" s="63"/>
      <c r="CH427" s="63"/>
      <c r="CI427" s="103"/>
      <c r="CJ427" s="103"/>
      <c r="CK427" s="103"/>
      <c r="CL427" s="103"/>
    </row>
    <row r="428" spans="2:90" ht="13" x14ac:dyDescent="0.15">
      <c r="B428" s="13"/>
      <c r="C428" s="14"/>
      <c r="D428" s="14"/>
      <c r="E428" s="14"/>
      <c r="F428" s="14"/>
      <c r="G428" s="103"/>
      <c r="H428" s="103"/>
      <c r="I428" s="103"/>
      <c r="J428" s="103"/>
      <c r="K428" s="63"/>
      <c r="L428" s="63"/>
      <c r="M428" s="63"/>
      <c r="N428" s="63"/>
      <c r="O428" s="103"/>
      <c r="P428" s="103"/>
      <c r="Q428" s="103"/>
      <c r="R428" s="103"/>
      <c r="S428" s="63"/>
      <c r="T428" s="63"/>
      <c r="U428" s="63"/>
      <c r="V428" s="63"/>
      <c r="W428" s="103"/>
      <c r="X428" s="103"/>
      <c r="Y428" s="103"/>
      <c r="Z428" s="103"/>
      <c r="AA428" s="63"/>
      <c r="AB428" s="63"/>
      <c r="AC428" s="63"/>
      <c r="AD428" s="63"/>
      <c r="AE428" s="103"/>
      <c r="AF428" s="103"/>
      <c r="AG428" s="103"/>
      <c r="AH428" s="103"/>
      <c r="AI428" s="63"/>
      <c r="AJ428" s="63"/>
      <c r="AK428" s="63"/>
      <c r="AL428" s="63"/>
      <c r="AM428" s="103"/>
      <c r="AN428" s="103"/>
      <c r="AO428" s="103"/>
      <c r="AP428" s="103"/>
      <c r="AQ428" s="63"/>
      <c r="AR428" s="63"/>
      <c r="AS428" s="63"/>
      <c r="AT428" s="63"/>
      <c r="AU428" s="103"/>
      <c r="AV428" s="103"/>
      <c r="AW428" s="103"/>
      <c r="AX428" s="103"/>
      <c r="AY428" s="63"/>
      <c r="AZ428" s="63"/>
      <c r="BA428" s="63"/>
      <c r="BB428" s="63"/>
      <c r="BC428" s="103"/>
      <c r="BD428" s="103"/>
      <c r="BE428" s="103"/>
      <c r="BF428" s="103"/>
      <c r="BG428" s="63"/>
      <c r="BH428" s="63"/>
      <c r="BI428" s="63"/>
      <c r="BJ428" s="63"/>
      <c r="BK428" s="103"/>
      <c r="BL428" s="103"/>
      <c r="BM428" s="103"/>
      <c r="BN428" s="103"/>
      <c r="BO428" s="63"/>
      <c r="BP428" s="63"/>
      <c r="BQ428" s="63"/>
      <c r="BR428" s="63"/>
      <c r="BS428" s="103"/>
      <c r="BT428" s="103"/>
      <c r="BU428" s="103"/>
      <c r="BV428" s="103"/>
      <c r="BW428" s="63"/>
      <c r="BX428" s="63"/>
      <c r="BY428" s="63"/>
      <c r="BZ428" s="63"/>
      <c r="CA428" s="103"/>
      <c r="CB428" s="103"/>
      <c r="CC428" s="103"/>
      <c r="CD428" s="103"/>
      <c r="CE428" s="63"/>
      <c r="CF428" s="63"/>
      <c r="CG428" s="63"/>
      <c r="CH428" s="63"/>
      <c r="CI428" s="103"/>
      <c r="CJ428" s="103"/>
      <c r="CK428" s="103"/>
      <c r="CL428" s="103"/>
    </row>
    <row r="429" spans="2:90" ht="13" x14ac:dyDescent="0.15">
      <c r="B429" s="13"/>
      <c r="C429" s="14"/>
      <c r="D429" s="14"/>
      <c r="E429" s="14"/>
      <c r="F429" s="14"/>
      <c r="G429" s="103"/>
      <c r="H429" s="103"/>
      <c r="I429" s="103"/>
      <c r="J429" s="103"/>
      <c r="K429" s="63"/>
      <c r="L429" s="63"/>
      <c r="M429" s="63"/>
      <c r="N429" s="63"/>
      <c r="O429" s="103"/>
      <c r="P429" s="103"/>
      <c r="Q429" s="103"/>
      <c r="R429" s="103"/>
      <c r="S429" s="63"/>
      <c r="T429" s="63"/>
      <c r="U429" s="63"/>
      <c r="V429" s="63"/>
      <c r="W429" s="103"/>
      <c r="X429" s="103"/>
      <c r="Y429" s="103"/>
      <c r="Z429" s="103"/>
      <c r="AA429" s="63"/>
      <c r="AB429" s="63"/>
      <c r="AC429" s="63"/>
      <c r="AD429" s="63"/>
      <c r="AE429" s="103"/>
      <c r="AF429" s="103"/>
      <c r="AG429" s="103"/>
      <c r="AH429" s="103"/>
      <c r="AI429" s="63"/>
      <c r="AJ429" s="63"/>
      <c r="AK429" s="63"/>
      <c r="AL429" s="63"/>
      <c r="AM429" s="103"/>
      <c r="AN429" s="103"/>
      <c r="AO429" s="103"/>
      <c r="AP429" s="103"/>
      <c r="AQ429" s="63"/>
      <c r="AR429" s="63"/>
      <c r="AS429" s="63"/>
      <c r="AT429" s="63"/>
      <c r="AU429" s="103"/>
      <c r="AV429" s="103"/>
      <c r="AW429" s="103"/>
      <c r="AX429" s="103"/>
      <c r="AY429" s="63"/>
      <c r="AZ429" s="63"/>
      <c r="BA429" s="63"/>
      <c r="BB429" s="63"/>
      <c r="BC429" s="103"/>
      <c r="BD429" s="103"/>
      <c r="BE429" s="103"/>
      <c r="BF429" s="103"/>
      <c r="BG429" s="63"/>
      <c r="BH429" s="63"/>
      <c r="BI429" s="63"/>
      <c r="BJ429" s="63"/>
      <c r="BK429" s="103"/>
      <c r="BL429" s="103"/>
      <c r="BM429" s="103"/>
      <c r="BN429" s="103"/>
      <c r="BO429" s="63"/>
      <c r="BP429" s="63"/>
      <c r="BQ429" s="63"/>
      <c r="BR429" s="63"/>
      <c r="BS429" s="103"/>
      <c r="BT429" s="103"/>
      <c r="BU429" s="103"/>
      <c r="BV429" s="103"/>
      <c r="BW429" s="63"/>
      <c r="BX429" s="63"/>
      <c r="BY429" s="63"/>
      <c r="BZ429" s="63"/>
      <c r="CA429" s="103"/>
      <c r="CB429" s="103"/>
      <c r="CC429" s="103"/>
      <c r="CD429" s="103"/>
      <c r="CE429" s="63"/>
      <c r="CF429" s="63"/>
      <c r="CG429" s="63"/>
      <c r="CH429" s="63"/>
      <c r="CI429" s="103"/>
      <c r="CJ429" s="103"/>
      <c r="CK429" s="103"/>
      <c r="CL429" s="103"/>
    </row>
    <row r="430" spans="2:90" ht="13" x14ac:dyDescent="0.15">
      <c r="B430" s="13"/>
      <c r="C430" s="14"/>
      <c r="D430" s="14"/>
      <c r="E430" s="14"/>
      <c r="F430" s="14"/>
      <c r="G430" s="103"/>
      <c r="H430" s="103"/>
      <c r="I430" s="103"/>
      <c r="J430" s="103"/>
      <c r="K430" s="63"/>
      <c r="L430" s="63"/>
      <c r="M430" s="63"/>
      <c r="N430" s="63"/>
      <c r="O430" s="103"/>
      <c r="P430" s="103"/>
      <c r="Q430" s="103"/>
      <c r="R430" s="103"/>
      <c r="S430" s="63"/>
      <c r="T430" s="63"/>
      <c r="U430" s="63"/>
      <c r="V430" s="63"/>
      <c r="W430" s="103"/>
      <c r="X430" s="103"/>
      <c r="Y430" s="103"/>
      <c r="Z430" s="103"/>
      <c r="AA430" s="63"/>
      <c r="AB430" s="63"/>
      <c r="AC430" s="63"/>
      <c r="AD430" s="63"/>
      <c r="AE430" s="103"/>
      <c r="AF430" s="103"/>
      <c r="AG430" s="103"/>
      <c r="AH430" s="103"/>
      <c r="AI430" s="63"/>
      <c r="AJ430" s="63"/>
      <c r="AK430" s="63"/>
      <c r="AL430" s="63"/>
      <c r="AM430" s="103"/>
      <c r="AN430" s="103"/>
      <c r="AO430" s="103"/>
      <c r="AP430" s="103"/>
      <c r="AQ430" s="63"/>
      <c r="AR430" s="63"/>
      <c r="AS430" s="63"/>
      <c r="AT430" s="63"/>
      <c r="AU430" s="103"/>
      <c r="AV430" s="103"/>
      <c r="AW430" s="103"/>
      <c r="AX430" s="103"/>
      <c r="AY430" s="63"/>
      <c r="AZ430" s="63"/>
      <c r="BA430" s="63"/>
      <c r="BB430" s="63"/>
      <c r="BC430" s="103"/>
      <c r="BD430" s="103"/>
      <c r="BE430" s="103"/>
      <c r="BF430" s="103"/>
      <c r="BG430" s="63"/>
      <c r="BH430" s="63"/>
      <c r="BI430" s="63"/>
      <c r="BJ430" s="63"/>
      <c r="BK430" s="103"/>
      <c r="BL430" s="103"/>
      <c r="BM430" s="103"/>
      <c r="BN430" s="103"/>
      <c r="BO430" s="63"/>
      <c r="BP430" s="63"/>
      <c r="BQ430" s="63"/>
      <c r="BR430" s="63"/>
      <c r="BS430" s="103"/>
      <c r="BT430" s="103"/>
      <c r="BU430" s="103"/>
      <c r="BV430" s="103"/>
      <c r="BW430" s="63"/>
      <c r="BX430" s="63"/>
      <c r="BY430" s="63"/>
      <c r="BZ430" s="63"/>
      <c r="CA430" s="103"/>
      <c r="CB430" s="103"/>
      <c r="CC430" s="103"/>
      <c r="CD430" s="103"/>
      <c r="CE430" s="63"/>
      <c r="CF430" s="63"/>
      <c r="CG430" s="63"/>
      <c r="CH430" s="63"/>
      <c r="CI430" s="103"/>
      <c r="CJ430" s="103"/>
      <c r="CK430" s="103"/>
      <c r="CL430" s="103"/>
    </row>
    <row r="431" spans="2:90" ht="13" x14ac:dyDescent="0.15">
      <c r="B431" s="13"/>
      <c r="C431" s="14"/>
      <c r="D431" s="14"/>
      <c r="E431" s="14"/>
      <c r="F431" s="14"/>
      <c r="G431" s="103"/>
      <c r="H431" s="103"/>
      <c r="I431" s="103"/>
      <c r="J431" s="103"/>
      <c r="K431" s="63"/>
      <c r="L431" s="63"/>
      <c r="M431" s="63"/>
      <c r="N431" s="63"/>
      <c r="O431" s="103"/>
      <c r="P431" s="103"/>
      <c r="Q431" s="103"/>
      <c r="R431" s="103"/>
      <c r="S431" s="63"/>
      <c r="T431" s="63"/>
      <c r="U431" s="63"/>
      <c r="V431" s="63"/>
      <c r="W431" s="103"/>
      <c r="X431" s="103"/>
      <c r="Y431" s="103"/>
      <c r="Z431" s="103"/>
      <c r="AA431" s="63"/>
      <c r="AB431" s="63"/>
      <c r="AC431" s="63"/>
      <c r="AD431" s="63"/>
      <c r="AE431" s="103"/>
      <c r="AF431" s="103"/>
      <c r="AG431" s="103"/>
      <c r="AH431" s="103"/>
      <c r="AI431" s="63"/>
      <c r="AJ431" s="63"/>
      <c r="AK431" s="63"/>
      <c r="AL431" s="63"/>
      <c r="AM431" s="103"/>
      <c r="AN431" s="103"/>
      <c r="AO431" s="103"/>
      <c r="AP431" s="103"/>
      <c r="AQ431" s="63"/>
      <c r="AR431" s="63"/>
      <c r="AS431" s="63"/>
      <c r="AT431" s="63"/>
      <c r="AU431" s="103"/>
      <c r="AV431" s="103"/>
      <c r="AW431" s="103"/>
      <c r="AX431" s="103"/>
      <c r="AY431" s="63"/>
      <c r="AZ431" s="63"/>
      <c r="BA431" s="63"/>
      <c r="BB431" s="63"/>
      <c r="BC431" s="103"/>
      <c r="BD431" s="103"/>
      <c r="BE431" s="103"/>
      <c r="BF431" s="103"/>
      <c r="BG431" s="63"/>
      <c r="BH431" s="63"/>
      <c r="BI431" s="63"/>
      <c r="BJ431" s="63"/>
      <c r="BK431" s="103"/>
      <c r="BL431" s="103"/>
      <c r="BM431" s="103"/>
      <c r="BN431" s="103"/>
      <c r="BO431" s="63"/>
      <c r="BP431" s="63"/>
      <c r="BQ431" s="63"/>
      <c r="BR431" s="63"/>
      <c r="BS431" s="103"/>
      <c r="BT431" s="103"/>
      <c r="BU431" s="103"/>
      <c r="BV431" s="103"/>
      <c r="BW431" s="63"/>
      <c r="BX431" s="63"/>
      <c r="BY431" s="63"/>
      <c r="BZ431" s="63"/>
      <c r="CA431" s="103"/>
      <c r="CB431" s="103"/>
      <c r="CC431" s="103"/>
      <c r="CD431" s="103"/>
      <c r="CE431" s="63"/>
      <c r="CF431" s="63"/>
      <c r="CG431" s="63"/>
      <c r="CH431" s="63"/>
      <c r="CI431" s="103"/>
      <c r="CJ431" s="103"/>
      <c r="CK431" s="103"/>
      <c r="CL431" s="103"/>
    </row>
    <row r="432" spans="2:90" ht="13" x14ac:dyDescent="0.15">
      <c r="B432" s="13"/>
      <c r="C432" s="14"/>
      <c r="D432" s="14"/>
      <c r="E432" s="14"/>
      <c r="F432" s="14"/>
      <c r="G432" s="103"/>
      <c r="H432" s="103"/>
      <c r="I432" s="103"/>
      <c r="J432" s="103"/>
      <c r="K432" s="63"/>
      <c r="L432" s="63"/>
      <c r="M432" s="63"/>
      <c r="N432" s="63"/>
      <c r="O432" s="103"/>
      <c r="P432" s="103"/>
      <c r="Q432" s="103"/>
      <c r="R432" s="103"/>
      <c r="S432" s="63"/>
      <c r="T432" s="63"/>
      <c r="U432" s="63"/>
      <c r="V432" s="63"/>
      <c r="W432" s="103"/>
      <c r="X432" s="103"/>
      <c r="Y432" s="103"/>
      <c r="Z432" s="103"/>
      <c r="AA432" s="63"/>
      <c r="AB432" s="63"/>
      <c r="AC432" s="63"/>
      <c r="AD432" s="63"/>
      <c r="AE432" s="103"/>
      <c r="AF432" s="103"/>
      <c r="AG432" s="103"/>
      <c r="AH432" s="103"/>
      <c r="AI432" s="63"/>
      <c r="AJ432" s="63"/>
      <c r="AK432" s="63"/>
      <c r="AL432" s="63"/>
      <c r="AM432" s="103"/>
      <c r="AN432" s="103"/>
      <c r="AO432" s="103"/>
      <c r="AP432" s="103"/>
      <c r="AQ432" s="63"/>
      <c r="AR432" s="63"/>
      <c r="AS432" s="63"/>
      <c r="AT432" s="63"/>
      <c r="AU432" s="103"/>
      <c r="AV432" s="103"/>
      <c r="AW432" s="103"/>
      <c r="AX432" s="103"/>
      <c r="AY432" s="63"/>
      <c r="AZ432" s="63"/>
      <c r="BA432" s="63"/>
      <c r="BB432" s="63"/>
      <c r="BC432" s="103"/>
      <c r="BD432" s="103"/>
      <c r="BE432" s="103"/>
      <c r="BF432" s="103"/>
      <c r="BG432" s="63"/>
      <c r="BH432" s="63"/>
      <c r="BI432" s="63"/>
      <c r="BJ432" s="63"/>
      <c r="BK432" s="103"/>
      <c r="BL432" s="103"/>
      <c r="BM432" s="103"/>
      <c r="BN432" s="103"/>
      <c r="BO432" s="63"/>
      <c r="BP432" s="63"/>
      <c r="BQ432" s="63"/>
      <c r="BR432" s="63"/>
      <c r="BS432" s="103"/>
      <c r="BT432" s="103"/>
      <c r="BU432" s="103"/>
      <c r="BV432" s="103"/>
      <c r="BW432" s="63"/>
      <c r="BX432" s="63"/>
      <c r="BY432" s="63"/>
      <c r="BZ432" s="63"/>
      <c r="CA432" s="103"/>
      <c r="CB432" s="103"/>
      <c r="CC432" s="103"/>
      <c r="CD432" s="103"/>
      <c r="CE432" s="63"/>
      <c r="CF432" s="63"/>
      <c r="CG432" s="63"/>
      <c r="CH432" s="63"/>
      <c r="CI432" s="103"/>
      <c r="CJ432" s="103"/>
      <c r="CK432" s="103"/>
      <c r="CL432" s="103"/>
    </row>
    <row r="433" spans="2:90" ht="13" x14ac:dyDescent="0.15">
      <c r="B433" s="13"/>
      <c r="C433" s="14"/>
      <c r="D433" s="14"/>
      <c r="E433" s="14"/>
      <c r="F433" s="14"/>
      <c r="G433" s="103"/>
      <c r="H433" s="103"/>
      <c r="I433" s="103"/>
      <c r="J433" s="103"/>
      <c r="K433" s="63"/>
      <c r="L433" s="63"/>
      <c r="M433" s="63"/>
      <c r="N433" s="63"/>
      <c r="O433" s="103"/>
      <c r="P433" s="103"/>
      <c r="Q433" s="103"/>
      <c r="R433" s="103"/>
      <c r="S433" s="63"/>
      <c r="T433" s="63"/>
      <c r="U433" s="63"/>
      <c r="V433" s="63"/>
      <c r="W433" s="103"/>
      <c r="X433" s="103"/>
      <c r="Y433" s="103"/>
      <c r="Z433" s="103"/>
      <c r="AA433" s="63"/>
      <c r="AB433" s="63"/>
      <c r="AC433" s="63"/>
      <c r="AD433" s="63"/>
      <c r="AE433" s="103"/>
      <c r="AF433" s="103"/>
      <c r="AG433" s="103"/>
      <c r="AH433" s="103"/>
      <c r="AI433" s="63"/>
      <c r="AJ433" s="63"/>
      <c r="AK433" s="63"/>
      <c r="AL433" s="63"/>
      <c r="AM433" s="103"/>
      <c r="AN433" s="103"/>
      <c r="AO433" s="103"/>
      <c r="AP433" s="103"/>
      <c r="AQ433" s="63"/>
      <c r="AR433" s="63"/>
      <c r="AS433" s="63"/>
      <c r="AT433" s="63"/>
      <c r="AU433" s="103"/>
      <c r="AV433" s="103"/>
      <c r="AW433" s="103"/>
      <c r="AX433" s="103"/>
      <c r="AY433" s="63"/>
      <c r="AZ433" s="63"/>
      <c r="BA433" s="63"/>
      <c r="BB433" s="63"/>
      <c r="BC433" s="103"/>
      <c r="BD433" s="103"/>
      <c r="BE433" s="103"/>
      <c r="BF433" s="103"/>
      <c r="BG433" s="63"/>
      <c r="BH433" s="63"/>
      <c r="BI433" s="63"/>
      <c r="BJ433" s="63"/>
      <c r="BK433" s="103"/>
      <c r="BL433" s="103"/>
      <c r="BM433" s="103"/>
      <c r="BN433" s="103"/>
      <c r="BO433" s="63"/>
      <c r="BP433" s="63"/>
      <c r="BQ433" s="63"/>
      <c r="BR433" s="63"/>
      <c r="BS433" s="103"/>
      <c r="BT433" s="103"/>
      <c r="BU433" s="103"/>
      <c r="BV433" s="103"/>
      <c r="BW433" s="63"/>
      <c r="BX433" s="63"/>
      <c r="BY433" s="63"/>
      <c r="BZ433" s="63"/>
      <c r="CA433" s="103"/>
      <c r="CB433" s="103"/>
      <c r="CC433" s="103"/>
      <c r="CD433" s="103"/>
      <c r="CE433" s="63"/>
      <c r="CF433" s="63"/>
      <c r="CG433" s="63"/>
      <c r="CH433" s="63"/>
      <c r="CI433" s="103"/>
      <c r="CJ433" s="103"/>
      <c r="CK433" s="103"/>
      <c r="CL433" s="103"/>
    </row>
    <row r="434" spans="2:90" ht="13" x14ac:dyDescent="0.15">
      <c r="B434" s="13"/>
      <c r="C434" s="14"/>
      <c r="D434" s="14"/>
      <c r="E434" s="14"/>
      <c r="F434" s="14"/>
      <c r="G434" s="103"/>
      <c r="H434" s="103"/>
      <c r="I434" s="103"/>
      <c r="J434" s="103"/>
      <c r="K434" s="63"/>
      <c r="L434" s="63"/>
      <c r="M434" s="63"/>
      <c r="N434" s="63"/>
      <c r="O434" s="103"/>
      <c r="P434" s="103"/>
      <c r="Q434" s="103"/>
      <c r="R434" s="103"/>
      <c r="S434" s="63"/>
      <c r="T434" s="63"/>
      <c r="U434" s="63"/>
      <c r="V434" s="63"/>
      <c r="W434" s="103"/>
      <c r="X434" s="103"/>
      <c r="Y434" s="103"/>
      <c r="Z434" s="103"/>
      <c r="AA434" s="63"/>
      <c r="AB434" s="63"/>
      <c r="AC434" s="63"/>
      <c r="AD434" s="63"/>
      <c r="AE434" s="103"/>
      <c r="AF434" s="103"/>
      <c r="AG434" s="103"/>
      <c r="AH434" s="103"/>
      <c r="AI434" s="63"/>
      <c r="AJ434" s="63"/>
      <c r="AK434" s="63"/>
      <c r="AL434" s="63"/>
      <c r="AM434" s="103"/>
      <c r="AN434" s="103"/>
      <c r="AO434" s="103"/>
      <c r="AP434" s="103"/>
      <c r="AQ434" s="63"/>
      <c r="AR434" s="63"/>
      <c r="AS434" s="63"/>
      <c r="AT434" s="63"/>
      <c r="AU434" s="103"/>
      <c r="AV434" s="103"/>
      <c r="AW434" s="103"/>
      <c r="AX434" s="103"/>
      <c r="AY434" s="63"/>
      <c r="AZ434" s="63"/>
      <c r="BA434" s="63"/>
      <c r="BB434" s="63"/>
      <c r="BC434" s="103"/>
      <c r="BD434" s="103"/>
      <c r="BE434" s="103"/>
      <c r="BF434" s="103"/>
      <c r="BG434" s="63"/>
      <c r="BH434" s="63"/>
      <c r="BI434" s="63"/>
      <c r="BJ434" s="63"/>
      <c r="BK434" s="103"/>
      <c r="BL434" s="103"/>
      <c r="BM434" s="103"/>
      <c r="BN434" s="103"/>
      <c r="BO434" s="63"/>
      <c r="BP434" s="63"/>
      <c r="BQ434" s="63"/>
      <c r="BR434" s="63"/>
      <c r="BS434" s="103"/>
      <c r="BT434" s="103"/>
      <c r="BU434" s="103"/>
      <c r="BV434" s="103"/>
      <c r="BW434" s="63"/>
      <c r="BX434" s="63"/>
      <c r="BY434" s="63"/>
      <c r="BZ434" s="63"/>
      <c r="CA434" s="103"/>
      <c r="CB434" s="103"/>
      <c r="CC434" s="103"/>
      <c r="CD434" s="103"/>
      <c r="CE434" s="63"/>
      <c r="CF434" s="63"/>
      <c r="CG434" s="63"/>
      <c r="CH434" s="63"/>
      <c r="CI434" s="103"/>
      <c r="CJ434" s="103"/>
      <c r="CK434" s="103"/>
      <c r="CL434" s="103"/>
    </row>
    <row r="435" spans="2:90" ht="13" x14ac:dyDescent="0.15">
      <c r="G435" s="103"/>
      <c r="H435" s="103"/>
      <c r="I435" s="103"/>
      <c r="J435" s="103"/>
      <c r="K435" s="63"/>
      <c r="L435" s="63"/>
      <c r="M435" s="63"/>
      <c r="N435" s="63"/>
      <c r="O435" s="103"/>
      <c r="P435" s="103"/>
      <c r="Q435" s="103"/>
      <c r="R435" s="103"/>
      <c r="S435" s="63"/>
      <c r="T435" s="63"/>
      <c r="U435" s="63"/>
      <c r="V435" s="63"/>
      <c r="W435" s="103"/>
      <c r="X435" s="103"/>
      <c r="Y435" s="103"/>
      <c r="Z435" s="103"/>
      <c r="AA435" s="63"/>
      <c r="AB435" s="63"/>
      <c r="AC435" s="63"/>
      <c r="AD435" s="63"/>
      <c r="AE435" s="103"/>
      <c r="AF435" s="103"/>
      <c r="AG435" s="103"/>
      <c r="AH435" s="103"/>
      <c r="AI435" s="63"/>
      <c r="AJ435" s="63"/>
      <c r="AK435" s="63"/>
      <c r="AL435" s="63"/>
      <c r="AM435" s="103"/>
      <c r="AN435" s="103"/>
      <c r="AO435" s="103"/>
      <c r="AP435" s="103"/>
      <c r="AQ435" s="63"/>
      <c r="AR435" s="63"/>
      <c r="AS435" s="63"/>
      <c r="AT435" s="63"/>
      <c r="AU435" s="103"/>
      <c r="AV435" s="103"/>
      <c r="AW435" s="103"/>
      <c r="AX435" s="103"/>
      <c r="AY435" s="63"/>
      <c r="AZ435" s="63"/>
      <c r="BA435" s="63"/>
      <c r="BB435" s="63"/>
      <c r="BC435" s="103"/>
      <c r="BD435" s="103"/>
      <c r="BE435" s="103"/>
      <c r="BF435" s="103"/>
      <c r="BG435" s="63"/>
      <c r="BH435" s="63"/>
      <c r="BI435" s="63"/>
      <c r="BJ435" s="63"/>
      <c r="BK435" s="103"/>
      <c r="BL435" s="103"/>
      <c r="BM435" s="103"/>
      <c r="BN435" s="103"/>
      <c r="BO435" s="63"/>
      <c r="BP435" s="63"/>
      <c r="BQ435" s="63"/>
      <c r="BR435" s="63"/>
      <c r="BS435" s="103"/>
      <c r="BT435" s="103"/>
      <c r="BU435" s="103"/>
      <c r="BV435" s="103"/>
      <c r="BW435" s="63"/>
      <c r="BX435" s="63"/>
      <c r="BY435" s="63"/>
      <c r="BZ435" s="63"/>
      <c r="CA435" s="103"/>
      <c r="CB435" s="103"/>
      <c r="CC435" s="103"/>
      <c r="CD435" s="103"/>
      <c r="CE435" s="63"/>
      <c r="CF435" s="63"/>
      <c r="CG435" s="63"/>
      <c r="CH435" s="63"/>
      <c r="CI435" s="103"/>
      <c r="CJ435" s="103"/>
      <c r="CK435" s="103"/>
      <c r="CL435" s="103"/>
    </row>
    <row r="436" spans="2:90" ht="13" x14ac:dyDescent="0.15">
      <c r="G436" s="103"/>
      <c r="H436" s="103"/>
      <c r="I436" s="103"/>
      <c r="J436" s="103"/>
      <c r="K436" s="63"/>
      <c r="L436" s="63"/>
      <c r="M436" s="63"/>
      <c r="N436" s="63"/>
      <c r="O436" s="103"/>
      <c r="P436" s="103"/>
      <c r="Q436" s="103"/>
      <c r="R436" s="103"/>
      <c r="S436" s="63"/>
      <c r="T436" s="63"/>
      <c r="U436" s="63"/>
      <c r="V436" s="63"/>
      <c r="W436" s="103"/>
      <c r="X436" s="103"/>
      <c r="Y436" s="103"/>
      <c r="Z436" s="103"/>
      <c r="AA436" s="63"/>
      <c r="AB436" s="63"/>
      <c r="AC436" s="63"/>
      <c r="AD436" s="63"/>
      <c r="AE436" s="103"/>
      <c r="AF436" s="103"/>
      <c r="AG436" s="103"/>
      <c r="AH436" s="103"/>
      <c r="AI436" s="63"/>
      <c r="AJ436" s="63"/>
      <c r="AK436" s="63"/>
      <c r="AL436" s="63"/>
      <c r="AM436" s="103"/>
      <c r="AN436" s="103"/>
      <c r="AO436" s="103"/>
      <c r="AP436" s="103"/>
      <c r="AQ436" s="63"/>
      <c r="AR436" s="63"/>
      <c r="AS436" s="63"/>
      <c r="AT436" s="63"/>
      <c r="AU436" s="103"/>
      <c r="AV436" s="103"/>
      <c r="AW436" s="103"/>
      <c r="AX436" s="103"/>
      <c r="AY436" s="63"/>
      <c r="AZ436" s="63"/>
      <c r="BA436" s="63"/>
      <c r="BB436" s="63"/>
      <c r="BC436" s="103"/>
      <c r="BD436" s="103"/>
      <c r="BE436" s="103"/>
      <c r="BF436" s="103"/>
      <c r="BG436" s="63"/>
      <c r="BH436" s="63"/>
      <c r="BI436" s="63"/>
      <c r="BJ436" s="63"/>
      <c r="BK436" s="103"/>
      <c r="BL436" s="103"/>
      <c r="BM436" s="103"/>
      <c r="BN436" s="103"/>
      <c r="BO436" s="63"/>
      <c r="BP436" s="63"/>
      <c r="BQ436" s="63"/>
      <c r="BR436" s="63"/>
      <c r="BS436" s="103"/>
      <c r="BT436" s="103"/>
      <c r="BU436" s="103"/>
      <c r="BV436" s="103"/>
      <c r="BW436" s="63"/>
      <c r="BX436" s="63"/>
      <c r="BY436" s="63"/>
      <c r="BZ436" s="63"/>
      <c r="CA436" s="103"/>
      <c r="CB436" s="103"/>
      <c r="CC436" s="103"/>
      <c r="CD436" s="103"/>
      <c r="CE436" s="63"/>
      <c r="CF436" s="63"/>
      <c r="CG436" s="63"/>
      <c r="CH436" s="63"/>
      <c r="CI436" s="103"/>
      <c r="CJ436" s="103"/>
      <c r="CK436" s="103"/>
      <c r="CL436" s="103"/>
    </row>
    <row r="437" spans="2:90" ht="13" x14ac:dyDescent="0.15">
      <c r="G437" s="103"/>
      <c r="H437" s="103"/>
      <c r="I437" s="103"/>
      <c r="J437" s="103"/>
      <c r="K437" s="63"/>
      <c r="L437" s="63"/>
      <c r="M437" s="63"/>
      <c r="N437" s="63"/>
      <c r="O437" s="103"/>
      <c r="P437" s="103"/>
      <c r="Q437" s="103"/>
      <c r="R437" s="103"/>
      <c r="S437" s="63"/>
      <c r="T437" s="63"/>
      <c r="U437" s="63"/>
      <c r="V437" s="63"/>
      <c r="W437" s="103"/>
      <c r="X437" s="103"/>
      <c r="Y437" s="103"/>
      <c r="Z437" s="103"/>
      <c r="AA437" s="63"/>
      <c r="AB437" s="63"/>
      <c r="AC437" s="63"/>
      <c r="AD437" s="63"/>
      <c r="AE437" s="103"/>
      <c r="AF437" s="103"/>
      <c r="AG437" s="103"/>
      <c r="AH437" s="103"/>
      <c r="AI437" s="63"/>
      <c r="AJ437" s="63"/>
      <c r="AK437" s="63"/>
      <c r="AL437" s="63"/>
      <c r="AM437" s="103"/>
      <c r="AN437" s="103"/>
      <c r="AO437" s="103"/>
      <c r="AP437" s="103"/>
      <c r="AQ437" s="63"/>
      <c r="AR437" s="63"/>
      <c r="AS437" s="63"/>
      <c r="AT437" s="63"/>
      <c r="AU437" s="103"/>
      <c r="AV437" s="103"/>
      <c r="AW437" s="103"/>
      <c r="AX437" s="103"/>
      <c r="AY437" s="63"/>
      <c r="AZ437" s="63"/>
      <c r="BA437" s="63"/>
      <c r="BB437" s="63"/>
      <c r="BC437" s="103"/>
      <c r="BD437" s="103"/>
      <c r="BE437" s="103"/>
      <c r="BF437" s="103"/>
      <c r="BG437" s="63"/>
      <c r="BH437" s="63"/>
      <c r="BI437" s="63"/>
      <c r="BJ437" s="63"/>
      <c r="BK437" s="103"/>
      <c r="BL437" s="103"/>
      <c r="BM437" s="103"/>
      <c r="BN437" s="103"/>
      <c r="BO437" s="63"/>
      <c r="BP437" s="63"/>
      <c r="BQ437" s="63"/>
      <c r="BR437" s="63"/>
      <c r="BS437" s="103"/>
      <c r="BT437" s="103"/>
      <c r="BU437" s="103"/>
      <c r="BV437" s="103"/>
      <c r="BW437" s="63"/>
      <c r="BX437" s="63"/>
      <c r="BY437" s="63"/>
      <c r="BZ437" s="63"/>
      <c r="CA437" s="103"/>
      <c r="CB437" s="103"/>
      <c r="CC437" s="103"/>
      <c r="CD437" s="103"/>
      <c r="CE437" s="63"/>
      <c r="CF437" s="63"/>
      <c r="CG437" s="63"/>
      <c r="CH437" s="63"/>
      <c r="CI437" s="103"/>
      <c r="CJ437" s="103"/>
      <c r="CK437" s="103"/>
      <c r="CL437" s="103"/>
    </row>
    <row r="438" spans="2:90" ht="13" x14ac:dyDescent="0.15">
      <c r="G438" s="103"/>
      <c r="H438" s="103"/>
      <c r="I438" s="103"/>
      <c r="J438" s="103"/>
      <c r="K438" s="63"/>
      <c r="L438" s="63"/>
      <c r="M438" s="63"/>
      <c r="N438" s="63"/>
      <c r="O438" s="103"/>
      <c r="P438" s="103"/>
      <c r="Q438" s="103"/>
      <c r="R438" s="103"/>
      <c r="S438" s="63"/>
      <c r="T438" s="63"/>
      <c r="U438" s="63"/>
      <c r="V438" s="63"/>
      <c r="W438" s="103"/>
      <c r="X438" s="103"/>
      <c r="Y438" s="103"/>
      <c r="Z438" s="103"/>
      <c r="AA438" s="63"/>
      <c r="AB438" s="63"/>
      <c r="AC438" s="63"/>
      <c r="AD438" s="63"/>
      <c r="AE438" s="103"/>
      <c r="AF438" s="103"/>
      <c r="AG438" s="103"/>
      <c r="AH438" s="103"/>
      <c r="AI438" s="63"/>
      <c r="AJ438" s="63"/>
      <c r="AK438" s="63"/>
      <c r="AL438" s="63"/>
      <c r="AM438" s="103"/>
      <c r="AN438" s="103"/>
      <c r="AO438" s="103"/>
      <c r="AP438" s="103"/>
      <c r="AQ438" s="63"/>
      <c r="AR438" s="63"/>
      <c r="AS438" s="63"/>
      <c r="AT438" s="63"/>
      <c r="AU438" s="103"/>
      <c r="AV438" s="103"/>
      <c r="AW438" s="103"/>
      <c r="AX438" s="103"/>
      <c r="AY438" s="63"/>
      <c r="AZ438" s="63"/>
      <c r="BA438" s="63"/>
      <c r="BB438" s="63"/>
      <c r="BC438" s="103"/>
      <c r="BD438" s="103"/>
      <c r="BE438" s="103"/>
      <c r="BF438" s="103"/>
      <c r="BG438" s="63"/>
      <c r="BH438" s="63"/>
      <c r="BI438" s="63"/>
      <c r="BJ438" s="63"/>
      <c r="BK438" s="103"/>
      <c r="BL438" s="103"/>
      <c r="BM438" s="103"/>
      <c r="BN438" s="103"/>
      <c r="BO438" s="63"/>
      <c r="BP438" s="63"/>
      <c r="BQ438" s="63"/>
      <c r="BR438" s="63"/>
      <c r="BS438" s="103"/>
      <c r="BT438" s="103"/>
      <c r="BU438" s="103"/>
      <c r="BV438" s="103"/>
      <c r="BW438" s="63"/>
      <c r="BX438" s="63"/>
      <c r="BY438" s="63"/>
      <c r="BZ438" s="63"/>
      <c r="CA438" s="103"/>
      <c r="CB438" s="103"/>
      <c r="CC438" s="103"/>
      <c r="CD438" s="103"/>
      <c r="CE438" s="63"/>
      <c r="CF438" s="63"/>
      <c r="CG438" s="63"/>
      <c r="CH438" s="63"/>
      <c r="CI438" s="103"/>
      <c r="CJ438" s="103"/>
      <c r="CK438" s="103"/>
      <c r="CL438" s="103"/>
    </row>
    <row r="439" spans="2:90" ht="13" x14ac:dyDescent="0.15">
      <c r="G439" s="103"/>
      <c r="H439" s="103"/>
      <c r="I439" s="103"/>
      <c r="J439" s="103"/>
      <c r="K439" s="63"/>
      <c r="L439" s="63"/>
      <c r="M439" s="63"/>
      <c r="N439" s="63"/>
      <c r="O439" s="103"/>
      <c r="P439" s="103"/>
      <c r="Q439" s="103"/>
      <c r="R439" s="103"/>
      <c r="S439" s="63"/>
      <c r="T439" s="63"/>
      <c r="U439" s="63"/>
      <c r="V439" s="63"/>
      <c r="W439" s="103"/>
      <c r="X439" s="103"/>
      <c r="Y439" s="103"/>
      <c r="Z439" s="103"/>
      <c r="AA439" s="63"/>
      <c r="AB439" s="63"/>
      <c r="AC439" s="63"/>
      <c r="AD439" s="63"/>
      <c r="AE439" s="103"/>
      <c r="AF439" s="103"/>
      <c r="AG439" s="103"/>
      <c r="AH439" s="103"/>
      <c r="AI439" s="63"/>
      <c r="AJ439" s="63"/>
      <c r="AK439" s="63"/>
      <c r="AL439" s="63"/>
      <c r="AM439" s="103"/>
      <c r="AN439" s="103"/>
      <c r="AO439" s="103"/>
      <c r="AP439" s="103"/>
      <c r="AQ439" s="63"/>
      <c r="AR439" s="63"/>
      <c r="AS439" s="63"/>
      <c r="AT439" s="63"/>
      <c r="AU439" s="103"/>
      <c r="AV439" s="103"/>
      <c r="AW439" s="103"/>
      <c r="AX439" s="103"/>
      <c r="AY439" s="63"/>
      <c r="AZ439" s="63"/>
      <c r="BA439" s="63"/>
      <c r="BB439" s="63"/>
      <c r="BC439" s="103"/>
      <c r="BD439" s="103"/>
      <c r="BE439" s="103"/>
      <c r="BF439" s="103"/>
      <c r="BG439" s="63"/>
      <c r="BH439" s="63"/>
      <c r="BI439" s="63"/>
      <c r="BJ439" s="63"/>
      <c r="BK439" s="103"/>
      <c r="BL439" s="103"/>
      <c r="BM439" s="103"/>
      <c r="BN439" s="103"/>
      <c r="BO439" s="63"/>
      <c r="BP439" s="63"/>
      <c r="BQ439" s="63"/>
      <c r="BR439" s="63"/>
      <c r="BS439" s="103"/>
      <c r="BT439" s="103"/>
      <c r="BU439" s="103"/>
      <c r="BV439" s="103"/>
      <c r="BW439" s="63"/>
      <c r="BX439" s="63"/>
      <c r="BY439" s="63"/>
      <c r="BZ439" s="63"/>
      <c r="CA439" s="103"/>
      <c r="CB439" s="103"/>
      <c r="CC439" s="103"/>
      <c r="CD439" s="103"/>
      <c r="CE439" s="63"/>
      <c r="CF439" s="63"/>
      <c r="CG439" s="63"/>
      <c r="CH439" s="63"/>
      <c r="CI439" s="103"/>
      <c r="CJ439" s="103"/>
      <c r="CK439" s="103"/>
      <c r="CL439" s="103"/>
    </row>
    <row r="440" spans="2:90" ht="13" x14ac:dyDescent="0.15">
      <c r="G440" s="103"/>
      <c r="H440" s="103"/>
      <c r="I440" s="103"/>
      <c r="J440" s="103"/>
      <c r="K440" s="63"/>
      <c r="L440" s="63"/>
      <c r="M440" s="63"/>
      <c r="N440" s="63"/>
      <c r="O440" s="103"/>
      <c r="P440" s="103"/>
      <c r="Q440" s="103"/>
      <c r="R440" s="103"/>
      <c r="S440" s="63"/>
      <c r="T440" s="63"/>
      <c r="U440" s="63"/>
      <c r="V440" s="63"/>
      <c r="W440" s="103"/>
      <c r="X440" s="103"/>
      <c r="Y440" s="103"/>
      <c r="Z440" s="103"/>
      <c r="AA440" s="63"/>
      <c r="AB440" s="63"/>
      <c r="AC440" s="63"/>
      <c r="AD440" s="63"/>
      <c r="AE440" s="103"/>
      <c r="AF440" s="103"/>
      <c r="AG440" s="103"/>
      <c r="AH440" s="103"/>
      <c r="AI440" s="63"/>
      <c r="AJ440" s="63"/>
      <c r="AK440" s="63"/>
      <c r="AL440" s="63"/>
      <c r="AM440" s="103"/>
      <c r="AN440" s="103"/>
      <c r="AO440" s="103"/>
      <c r="AP440" s="103"/>
      <c r="AQ440" s="63"/>
      <c r="AR440" s="63"/>
      <c r="AS440" s="63"/>
      <c r="AT440" s="63"/>
      <c r="AU440" s="103"/>
      <c r="AV440" s="103"/>
      <c r="AW440" s="103"/>
      <c r="AX440" s="103"/>
      <c r="AY440" s="63"/>
      <c r="AZ440" s="63"/>
      <c r="BA440" s="63"/>
      <c r="BB440" s="63"/>
      <c r="BC440" s="103"/>
      <c r="BD440" s="103"/>
      <c r="BE440" s="103"/>
      <c r="BF440" s="103"/>
      <c r="BG440" s="63"/>
      <c r="BH440" s="63"/>
      <c r="BI440" s="63"/>
      <c r="BJ440" s="63"/>
      <c r="BK440" s="103"/>
      <c r="BL440" s="103"/>
      <c r="BM440" s="103"/>
      <c r="BN440" s="103"/>
      <c r="BO440" s="63"/>
      <c r="BP440" s="63"/>
      <c r="BQ440" s="63"/>
      <c r="BR440" s="63"/>
      <c r="BS440" s="103"/>
      <c r="BT440" s="103"/>
      <c r="BU440" s="103"/>
      <c r="BV440" s="103"/>
      <c r="BW440" s="63"/>
      <c r="BX440" s="63"/>
      <c r="BY440" s="63"/>
      <c r="BZ440" s="63"/>
      <c r="CA440" s="103"/>
      <c r="CB440" s="103"/>
      <c r="CC440" s="103"/>
      <c r="CD440" s="103"/>
      <c r="CE440" s="63"/>
      <c r="CF440" s="63"/>
      <c r="CG440" s="63"/>
      <c r="CH440" s="63"/>
      <c r="CI440" s="103"/>
      <c r="CJ440" s="103"/>
      <c r="CK440" s="103"/>
      <c r="CL440" s="103"/>
    </row>
    <row r="441" spans="2:90" ht="13" x14ac:dyDescent="0.15">
      <c r="G441" s="103"/>
      <c r="H441" s="103"/>
      <c r="I441" s="103"/>
      <c r="J441" s="103"/>
      <c r="K441" s="63"/>
      <c r="L441" s="63"/>
      <c r="M441" s="63"/>
      <c r="N441" s="63"/>
      <c r="O441" s="103"/>
      <c r="P441" s="103"/>
      <c r="Q441" s="103"/>
      <c r="R441" s="103"/>
      <c r="S441" s="63"/>
      <c r="T441" s="63"/>
      <c r="U441" s="63"/>
      <c r="V441" s="63"/>
      <c r="W441" s="103"/>
      <c r="X441" s="103"/>
      <c r="Y441" s="103"/>
      <c r="Z441" s="103"/>
      <c r="AA441" s="63"/>
      <c r="AB441" s="63"/>
      <c r="AC441" s="63"/>
      <c r="AD441" s="63"/>
      <c r="AE441" s="103"/>
      <c r="AF441" s="103"/>
      <c r="AG441" s="103"/>
      <c r="AH441" s="103"/>
      <c r="AI441" s="63"/>
      <c r="AJ441" s="63"/>
      <c r="AK441" s="63"/>
      <c r="AL441" s="63"/>
      <c r="AM441" s="103"/>
      <c r="AN441" s="103"/>
      <c r="AO441" s="103"/>
      <c r="AP441" s="103"/>
      <c r="AQ441" s="63"/>
      <c r="AR441" s="63"/>
      <c r="AS441" s="63"/>
      <c r="AT441" s="63"/>
      <c r="AU441" s="103"/>
      <c r="AV441" s="103"/>
      <c r="AW441" s="103"/>
      <c r="AX441" s="103"/>
      <c r="AY441" s="63"/>
      <c r="AZ441" s="63"/>
      <c r="BA441" s="63"/>
      <c r="BB441" s="63"/>
      <c r="BC441" s="103"/>
      <c r="BD441" s="103"/>
      <c r="BE441" s="103"/>
      <c r="BF441" s="103"/>
      <c r="BG441" s="63"/>
      <c r="BH441" s="63"/>
      <c r="BI441" s="63"/>
      <c r="BJ441" s="63"/>
      <c r="BK441" s="103"/>
      <c r="BL441" s="103"/>
      <c r="BM441" s="103"/>
      <c r="BN441" s="103"/>
      <c r="BO441" s="63"/>
      <c r="BP441" s="63"/>
      <c r="BQ441" s="63"/>
      <c r="BR441" s="63"/>
      <c r="BS441" s="103"/>
      <c r="BT441" s="103"/>
      <c r="BU441" s="103"/>
      <c r="BV441" s="103"/>
      <c r="BW441" s="63"/>
      <c r="BX441" s="63"/>
      <c r="BY441" s="63"/>
      <c r="BZ441" s="63"/>
      <c r="CA441" s="103"/>
      <c r="CB441" s="103"/>
      <c r="CC441" s="103"/>
      <c r="CD441" s="103"/>
      <c r="CE441" s="63"/>
      <c r="CF441" s="63"/>
      <c r="CG441" s="63"/>
      <c r="CH441" s="63"/>
      <c r="CI441" s="103"/>
      <c r="CJ441" s="103"/>
      <c r="CK441" s="103"/>
      <c r="CL441" s="103"/>
    </row>
    <row r="442" spans="2:90" ht="13" x14ac:dyDescent="0.15">
      <c r="G442" s="103"/>
      <c r="H442" s="103"/>
      <c r="I442" s="103"/>
      <c r="J442" s="103"/>
      <c r="K442" s="63"/>
      <c r="L442" s="63"/>
      <c r="M442" s="63"/>
      <c r="N442" s="63"/>
      <c r="O442" s="103"/>
      <c r="P442" s="103"/>
      <c r="Q442" s="103"/>
      <c r="R442" s="103"/>
      <c r="S442" s="63"/>
      <c r="T442" s="63"/>
      <c r="U442" s="63"/>
      <c r="V442" s="63"/>
      <c r="W442" s="103"/>
      <c r="X442" s="103"/>
      <c r="Y442" s="103"/>
      <c r="Z442" s="103"/>
      <c r="AA442" s="63"/>
      <c r="AB442" s="63"/>
      <c r="AC442" s="63"/>
      <c r="AD442" s="63"/>
      <c r="AE442" s="103"/>
      <c r="AF442" s="103"/>
      <c r="AG442" s="103"/>
      <c r="AH442" s="103"/>
      <c r="AI442" s="63"/>
      <c r="AJ442" s="63"/>
      <c r="AK442" s="63"/>
      <c r="AL442" s="63"/>
      <c r="AM442" s="103"/>
      <c r="AN442" s="103"/>
      <c r="AO442" s="103"/>
      <c r="AP442" s="103"/>
      <c r="AQ442" s="63"/>
      <c r="AR442" s="63"/>
      <c r="AS442" s="63"/>
      <c r="AT442" s="63"/>
      <c r="AU442" s="103"/>
      <c r="AV442" s="103"/>
      <c r="AW442" s="103"/>
      <c r="AX442" s="103"/>
      <c r="AY442" s="63"/>
      <c r="AZ442" s="63"/>
      <c r="BA442" s="63"/>
      <c r="BB442" s="63"/>
      <c r="BC442" s="103"/>
      <c r="BD442" s="103"/>
      <c r="BE442" s="103"/>
      <c r="BF442" s="103"/>
      <c r="BG442" s="63"/>
      <c r="BH442" s="63"/>
      <c r="BI442" s="63"/>
      <c r="BJ442" s="63"/>
      <c r="BK442" s="103"/>
      <c r="BL442" s="103"/>
      <c r="BM442" s="103"/>
      <c r="BN442" s="103"/>
      <c r="BO442" s="63"/>
      <c r="BP442" s="63"/>
      <c r="BQ442" s="63"/>
      <c r="BR442" s="63"/>
      <c r="BS442" s="103"/>
      <c r="BT442" s="103"/>
      <c r="BU442" s="103"/>
      <c r="BV442" s="103"/>
      <c r="BW442" s="63"/>
      <c r="BX442" s="63"/>
      <c r="BY442" s="63"/>
      <c r="BZ442" s="63"/>
      <c r="CA442" s="103"/>
      <c r="CB442" s="103"/>
      <c r="CC442" s="103"/>
      <c r="CD442" s="103"/>
      <c r="CE442" s="63"/>
      <c r="CF442" s="63"/>
      <c r="CG442" s="63"/>
      <c r="CH442" s="63"/>
      <c r="CI442" s="103"/>
      <c r="CJ442" s="103"/>
      <c r="CK442" s="103"/>
      <c r="CL442" s="103"/>
    </row>
    <row r="443" spans="2:90" ht="13" x14ac:dyDescent="0.15">
      <c r="G443" s="103"/>
      <c r="H443" s="103"/>
      <c r="I443" s="103"/>
      <c r="J443" s="103"/>
      <c r="K443" s="63"/>
      <c r="L443" s="63"/>
      <c r="M443" s="63"/>
      <c r="N443" s="63"/>
      <c r="O443" s="103"/>
      <c r="P443" s="103"/>
      <c r="Q443" s="103"/>
      <c r="R443" s="103"/>
      <c r="S443" s="63"/>
      <c r="T443" s="63"/>
      <c r="U443" s="63"/>
      <c r="V443" s="63"/>
      <c r="W443" s="103"/>
      <c r="X443" s="103"/>
      <c r="Y443" s="103"/>
      <c r="Z443" s="103"/>
      <c r="AA443" s="63"/>
      <c r="AB443" s="63"/>
      <c r="AC443" s="63"/>
      <c r="AD443" s="63"/>
      <c r="AE443" s="103"/>
      <c r="AF443" s="103"/>
      <c r="AG443" s="103"/>
      <c r="AH443" s="103"/>
      <c r="AI443" s="63"/>
      <c r="AJ443" s="63"/>
      <c r="AK443" s="63"/>
      <c r="AL443" s="63"/>
      <c r="AM443" s="103"/>
      <c r="AN443" s="103"/>
      <c r="AO443" s="103"/>
      <c r="AP443" s="103"/>
      <c r="AQ443" s="63"/>
      <c r="AR443" s="63"/>
      <c r="AS443" s="63"/>
      <c r="AT443" s="63"/>
      <c r="AU443" s="103"/>
      <c r="AV443" s="103"/>
      <c r="AW443" s="103"/>
      <c r="AX443" s="103"/>
      <c r="AY443" s="63"/>
      <c r="AZ443" s="63"/>
      <c r="BA443" s="63"/>
      <c r="BB443" s="63"/>
      <c r="BC443" s="103"/>
      <c r="BD443" s="103"/>
      <c r="BE443" s="103"/>
      <c r="BF443" s="103"/>
      <c r="BG443" s="63"/>
      <c r="BH443" s="63"/>
      <c r="BI443" s="63"/>
      <c r="BJ443" s="63"/>
      <c r="BK443" s="103"/>
      <c r="BL443" s="103"/>
      <c r="BM443" s="103"/>
      <c r="BN443" s="103"/>
      <c r="BO443" s="63"/>
      <c r="BP443" s="63"/>
      <c r="BQ443" s="63"/>
      <c r="BR443" s="63"/>
      <c r="BS443" s="103"/>
      <c r="BT443" s="103"/>
      <c r="BU443" s="103"/>
      <c r="BV443" s="103"/>
      <c r="BW443" s="63"/>
      <c r="BX443" s="63"/>
      <c r="BY443" s="63"/>
      <c r="BZ443" s="63"/>
      <c r="CA443" s="103"/>
      <c r="CB443" s="103"/>
      <c r="CC443" s="103"/>
      <c r="CD443" s="103"/>
      <c r="CE443" s="63"/>
      <c r="CF443" s="63"/>
      <c r="CG443" s="63"/>
      <c r="CH443" s="63"/>
      <c r="CI443" s="103"/>
      <c r="CJ443" s="103"/>
      <c r="CK443" s="103"/>
      <c r="CL443" s="103"/>
    </row>
    <row r="444" spans="2:90" ht="13" x14ac:dyDescent="0.15">
      <c r="G444" s="103"/>
      <c r="H444" s="103"/>
      <c r="I444" s="103"/>
      <c r="J444" s="103"/>
      <c r="K444" s="63"/>
      <c r="L444" s="63"/>
      <c r="M444" s="63"/>
      <c r="N444" s="63"/>
      <c r="O444" s="103"/>
      <c r="P444" s="103"/>
      <c r="Q444" s="103"/>
      <c r="R444" s="103"/>
      <c r="S444" s="63"/>
      <c r="T444" s="63"/>
      <c r="U444" s="63"/>
      <c r="V444" s="63"/>
      <c r="W444" s="103"/>
      <c r="X444" s="103"/>
      <c r="Y444" s="103"/>
      <c r="Z444" s="103"/>
      <c r="AA444" s="63"/>
      <c r="AB444" s="63"/>
      <c r="AC444" s="63"/>
      <c r="AD444" s="63"/>
      <c r="AE444" s="103"/>
      <c r="AF444" s="103"/>
      <c r="AG444" s="103"/>
      <c r="AH444" s="103"/>
      <c r="AI444" s="63"/>
      <c r="AJ444" s="63"/>
      <c r="AK444" s="63"/>
      <c r="AL444" s="63"/>
      <c r="AM444" s="103"/>
      <c r="AN444" s="103"/>
      <c r="AO444" s="103"/>
      <c r="AP444" s="103"/>
      <c r="AQ444" s="63"/>
      <c r="AR444" s="63"/>
      <c r="AS444" s="63"/>
      <c r="AT444" s="63"/>
      <c r="AU444" s="103"/>
      <c r="AV444" s="103"/>
      <c r="AW444" s="103"/>
      <c r="AX444" s="103"/>
      <c r="AY444" s="63"/>
      <c r="AZ444" s="63"/>
      <c r="BA444" s="63"/>
      <c r="BB444" s="63"/>
      <c r="BC444" s="103"/>
      <c r="BD444" s="103"/>
      <c r="BE444" s="103"/>
      <c r="BF444" s="103"/>
      <c r="BG444" s="63"/>
      <c r="BH444" s="63"/>
      <c r="BI444" s="63"/>
      <c r="BJ444" s="63"/>
      <c r="BK444" s="103"/>
      <c r="BL444" s="103"/>
      <c r="BM444" s="103"/>
      <c r="BN444" s="103"/>
      <c r="BO444" s="63"/>
      <c r="BP444" s="63"/>
      <c r="BQ444" s="63"/>
      <c r="BR444" s="63"/>
      <c r="BS444" s="103"/>
      <c r="BT444" s="103"/>
      <c r="BU444" s="103"/>
      <c r="BV444" s="103"/>
      <c r="BW444" s="63"/>
      <c r="BX444" s="63"/>
      <c r="BY444" s="63"/>
      <c r="BZ444" s="63"/>
      <c r="CA444" s="103"/>
      <c r="CB444" s="103"/>
      <c r="CC444" s="103"/>
      <c r="CD444" s="103"/>
      <c r="CE444" s="63"/>
      <c r="CF444" s="63"/>
      <c r="CG444" s="63"/>
      <c r="CH444" s="63"/>
      <c r="CI444" s="103"/>
      <c r="CJ444" s="103"/>
      <c r="CK444" s="103"/>
      <c r="CL444" s="103"/>
    </row>
    <row r="445" spans="2:90" ht="13" x14ac:dyDescent="0.15">
      <c r="G445" s="103"/>
      <c r="H445" s="103"/>
      <c r="I445" s="103"/>
      <c r="J445" s="103"/>
      <c r="K445" s="63"/>
      <c r="L445" s="63"/>
      <c r="M445" s="63"/>
      <c r="N445" s="63"/>
      <c r="O445" s="103"/>
      <c r="P445" s="103"/>
      <c r="Q445" s="103"/>
      <c r="R445" s="103"/>
      <c r="S445" s="63"/>
      <c r="T445" s="63"/>
      <c r="U445" s="63"/>
      <c r="V445" s="63"/>
      <c r="W445" s="103"/>
      <c r="X445" s="103"/>
      <c r="Y445" s="103"/>
      <c r="Z445" s="103"/>
      <c r="AA445" s="63"/>
      <c r="AB445" s="63"/>
      <c r="AC445" s="63"/>
      <c r="AD445" s="63"/>
      <c r="AE445" s="103"/>
      <c r="AF445" s="103"/>
      <c r="AG445" s="103"/>
      <c r="AH445" s="103"/>
      <c r="AI445" s="63"/>
      <c r="AJ445" s="63"/>
      <c r="AK445" s="63"/>
      <c r="AL445" s="63"/>
      <c r="AM445" s="103"/>
      <c r="AN445" s="103"/>
      <c r="AO445" s="103"/>
      <c r="AP445" s="103"/>
      <c r="AQ445" s="63"/>
      <c r="AR445" s="63"/>
      <c r="AS445" s="63"/>
      <c r="AT445" s="63"/>
      <c r="AU445" s="103"/>
      <c r="AV445" s="103"/>
      <c r="AW445" s="103"/>
      <c r="AX445" s="103"/>
      <c r="AY445" s="63"/>
      <c r="AZ445" s="63"/>
      <c r="BA445" s="63"/>
      <c r="BB445" s="63"/>
      <c r="BC445" s="103"/>
      <c r="BD445" s="103"/>
      <c r="BE445" s="103"/>
      <c r="BF445" s="103"/>
      <c r="BG445" s="63"/>
      <c r="BH445" s="63"/>
      <c r="BI445" s="63"/>
      <c r="BJ445" s="63"/>
      <c r="BK445" s="103"/>
      <c r="BL445" s="103"/>
      <c r="BM445" s="103"/>
      <c r="BN445" s="103"/>
      <c r="BO445" s="63"/>
      <c r="BP445" s="63"/>
      <c r="BQ445" s="63"/>
      <c r="BR445" s="63"/>
      <c r="BS445" s="103"/>
      <c r="BT445" s="103"/>
      <c r="BU445" s="103"/>
      <c r="BV445" s="103"/>
      <c r="BW445" s="63"/>
      <c r="BX445" s="63"/>
      <c r="BY445" s="63"/>
      <c r="BZ445" s="63"/>
      <c r="CA445" s="103"/>
      <c r="CB445" s="103"/>
      <c r="CC445" s="103"/>
      <c r="CD445" s="103"/>
      <c r="CE445" s="63"/>
      <c r="CF445" s="63"/>
      <c r="CG445" s="63"/>
      <c r="CH445" s="63"/>
      <c r="CI445" s="103"/>
      <c r="CJ445" s="103"/>
      <c r="CK445" s="103"/>
      <c r="CL445" s="103"/>
    </row>
    <row r="446" spans="2:90" ht="13" x14ac:dyDescent="0.15">
      <c r="G446" s="103"/>
      <c r="H446" s="103"/>
      <c r="I446" s="103"/>
      <c r="J446" s="103"/>
      <c r="K446" s="63"/>
      <c r="L446" s="63"/>
      <c r="M446" s="63"/>
      <c r="N446" s="63"/>
      <c r="O446" s="103"/>
      <c r="P446" s="103"/>
      <c r="Q446" s="103"/>
      <c r="R446" s="103"/>
      <c r="S446" s="63"/>
      <c r="T446" s="63"/>
      <c r="U446" s="63"/>
      <c r="V446" s="63"/>
      <c r="W446" s="103"/>
      <c r="X446" s="103"/>
      <c r="Y446" s="103"/>
      <c r="Z446" s="103"/>
      <c r="AA446" s="63"/>
      <c r="AB446" s="63"/>
      <c r="AC446" s="63"/>
      <c r="AD446" s="63"/>
      <c r="AE446" s="103"/>
      <c r="AF446" s="103"/>
      <c r="AG446" s="103"/>
      <c r="AH446" s="103"/>
      <c r="AI446" s="63"/>
      <c r="AJ446" s="63"/>
      <c r="AK446" s="63"/>
      <c r="AL446" s="63"/>
      <c r="AM446" s="103"/>
      <c r="AN446" s="103"/>
      <c r="AO446" s="103"/>
      <c r="AP446" s="103"/>
      <c r="AQ446" s="63"/>
      <c r="AR446" s="63"/>
      <c r="AS446" s="63"/>
      <c r="AT446" s="63"/>
      <c r="AU446" s="103"/>
      <c r="AV446" s="103"/>
      <c r="AW446" s="103"/>
      <c r="AX446" s="103"/>
      <c r="AY446" s="63"/>
      <c r="AZ446" s="63"/>
      <c r="BA446" s="63"/>
      <c r="BB446" s="63"/>
      <c r="BC446" s="103"/>
      <c r="BD446" s="103"/>
      <c r="BE446" s="103"/>
      <c r="BF446" s="103"/>
      <c r="BG446" s="63"/>
      <c r="BH446" s="63"/>
      <c r="BI446" s="63"/>
      <c r="BJ446" s="63"/>
      <c r="BK446" s="103"/>
      <c r="BL446" s="103"/>
      <c r="BM446" s="103"/>
      <c r="BN446" s="103"/>
      <c r="BO446" s="63"/>
      <c r="BP446" s="63"/>
      <c r="BQ446" s="63"/>
      <c r="BR446" s="63"/>
      <c r="BS446" s="103"/>
      <c r="BT446" s="103"/>
      <c r="BU446" s="103"/>
      <c r="BV446" s="103"/>
      <c r="BW446" s="63"/>
      <c r="BX446" s="63"/>
      <c r="BY446" s="63"/>
      <c r="BZ446" s="63"/>
      <c r="CA446" s="103"/>
      <c r="CB446" s="103"/>
      <c r="CC446" s="103"/>
      <c r="CD446" s="103"/>
      <c r="CE446" s="63"/>
      <c r="CF446" s="63"/>
      <c r="CG446" s="63"/>
      <c r="CH446" s="63"/>
      <c r="CI446" s="103"/>
      <c r="CJ446" s="103"/>
      <c r="CK446" s="103"/>
      <c r="CL446" s="103"/>
    </row>
    <row r="447" spans="2:90" ht="13" x14ac:dyDescent="0.15">
      <c r="G447" s="103"/>
      <c r="H447" s="103"/>
      <c r="I447" s="103"/>
      <c r="J447" s="103"/>
      <c r="K447" s="63"/>
      <c r="L447" s="63"/>
      <c r="M447" s="63"/>
      <c r="N447" s="63"/>
      <c r="O447" s="103"/>
      <c r="P447" s="103"/>
      <c r="Q447" s="103"/>
      <c r="R447" s="103"/>
      <c r="S447" s="63"/>
      <c r="T447" s="63"/>
      <c r="U447" s="63"/>
      <c r="V447" s="63"/>
      <c r="W447" s="103"/>
      <c r="X447" s="103"/>
      <c r="Y447" s="103"/>
      <c r="Z447" s="103"/>
      <c r="AA447" s="63"/>
      <c r="AB447" s="63"/>
      <c r="AC447" s="63"/>
      <c r="AD447" s="63"/>
      <c r="AE447" s="103"/>
      <c r="AF447" s="103"/>
      <c r="AG447" s="103"/>
      <c r="AH447" s="103"/>
      <c r="AI447" s="63"/>
      <c r="AJ447" s="63"/>
      <c r="AK447" s="63"/>
      <c r="AL447" s="63"/>
      <c r="AM447" s="103"/>
      <c r="AN447" s="103"/>
      <c r="AO447" s="103"/>
      <c r="AP447" s="103"/>
      <c r="AQ447" s="63"/>
      <c r="AR447" s="63"/>
      <c r="AS447" s="63"/>
      <c r="AT447" s="63"/>
      <c r="AU447" s="103"/>
      <c r="AV447" s="103"/>
      <c r="AW447" s="103"/>
      <c r="AX447" s="103"/>
      <c r="AY447" s="63"/>
      <c r="AZ447" s="63"/>
      <c r="BA447" s="63"/>
      <c r="BB447" s="63"/>
      <c r="BC447" s="103"/>
      <c r="BD447" s="103"/>
      <c r="BE447" s="103"/>
      <c r="BF447" s="103"/>
      <c r="BG447" s="63"/>
      <c r="BH447" s="63"/>
      <c r="BI447" s="63"/>
      <c r="BJ447" s="63"/>
      <c r="BK447" s="103"/>
      <c r="BL447" s="103"/>
      <c r="BM447" s="103"/>
      <c r="BN447" s="103"/>
      <c r="BO447" s="63"/>
      <c r="BP447" s="63"/>
      <c r="BQ447" s="63"/>
      <c r="BR447" s="63"/>
      <c r="BS447" s="103"/>
      <c r="BT447" s="103"/>
      <c r="BU447" s="103"/>
      <c r="BV447" s="103"/>
      <c r="BW447" s="63"/>
      <c r="BX447" s="63"/>
      <c r="BY447" s="63"/>
      <c r="BZ447" s="63"/>
      <c r="CA447" s="103"/>
      <c r="CB447" s="103"/>
      <c r="CC447" s="103"/>
      <c r="CD447" s="103"/>
      <c r="CE447" s="63"/>
      <c r="CF447" s="63"/>
      <c r="CG447" s="63"/>
      <c r="CH447" s="63"/>
      <c r="CI447" s="103"/>
      <c r="CJ447" s="103"/>
      <c r="CK447" s="103"/>
      <c r="CL447" s="103"/>
    </row>
    <row r="448" spans="2:90" ht="13" x14ac:dyDescent="0.15">
      <c r="G448" s="103"/>
      <c r="H448" s="103"/>
      <c r="I448" s="103"/>
      <c r="J448" s="103"/>
      <c r="K448" s="63"/>
      <c r="L448" s="63"/>
      <c r="M448" s="63"/>
      <c r="N448" s="63"/>
      <c r="O448" s="103"/>
      <c r="P448" s="103"/>
      <c r="Q448" s="103"/>
      <c r="R448" s="103"/>
      <c r="S448" s="63"/>
      <c r="T448" s="63"/>
      <c r="U448" s="63"/>
      <c r="V448" s="63"/>
      <c r="W448" s="103"/>
      <c r="X448" s="103"/>
      <c r="Y448" s="103"/>
      <c r="Z448" s="103"/>
      <c r="AA448" s="63"/>
      <c r="AB448" s="63"/>
      <c r="AC448" s="63"/>
      <c r="AD448" s="63"/>
      <c r="AE448" s="103"/>
      <c r="AF448" s="103"/>
      <c r="AG448" s="103"/>
      <c r="AH448" s="103"/>
      <c r="AI448" s="63"/>
      <c r="AJ448" s="63"/>
      <c r="AK448" s="63"/>
      <c r="AL448" s="63"/>
      <c r="AM448" s="103"/>
      <c r="AN448" s="103"/>
      <c r="AO448" s="103"/>
      <c r="AP448" s="103"/>
      <c r="AQ448" s="63"/>
      <c r="AR448" s="63"/>
      <c r="AS448" s="63"/>
      <c r="AT448" s="63"/>
      <c r="AU448" s="103"/>
      <c r="AV448" s="103"/>
      <c r="AW448" s="103"/>
      <c r="AX448" s="103"/>
      <c r="AY448" s="63"/>
      <c r="AZ448" s="63"/>
      <c r="BA448" s="63"/>
      <c r="BB448" s="63"/>
      <c r="BC448" s="103"/>
      <c r="BD448" s="103"/>
      <c r="BE448" s="103"/>
      <c r="BF448" s="103"/>
      <c r="BG448" s="63"/>
      <c r="BH448" s="63"/>
      <c r="BI448" s="63"/>
      <c r="BJ448" s="63"/>
      <c r="BK448" s="103"/>
      <c r="BL448" s="103"/>
      <c r="BM448" s="103"/>
      <c r="BN448" s="103"/>
      <c r="BO448" s="63"/>
      <c r="BP448" s="63"/>
      <c r="BQ448" s="63"/>
      <c r="BR448" s="63"/>
      <c r="BS448" s="103"/>
      <c r="BT448" s="103"/>
      <c r="BU448" s="103"/>
      <c r="BV448" s="103"/>
      <c r="BW448" s="63"/>
      <c r="BX448" s="63"/>
      <c r="BY448" s="63"/>
      <c r="BZ448" s="63"/>
      <c r="CA448" s="103"/>
      <c r="CB448" s="103"/>
      <c r="CC448" s="103"/>
      <c r="CD448" s="103"/>
      <c r="CE448" s="63"/>
      <c r="CF448" s="63"/>
      <c r="CG448" s="63"/>
      <c r="CH448" s="63"/>
      <c r="CI448" s="103"/>
      <c r="CJ448" s="103"/>
      <c r="CK448" s="103"/>
      <c r="CL448" s="103"/>
    </row>
    <row r="449" spans="7:90" ht="13" x14ac:dyDescent="0.15">
      <c r="G449" s="103"/>
      <c r="H449" s="103"/>
      <c r="I449" s="103"/>
      <c r="J449" s="103"/>
      <c r="K449" s="63"/>
      <c r="L449" s="63"/>
      <c r="M449" s="63"/>
      <c r="N449" s="63"/>
      <c r="O449" s="103"/>
      <c r="P449" s="103"/>
      <c r="Q449" s="103"/>
      <c r="R449" s="103"/>
      <c r="S449" s="63"/>
      <c r="T449" s="63"/>
      <c r="U449" s="63"/>
      <c r="V449" s="63"/>
      <c r="W449" s="103"/>
      <c r="X449" s="103"/>
      <c r="Y449" s="103"/>
      <c r="Z449" s="103"/>
      <c r="AA449" s="63"/>
      <c r="AB449" s="63"/>
      <c r="AC449" s="63"/>
      <c r="AD449" s="63"/>
      <c r="AE449" s="103"/>
      <c r="AF449" s="103"/>
      <c r="AG449" s="103"/>
      <c r="AH449" s="103"/>
      <c r="AI449" s="63"/>
      <c r="AJ449" s="63"/>
      <c r="AK449" s="63"/>
      <c r="AL449" s="63"/>
      <c r="AM449" s="103"/>
      <c r="AN449" s="103"/>
      <c r="AO449" s="103"/>
      <c r="AP449" s="103"/>
      <c r="AQ449" s="63"/>
      <c r="AR449" s="63"/>
      <c r="AS449" s="63"/>
      <c r="AT449" s="63"/>
      <c r="AU449" s="103"/>
      <c r="AV449" s="103"/>
      <c r="AW449" s="103"/>
      <c r="AX449" s="103"/>
      <c r="AY449" s="63"/>
      <c r="AZ449" s="63"/>
      <c r="BA449" s="63"/>
      <c r="BB449" s="63"/>
      <c r="BC449" s="103"/>
      <c r="BD449" s="103"/>
      <c r="BE449" s="103"/>
      <c r="BF449" s="103"/>
      <c r="BG449" s="63"/>
      <c r="BH449" s="63"/>
      <c r="BI449" s="63"/>
      <c r="BJ449" s="63"/>
      <c r="BK449" s="103"/>
      <c r="BL449" s="103"/>
      <c r="BM449" s="103"/>
      <c r="BN449" s="103"/>
      <c r="BO449" s="63"/>
      <c r="BP449" s="63"/>
      <c r="BQ449" s="63"/>
      <c r="BR449" s="63"/>
      <c r="BS449" s="103"/>
      <c r="BT449" s="103"/>
      <c r="BU449" s="103"/>
      <c r="BV449" s="103"/>
      <c r="BW449" s="63"/>
      <c r="BX449" s="63"/>
      <c r="BY449" s="63"/>
      <c r="BZ449" s="63"/>
      <c r="CA449" s="103"/>
      <c r="CB449" s="103"/>
      <c r="CC449" s="103"/>
      <c r="CD449" s="103"/>
      <c r="CE449" s="63"/>
      <c r="CF449" s="63"/>
      <c r="CG449" s="63"/>
      <c r="CH449" s="63"/>
      <c r="CI449" s="103"/>
      <c r="CJ449" s="103"/>
      <c r="CK449" s="103"/>
      <c r="CL449" s="103"/>
    </row>
    <row r="450" spans="7:90" ht="13" x14ac:dyDescent="0.15">
      <c r="G450" s="103"/>
      <c r="H450" s="103"/>
      <c r="I450" s="103"/>
      <c r="J450" s="103"/>
      <c r="K450" s="63"/>
      <c r="L450" s="63"/>
      <c r="M450" s="63"/>
      <c r="N450" s="63"/>
      <c r="O450" s="103"/>
      <c r="P450" s="103"/>
      <c r="Q450" s="103"/>
      <c r="R450" s="103"/>
      <c r="S450" s="63"/>
      <c r="T450" s="63"/>
      <c r="U450" s="63"/>
      <c r="V450" s="63"/>
      <c r="W450" s="103"/>
      <c r="X450" s="103"/>
      <c r="Y450" s="103"/>
      <c r="Z450" s="103"/>
      <c r="AA450" s="63"/>
      <c r="AB450" s="63"/>
      <c r="AC450" s="63"/>
      <c r="AD450" s="63"/>
      <c r="AE450" s="103"/>
      <c r="AF450" s="103"/>
      <c r="AG450" s="103"/>
      <c r="AH450" s="103"/>
      <c r="AI450" s="63"/>
      <c r="AJ450" s="63"/>
      <c r="AK450" s="63"/>
      <c r="AL450" s="63"/>
      <c r="AM450" s="103"/>
      <c r="AN450" s="103"/>
      <c r="AO450" s="103"/>
      <c r="AP450" s="103"/>
      <c r="AQ450" s="63"/>
      <c r="AR450" s="63"/>
      <c r="AS450" s="63"/>
      <c r="AT450" s="63"/>
      <c r="AU450" s="103"/>
      <c r="AV450" s="103"/>
      <c r="AW450" s="103"/>
      <c r="AX450" s="103"/>
      <c r="AY450" s="63"/>
      <c r="AZ450" s="63"/>
      <c r="BA450" s="63"/>
      <c r="BB450" s="63"/>
      <c r="BC450" s="103"/>
      <c r="BD450" s="103"/>
      <c r="BE450" s="103"/>
      <c r="BF450" s="103"/>
      <c r="BG450" s="63"/>
      <c r="BH450" s="63"/>
      <c r="BI450" s="63"/>
      <c r="BJ450" s="63"/>
      <c r="BK450" s="103"/>
      <c r="BL450" s="103"/>
      <c r="BM450" s="103"/>
      <c r="BN450" s="103"/>
      <c r="BO450" s="63"/>
      <c r="BP450" s="63"/>
      <c r="BQ450" s="63"/>
      <c r="BR450" s="63"/>
      <c r="BS450" s="103"/>
      <c r="BT450" s="103"/>
      <c r="BU450" s="103"/>
      <c r="BV450" s="103"/>
      <c r="BW450" s="63"/>
      <c r="BX450" s="63"/>
      <c r="BY450" s="63"/>
      <c r="BZ450" s="63"/>
      <c r="CA450" s="103"/>
      <c r="CB450" s="103"/>
      <c r="CC450" s="103"/>
      <c r="CD450" s="103"/>
      <c r="CE450" s="63"/>
      <c r="CF450" s="63"/>
      <c r="CG450" s="63"/>
      <c r="CH450" s="63"/>
      <c r="CI450" s="103"/>
      <c r="CJ450" s="103"/>
      <c r="CK450" s="103"/>
      <c r="CL450" s="103"/>
    </row>
    <row r="451" spans="7:90" ht="13" x14ac:dyDescent="0.15">
      <c r="G451" s="103"/>
      <c r="H451" s="103"/>
      <c r="I451" s="103"/>
      <c r="J451" s="103"/>
      <c r="K451" s="63"/>
      <c r="L451" s="63"/>
      <c r="M451" s="63"/>
      <c r="N451" s="63"/>
      <c r="O451" s="103"/>
      <c r="P451" s="103"/>
      <c r="Q451" s="103"/>
      <c r="R451" s="103"/>
      <c r="S451" s="63"/>
      <c r="T451" s="63"/>
      <c r="U451" s="63"/>
      <c r="V451" s="63"/>
      <c r="W451" s="103"/>
      <c r="X451" s="103"/>
      <c r="Y451" s="103"/>
      <c r="Z451" s="103"/>
      <c r="AA451" s="63"/>
      <c r="AB451" s="63"/>
      <c r="AC451" s="63"/>
      <c r="AD451" s="63"/>
      <c r="AE451" s="103"/>
      <c r="AF451" s="103"/>
      <c r="AG451" s="103"/>
      <c r="AH451" s="103"/>
      <c r="AI451" s="63"/>
      <c r="AJ451" s="63"/>
      <c r="AK451" s="63"/>
      <c r="AL451" s="63"/>
      <c r="AM451" s="103"/>
      <c r="AN451" s="103"/>
      <c r="AO451" s="103"/>
      <c r="AP451" s="103"/>
      <c r="AQ451" s="63"/>
      <c r="AR451" s="63"/>
      <c r="AS451" s="63"/>
      <c r="AT451" s="63"/>
      <c r="AU451" s="103"/>
      <c r="AV451" s="103"/>
      <c r="AW451" s="103"/>
      <c r="AX451" s="103"/>
      <c r="AY451" s="63"/>
      <c r="AZ451" s="63"/>
      <c r="BA451" s="63"/>
      <c r="BB451" s="63"/>
      <c r="BC451" s="103"/>
      <c r="BD451" s="103"/>
      <c r="BE451" s="103"/>
      <c r="BF451" s="103"/>
      <c r="BG451" s="63"/>
      <c r="BH451" s="63"/>
      <c r="BI451" s="63"/>
      <c r="BJ451" s="63"/>
      <c r="BK451" s="103"/>
      <c r="BL451" s="103"/>
      <c r="BM451" s="103"/>
      <c r="BN451" s="103"/>
      <c r="BO451" s="63"/>
      <c r="BP451" s="63"/>
      <c r="BQ451" s="63"/>
      <c r="BR451" s="63"/>
      <c r="BS451" s="103"/>
      <c r="BT451" s="103"/>
      <c r="BU451" s="103"/>
      <c r="BV451" s="103"/>
      <c r="BW451" s="63"/>
      <c r="BX451" s="63"/>
      <c r="BY451" s="63"/>
      <c r="BZ451" s="63"/>
      <c r="CA451" s="103"/>
      <c r="CB451" s="103"/>
      <c r="CC451" s="103"/>
      <c r="CD451" s="103"/>
      <c r="CE451" s="63"/>
      <c r="CF451" s="63"/>
      <c r="CG451" s="63"/>
      <c r="CH451" s="63"/>
      <c r="CI451" s="103"/>
      <c r="CJ451" s="103"/>
      <c r="CK451" s="103"/>
      <c r="CL451" s="103"/>
    </row>
    <row r="452" spans="7:90" ht="13" x14ac:dyDescent="0.15">
      <c r="G452" s="103"/>
      <c r="H452" s="103"/>
      <c r="I452" s="103"/>
      <c r="J452" s="103"/>
      <c r="K452" s="63"/>
      <c r="L452" s="63"/>
      <c r="M452" s="63"/>
      <c r="N452" s="63"/>
      <c r="O452" s="103"/>
      <c r="P452" s="103"/>
      <c r="Q452" s="103"/>
      <c r="R452" s="103"/>
      <c r="S452" s="63"/>
      <c r="T452" s="63"/>
      <c r="U452" s="63"/>
      <c r="V452" s="63"/>
      <c r="W452" s="103"/>
      <c r="X452" s="103"/>
      <c r="Y452" s="103"/>
      <c r="Z452" s="103"/>
      <c r="AA452" s="63"/>
      <c r="AB452" s="63"/>
      <c r="AC452" s="63"/>
      <c r="AD452" s="63"/>
      <c r="AE452" s="103"/>
      <c r="AF452" s="103"/>
      <c r="AG452" s="103"/>
      <c r="AH452" s="103"/>
      <c r="AI452" s="63"/>
      <c r="AJ452" s="63"/>
      <c r="AK452" s="63"/>
      <c r="AL452" s="63"/>
      <c r="AM452" s="103"/>
      <c r="AN452" s="103"/>
      <c r="AO452" s="103"/>
      <c r="AP452" s="103"/>
      <c r="AQ452" s="63"/>
      <c r="AR452" s="63"/>
      <c r="AS452" s="63"/>
      <c r="AT452" s="63"/>
      <c r="AU452" s="103"/>
      <c r="AV452" s="103"/>
      <c r="AW452" s="103"/>
      <c r="AX452" s="103"/>
      <c r="AY452" s="63"/>
      <c r="AZ452" s="63"/>
      <c r="BA452" s="63"/>
      <c r="BB452" s="63"/>
      <c r="BC452" s="103"/>
      <c r="BD452" s="103"/>
      <c r="BE452" s="103"/>
      <c r="BF452" s="103"/>
      <c r="BG452" s="63"/>
      <c r="BH452" s="63"/>
      <c r="BI452" s="63"/>
      <c r="BJ452" s="63"/>
      <c r="BK452" s="103"/>
      <c r="BL452" s="103"/>
      <c r="BM452" s="103"/>
      <c r="BN452" s="103"/>
      <c r="BO452" s="63"/>
      <c r="BP452" s="63"/>
      <c r="BQ452" s="63"/>
      <c r="BR452" s="63"/>
      <c r="BS452" s="103"/>
      <c r="BT452" s="103"/>
      <c r="BU452" s="103"/>
      <c r="BV452" s="103"/>
      <c r="BW452" s="63"/>
      <c r="BX452" s="63"/>
      <c r="BY452" s="63"/>
      <c r="BZ452" s="63"/>
      <c r="CA452" s="103"/>
      <c r="CB452" s="103"/>
      <c r="CC452" s="103"/>
      <c r="CD452" s="103"/>
      <c r="CE452" s="63"/>
      <c r="CF452" s="63"/>
      <c r="CG452" s="63"/>
      <c r="CH452" s="63"/>
      <c r="CI452" s="103"/>
      <c r="CJ452" s="103"/>
      <c r="CK452" s="103"/>
      <c r="CL452" s="103"/>
    </row>
    <row r="453" spans="7:90" ht="13" x14ac:dyDescent="0.15">
      <c r="G453" s="103"/>
      <c r="H453" s="103"/>
      <c r="I453" s="103"/>
      <c r="J453" s="103"/>
      <c r="K453" s="63"/>
      <c r="L453" s="63"/>
      <c r="M453" s="63"/>
      <c r="N453" s="63"/>
      <c r="O453" s="103"/>
      <c r="P453" s="103"/>
      <c r="Q453" s="103"/>
      <c r="R453" s="103"/>
      <c r="S453" s="63"/>
      <c r="T453" s="63"/>
      <c r="U453" s="63"/>
      <c r="V453" s="63"/>
      <c r="W453" s="103"/>
      <c r="X453" s="103"/>
      <c r="Y453" s="103"/>
      <c r="Z453" s="103"/>
      <c r="AA453" s="63"/>
      <c r="AB453" s="63"/>
      <c r="AC453" s="63"/>
      <c r="AD453" s="63"/>
      <c r="AE453" s="103"/>
      <c r="AF453" s="103"/>
      <c r="AG453" s="103"/>
      <c r="AH453" s="103"/>
      <c r="AI453" s="63"/>
      <c r="AJ453" s="63"/>
      <c r="AK453" s="63"/>
      <c r="AL453" s="63"/>
      <c r="AM453" s="103"/>
      <c r="AN453" s="103"/>
      <c r="AO453" s="103"/>
      <c r="AP453" s="103"/>
      <c r="AQ453" s="63"/>
      <c r="AR453" s="63"/>
      <c r="AS453" s="63"/>
      <c r="AT453" s="63"/>
      <c r="AU453" s="103"/>
      <c r="AV453" s="103"/>
      <c r="AW453" s="103"/>
      <c r="AX453" s="103"/>
      <c r="AY453" s="63"/>
      <c r="AZ453" s="63"/>
      <c r="BA453" s="63"/>
      <c r="BB453" s="63"/>
      <c r="BC453" s="103"/>
      <c r="BD453" s="103"/>
      <c r="BE453" s="103"/>
      <c r="BF453" s="103"/>
      <c r="BG453" s="63"/>
      <c r="BH453" s="63"/>
      <c r="BI453" s="63"/>
      <c r="BJ453" s="63"/>
      <c r="BK453" s="103"/>
      <c r="BL453" s="103"/>
      <c r="BM453" s="103"/>
      <c r="BN453" s="103"/>
      <c r="BO453" s="63"/>
      <c r="BP453" s="63"/>
      <c r="BQ453" s="63"/>
      <c r="BR453" s="63"/>
      <c r="BS453" s="103"/>
      <c r="BT453" s="103"/>
      <c r="BU453" s="103"/>
      <c r="BV453" s="103"/>
      <c r="BW453" s="63"/>
      <c r="BX453" s="63"/>
      <c r="BY453" s="63"/>
      <c r="BZ453" s="63"/>
      <c r="CA453" s="103"/>
      <c r="CB453" s="103"/>
      <c r="CC453" s="103"/>
      <c r="CD453" s="103"/>
      <c r="CE453" s="63"/>
      <c r="CF453" s="63"/>
      <c r="CG453" s="63"/>
      <c r="CH453" s="63"/>
      <c r="CI453" s="103"/>
      <c r="CJ453" s="103"/>
      <c r="CK453" s="103"/>
      <c r="CL453" s="103"/>
    </row>
    <row r="454" spans="7:90" ht="13" x14ac:dyDescent="0.15">
      <c r="G454" s="103"/>
      <c r="H454" s="103"/>
      <c r="I454" s="103"/>
      <c r="J454" s="103"/>
      <c r="K454" s="63"/>
      <c r="L454" s="63"/>
      <c r="M454" s="63"/>
      <c r="N454" s="63"/>
      <c r="O454" s="103"/>
      <c r="P454" s="103"/>
      <c r="Q454" s="103"/>
      <c r="R454" s="103"/>
      <c r="S454" s="63"/>
      <c r="T454" s="63"/>
      <c r="U454" s="63"/>
      <c r="V454" s="63"/>
      <c r="W454" s="103"/>
      <c r="X454" s="103"/>
      <c r="Y454" s="103"/>
      <c r="Z454" s="103"/>
      <c r="AA454" s="63"/>
      <c r="AB454" s="63"/>
      <c r="AC454" s="63"/>
      <c r="AD454" s="63"/>
      <c r="AE454" s="103"/>
      <c r="AF454" s="103"/>
      <c r="AG454" s="103"/>
      <c r="AH454" s="103"/>
      <c r="AI454" s="63"/>
      <c r="AJ454" s="63"/>
      <c r="AK454" s="63"/>
      <c r="AL454" s="63"/>
      <c r="AM454" s="103"/>
      <c r="AN454" s="103"/>
      <c r="AO454" s="103"/>
      <c r="AP454" s="103"/>
      <c r="AQ454" s="63"/>
      <c r="AR454" s="63"/>
      <c r="AS454" s="63"/>
      <c r="AT454" s="63"/>
      <c r="AU454" s="103"/>
      <c r="AV454" s="103"/>
      <c r="AW454" s="103"/>
      <c r="AX454" s="103"/>
      <c r="AY454" s="63"/>
      <c r="AZ454" s="63"/>
      <c r="BA454" s="63"/>
      <c r="BB454" s="63"/>
      <c r="BC454" s="103"/>
      <c r="BD454" s="103"/>
      <c r="BE454" s="103"/>
      <c r="BF454" s="103"/>
      <c r="BG454" s="63"/>
      <c r="BH454" s="63"/>
      <c r="BI454" s="63"/>
      <c r="BJ454" s="63"/>
      <c r="BK454" s="103"/>
      <c r="BL454" s="103"/>
      <c r="BM454" s="103"/>
      <c r="BN454" s="103"/>
      <c r="BO454" s="63"/>
      <c r="BP454" s="63"/>
      <c r="BQ454" s="63"/>
      <c r="BR454" s="63"/>
      <c r="BS454" s="103"/>
      <c r="BT454" s="103"/>
      <c r="BU454" s="103"/>
      <c r="BV454" s="103"/>
      <c r="BW454" s="63"/>
      <c r="BX454" s="63"/>
      <c r="BY454" s="63"/>
      <c r="BZ454" s="63"/>
      <c r="CA454" s="103"/>
      <c r="CB454" s="103"/>
      <c r="CC454" s="103"/>
      <c r="CD454" s="103"/>
      <c r="CE454" s="63"/>
      <c r="CF454" s="63"/>
      <c r="CG454" s="63"/>
      <c r="CH454" s="63"/>
      <c r="CI454" s="103"/>
      <c r="CJ454" s="103"/>
      <c r="CK454" s="103"/>
      <c r="CL454" s="103"/>
    </row>
    <row r="455" spans="7:90" ht="13" x14ac:dyDescent="0.15">
      <c r="G455" s="103"/>
      <c r="H455" s="103"/>
      <c r="I455" s="103"/>
      <c r="J455" s="103"/>
      <c r="K455" s="63"/>
      <c r="L455" s="63"/>
      <c r="M455" s="63"/>
      <c r="N455" s="63"/>
      <c r="O455" s="103"/>
      <c r="P455" s="103"/>
      <c r="Q455" s="103"/>
      <c r="R455" s="103"/>
      <c r="S455" s="63"/>
      <c r="T455" s="63"/>
      <c r="U455" s="63"/>
      <c r="V455" s="63"/>
      <c r="W455" s="103"/>
      <c r="X455" s="103"/>
      <c r="Y455" s="103"/>
      <c r="Z455" s="103"/>
      <c r="AA455" s="63"/>
      <c r="AB455" s="63"/>
      <c r="AC455" s="63"/>
      <c r="AD455" s="63"/>
      <c r="AE455" s="103"/>
      <c r="AF455" s="103"/>
      <c r="AG455" s="103"/>
      <c r="AH455" s="103"/>
      <c r="AI455" s="63"/>
      <c r="AJ455" s="63"/>
      <c r="AK455" s="63"/>
      <c r="AL455" s="63"/>
      <c r="AM455" s="103"/>
      <c r="AN455" s="103"/>
      <c r="AO455" s="103"/>
      <c r="AP455" s="103"/>
      <c r="AQ455" s="63"/>
      <c r="AR455" s="63"/>
      <c r="AS455" s="63"/>
      <c r="AT455" s="63"/>
      <c r="AU455" s="103"/>
      <c r="AV455" s="103"/>
      <c r="AW455" s="103"/>
      <c r="AX455" s="103"/>
      <c r="AY455" s="63"/>
      <c r="AZ455" s="63"/>
      <c r="BA455" s="63"/>
      <c r="BB455" s="63"/>
      <c r="BC455" s="103"/>
      <c r="BD455" s="103"/>
      <c r="BE455" s="103"/>
      <c r="BF455" s="103"/>
      <c r="BG455" s="63"/>
      <c r="BH455" s="63"/>
      <c r="BI455" s="63"/>
      <c r="BJ455" s="63"/>
      <c r="BK455" s="103"/>
      <c r="BL455" s="103"/>
      <c r="BM455" s="103"/>
      <c r="BN455" s="103"/>
      <c r="BO455" s="63"/>
      <c r="BP455" s="63"/>
      <c r="BQ455" s="63"/>
      <c r="BR455" s="63"/>
      <c r="BS455" s="103"/>
      <c r="BT455" s="103"/>
      <c r="BU455" s="103"/>
      <c r="BV455" s="103"/>
      <c r="BW455" s="63"/>
      <c r="BX455" s="63"/>
      <c r="BY455" s="63"/>
      <c r="BZ455" s="63"/>
      <c r="CA455" s="103"/>
      <c r="CB455" s="103"/>
      <c r="CC455" s="103"/>
      <c r="CD455" s="103"/>
      <c r="CE455" s="63"/>
      <c r="CF455" s="63"/>
      <c r="CG455" s="63"/>
      <c r="CH455" s="63"/>
      <c r="CI455" s="103"/>
      <c r="CJ455" s="103"/>
      <c r="CK455" s="103"/>
      <c r="CL455" s="103"/>
    </row>
    <row r="456" spans="7:90" ht="13" x14ac:dyDescent="0.15">
      <c r="G456" s="103"/>
      <c r="H456" s="103"/>
      <c r="I456" s="103"/>
      <c r="J456" s="103"/>
      <c r="K456" s="63"/>
      <c r="L456" s="63"/>
      <c r="M456" s="63"/>
      <c r="N456" s="63"/>
      <c r="O456" s="103"/>
      <c r="P456" s="103"/>
      <c r="Q456" s="103"/>
      <c r="R456" s="103"/>
      <c r="S456" s="63"/>
      <c r="T456" s="63"/>
      <c r="U456" s="63"/>
      <c r="V456" s="63"/>
      <c r="W456" s="103"/>
      <c r="X456" s="103"/>
      <c r="Y456" s="103"/>
      <c r="Z456" s="103"/>
      <c r="AA456" s="63"/>
      <c r="AB456" s="63"/>
      <c r="AC456" s="63"/>
      <c r="AD456" s="63"/>
      <c r="AE456" s="103"/>
      <c r="AF456" s="103"/>
      <c r="AG456" s="103"/>
      <c r="AH456" s="103"/>
      <c r="AI456" s="63"/>
      <c r="AJ456" s="63"/>
      <c r="AK456" s="63"/>
      <c r="AL456" s="63"/>
      <c r="AM456" s="103"/>
      <c r="AN456" s="103"/>
      <c r="AO456" s="103"/>
      <c r="AP456" s="103"/>
      <c r="AQ456" s="63"/>
      <c r="AR456" s="63"/>
      <c r="AS456" s="63"/>
      <c r="AT456" s="63"/>
      <c r="AU456" s="103"/>
      <c r="AV456" s="103"/>
      <c r="AW456" s="103"/>
      <c r="AX456" s="103"/>
      <c r="AY456" s="63"/>
      <c r="AZ456" s="63"/>
      <c r="BA456" s="63"/>
      <c r="BB456" s="63"/>
      <c r="BC456" s="103"/>
      <c r="BD456" s="103"/>
      <c r="BE456" s="103"/>
      <c r="BF456" s="103"/>
      <c r="BG456" s="63"/>
      <c r="BH456" s="63"/>
      <c r="BI456" s="63"/>
      <c r="BJ456" s="63"/>
      <c r="BK456" s="103"/>
      <c r="BL456" s="103"/>
      <c r="BM456" s="103"/>
      <c r="BN456" s="103"/>
      <c r="BO456" s="63"/>
      <c r="BP456" s="63"/>
      <c r="BQ456" s="63"/>
      <c r="BR456" s="63"/>
      <c r="BS456" s="103"/>
      <c r="BT456" s="103"/>
      <c r="BU456" s="103"/>
      <c r="BV456" s="103"/>
      <c r="BW456" s="63"/>
      <c r="BX456" s="63"/>
      <c r="BY456" s="63"/>
      <c r="BZ456" s="63"/>
      <c r="CA456" s="103"/>
      <c r="CB456" s="103"/>
      <c r="CC456" s="103"/>
      <c r="CD456" s="103"/>
      <c r="CE456" s="63"/>
      <c r="CF456" s="63"/>
      <c r="CG456" s="63"/>
      <c r="CH456" s="63"/>
      <c r="CI456" s="103"/>
      <c r="CJ456" s="103"/>
      <c r="CK456" s="103"/>
      <c r="CL456" s="103"/>
    </row>
    <row r="457" spans="7:90" ht="13" x14ac:dyDescent="0.15">
      <c r="G457" s="103"/>
      <c r="H457" s="103"/>
      <c r="I457" s="103"/>
      <c r="J457" s="103"/>
      <c r="K457" s="63"/>
      <c r="L457" s="63"/>
      <c r="M457" s="63"/>
      <c r="N457" s="63"/>
      <c r="O457" s="103"/>
      <c r="P457" s="103"/>
      <c r="Q457" s="103"/>
      <c r="R457" s="103"/>
      <c r="S457" s="63"/>
      <c r="T457" s="63"/>
      <c r="U457" s="63"/>
      <c r="V457" s="63"/>
      <c r="W457" s="103"/>
      <c r="X457" s="103"/>
      <c r="Y457" s="103"/>
      <c r="Z457" s="103"/>
      <c r="AA457" s="63"/>
      <c r="AB457" s="63"/>
      <c r="AC457" s="63"/>
      <c r="AD457" s="63"/>
      <c r="AE457" s="103"/>
      <c r="AF457" s="103"/>
      <c r="AG457" s="103"/>
      <c r="AH457" s="103"/>
      <c r="AI457" s="63"/>
      <c r="AJ457" s="63"/>
      <c r="AK457" s="63"/>
      <c r="AL457" s="63"/>
      <c r="AM457" s="103"/>
      <c r="AN457" s="103"/>
      <c r="AO457" s="103"/>
      <c r="AP457" s="103"/>
      <c r="AQ457" s="63"/>
      <c r="AR457" s="63"/>
      <c r="AS457" s="63"/>
      <c r="AT457" s="63"/>
      <c r="AU457" s="103"/>
      <c r="AV457" s="103"/>
      <c r="AW457" s="103"/>
      <c r="AX457" s="103"/>
      <c r="AY457" s="63"/>
      <c r="AZ457" s="63"/>
      <c r="BA457" s="63"/>
      <c r="BB457" s="63"/>
      <c r="BC457" s="103"/>
      <c r="BD457" s="103"/>
      <c r="BE457" s="103"/>
      <c r="BF457" s="103"/>
      <c r="BG457" s="63"/>
      <c r="BH457" s="63"/>
      <c r="BI457" s="63"/>
      <c r="BJ457" s="63"/>
      <c r="BK457" s="103"/>
      <c r="BL457" s="103"/>
      <c r="BM457" s="103"/>
      <c r="BN457" s="103"/>
      <c r="BO457" s="63"/>
      <c r="BP457" s="63"/>
      <c r="BQ457" s="63"/>
      <c r="BR457" s="63"/>
      <c r="BS457" s="103"/>
      <c r="BT457" s="103"/>
      <c r="BU457" s="103"/>
      <c r="BV457" s="103"/>
      <c r="BW457" s="63"/>
      <c r="BX457" s="63"/>
      <c r="BY457" s="63"/>
      <c r="BZ457" s="63"/>
      <c r="CA457" s="103"/>
      <c r="CB457" s="103"/>
      <c r="CC457" s="103"/>
      <c r="CD457" s="103"/>
      <c r="CE457" s="63"/>
      <c r="CF457" s="63"/>
      <c r="CG457" s="63"/>
      <c r="CH457" s="63"/>
      <c r="CI457" s="103"/>
      <c r="CJ457" s="103"/>
      <c r="CK457" s="103"/>
      <c r="CL457" s="103"/>
    </row>
    <row r="458" spans="7:90" ht="13" x14ac:dyDescent="0.15">
      <c r="G458" s="103"/>
      <c r="H458" s="103"/>
      <c r="I458" s="103"/>
      <c r="J458" s="103"/>
      <c r="K458" s="63"/>
      <c r="L458" s="63"/>
      <c r="M458" s="63"/>
      <c r="N458" s="63"/>
      <c r="O458" s="103"/>
      <c r="P458" s="103"/>
      <c r="Q458" s="103"/>
      <c r="R458" s="103"/>
      <c r="S458" s="63"/>
      <c r="T458" s="63"/>
      <c r="U458" s="63"/>
      <c r="V458" s="63"/>
      <c r="W458" s="103"/>
      <c r="X458" s="103"/>
      <c r="Y458" s="103"/>
      <c r="Z458" s="103"/>
      <c r="AA458" s="63"/>
      <c r="AB458" s="63"/>
      <c r="AC458" s="63"/>
      <c r="AD458" s="63"/>
      <c r="AE458" s="103"/>
      <c r="AF458" s="103"/>
      <c r="AG458" s="103"/>
      <c r="AH458" s="103"/>
      <c r="AI458" s="63"/>
      <c r="AJ458" s="63"/>
      <c r="AK458" s="63"/>
      <c r="AL458" s="63"/>
      <c r="AM458" s="103"/>
      <c r="AN458" s="103"/>
      <c r="AO458" s="103"/>
      <c r="AP458" s="103"/>
      <c r="AQ458" s="63"/>
      <c r="AR458" s="63"/>
      <c r="AS458" s="63"/>
      <c r="AT458" s="63"/>
      <c r="AU458" s="103"/>
      <c r="AV458" s="103"/>
      <c r="AW458" s="103"/>
      <c r="AX458" s="103"/>
      <c r="AY458" s="63"/>
      <c r="AZ458" s="63"/>
      <c r="BA458" s="63"/>
      <c r="BB458" s="63"/>
      <c r="BC458" s="103"/>
      <c r="BD458" s="103"/>
      <c r="BE458" s="103"/>
      <c r="BF458" s="103"/>
      <c r="BG458" s="63"/>
      <c r="BH458" s="63"/>
      <c r="BI458" s="63"/>
      <c r="BJ458" s="63"/>
      <c r="BK458" s="103"/>
      <c r="BL458" s="103"/>
      <c r="BM458" s="103"/>
      <c r="BN458" s="103"/>
      <c r="BO458" s="63"/>
      <c r="BP458" s="63"/>
      <c r="BQ458" s="63"/>
      <c r="BR458" s="63"/>
      <c r="BS458" s="103"/>
      <c r="BT458" s="103"/>
      <c r="BU458" s="103"/>
      <c r="BV458" s="103"/>
      <c r="BW458" s="63"/>
      <c r="BX458" s="63"/>
      <c r="BY458" s="63"/>
      <c r="BZ458" s="63"/>
      <c r="CA458" s="103"/>
      <c r="CB458" s="103"/>
      <c r="CC458" s="103"/>
      <c r="CD458" s="103"/>
      <c r="CE458" s="63"/>
      <c r="CF458" s="63"/>
      <c r="CG458" s="63"/>
      <c r="CH458" s="63"/>
      <c r="CI458" s="103"/>
      <c r="CJ458" s="103"/>
      <c r="CK458" s="103"/>
      <c r="CL458" s="103"/>
    </row>
    <row r="459" spans="7:90" ht="13" x14ac:dyDescent="0.15">
      <c r="G459" s="103"/>
      <c r="H459" s="103"/>
      <c r="I459" s="103"/>
      <c r="J459" s="103"/>
      <c r="K459" s="63"/>
      <c r="L459" s="63"/>
      <c r="M459" s="63"/>
      <c r="N459" s="63"/>
      <c r="O459" s="103"/>
      <c r="P459" s="103"/>
      <c r="Q459" s="103"/>
      <c r="R459" s="103"/>
      <c r="S459" s="63"/>
      <c r="T459" s="63"/>
      <c r="U459" s="63"/>
      <c r="V459" s="63"/>
      <c r="W459" s="103"/>
      <c r="X459" s="103"/>
      <c r="Y459" s="103"/>
      <c r="Z459" s="103"/>
      <c r="AA459" s="63"/>
      <c r="AB459" s="63"/>
      <c r="AC459" s="63"/>
      <c r="AD459" s="63"/>
      <c r="AE459" s="103"/>
      <c r="AF459" s="103"/>
      <c r="AG459" s="103"/>
      <c r="AH459" s="103"/>
      <c r="AI459" s="63"/>
      <c r="AJ459" s="63"/>
      <c r="AK459" s="63"/>
      <c r="AL459" s="63"/>
      <c r="AM459" s="103"/>
      <c r="AN459" s="103"/>
      <c r="AO459" s="103"/>
      <c r="AP459" s="103"/>
      <c r="AQ459" s="63"/>
      <c r="AR459" s="63"/>
      <c r="AS459" s="63"/>
      <c r="AT459" s="63"/>
      <c r="AU459" s="103"/>
      <c r="AV459" s="103"/>
      <c r="AW459" s="103"/>
      <c r="AX459" s="103"/>
      <c r="AY459" s="63"/>
      <c r="AZ459" s="63"/>
      <c r="BA459" s="63"/>
      <c r="BB459" s="63"/>
      <c r="BC459" s="103"/>
      <c r="BD459" s="103"/>
      <c r="BE459" s="103"/>
      <c r="BF459" s="103"/>
      <c r="BG459" s="63"/>
      <c r="BH459" s="63"/>
      <c r="BI459" s="63"/>
      <c r="BJ459" s="63"/>
      <c r="BK459" s="103"/>
      <c r="BL459" s="103"/>
      <c r="BM459" s="103"/>
      <c r="BN459" s="103"/>
      <c r="BO459" s="63"/>
      <c r="BP459" s="63"/>
      <c r="BQ459" s="63"/>
      <c r="BR459" s="63"/>
      <c r="BS459" s="103"/>
      <c r="BT459" s="103"/>
      <c r="BU459" s="103"/>
      <c r="BV459" s="103"/>
      <c r="BW459" s="63"/>
      <c r="BX459" s="63"/>
      <c r="BY459" s="63"/>
      <c r="BZ459" s="63"/>
      <c r="CA459" s="103"/>
      <c r="CB459" s="103"/>
      <c r="CC459" s="103"/>
      <c r="CD459" s="103"/>
      <c r="CE459" s="63"/>
      <c r="CF459" s="63"/>
      <c r="CG459" s="63"/>
      <c r="CH459" s="63"/>
      <c r="CI459" s="103"/>
      <c r="CJ459" s="103"/>
      <c r="CK459" s="103"/>
      <c r="CL459" s="103"/>
    </row>
    <row r="460" spans="7:90" ht="13" x14ac:dyDescent="0.15">
      <c r="G460" s="103"/>
      <c r="H460" s="103"/>
      <c r="I460" s="103"/>
      <c r="J460" s="103"/>
      <c r="K460" s="63"/>
      <c r="L460" s="63"/>
      <c r="M460" s="63"/>
      <c r="N460" s="63"/>
      <c r="O460" s="103"/>
      <c r="P460" s="103"/>
      <c r="Q460" s="103"/>
      <c r="R460" s="103"/>
      <c r="S460" s="63"/>
      <c r="T460" s="63"/>
      <c r="U460" s="63"/>
      <c r="V460" s="63"/>
      <c r="W460" s="103"/>
      <c r="X460" s="103"/>
      <c r="Y460" s="103"/>
      <c r="Z460" s="103"/>
      <c r="AA460" s="63"/>
      <c r="AB460" s="63"/>
      <c r="AC460" s="63"/>
      <c r="AD460" s="63"/>
      <c r="AE460" s="103"/>
      <c r="AF460" s="103"/>
      <c r="AG460" s="103"/>
      <c r="AH460" s="103"/>
      <c r="AI460" s="63"/>
      <c r="AJ460" s="63"/>
      <c r="AK460" s="63"/>
      <c r="AL460" s="63"/>
      <c r="AM460" s="103"/>
      <c r="AN460" s="103"/>
      <c r="AO460" s="103"/>
      <c r="AP460" s="103"/>
      <c r="AQ460" s="63"/>
      <c r="AR460" s="63"/>
      <c r="AS460" s="63"/>
      <c r="AT460" s="63"/>
      <c r="AU460" s="103"/>
      <c r="AV460" s="103"/>
      <c r="AW460" s="103"/>
      <c r="AX460" s="103"/>
      <c r="AY460" s="63"/>
      <c r="AZ460" s="63"/>
      <c r="BA460" s="63"/>
      <c r="BB460" s="63"/>
      <c r="BC460" s="103"/>
      <c r="BD460" s="103"/>
      <c r="BE460" s="103"/>
      <c r="BF460" s="103"/>
      <c r="BG460" s="63"/>
      <c r="BH460" s="63"/>
      <c r="BI460" s="63"/>
      <c r="BJ460" s="63"/>
      <c r="BK460" s="103"/>
      <c r="BL460" s="103"/>
      <c r="BM460" s="103"/>
      <c r="BN460" s="103"/>
      <c r="BO460" s="63"/>
      <c r="BP460" s="63"/>
      <c r="BQ460" s="63"/>
      <c r="BR460" s="63"/>
      <c r="BS460" s="103"/>
      <c r="BT460" s="103"/>
      <c r="BU460" s="103"/>
      <c r="BV460" s="103"/>
      <c r="BW460" s="63"/>
      <c r="BX460" s="63"/>
      <c r="BY460" s="63"/>
      <c r="BZ460" s="63"/>
      <c r="CA460" s="103"/>
      <c r="CB460" s="103"/>
      <c r="CC460" s="103"/>
      <c r="CD460" s="103"/>
      <c r="CE460" s="63"/>
      <c r="CF460" s="63"/>
      <c r="CG460" s="63"/>
      <c r="CH460" s="63"/>
      <c r="CI460" s="103"/>
      <c r="CJ460" s="103"/>
      <c r="CK460" s="103"/>
      <c r="CL460" s="103"/>
    </row>
    <row r="461" spans="7:90" ht="13" x14ac:dyDescent="0.15">
      <c r="G461" s="103"/>
      <c r="H461" s="103"/>
      <c r="I461" s="103"/>
      <c r="J461" s="103"/>
      <c r="K461" s="63"/>
      <c r="L461" s="63"/>
      <c r="M461" s="63"/>
      <c r="N461" s="63"/>
      <c r="O461" s="103"/>
      <c r="P461" s="103"/>
      <c r="Q461" s="103"/>
      <c r="R461" s="103"/>
      <c r="S461" s="63"/>
      <c r="T461" s="63"/>
      <c r="U461" s="63"/>
      <c r="V461" s="63"/>
      <c r="W461" s="103"/>
      <c r="X461" s="103"/>
      <c r="Y461" s="103"/>
      <c r="Z461" s="103"/>
      <c r="AA461" s="63"/>
      <c r="AB461" s="63"/>
      <c r="AC461" s="63"/>
      <c r="AD461" s="63"/>
      <c r="AE461" s="103"/>
      <c r="AF461" s="103"/>
      <c r="AG461" s="103"/>
      <c r="AH461" s="103"/>
      <c r="AI461" s="63"/>
      <c r="AJ461" s="63"/>
      <c r="AK461" s="63"/>
      <c r="AL461" s="63"/>
      <c r="AM461" s="103"/>
      <c r="AN461" s="103"/>
      <c r="AO461" s="103"/>
      <c r="AP461" s="103"/>
      <c r="AQ461" s="63"/>
      <c r="AR461" s="63"/>
      <c r="AS461" s="63"/>
      <c r="AT461" s="63"/>
      <c r="AU461" s="103"/>
      <c r="AV461" s="103"/>
      <c r="AW461" s="103"/>
      <c r="AX461" s="103"/>
      <c r="AY461" s="63"/>
      <c r="AZ461" s="63"/>
      <c r="BA461" s="63"/>
      <c r="BB461" s="63"/>
      <c r="BC461" s="103"/>
      <c r="BD461" s="103"/>
      <c r="BE461" s="103"/>
      <c r="BF461" s="103"/>
      <c r="BG461" s="63"/>
      <c r="BH461" s="63"/>
      <c r="BI461" s="63"/>
      <c r="BJ461" s="63"/>
      <c r="BK461" s="103"/>
      <c r="BL461" s="103"/>
      <c r="BM461" s="103"/>
      <c r="BN461" s="103"/>
      <c r="BO461" s="63"/>
      <c r="BP461" s="63"/>
      <c r="BQ461" s="63"/>
      <c r="BR461" s="63"/>
      <c r="BS461" s="103"/>
      <c r="BT461" s="103"/>
      <c r="BU461" s="103"/>
      <c r="BV461" s="103"/>
      <c r="BW461" s="63"/>
      <c r="BX461" s="63"/>
      <c r="BY461" s="63"/>
      <c r="BZ461" s="63"/>
      <c r="CA461" s="103"/>
      <c r="CB461" s="103"/>
      <c r="CC461" s="103"/>
      <c r="CD461" s="103"/>
      <c r="CE461" s="63"/>
      <c r="CF461" s="63"/>
      <c r="CG461" s="63"/>
      <c r="CH461" s="63"/>
      <c r="CI461" s="103"/>
      <c r="CJ461" s="103"/>
      <c r="CK461" s="103"/>
      <c r="CL461" s="103"/>
    </row>
    <row r="462" spans="7:90" ht="13" x14ac:dyDescent="0.15">
      <c r="G462" s="103"/>
      <c r="H462" s="103"/>
      <c r="I462" s="103"/>
      <c r="J462" s="103"/>
      <c r="K462" s="63"/>
      <c r="L462" s="63"/>
      <c r="M462" s="63"/>
      <c r="N462" s="63"/>
      <c r="O462" s="103"/>
      <c r="P462" s="103"/>
      <c r="Q462" s="103"/>
      <c r="R462" s="103"/>
      <c r="S462" s="63"/>
      <c r="T462" s="63"/>
      <c r="U462" s="63"/>
      <c r="V462" s="63"/>
      <c r="W462" s="103"/>
      <c r="X462" s="103"/>
      <c r="Y462" s="103"/>
      <c r="Z462" s="103"/>
      <c r="AA462" s="63"/>
      <c r="AB462" s="63"/>
      <c r="AC462" s="63"/>
      <c r="AD462" s="63"/>
      <c r="AE462" s="103"/>
      <c r="AF462" s="103"/>
      <c r="AG462" s="103"/>
      <c r="AH462" s="103"/>
      <c r="AI462" s="63"/>
      <c r="AJ462" s="63"/>
      <c r="AK462" s="63"/>
      <c r="AL462" s="63"/>
      <c r="AM462" s="103"/>
      <c r="AN462" s="103"/>
      <c r="AO462" s="103"/>
      <c r="AP462" s="103"/>
      <c r="AQ462" s="63"/>
      <c r="AR462" s="63"/>
      <c r="AS462" s="63"/>
      <c r="AT462" s="63"/>
      <c r="AU462" s="103"/>
      <c r="AV462" s="103"/>
      <c r="AW462" s="103"/>
      <c r="AX462" s="103"/>
      <c r="AY462" s="63"/>
      <c r="AZ462" s="63"/>
      <c r="BA462" s="63"/>
      <c r="BB462" s="63"/>
      <c r="BC462" s="103"/>
      <c r="BD462" s="103"/>
      <c r="BE462" s="103"/>
      <c r="BF462" s="103"/>
      <c r="BG462" s="63"/>
      <c r="BH462" s="63"/>
      <c r="BI462" s="63"/>
      <c r="BJ462" s="63"/>
      <c r="BK462" s="103"/>
      <c r="BL462" s="103"/>
      <c r="BM462" s="103"/>
      <c r="BN462" s="103"/>
      <c r="BO462" s="63"/>
      <c r="BP462" s="63"/>
      <c r="BQ462" s="63"/>
      <c r="BR462" s="63"/>
      <c r="BS462" s="103"/>
      <c r="BT462" s="103"/>
      <c r="BU462" s="103"/>
      <c r="BV462" s="103"/>
      <c r="BW462" s="63"/>
      <c r="BX462" s="63"/>
      <c r="BY462" s="63"/>
      <c r="BZ462" s="63"/>
      <c r="CA462" s="103"/>
      <c r="CB462" s="103"/>
      <c r="CC462" s="103"/>
      <c r="CD462" s="103"/>
      <c r="CE462" s="63"/>
      <c r="CF462" s="63"/>
      <c r="CG462" s="63"/>
      <c r="CH462" s="63"/>
      <c r="CI462" s="103"/>
      <c r="CJ462" s="103"/>
      <c r="CK462" s="103"/>
      <c r="CL462" s="103"/>
    </row>
    <row r="463" spans="7:90" ht="13" x14ac:dyDescent="0.15">
      <c r="G463" s="103"/>
      <c r="H463" s="103"/>
      <c r="I463" s="103"/>
      <c r="J463" s="103"/>
      <c r="K463" s="63"/>
      <c r="L463" s="63"/>
      <c r="M463" s="63"/>
      <c r="N463" s="63"/>
      <c r="O463" s="103"/>
      <c r="P463" s="103"/>
      <c r="Q463" s="103"/>
      <c r="R463" s="103"/>
      <c r="S463" s="63"/>
      <c r="T463" s="63"/>
      <c r="U463" s="63"/>
      <c r="V463" s="63"/>
      <c r="W463" s="103"/>
      <c r="X463" s="103"/>
      <c r="Y463" s="103"/>
      <c r="Z463" s="103"/>
      <c r="AA463" s="63"/>
      <c r="AB463" s="63"/>
      <c r="AC463" s="63"/>
      <c r="AD463" s="63"/>
      <c r="AE463" s="103"/>
      <c r="AF463" s="103"/>
      <c r="AG463" s="103"/>
      <c r="AH463" s="103"/>
      <c r="AI463" s="63"/>
      <c r="AJ463" s="63"/>
      <c r="AK463" s="63"/>
      <c r="AL463" s="63"/>
      <c r="AM463" s="103"/>
      <c r="AN463" s="103"/>
      <c r="AO463" s="103"/>
      <c r="AP463" s="103"/>
      <c r="AQ463" s="63"/>
      <c r="AR463" s="63"/>
      <c r="AS463" s="63"/>
      <c r="AT463" s="63"/>
      <c r="AU463" s="103"/>
      <c r="AV463" s="103"/>
      <c r="AW463" s="103"/>
      <c r="AX463" s="103"/>
      <c r="AY463" s="63"/>
      <c r="AZ463" s="63"/>
      <c r="BA463" s="63"/>
      <c r="BB463" s="63"/>
      <c r="BC463" s="103"/>
      <c r="BD463" s="103"/>
      <c r="BE463" s="103"/>
      <c r="BF463" s="103"/>
      <c r="BG463" s="63"/>
      <c r="BH463" s="63"/>
      <c r="BI463" s="63"/>
      <c r="BJ463" s="63"/>
      <c r="BK463" s="103"/>
      <c r="BL463" s="103"/>
      <c r="BM463" s="103"/>
      <c r="BN463" s="103"/>
      <c r="BO463" s="63"/>
      <c r="BP463" s="63"/>
      <c r="BQ463" s="63"/>
      <c r="BR463" s="63"/>
      <c r="BS463" s="103"/>
      <c r="BT463" s="103"/>
      <c r="BU463" s="103"/>
      <c r="BV463" s="103"/>
      <c r="BW463" s="63"/>
      <c r="BX463" s="63"/>
      <c r="BY463" s="63"/>
      <c r="BZ463" s="63"/>
      <c r="CA463" s="103"/>
      <c r="CB463" s="103"/>
      <c r="CC463" s="103"/>
      <c r="CD463" s="103"/>
      <c r="CE463" s="63"/>
      <c r="CF463" s="63"/>
      <c r="CG463" s="63"/>
      <c r="CH463" s="63"/>
      <c r="CI463" s="103"/>
      <c r="CJ463" s="103"/>
      <c r="CK463" s="103"/>
      <c r="CL463" s="103"/>
    </row>
    <row r="464" spans="7:90" ht="13" x14ac:dyDescent="0.15">
      <c r="G464" s="103"/>
      <c r="H464" s="103"/>
      <c r="I464" s="103"/>
      <c r="J464" s="103"/>
      <c r="K464" s="63"/>
      <c r="L464" s="63"/>
      <c r="M464" s="63"/>
      <c r="N464" s="63"/>
      <c r="O464" s="103"/>
      <c r="P464" s="103"/>
      <c r="Q464" s="103"/>
      <c r="R464" s="103"/>
      <c r="S464" s="63"/>
      <c r="T464" s="63"/>
      <c r="U464" s="63"/>
      <c r="V464" s="63"/>
      <c r="W464" s="103"/>
      <c r="X464" s="103"/>
      <c r="Y464" s="103"/>
      <c r="Z464" s="103"/>
      <c r="AA464" s="63"/>
      <c r="AB464" s="63"/>
      <c r="AC464" s="63"/>
      <c r="AD464" s="63"/>
      <c r="AE464" s="103"/>
      <c r="AF464" s="103"/>
      <c r="AG464" s="103"/>
      <c r="AH464" s="103"/>
      <c r="AI464" s="63"/>
      <c r="AJ464" s="63"/>
      <c r="AK464" s="63"/>
      <c r="AL464" s="63"/>
      <c r="AM464" s="103"/>
      <c r="AN464" s="103"/>
      <c r="AO464" s="103"/>
      <c r="AP464" s="103"/>
      <c r="AQ464" s="63"/>
      <c r="AR464" s="63"/>
      <c r="AS464" s="63"/>
      <c r="AT464" s="63"/>
      <c r="AU464" s="103"/>
      <c r="AV464" s="103"/>
      <c r="AW464" s="103"/>
      <c r="AX464" s="103"/>
      <c r="AY464" s="63"/>
      <c r="AZ464" s="63"/>
      <c r="BA464" s="63"/>
      <c r="BB464" s="63"/>
      <c r="BC464" s="103"/>
      <c r="BD464" s="103"/>
      <c r="BE464" s="103"/>
      <c r="BF464" s="103"/>
      <c r="BG464" s="63"/>
      <c r="BH464" s="63"/>
      <c r="BI464" s="63"/>
      <c r="BJ464" s="63"/>
      <c r="BK464" s="103"/>
      <c r="BL464" s="103"/>
      <c r="BM464" s="103"/>
      <c r="BN464" s="103"/>
      <c r="BO464" s="63"/>
      <c r="BP464" s="63"/>
      <c r="BQ464" s="63"/>
      <c r="BR464" s="63"/>
      <c r="BS464" s="103"/>
      <c r="BT464" s="103"/>
      <c r="BU464" s="103"/>
      <c r="BV464" s="103"/>
      <c r="BW464" s="63"/>
      <c r="BX464" s="63"/>
      <c r="BY464" s="63"/>
      <c r="BZ464" s="63"/>
      <c r="CA464" s="103"/>
      <c r="CB464" s="103"/>
      <c r="CC464" s="103"/>
      <c r="CD464" s="103"/>
      <c r="CE464" s="63"/>
      <c r="CF464" s="63"/>
      <c r="CG464" s="63"/>
      <c r="CH464" s="63"/>
      <c r="CI464" s="103"/>
      <c r="CJ464" s="103"/>
      <c r="CK464" s="103"/>
      <c r="CL464" s="103"/>
    </row>
    <row r="465" spans="7:90" ht="13" x14ac:dyDescent="0.15">
      <c r="G465" s="103"/>
      <c r="H465" s="103"/>
      <c r="I465" s="103"/>
      <c r="J465" s="103"/>
      <c r="K465" s="63"/>
      <c r="L465" s="63"/>
      <c r="M465" s="63"/>
      <c r="N465" s="63"/>
      <c r="O465" s="103"/>
      <c r="P465" s="103"/>
      <c r="Q465" s="103"/>
      <c r="R465" s="103"/>
      <c r="S465" s="63"/>
      <c r="T465" s="63"/>
      <c r="U465" s="63"/>
      <c r="V465" s="63"/>
      <c r="W465" s="103"/>
      <c r="X465" s="103"/>
      <c r="Y465" s="103"/>
      <c r="Z465" s="103"/>
      <c r="AA465" s="63"/>
      <c r="AB465" s="63"/>
      <c r="AC465" s="63"/>
      <c r="AD465" s="63"/>
      <c r="AE465" s="103"/>
      <c r="AF465" s="103"/>
      <c r="AG465" s="103"/>
      <c r="AH465" s="103"/>
      <c r="AI465" s="63"/>
      <c r="AJ465" s="63"/>
      <c r="AK465" s="63"/>
      <c r="AL465" s="63"/>
      <c r="AM465" s="103"/>
      <c r="AN465" s="103"/>
      <c r="AO465" s="103"/>
      <c r="AP465" s="103"/>
      <c r="AQ465" s="63"/>
      <c r="AR465" s="63"/>
      <c r="AS465" s="63"/>
      <c r="AT465" s="63"/>
      <c r="AU465" s="103"/>
      <c r="AV465" s="103"/>
      <c r="AW465" s="103"/>
      <c r="AX465" s="103"/>
      <c r="AY465" s="63"/>
      <c r="AZ465" s="63"/>
      <c r="BA465" s="63"/>
      <c r="BB465" s="63"/>
      <c r="BC465" s="103"/>
      <c r="BD465" s="103"/>
      <c r="BE465" s="103"/>
      <c r="BF465" s="103"/>
      <c r="BG465" s="63"/>
      <c r="BH465" s="63"/>
      <c r="BI465" s="63"/>
      <c r="BJ465" s="63"/>
      <c r="BK465" s="103"/>
      <c r="BL465" s="103"/>
      <c r="BM465" s="103"/>
      <c r="BN465" s="103"/>
      <c r="BO465" s="63"/>
      <c r="BP465" s="63"/>
      <c r="BQ465" s="63"/>
      <c r="BR465" s="63"/>
      <c r="BS465" s="103"/>
      <c r="BT465" s="103"/>
      <c r="BU465" s="103"/>
      <c r="BV465" s="103"/>
      <c r="BW465" s="63"/>
      <c r="BX465" s="63"/>
      <c r="BY465" s="63"/>
      <c r="BZ465" s="63"/>
      <c r="CA465" s="103"/>
      <c r="CB465" s="103"/>
      <c r="CC465" s="103"/>
      <c r="CD465" s="103"/>
      <c r="CE465" s="63"/>
      <c r="CF465" s="63"/>
      <c r="CG465" s="63"/>
      <c r="CH465" s="63"/>
      <c r="CI465" s="103"/>
      <c r="CJ465" s="103"/>
      <c r="CK465" s="103"/>
      <c r="CL465" s="103"/>
    </row>
    <row r="466" spans="7:90" ht="13" x14ac:dyDescent="0.15">
      <c r="G466" s="103"/>
      <c r="H466" s="103"/>
      <c r="I466" s="103"/>
      <c r="J466" s="103"/>
      <c r="K466" s="63"/>
      <c r="L466" s="63"/>
      <c r="M466" s="63"/>
      <c r="N466" s="63"/>
      <c r="O466" s="103"/>
      <c r="P466" s="103"/>
      <c r="Q466" s="103"/>
      <c r="R466" s="103"/>
      <c r="S466" s="63"/>
      <c r="T466" s="63"/>
      <c r="U466" s="63"/>
      <c r="V466" s="63"/>
      <c r="W466" s="103"/>
      <c r="X466" s="103"/>
      <c r="Y466" s="103"/>
      <c r="Z466" s="103"/>
      <c r="AA466" s="63"/>
      <c r="AB466" s="63"/>
      <c r="AC466" s="63"/>
      <c r="AD466" s="63"/>
      <c r="AE466" s="103"/>
      <c r="AF466" s="103"/>
      <c r="AG466" s="103"/>
      <c r="AH466" s="103"/>
      <c r="AI466" s="63"/>
      <c r="AJ466" s="63"/>
      <c r="AK466" s="63"/>
      <c r="AL466" s="63"/>
      <c r="AM466" s="103"/>
      <c r="AN466" s="103"/>
      <c r="AO466" s="103"/>
      <c r="AP466" s="103"/>
      <c r="AQ466" s="63"/>
      <c r="AR466" s="63"/>
      <c r="AS466" s="63"/>
      <c r="AT466" s="63"/>
      <c r="AU466" s="103"/>
      <c r="AV466" s="103"/>
      <c r="AW466" s="103"/>
      <c r="AX466" s="103"/>
      <c r="AY466" s="63"/>
      <c r="AZ466" s="63"/>
      <c r="BA466" s="63"/>
      <c r="BB466" s="63"/>
      <c r="BC466" s="103"/>
      <c r="BD466" s="103"/>
      <c r="BE466" s="103"/>
      <c r="BF466" s="103"/>
      <c r="BG466" s="63"/>
      <c r="BH466" s="63"/>
      <c r="BI466" s="63"/>
      <c r="BJ466" s="63"/>
      <c r="BK466" s="103"/>
      <c r="BL466" s="103"/>
      <c r="BM466" s="103"/>
      <c r="BN466" s="103"/>
      <c r="BO466" s="63"/>
      <c r="BP466" s="63"/>
      <c r="BQ466" s="63"/>
      <c r="BR466" s="63"/>
      <c r="BS466" s="103"/>
      <c r="BT466" s="103"/>
      <c r="BU466" s="103"/>
      <c r="BV466" s="103"/>
      <c r="BW466" s="63"/>
      <c r="BX466" s="63"/>
      <c r="BY466" s="63"/>
      <c r="BZ466" s="63"/>
      <c r="CA466" s="103"/>
      <c r="CB466" s="103"/>
      <c r="CC466" s="103"/>
      <c r="CD466" s="103"/>
      <c r="CE466" s="63"/>
      <c r="CF466" s="63"/>
      <c r="CG466" s="63"/>
      <c r="CH466" s="63"/>
      <c r="CI466" s="103"/>
      <c r="CJ466" s="103"/>
      <c r="CK466" s="103"/>
      <c r="CL466" s="103"/>
    </row>
    <row r="467" spans="7:90" ht="13" x14ac:dyDescent="0.15">
      <c r="G467" s="103"/>
      <c r="H467" s="103"/>
      <c r="I467" s="103"/>
      <c r="J467" s="103"/>
      <c r="K467" s="63"/>
      <c r="L467" s="63"/>
      <c r="M467" s="63"/>
      <c r="N467" s="63"/>
      <c r="O467" s="103"/>
      <c r="P467" s="103"/>
      <c r="Q467" s="103"/>
      <c r="R467" s="103"/>
      <c r="S467" s="63"/>
      <c r="T467" s="63"/>
      <c r="U467" s="63"/>
      <c r="V467" s="63"/>
      <c r="W467" s="103"/>
      <c r="X467" s="103"/>
      <c r="Y467" s="103"/>
      <c r="Z467" s="103"/>
      <c r="AA467" s="63"/>
      <c r="AB467" s="63"/>
      <c r="AC467" s="63"/>
      <c r="AD467" s="63"/>
      <c r="AE467" s="103"/>
      <c r="AF467" s="103"/>
      <c r="AG467" s="103"/>
      <c r="AH467" s="103"/>
      <c r="AI467" s="63"/>
      <c r="AJ467" s="63"/>
      <c r="AK467" s="63"/>
      <c r="AL467" s="63"/>
      <c r="AM467" s="103"/>
      <c r="AN467" s="103"/>
      <c r="AO467" s="103"/>
      <c r="AP467" s="103"/>
      <c r="AQ467" s="63"/>
      <c r="AR467" s="63"/>
      <c r="AS467" s="63"/>
      <c r="AT467" s="63"/>
      <c r="AU467" s="103"/>
      <c r="AV467" s="103"/>
      <c r="AW467" s="103"/>
      <c r="AX467" s="103"/>
      <c r="AY467" s="63"/>
      <c r="AZ467" s="63"/>
      <c r="BA467" s="63"/>
      <c r="BB467" s="63"/>
      <c r="BC467" s="103"/>
      <c r="BD467" s="103"/>
      <c r="BE467" s="103"/>
      <c r="BF467" s="103"/>
      <c r="BG467" s="63"/>
      <c r="BH467" s="63"/>
      <c r="BI467" s="63"/>
      <c r="BJ467" s="63"/>
      <c r="BK467" s="103"/>
      <c r="BL467" s="103"/>
      <c r="BM467" s="103"/>
      <c r="BN467" s="103"/>
      <c r="BO467" s="63"/>
      <c r="BP467" s="63"/>
      <c r="BQ467" s="63"/>
      <c r="BR467" s="63"/>
      <c r="BS467" s="103"/>
      <c r="BT467" s="103"/>
      <c r="BU467" s="103"/>
      <c r="BV467" s="103"/>
      <c r="BW467" s="63"/>
      <c r="BX467" s="63"/>
      <c r="BY467" s="63"/>
      <c r="BZ467" s="63"/>
      <c r="CA467" s="103"/>
      <c r="CB467" s="103"/>
      <c r="CC467" s="103"/>
      <c r="CD467" s="103"/>
      <c r="CE467" s="63"/>
      <c r="CF467" s="63"/>
      <c r="CG467" s="63"/>
      <c r="CH467" s="63"/>
      <c r="CI467" s="103"/>
      <c r="CJ467" s="103"/>
      <c r="CK467" s="103"/>
      <c r="CL467" s="103"/>
    </row>
    <row r="468" spans="7:90" ht="13" x14ac:dyDescent="0.15">
      <c r="G468" s="103"/>
      <c r="H468" s="103"/>
      <c r="I468" s="103"/>
      <c r="J468" s="103"/>
      <c r="K468" s="63"/>
      <c r="L468" s="63"/>
      <c r="M468" s="63"/>
      <c r="N468" s="63"/>
      <c r="O468" s="103"/>
      <c r="P468" s="103"/>
      <c r="Q468" s="103"/>
      <c r="R468" s="103"/>
      <c r="S468" s="63"/>
      <c r="T468" s="63"/>
      <c r="U468" s="63"/>
      <c r="V468" s="63"/>
      <c r="W468" s="103"/>
      <c r="X468" s="103"/>
      <c r="Y468" s="103"/>
      <c r="Z468" s="103"/>
      <c r="AA468" s="63"/>
      <c r="AB468" s="63"/>
      <c r="AC468" s="63"/>
      <c r="AD468" s="63"/>
      <c r="AE468" s="103"/>
      <c r="AF468" s="103"/>
      <c r="AG468" s="103"/>
      <c r="AH468" s="103"/>
      <c r="AI468" s="63"/>
      <c r="AJ468" s="63"/>
      <c r="AK468" s="63"/>
      <c r="AL468" s="63"/>
      <c r="AM468" s="103"/>
      <c r="AN468" s="103"/>
      <c r="AO468" s="103"/>
      <c r="AP468" s="103"/>
      <c r="AQ468" s="63"/>
      <c r="AR468" s="63"/>
      <c r="AS468" s="63"/>
      <c r="AT468" s="63"/>
      <c r="AU468" s="103"/>
      <c r="AV468" s="103"/>
      <c r="AW468" s="103"/>
      <c r="AX468" s="103"/>
      <c r="AY468" s="63"/>
      <c r="AZ468" s="63"/>
      <c r="BA468" s="63"/>
      <c r="BB468" s="63"/>
      <c r="BC468" s="103"/>
      <c r="BD468" s="103"/>
      <c r="BE468" s="103"/>
      <c r="BF468" s="103"/>
      <c r="BG468" s="63"/>
      <c r="BH468" s="63"/>
      <c r="BI468" s="63"/>
      <c r="BJ468" s="63"/>
      <c r="BK468" s="103"/>
      <c r="BL468" s="103"/>
      <c r="BM468" s="103"/>
      <c r="BN468" s="103"/>
      <c r="BO468" s="63"/>
      <c r="BP468" s="63"/>
      <c r="BQ468" s="63"/>
      <c r="BR468" s="63"/>
      <c r="BS468" s="103"/>
      <c r="BT468" s="103"/>
      <c r="BU468" s="103"/>
      <c r="BV468" s="103"/>
      <c r="BW468" s="63"/>
      <c r="BX468" s="63"/>
      <c r="BY468" s="63"/>
      <c r="BZ468" s="63"/>
      <c r="CA468" s="103"/>
      <c r="CB468" s="103"/>
      <c r="CC468" s="103"/>
      <c r="CD468" s="103"/>
      <c r="CE468" s="63"/>
      <c r="CF468" s="63"/>
      <c r="CG468" s="63"/>
      <c r="CH468" s="63"/>
      <c r="CI468" s="103"/>
      <c r="CJ468" s="103"/>
      <c r="CK468" s="103"/>
      <c r="CL468" s="103"/>
    </row>
    <row r="469" spans="7:90" ht="13" x14ac:dyDescent="0.15">
      <c r="G469" s="103"/>
      <c r="H469" s="103"/>
      <c r="I469" s="103"/>
      <c r="J469" s="103"/>
      <c r="K469" s="63"/>
      <c r="L469" s="63"/>
      <c r="M469" s="63"/>
      <c r="N469" s="63"/>
      <c r="O469" s="103"/>
      <c r="P469" s="103"/>
      <c r="Q469" s="103"/>
      <c r="R469" s="103"/>
      <c r="S469" s="63"/>
      <c r="T469" s="63"/>
      <c r="U469" s="63"/>
      <c r="V469" s="63"/>
      <c r="W469" s="103"/>
      <c r="X469" s="103"/>
      <c r="Y469" s="103"/>
      <c r="Z469" s="103"/>
      <c r="AA469" s="63"/>
      <c r="AB469" s="63"/>
      <c r="AC469" s="63"/>
      <c r="AD469" s="63"/>
      <c r="AE469" s="103"/>
      <c r="AF469" s="103"/>
      <c r="AG469" s="103"/>
      <c r="AH469" s="103"/>
      <c r="AI469" s="63"/>
      <c r="AJ469" s="63"/>
      <c r="AK469" s="63"/>
      <c r="AL469" s="63"/>
      <c r="AM469" s="103"/>
      <c r="AN469" s="103"/>
      <c r="AO469" s="103"/>
      <c r="AP469" s="103"/>
      <c r="AQ469" s="63"/>
      <c r="AR469" s="63"/>
      <c r="AS469" s="63"/>
      <c r="AT469" s="63"/>
      <c r="AU469" s="103"/>
      <c r="AV469" s="103"/>
      <c r="AW469" s="103"/>
      <c r="AX469" s="103"/>
      <c r="AY469" s="63"/>
      <c r="AZ469" s="63"/>
      <c r="BA469" s="63"/>
      <c r="BB469" s="63"/>
      <c r="BC469" s="103"/>
      <c r="BD469" s="103"/>
      <c r="BE469" s="103"/>
      <c r="BF469" s="103"/>
      <c r="BG469" s="63"/>
      <c r="BH469" s="63"/>
      <c r="BI469" s="63"/>
      <c r="BJ469" s="63"/>
      <c r="BK469" s="103"/>
      <c r="BL469" s="103"/>
      <c r="BM469" s="103"/>
      <c r="BN469" s="103"/>
      <c r="BO469" s="63"/>
      <c r="BP469" s="63"/>
      <c r="BQ469" s="63"/>
      <c r="BR469" s="63"/>
      <c r="BS469" s="103"/>
      <c r="BT469" s="103"/>
      <c r="BU469" s="103"/>
      <c r="BV469" s="103"/>
      <c r="BW469" s="63"/>
      <c r="BX469" s="63"/>
      <c r="BY469" s="63"/>
      <c r="BZ469" s="63"/>
      <c r="CA469" s="103"/>
      <c r="CB469" s="103"/>
      <c r="CC469" s="103"/>
      <c r="CD469" s="103"/>
      <c r="CE469" s="63"/>
      <c r="CF469" s="63"/>
      <c r="CG469" s="63"/>
      <c r="CH469" s="63"/>
      <c r="CI469" s="103"/>
      <c r="CJ469" s="103"/>
      <c r="CK469" s="103"/>
      <c r="CL469" s="103"/>
    </row>
    <row r="470" spans="7:90" ht="13" x14ac:dyDescent="0.15">
      <c r="G470" s="103"/>
      <c r="H470" s="103"/>
      <c r="I470" s="103"/>
      <c r="J470" s="103"/>
      <c r="K470" s="63"/>
      <c r="L470" s="63"/>
      <c r="M470" s="63"/>
      <c r="N470" s="63"/>
      <c r="O470" s="103"/>
      <c r="P470" s="103"/>
      <c r="Q470" s="103"/>
      <c r="R470" s="103"/>
      <c r="S470" s="63"/>
      <c r="T470" s="63"/>
      <c r="U470" s="63"/>
      <c r="V470" s="63"/>
      <c r="W470" s="103"/>
      <c r="X470" s="103"/>
      <c r="Y470" s="103"/>
      <c r="Z470" s="103"/>
      <c r="AA470" s="63"/>
      <c r="AB470" s="63"/>
      <c r="AC470" s="63"/>
      <c r="AD470" s="63"/>
      <c r="AE470" s="103"/>
      <c r="AF470" s="103"/>
      <c r="AG470" s="103"/>
      <c r="AH470" s="103"/>
      <c r="AI470" s="63"/>
      <c r="AJ470" s="63"/>
      <c r="AK470" s="63"/>
      <c r="AL470" s="63"/>
      <c r="AM470" s="103"/>
      <c r="AN470" s="103"/>
      <c r="AO470" s="103"/>
      <c r="AP470" s="103"/>
      <c r="AQ470" s="63"/>
      <c r="AR470" s="63"/>
      <c r="AS470" s="63"/>
      <c r="AT470" s="63"/>
      <c r="AU470" s="103"/>
      <c r="AV470" s="103"/>
      <c r="AW470" s="103"/>
      <c r="AX470" s="103"/>
      <c r="AY470" s="63"/>
      <c r="AZ470" s="63"/>
      <c r="BA470" s="63"/>
      <c r="BB470" s="63"/>
      <c r="BC470" s="103"/>
      <c r="BD470" s="103"/>
      <c r="BE470" s="103"/>
      <c r="BF470" s="103"/>
      <c r="BG470" s="63"/>
      <c r="BH470" s="63"/>
      <c r="BI470" s="63"/>
      <c r="BJ470" s="63"/>
      <c r="BK470" s="103"/>
      <c r="BL470" s="103"/>
      <c r="BM470" s="103"/>
      <c r="BN470" s="103"/>
      <c r="BO470" s="63"/>
      <c r="BP470" s="63"/>
      <c r="BQ470" s="63"/>
      <c r="BR470" s="63"/>
      <c r="BS470" s="103"/>
      <c r="BT470" s="103"/>
      <c r="BU470" s="103"/>
      <c r="BV470" s="103"/>
      <c r="BW470" s="63"/>
      <c r="BX470" s="63"/>
      <c r="BY470" s="63"/>
      <c r="BZ470" s="63"/>
      <c r="CA470" s="103"/>
      <c r="CB470" s="103"/>
      <c r="CC470" s="103"/>
      <c r="CD470" s="103"/>
      <c r="CE470" s="63"/>
      <c r="CF470" s="63"/>
      <c r="CG470" s="63"/>
      <c r="CH470" s="63"/>
      <c r="CI470" s="103"/>
      <c r="CJ470" s="103"/>
      <c r="CK470" s="103"/>
      <c r="CL470" s="103"/>
    </row>
    <row r="471" spans="7:90" ht="13" x14ac:dyDescent="0.15">
      <c r="G471" s="103"/>
      <c r="H471" s="103"/>
      <c r="I471" s="103"/>
      <c r="J471" s="103"/>
      <c r="K471" s="63"/>
      <c r="L471" s="63"/>
      <c r="M471" s="63"/>
      <c r="N471" s="63"/>
      <c r="O471" s="103"/>
      <c r="P471" s="103"/>
      <c r="Q471" s="103"/>
      <c r="R471" s="103"/>
      <c r="S471" s="63"/>
      <c r="T471" s="63"/>
      <c r="U471" s="63"/>
      <c r="V471" s="63"/>
      <c r="W471" s="103"/>
      <c r="X471" s="103"/>
      <c r="Y471" s="103"/>
      <c r="Z471" s="103"/>
      <c r="AA471" s="63"/>
      <c r="AB471" s="63"/>
      <c r="AC471" s="63"/>
      <c r="AD471" s="63"/>
      <c r="AE471" s="103"/>
      <c r="AF471" s="103"/>
      <c r="AG471" s="103"/>
      <c r="AH471" s="103"/>
      <c r="AI471" s="63"/>
      <c r="AJ471" s="63"/>
      <c r="AK471" s="63"/>
      <c r="AL471" s="63"/>
      <c r="AM471" s="103"/>
      <c r="AN471" s="103"/>
      <c r="AO471" s="103"/>
      <c r="AP471" s="103"/>
      <c r="AQ471" s="63"/>
      <c r="AR471" s="63"/>
      <c r="AS471" s="63"/>
      <c r="AT471" s="63"/>
      <c r="AU471" s="103"/>
      <c r="AV471" s="103"/>
      <c r="AW471" s="103"/>
      <c r="AX471" s="103"/>
      <c r="AY471" s="63"/>
      <c r="AZ471" s="63"/>
      <c r="BA471" s="63"/>
      <c r="BB471" s="63"/>
      <c r="BC471" s="103"/>
      <c r="BD471" s="103"/>
      <c r="BE471" s="103"/>
      <c r="BF471" s="103"/>
      <c r="BG471" s="63"/>
      <c r="BH471" s="63"/>
      <c r="BI471" s="63"/>
      <c r="BJ471" s="63"/>
      <c r="BK471" s="103"/>
      <c r="BL471" s="103"/>
      <c r="BM471" s="103"/>
      <c r="BN471" s="103"/>
      <c r="BO471" s="63"/>
      <c r="BP471" s="63"/>
      <c r="BQ471" s="63"/>
      <c r="BR471" s="63"/>
      <c r="BS471" s="103"/>
      <c r="BT471" s="103"/>
      <c r="BU471" s="103"/>
      <c r="BV471" s="103"/>
      <c r="BW471" s="63"/>
      <c r="BX471" s="63"/>
      <c r="BY471" s="63"/>
      <c r="BZ471" s="63"/>
      <c r="CA471" s="103"/>
      <c r="CB471" s="103"/>
      <c r="CC471" s="103"/>
      <c r="CD471" s="103"/>
      <c r="CE471" s="63"/>
      <c r="CF471" s="63"/>
      <c r="CG471" s="63"/>
      <c r="CH471" s="63"/>
      <c r="CI471" s="103"/>
      <c r="CJ471" s="103"/>
      <c r="CK471" s="103"/>
      <c r="CL471" s="103"/>
    </row>
    <row r="472" spans="7:90" ht="13" x14ac:dyDescent="0.15">
      <c r="G472" s="103"/>
      <c r="H472" s="103"/>
      <c r="I472" s="103"/>
      <c r="J472" s="103"/>
      <c r="K472" s="63"/>
      <c r="L472" s="63"/>
      <c r="M472" s="63"/>
      <c r="N472" s="63"/>
      <c r="O472" s="103"/>
      <c r="P472" s="103"/>
      <c r="Q472" s="103"/>
      <c r="R472" s="103"/>
      <c r="S472" s="63"/>
      <c r="T472" s="63"/>
      <c r="U472" s="63"/>
      <c r="V472" s="63"/>
      <c r="W472" s="103"/>
      <c r="X472" s="103"/>
      <c r="Y472" s="103"/>
      <c r="Z472" s="103"/>
      <c r="AA472" s="63"/>
      <c r="AB472" s="63"/>
      <c r="AC472" s="63"/>
      <c r="AD472" s="63"/>
      <c r="AE472" s="103"/>
      <c r="AF472" s="103"/>
      <c r="AG472" s="103"/>
      <c r="AH472" s="103"/>
      <c r="AI472" s="63"/>
      <c r="AJ472" s="63"/>
      <c r="AK472" s="63"/>
      <c r="AL472" s="63"/>
      <c r="AM472" s="103"/>
      <c r="AN472" s="103"/>
      <c r="AO472" s="103"/>
      <c r="AP472" s="103"/>
      <c r="AQ472" s="63"/>
      <c r="AR472" s="63"/>
      <c r="AS472" s="63"/>
      <c r="AT472" s="63"/>
      <c r="AU472" s="103"/>
      <c r="AV472" s="103"/>
      <c r="AW472" s="103"/>
      <c r="AX472" s="103"/>
      <c r="AY472" s="63"/>
      <c r="AZ472" s="63"/>
      <c r="BA472" s="63"/>
      <c r="BB472" s="63"/>
      <c r="BC472" s="103"/>
      <c r="BD472" s="103"/>
      <c r="BE472" s="103"/>
      <c r="BF472" s="103"/>
      <c r="BG472" s="63"/>
      <c r="BH472" s="63"/>
      <c r="BI472" s="63"/>
      <c r="BJ472" s="63"/>
      <c r="BK472" s="103"/>
      <c r="BL472" s="103"/>
      <c r="BM472" s="103"/>
      <c r="BN472" s="103"/>
      <c r="BO472" s="63"/>
      <c r="BP472" s="63"/>
      <c r="BQ472" s="63"/>
      <c r="BR472" s="63"/>
      <c r="BS472" s="103"/>
      <c r="BT472" s="103"/>
      <c r="BU472" s="103"/>
      <c r="BV472" s="103"/>
      <c r="BW472" s="63"/>
      <c r="BX472" s="63"/>
      <c r="BY472" s="63"/>
      <c r="BZ472" s="63"/>
      <c r="CA472" s="103"/>
      <c r="CB472" s="103"/>
      <c r="CC472" s="103"/>
      <c r="CD472" s="103"/>
      <c r="CE472" s="63"/>
      <c r="CF472" s="63"/>
      <c r="CG472" s="63"/>
      <c r="CH472" s="63"/>
      <c r="CI472" s="103"/>
      <c r="CJ472" s="103"/>
      <c r="CK472" s="103"/>
      <c r="CL472" s="103"/>
    </row>
    <row r="473" spans="7:90" ht="13" x14ac:dyDescent="0.15">
      <c r="G473" s="103"/>
      <c r="H473" s="103"/>
      <c r="I473" s="103"/>
      <c r="J473" s="103"/>
      <c r="K473" s="63"/>
      <c r="L473" s="63"/>
      <c r="M473" s="63"/>
      <c r="N473" s="63"/>
      <c r="O473" s="103"/>
      <c r="P473" s="103"/>
      <c r="Q473" s="103"/>
      <c r="R473" s="103"/>
      <c r="S473" s="63"/>
      <c r="T473" s="63"/>
      <c r="U473" s="63"/>
      <c r="V473" s="63"/>
      <c r="W473" s="103"/>
      <c r="X473" s="103"/>
      <c r="Y473" s="103"/>
      <c r="Z473" s="103"/>
      <c r="AA473" s="63"/>
      <c r="AB473" s="63"/>
      <c r="AC473" s="63"/>
      <c r="AD473" s="63"/>
      <c r="AE473" s="103"/>
      <c r="AF473" s="103"/>
      <c r="AG473" s="103"/>
      <c r="AH473" s="103"/>
      <c r="AI473" s="63"/>
      <c r="AJ473" s="63"/>
      <c r="AK473" s="63"/>
      <c r="AL473" s="63"/>
      <c r="AM473" s="103"/>
      <c r="AN473" s="103"/>
      <c r="AO473" s="103"/>
      <c r="AP473" s="103"/>
      <c r="AQ473" s="63"/>
      <c r="AR473" s="63"/>
      <c r="AS473" s="63"/>
      <c r="AT473" s="63"/>
      <c r="AU473" s="103"/>
      <c r="AV473" s="103"/>
      <c r="AW473" s="103"/>
      <c r="AX473" s="103"/>
      <c r="AY473" s="63"/>
      <c r="AZ473" s="63"/>
      <c r="BA473" s="63"/>
      <c r="BB473" s="63"/>
      <c r="BC473" s="103"/>
      <c r="BD473" s="103"/>
      <c r="BE473" s="103"/>
      <c r="BF473" s="103"/>
      <c r="BG473" s="63"/>
      <c r="BH473" s="63"/>
      <c r="BI473" s="63"/>
      <c r="BJ473" s="63"/>
      <c r="BK473" s="103"/>
      <c r="BL473" s="103"/>
      <c r="BM473" s="103"/>
      <c r="BN473" s="103"/>
      <c r="BO473" s="63"/>
      <c r="BP473" s="63"/>
      <c r="BQ473" s="63"/>
      <c r="BR473" s="63"/>
      <c r="BS473" s="103"/>
      <c r="BT473" s="103"/>
      <c r="BU473" s="103"/>
      <c r="BV473" s="103"/>
      <c r="BW473" s="63"/>
      <c r="BX473" s="63"/>
      <c r="BY473" s="63"/>
      <c r="BZ473" s="63"/>
      <c r="CA473" s="103"/>
      <c r="CB473" s="103"/>
      <c r="CC473" s="103"/>
      <c r="CD473" s="103"/>
      <c r="CE473" s="63"/>
      <c r="CF473" s="63"/>
      <c r="CG473" s="63"/>
      <c r="CH473" s="63"/>
      <c r="CI473" s="103"/>
      <c r="CJ473" s="103"/>
      <c r="CK473" s="103"/>
      <c r="CL473" s="103"/>
    </row>
    <row r="474" spans="7:90" ht="13" x14ac:dyDescent="0.15">
      <c r="G474" s="103"/>
      <c r="H474" s="103"/>
      <c r="I474" s="103"/>
      <c r="J474" s="103"/>
      <c r="K474" s="63"/>
      <c r="L474" s="63"/>
      <c r="M474" s="63"/>
      <c r="N474" s="63"/>
      <c r="O474" s="103"/>
      <c r="P474" s="103"/>
      <c r="Q474" s="103"/>
      <c r="R474" s="103"/>
      <c r="S474" s="63"/>
      <c r="T474" s="63"/>
      <c r="U474" s="63"/>
      <c r="V474" s="63"/>
      <c r="W474" s="103"/>
      <c r="X474" s="103"/>
      <c r="Y474" s="103"/>
      <c r="Z474" s="103"/>
      <c r="AA474" s="63"/>
      <c r="AB474" s="63"/>
      <c r="AC474" s="63"/>
      <c r="AD474" s="63"/>
      <c r="AE474" s="103"/>
      <c r="AF474" s="103"/>
      <c r="AG474" s="103"/>
      <c r="AH474" s="103"/>
      <c r="AI474" s="63"/>
      <c r="AJ474" s="63"/>
      <c r="AK474" s="63"/>
      <c r="AL474" s="63"/>
      <c r="AM474" s="103"/>
      <c r="AN474" s="103"/>
      <c r="AO474" s="103"/>
      <c r="AP474" s="103"/>
      <c r="AQ474" s="63"/>
      <c r="AR474" s="63"/>
      <c r="AS474" s="63"/>
      <c r="AT474" s="63"/>
      <c r="AU474" s="103"/>
      <c r="AV474" s="103"/>
      <c r="AW474" s="103"/>
      <c r="AX474" s="103"/>
      <c r="AY474" s="63"/>
      <c r="AZ474" s="63"/>
      <c r="BA474" s="63"/>
      <c r="BB474" s="63"/>
      <c r="BC474" s="103"/>
      <c r="BD474" s="103"/>
      <c r="BE474" s="103"/>
      <c r="BF474" s="103"/>
      <c r="BG474" s="63"/>
      <c r="BH474" s="63"/>
      <c r="BI474" s="63"/>
      <c r="BJ474" s="63"/>
      <c r="BK474" s="103"/>
      <c r="BL474" s="103"/>
      <c r="BM474" s="103"/>
      <c r="BN474" s="103"/>
      <c r="BO474" s="63"/>
      <c r="BP474" s="63"/>
      <c r="BQ474" s="63"/>
      <c r="BR474" s="63"/>
      <c r="BS474" s="103"/>
      <c r="BT474" s="103"/>
      <c r="BU474" s="103"/>
      <c r="BV474" s="103"/>
      <c r="BW474" s="63"/>
      <c r="BX474" s="63"/>
      <c r="BY474" s="63"/>
      <c r="BZ474" s="63"/>
      <c r="CA474" s="103"/>
      <c r="CB474" s="103"/>
      <c r="CC474" s="103"/>
      <c r="CD474" s="103"/>
      <c r="CE474" s="63"/>
      <c r="CF474" s="63"/>
      <c r="CG474" s="63"/>
      <c r="CH474" s="63"/>
      <c r="CI474" s="103"/>
      <c r="CJ474" s="103"/>
      <c r="CK474" s="103"/>
      <c r="CL474" s="103"/>
    </row>
    <row r="475" spans="7:90" ht="13" x14ac:dyDescent="0.15">
      <c r="G475" s="103"/>
      <c r="H475" s="103"/>
      <c r="I475" s="103"/>
      <c r="J475" s="103"/>
      <c r="K475" s="63"/>
      <c r="L475" s="63"/>
      <c r="M475" s="63"/>
      <c r="N475" s="63"/>
      <c r="O475" s="103"/>
      <c r="P475" s="103"/>
      <c r="Q475" s="103"/>
      <c r="R475" s="103"/>
      <c r="S475" s="63"/>
      <c r="T475" s="63"/>
      <c r="U475" s="63"/>
      <c r="V475" s="63"/>
      <c r="W475" s="103"/>
      <c r="X475" s="103"/>
      <c r="Y475" s="103"/>
      <c r="Z475" s="103"/>
      <c r="AA475" s="63"/>
      <c r="AB475" s="63"/>
      <c r="AC475" s="63"/>
      <c r="AD475" s="63"/>
      <c r="AE475" s="103"/>
      <c r="AF475" s="103"/>
      <c r="AG475" s="103"/>
      <c r="AH475" s="103"/>
      <c r="AI475" s="63"/>
      <c r="AJ475" s="63"/>
      <c r="AK475" s="63"/>
      <c r="AL475" s="63"/>
      <c r="AM475" s="103"/>
      <c r="AN475" s="103"/>
      <c r="AO475" s="103"/>
      <c r="AP475" s="103"/>
      <c r="AQ475" s="63"/>
      <c r="AR475" s="63"/>
      <c r="AS475" s="63"/>
      <c r="AT475" s="63"/>
      <c r="AU475" s="103"/>
      <c r="AV475" s="103"/>
      <c r="AW475" s="103"/>
      <c r="AX475" s="103"/>
      <c r="AY475" s="63"/>
      <c r="AZ475" s="63"/>
      <c r="BA475" s="63"/>
      <c r="BB475" s="63"/>
      <c r="BC475" s="103"/>
      <c r="BD475" s="103"/>
      <c r="BE475" s="103"/>
      <c r="BF475" s="103"/>
      <c r="BG475" s="63"/>
      <c r="BH475" s="63"/>
      <c r="BI475" s="63"/>
      <c r="BJ475" s="63"/>
      <c r="BK475" s="103"/>
      <c r="BL475" s="103"/>
      <c r="BM475" s="103"/>
      <c r="BN475" s="103"/>
      <c r="BO475" s="63"/>
      <c r="BP475" s="63"/>
      <c r="BQ475" s="63"/>
      <c r="BR475" s="63"/>
      <c r="BS475" s="103"/>
      <c r="BT475" s="103"/>
      <c r="BU475" s="103"/>
      <c r="BV475" s="103"/>
      <c r="BW475" s="63"/>
      <c r="BX475" s="63"/>
      <c r="BY475" s="63"/>
      <c r="BZ475" s="63"/>
      <c r="CA475" s="103"/>
      <c r="CB475" s="103"/>
      <c r="CC475" s="103"/>
      <c r="CD475" s="103"/>
      <c r="CE475" s="63"/>
      <c r="CF475" s="63"/>
      <c r="CG475" s="63"/>
      <c r="CH475" s="63"/>
      <c r="CI475" s="103"/>
      <c r="CJ475" s="103"/>
      <c r="CK475" s="103"/>
      <c r="CL475" s="103"/>
    </row>
    <row r="476" spans="7:90" ht="13" x14ac:dyDescent="0.15">
      <c r="G476" s="103"/>
      <c r="H476" s="103"/>
      <c r="I476" s="103"/>
      <c r="J476" s="103"/>
      <c r="K476" s="63"/>
      <c r="L476" s="63"/>
      <c r="M476" s="63"/>
      <c r="N476" s="63"/>
      <c r="O476" s="103"/>
      <c r="P476" s="103"/>
      <c r="Q476" s="103"/>
      <c r="R476" s="103"/>
      <c r="S476" s="63"/>
      <c r="T476" s="63"/>
      <c r="U476" s="63"/>
      <c r="V476" s="63"/>
      <c r="W476" s="103"/>
      <c r="X476" s="103"/>
      <c r="Y476" s="103"/>
      <c r="Z476" s="103"/>
      <c r="AA476" s="63"/>
      <c r="AB476" s="63"/>
      <c r="AC476" s="63"/>
      <c r="AD476" s="63"/>
      <c r="AE476" s="103"/>
      <c r="AF476" s="103"/>
      <c r="AG476" s="103"/>
      <c r="AH476" s="103"/>
      <c r="AI476" s="63"/>
      <c r="AJ476" s="63"/>
      <c r="AK476" s="63"/>
      <c r="AL476" s="63"/>
      <c r="AM476" s="103"/>
      <c r="AN476" s="103"/>
      <c r="AO476" s="103"/>
      <c r="AP476" s="103"/>
      <c r="AQ476" s="63"/>
      <c r="AR476" s="63"/>
      <c r="AS476" s="63"/>
      <c r="AT476" s="63"/>
      <c r="AU476" s="103"/>
      <c r="AV476" s="103"/>
      <c r="AW476" s="103"/>
      <c r="AX476" s="103"/>
      <c r="AY476" s="63"/>
      <c r="AZ476" s="63"/>
      <c r="BA476" s="63"/>
      <c r="BB476" s="63"/>
      <c r="BC476" s="103"/>
      <c r="BD476" s="103"/>
      <c r="BE476" s="103"/>
      <c r="BF476" s="103"/>
      <c r="BG476" s="63"/>
      <c r="BH476" s="63"/>
      <c r="BI476" s="63"/>
      <c r="BJ476" s="63"/>
      <c r="BK476" s="103"/>
      <c r="BL476" s="103"/>
      <c r="BM476" s="103"/>
      <c r="BN476" s="103"/>
      <c r="BO476" s="63"/>
      <c r="BP476" s="63"/>
      <c r="BQ476" s="63"/>
      <c r="BR476" s="63"/>
      <c r="BS476" s="103"/>
      <c r="BT476" s="103"/>
      <c r="BU476" s="103"/>
      <c r="BV476" s="103"/>
      <c r="BW476" s="63"/>
      <c r="BX476" s="63"/>
      <c r="BY476" s="63"/>
      <c r="BZ476" s="63"/>
      <c r="CA476" s="103"/>
      <c r="CB476" s="103"/>
      <c r="CC476" s="103"/>
      <c r="CD476" s="103"/>
      <c r="CE476" s="63"/>
      <c r="CF476" s="63"/>
      <c r="CG476" s="63"/>
      <c r="CH476" s="63"/>
      <c r="CI476" s="103"/>
      <c r="CJ476" s="103"/>
      <c r="CK476" s="103"/>
      <c r="CL476" s="103"/>
    </row>
    <row r="477" spans="7:90" ht="13" x14ac:dyDescent="0.15">
      <c r="G477" s="103"/>
      <c r="H477" s="103"/>
      <c r="I477" s="103"/>
      <c r="J477" s="103"/>
      <c r="K477" s="63"/>
      <c r="L477" s="63"/>
      <c r="M477" s="63"/>
      <c r="N477" s="63"/>
      <c r="O477" s="103"/>
      <c r="P477" s="103"/>
      <c r="Q477" s="103"/>
      <c r="R477" s="103"/>
      <c r="S477" s="63"/>
      <c r="T477" s="63"/>
      <c r="U477" s="63"/>
      <c r="V477" s="63"/>
      <c r="W477" s="103"/>
      <c r="X477" s="103"/>
      <c r="Y477" s="103"/>
      <c r="Z477" s="103"/>
      <c r="AA477" s="63"/>
      <c r="AB477" s="63"/>
      <c r="AC477" s="63"/>
      <c r="AD477" s="63"/>
      <c r="AE477" s="103"/>
      <c r="AF477" s="103"/>
      <c r="AG477" s="103"/>
      <c r="AH477" s="103"/>
      <c r="AI477" s="63"/>
      <c r="AJ477" s="63"/>
      <c r="AK477" s="63"/>
      <c r="AL477" s="63"/>
      <c r="AM477" s="103"/>
      <c r="AN477" s="103"/>
      <c r="AO477" s="103"/>
      <c r="AP477" s="103"/>
      <c r="AQ477" s="63"/>
      <c r="AR477" s="63"/>
      <c r="AS477" s="63"/>
      <c r="AT477" s="63"/>
      <c r="AU477" s="103"/>
      <c r="AV477" s="103"/>
      <c r="AW477" s="103"/>
      <c r="AX477" s="103"/>
      <c r="AY477" s="63"/>
      <c r="AZ477" s="63"/>
      <c r="BA477" s="63"/>
      <c r="BB477" s="63"/>
      <c r="BC477" s="103"/>
      <c r="BD477" s="103"/>
      <c r="BE477" s="103"/>
      <c r="BF477" s="103"/>
      <c r="BG477" s="63"/>
      <c r="BH477" s="63"/>
      <c r="BI477" s="63"/>
      <c r="BJ477" s="63"/>
      <c r="BK477" s="103"/>
      <c r="BL477" s="103"/>
      <c r="BM477" s="103"/>
      <c r="BN477" s="103"/>
      <c r="BO477" s="63"/>
      <c r="BP477" s="63"/>
      <c r="BQ477" s="63"/>
      <c r="BR477" s="63"/>
      <c r="BS477" s="103"/>
      <c r="BT477" s="103"/>
      <c r="BU477" s="103"/>
      <c r="BV477" s="103"/>
      <c r="BW477" s="63"/>
      <c r="BX477" s="63"/>
      <c r="BY477" s="63"/>
      <c r="BZ477" s="63"/>
      <c r="CA477" s="103"/>
      <c r="CB477" s="103"/>
      <c r="CC477" s="103"/>
      <c r="CD477" s="103"/>
      <c r="CE477" s="63"/>
      <c r="CF477" s="63"/>
      <c r="CG477" s="63"/>
      <c r="CH477" s="63"/>
      <c r="CI477" s="103"/>
      <c r="CJ477" s="103"/>
      <c r="CK477" s="103"/>
      <c r="CL477" s="103"/>
    </row>
    <row r="478" spans="7:90" ht="13" x14ac:dyDescent="0.15">
      <c r="G478" s="103"/>
      <c r="H478" s="103"/>
      <c r="I478" s="103"/>
      <c r="J478" s="103"/>
      <c r="K478" s="63"/>
      <c r="L478" s="63"/>
      <c r="M478" s="63"/>
      <c r="N478" s="63"/>
      <c r="O478" s="103"/>
      <c r="P478" s="103"/>
      <c r="Q478" s="103"/>
      <c r="R478" s="103"/>
      <c r="S478" s="63"/>
      <c r="T478" s="63"/>
      <c r="U478" s="63"/>
      <c r="V478" s="63"/>
      <c r="W478" s="103"/>
      <c r="X478" s="103"/>
      <c r="Y478" s="103"/>
      <c r="Z478" s="103"/>
      <c r="AA478" s="63"/>
      <c r="AB478" s="63"/>
      <c r="AC478" s="63"/>
      <c r="AD478" s="63"/>
      <c r="AE478" s="103"/>
      <c r="AF478" s="103"/>
      <c r="AG478" s="103"/>
      <c r="AH478" s="103"/>
      <c r="AI478" s="63"/>
      <c r="AJ478" s="63"/>
      <c r="AK478" s="63"/>
      <c r="AL478" s="63"/>
      <c r="AM478" s="103"/>
      <c r="AN478" s="103"/>
      <c r="AO478" s="103"/>
      <c r="AP478" s="103"/>
      <c r="AQ478" s="63"/>
      <c r="AR478" s="63"/>
      <c r="AS478" s="63"/>
      <c r="AT478" s="63"/>
      <c r="AU478" s="103"/>
      <c r="AV478" s="103"/>
      <c r="AW478" s="103"/>
      <c r="AX478" s="103"/>
      <c r="AY478" s="63"/>
      <c r="AZ478" s="63"/>
      <c r="BA478" s="63"/>
      <c r="BB478" s="63"/>
      <c r="BC478" s="103"/>
      <c r="BD478" s="103"/>
      <c r="BE478" s="103"/>
      <c r="BF478" s="103"/>
      <c r="BG478" s="63"/>
      <c r="BH478" s="63"/>
      <c r="BI478" s="63"/>
      <c r="BJ478" s="63"/>
      <c r="BK478" s="103"/>
      <c r="BL478" s="103"/>
      <c r="BM478" s="103"/>
      <c r="BN478" s="103"/>
      <c r="BO478" s="63"/>
      <c r="BP478" s="63"/>
      <c r="BQ478" s="63"/>
      <c r="BR478" s="63"/>
      <c r="BS478" s="103"/>
      <c r="BT478" s="103"/>
      <c r="BU478" s="103"/>
      <c r="BV478" s="103"/>
      <c r="BW478" s="63"/>
      <c r="BX478" s="63"/>
      <c r="BY478" s="63"/>
      <c r="BZ478" s="63"/>
      <c r="CA478" s="103"/>
      <c r="CB478" s="103"/>
      <c r="CC478" s="103"/>
      <c r="CD478" s="103"/>
      <c r="CE478" s="63"/>
      <c r="CF478" s="63"/>
      <c r="CG478" s="63"/>
      <c r="CH478" s="63"/>
      <c r="CI478" s="103"/>
      <c r="CJ478" s="103"/>
      <c r="CK478" s="103"/>
      <c r="CL478" s="103"/>
    </row>
    <row r="479" spans="7:90" ht="13" x14ac:dyDescent="0.15">
      <c r="G479" s="103"/>
      <c r="H479" s="103"/>
      <c r="I479" s="103"/>
      <c r="J479" s="103"/>
      <c r="K479" s="63"/>
      <c r="L479" s="63"/>
      <c r="M479" s="63"/>
      <c r="N479" s="63"/>
      <c r="O479" s="103"/>
      <c r="P479" s="103"/>
      <c r="Q479" s="103"/>
      <c r="R479" s="103"/>
      <c r="S479" s="63"/>
      <c r="T479" s="63"/>
      <c r="U479" s="63"/>
      <c r="V479" s="63"/>
      <c r="W479" s="103"/>
      <c r="X479" s="103"/>
      <c r="Y479" s="103"/>
      <c r="Z479" s="103"/>
      <c r="AA479" s="63"/>
      <c r="AB479" s="63"/>
      <c r="AC479" s="63"/>
      <c r="AD479" s="63"/>
      <c r="AE479" s="103"/>
      <c r="AF479" s="103"/>
      <c r="AG479" s="103"/>
      <c r="AH479" s="103"/>
      <c r="AI479" s="63"/>
      <c r="AJ479" s="63"/>
      <c r="AK479" s="63"/>
      <c r="AL479" s="63"/>
      <c r="AM479" s="103"/>
      <c r="AN479" s="103"/>
      <c r="AO479" s="103"/>
      <c r="AP479" s="103"/>
      <c r="AQ479" s="63"/>
      <c r="AR479" s="63"/>
      <c r="AS479" s="63"/>
      <c r="AT479" s="63"/>
      <c r="AU479" s="103"/>
      <c r="AV479" s="103"/>
      <c r="AW479" s="103"/>
      <c r="AX479" s="103"/>
      <c r="AY479" s="63"/>
      <c r="AZ479" s="63"/>
      <c r="BA479" s="63"/>
      <c r="BB479" s="63"/>
      <c r="BC479" s="103"/>
      <c r="BD479" s="103"/>
      <c r="BE479" s="103"/>
      <c r="BF479" s="103"/>
      <c r="BG479" s="63"/>
      <c r="BH479" s="63"/>
      <c r="BI479" s="63"/>
      <c r="BJ479" s="63"/>
      <c r="BK479" s="103"/>
      <c r="BL479" s="103"/>
      <c r="BM479" s="103"/>
      <c r="BN479" s="103"/>
      <c r="BO479" s="63"/>
      <c r="BP479" s="63"/>
      <c r="BQ479" s="63"/>
      <c r="BR479" s="63"/>
      <c r="BS479" s="103"/>
      <c r="BT479" s="103"/>
      <c r="BU479" s="103"/>
      <c r="BV479" s="103"/>
      <c r="BW479" s="63"/>
      <c r="BX479" s="63"/>
      <c r="BY479" s="63"/>
      <c r="BZ479" s="63"/>
      <c r="CA479" s="103"/>
      <c r="CB479" s="103"/>
      <c r="CC479" s="103"/>
      <c r="CD479" s="103"/>
      <c r="CE479" s="63"/>
      <c r="CF479" s="63"/>
      <c r="CG479" s="63"/>
      <c r="CH479" s="63"/>
      <c r="CI479" s="103"/>
      <c r="CJ479" s="103"/>
      <c r="CK479" s="103"/>
      <c r="CL479" s="103"/>
    </row>
    <row r="480" spans="7:90" ht="13" x14ac:dyDescent="0.15">
      <c r="G480" s="103"/>
      <c r="H480" s="103"/>
      <c r="I480" s="103"/>
      <c r="J480" s="103"/>
      <c r="K480" s="63"/>
      <c r="L480" s="63"/>
      <c r="M480" s="63"/>
      <c r="N480" s="63"/>
      <c r="O480" s="103"/>
      <c r="P480" s="103"/>
      <c r="Q480" s="103"/>
      <c r="R480" s="103"/>
      <c r="S480" s="63"/>
      <c r="T480" s="63"/>
      <c r="U480" s="63"/>
      <c r="V480" s="63"/>
      <c r="W480" s="103"/>
      <c r="X480" s="103"/>
      <c r="Y480" s="103"/>
      <c r="Z480" s="103"/>
      <c r="AA480" s="63"/>
      <c r="AB480" s="63"/>
      <c r="AC480" s="63"/>
      <c r="AD480" s="63"/>
      <c r="AE480" s="103"/>
      <c r="AF480" s="103"/>
      <c r="AG480" s="103"/>
      <c r="AH480" s="103"/>
      <c r="AI480" s="63"/>
      <c r="AJ480" s="63"/>
      <c r="AK480" s="63"/>
      <c r="AL480" s="63"/>
      <c r="AM480" s="103"/>
      <c r="AN480" s="103"/>
      <c r="AO480" s="103"/>
      <c r="AP480" s="103"/>
      <c r="AQ480" s="63"/>
      <c r="AR480" s="63"/>
      <c r="AS480" s="63"/>
      <c r="AT480" s="63"/>
      <c r="AU480" s="103"/>
      <c r="AV480" s="103"/>
      <c r="AW480" s="103"/>
      <c r="AX480" s="103"/>
      <c r="AY480" s="63"/>
      <c r="AZ480" s="63"/>
      <c r="BA480" s="63"/>
      <c r="BB480" s="63"/>
      <c r="BC480" s="103"/>
      <c r="BD480" s="103"/>
      <c r="BE480" s="103"/>
      <c r="BF480" s="103"/>
      <c r="BG480" s="63"/>
      <c r="BH480" s="63"/>
      <c r="BI480" s="63"/>
      <c r="BJ480" s="63"/>
      <c r="BK480" s="103"/>
      <c r="BL480" s="103"/>
      <c r="BM480" s="103"/>
      <c r="BN480" s="103"/>
      <c r="BO480" s="63"/>
      <c r="BP480" s="63"/>
      <c r="BQ480" s="63"/>
      <c r="BR480" s="63"/>
      <c r="BS480" s="103"/>
      <c r="BT480" s="103"/>
      <c r="BU480" s="103"/>
      <c r="BV480" s="103"/>
      <c r="BW480" s="63"/>
      <c r="BX480" s="63"/>
      <c r="BY480" s="63"/>
      <c r="BZ480" s="63"/>
      <c r="CA480" s="103"/>
      <c r="CB480" s="103"/>
      <c r="CC480" s="103"/>
      <c r="CD480" s="103"/>
      <c r="CE480" s="63"/>
      <c r="CF480" s="63"/>
      <c r="CG480" s="63"/>
      <c r="CH480" s="63"/>
      <c r="CI480" s="103"/>
      <c r="CJ480" s="103"/>
      <c r="CK480" s="103"/>
      <c r="CL480" s="103"/>
    </row>
    <row r="481" spans="7:90" ht="13" x14ac:dyDescent="0.15">
      <c r="G481" s="103"/>
      <c r="H481" s="103"/>
      <c r="I481" s="103"/>
      <c r="J481" s="103"/>
      <c r="K481" s="63"/>
      <c r="L481" s="63"/>
      <c r="M481" s="63"/>
      <c r="N481" s="63"/>
      <c r="O481" s="103"/>
      <c r="P481" s="103"/>
      <c r="Q481" s="103"/>
      <c r="R481" s="103"/>
      <c r="S481" s="63"/>
      <c r="T481" s="63"/>
      <c r="U481" s="63"/>
      <c r="V481" s="63"/>
      <c r="W481" s="103"/>
      <c r="X481" s="103"/>
      <c r="Y481" s="103"/>
      <c r="Z481" s="103"/>
      <c r="AA481" s="63"/>
      <c r="AB481" s="63"/>
      <c r="AC481" s="63"/>
      <c r="AD481" s="63"/>
      <c r="AE481" s="103"/>
      <c r="AF481" s="103"/>
      <c r="AG481" s="103"/>
      <c r="AH481" s="103"/>
      <c r="AI481" s="63"/>
      <c r="AJ481" s="63"/>
      <c r="AK481" s="63"/>
      <c r="AL481" s="63"/>
      <c r="AM481" s="103"/>
      <c r="AN481" s="103"/>
      <c r="AO481" s="103"/>
      <c r="AP481" s="103"/>
      <c r="AQ481" s="63"/>
      <c r="AR481" s="63"/>
      <c r="AS481" s="63"/>
      <c r="AT481" s="63"/>
      <c r="AU481" s="103"/>
      <c r="AV481" s="103"/>
      <c r="AW481" s="103"/>
      <c r="AX481" s="103"/>
      <c r="AY481" s="63"/>
      <c r="AZ481" s="63"/>
      <c r="BA481" s="63"/>
      <c r="BB481" s="63"/>
      <c r="BC481" s="103"/>
      <c r="BD481" s="103"/>
      <c r="BE481" s="103"/>
      <c r="BF481" s="103"/>
      <c r="BG481" s="63"/>
      <c r="BH481" s="63"/>
      <c r="BI481" s="63"/>
      <c r="BJ481" s="63"/>
      <c r="BK481" s="103"/>
      <c r="BL481" s="103"/>
      <c r="BM481" s="103"/>
      <c r="BN481" s="103"/>
      <c r="BO481" s="63"/>
      <c r="BP481" s="63"/>
      <c r="BQ481" s="63"/>
      <c r="BR481" s="63"/>
      <c r="BS481" s="103"/>
      <c r="BT481" s="103"/>
      <c r="BU481" s="103"/>
      <c r="BV481" s="103"/>
      <c r="BW481" s="63"/>
      <c r="BX481" s="63"/>
      <c r="BY481" s="63"/>
      <c r="BZ481" s="63"/>
      <c r="CA481" s="103"/>
      <c r="CB481" s="103"/>
      <c r="CC481" s="103"/>
      <c r="CD481" s="103"/>
      <c r="CE481" s="63"/>
      <c r="CF481" s="63"/>
      <c r="CG481" s="63"/>
      <c r="CH481" s="63"/>
      <c r="CI481" s="103"/>
      <c r="CJ481" s="103"/>
      <c r="CK481" s="103"/>
      <c r="CL481" s="103"/>
    </row>
    <row r="482" spans="7:90" ht="13" x14ac:dyDescent="0.15">
      <c r="G482" s="103"/>
      <c r="H482" s="103"/>
      <c r="I482" s="103"/>
      <c r="J482" s="103"/>
      <c r="K482" s="63"/>
      <c r="L482" s="63"/>
      <c r="M482" s="63"/>
      <c r="N482" s="63"/>
      <c r="O482" s="103"/>
      <c r="P482" s="103"/>
      <c r="Q482" s="103"/>
      <c r="R482" s="103"/>
      <c r="S482" s="63"/>
      <c r="T482" s="63"/>
      <c r="U482" s="63"/>
      <c r="V482" s="63"/>
      <c r="W482" s="103"/>
      <c r="X482" s="103"/>
      <c r="Y482" s="103"/>
      <c r="Z482" s="103"/>
      <c r="AA482" s="63"/>
      <c r="AB482" s="63"/>
      <c r="AC482" s="63"/>
      <c r="AD482" s="63"/>
      <c r="AE482" s="103"/>
      <c r="AF482" s="103"/>
      <c r="AG482" s="103"/>
      <c r="AH482" s="103"/>
      <c r="AI482" s="63"/>
      <c r="AJ482" s="63"/>
      <c r="AK482" s="63"/>
      <c r="AL482" s="63"/>
      <c r="AM482" s="103"/>
      <c r="AN482" s="103"/>
      <c r="AO482" s="103"/>
      <c r="AP482" s="103"/>
      <c r="AQ482" s="63"/>
      <c r="AR482" s="63"/>
      <c r="AS482" s="63"/>
      <c r="AT482" s="63"/>
      <c r="AU482" s="103"/>
      <c r="AV482" s="103"/>
      <c r="AW482" s="103"/>
      <c r="AX482" s="103"/>
      <c r="AY482" s="63"/>
      <c r="AZ482" s="63"/>
      <c r="BA482" s="63"/>
      <c r="BB482" s="63"/>
      <c r="BC482" s="103"/>
      <c r="BD482" s="103"/>
      <c r="BE482" s="103"/>
      <c r="BF482" s="103"/>
      <c r="BG482" s="63"/>
      <c r="BH482" s="63"/>
      <c r="BI482" s="63"/>
      <c r="BJ482" s="63"/>
      <c r="BK482" s="103"/>
      <c r="BL482" s="103"/>
      <c r="BM482" s="103"/>
      <c r="BN482" s="103"/>
      <c r="BO482" s="63"/>
      <c r="BP482" s="63"/>
      <c r="BQ482" s="63"/>
      <c r="BR482" s="63"/>
      <c r="BS482" s="103"/>
      <c r="BT482" s="103"/>
      <c r="BU482" s="103"/>
      <c r="BV482" s="103"/>
      <c r="BW482" s="63"/>
      <c r="BX482" s="63"/>
      <c r="BY482" s="63"/>
      <c r="BZ482" s="63"/>
      <c r="CA482" s="103"/>
      <c r="CB482" s="103"/>
      <c r="CC482" s="103"/>
      <c r="CD482" s="103"/>
      <c r="CE482" s="63"/>
      <c r="CF482" s="63"/>
      <c r="CG482" s="63"/>
      <c r="CH482" s="63"/>
      <c r="CI482" s="103"/>
      <c r="CJ482" s="103"/>
      <c r="CK482" s="103"/>
      <c r="CL482" s="103"/>
    </row>
    <row r="483" spans="7:90" ht="13" x14ac:dyDescent="0.15">
      <c r="G483" s="103"/>
      <c r="H483" s="103"/>
      <c r="I483" s="103"/>
      <c r="J483" s="103"/>
      <c r="K483" s="63"/>
      <c r="L483" s="63"/>
      <c r="M483" s="63"/>
      <c r="N483" s="63"/>
      <c r="O483" s="103"/>
      <c r="P483" s="103"/>
      <c r="Q483" s="103"/>
      <c r="R483" s="103"/>
      <c r="S483" s="63"/>
      <c r="T483" s="63"/>
      <c r="U483" s="63"/>
      <c r="V483" s="63"/>
      <c r="W483" s="103"/>
      <c r="X483" s="103"/>
      <c r="Y483" s="103"/>
      <c r="Z483" s="103"/>
      <c r="AA483" s="63"/>
      <c r="AB483" s="63"/>
      <c r="AC483" s="63"/>
      <c r="AD483" s="63"/>
      <c r="AE483" s="103"/>
      <c r="AF483" s="103"/>
      <c r="AG483" s="103"/>
      <c r="AH483" s="103"/>
      <c r="AI483" s="63"/>
      <c r="AJ483" s="63"/>
      <c r="AK483" s="63"/>
      <c r="AL483" s="63"/>
      <c r="AM483" s="103"/>
      <c r="AN483" s="103"/>
      <c r="AO483" s="103"/>
      <c r="AP483" s="103"/>
      <c r="AQ483" s="63"/>
      <c r="AR483" s="63"/>
      <c r="AS483" s="63"/>
      <c r="AT483" s="63"/>
      <c r="AU483" s="103"/>
      <c r="AV483" s="103"/>
      <c r="AW483" s="103"/>
      <c r="AX483" s="103"/>
      <c r="AY483" s="63"/>
      <c r="AZ483" s="63"/>
      <c r="BA483" s="63"/>
      <c r="BB483" s="63"/>
      <c r="BC483" s="103"/>
      <c r="BD483" s="103"/>
      <c r="BE483" s="103"/>
      <c r="BF483" s="103"/>
      <c r="BG483" s="63"/>
      <c r="BH483" s="63"/>
      <c r="BI483" s="63"/>
      <c r="BJ483" s="63"/>
      <c r="BK483" s="103"/>
      <c r="BL483" s="103"/>
      <c r="BM483" s="103"/>
      <c r="BN483" s="103"/>
      <c r="BO483" s="63"/>
      <c r="BP483" s="63"/>
      <c r="BQ483" s="63"/>
      <c r="BR483" s="63"/>
      <c r="BS483" s="103"/>
      <c r="BT483" s="103"/>
      <c r="BU483" s="103"/>
      <c r="BV483" s="103"/>
      <c r="BW483" s="63"/>
      <c r="BX483" s="63"/>
      <c r="BY483" s="63"/>
      <c r="BZ483" s="63"/>
      <c r="CA483" s="103"/>
      <c r="CB483" s="103"/>
      <c r="CC483" s="103"/>
      <c r="CD483" s="103"/>
      <c r="CE483" s="63"/>
      <c r="CF483" s="63"/>
      <c r="CG483" s="63"/>
      <c r="CH483" s="63"/>
      <c r="CI483" s="103"/>
      <c r="CJ483" s="103"/>
      <c r="CK483" s="103"/>
      <c r="CL483" s="103"/>
    </row>
    <row r="484" spans="7:90" ht="13" x14ac:dyDescent="0.15">
      <c r="G484" s="103"/>
      <c r="H484" s="103"/>
      <c r="I484" s="103"/>
      <c r="J484" s="103"/>
      <c r="K484" s="63"/>
      <c r="L484" s="63"/>
      <c r="M484" s="63"/>
      <c r="N484" s="63"/>
      <c r="O484" s="103"/>
      <c r="P484" s="103"/>
      <c r="Q484" s="103"/>
      <c r="R484" s="103"/>
      <c r="S484" s="63"/>
      <c r="T484" s="63"/>
      <c r="U484" s="63"/>
      <c r="V484" s="63"/>
      <c r="W484" s="103"/>
      <c r="X484" s="103"/>
      <c r="Y484" s="103"/>
      <c r="Z484" s="103"/>
      <c r="AA484" s="63"/>
      <c r="AB484" s="63"/>
      <c r="AC484" s="63"/>
      <c r="AD484" s="63"/>
      <c r="AE484" s="103"/>
      <c r="AF484" s="103"/>
      <c r="AG484" s="103"/>
      <c r="AH484" s="103"/>
      <c r="AI484" s="63"/>
      <c r="AJ484" s="63"/>
      <c r="AK484" s="63"/>
      <c r="AL484" s="63"/>
      <c r="AM484" s="103"/>
      <c r="AN484" s="103"/>
      <c r="AO484" s="103"/>
      <c r="AP484" s="103"/>
      <c r="AQ484" s="63"/>
      <c r="AR484" s="63"/>
      <c r="AS484" s="63"/>
      <c r="AT484" s="63"/>
      <c r="AU484" s="103"/>
      <c r="AV484" s="103"/>
      <c r="AW484" s="103"/>
      <c r="AX484" s="103"/>
      <c r="AY484" s="63"/>
      <c r="AZ484" s="63"/>
      <c r="BA484" s="63"/>
      <c r="BB484" s="63"/>
      <c r="BC484" s="103"/>
      <c r="BD484" s="103"/>
      <c r="BE484" s="103"/>
      <c r="BF484" s="103"/>
      <c r="BG484" s="63"/>
      <c r="BH484" s="63"/>
      <c r="BI484" s="63"/>
      <c r="BJ484" s="63"/>
      <c r="BK484" s="103"/>
      <c r="BL484" s="103"/>
      <c r="BM484" s="103"/>
      <c r="BN484" s="103"/>
      <c r="BO484" s="63"/>
      <c r="BP484" s="63"/>
      <c r="BQ484" s="63"/>
      <c r="BR484" s="63"/>
      <c r="BS484" s="103"/>
      <c r="BT484" s="103"/>
      <c r="BU484" s="103"/>
      <c r="BV484" s="103"/>
      <c r="BW484" s="63"/>
      <c r="BX484" s="63"/>
      <c r="BY484" s="63"/>
      <c r="BZ484" s="63"/>
      <c r="CA484" s="103"/>
      <c r="CB484" s="103"/>
      <c r="CC484" s="103"/>
      <c r="CD484" s="103"/>
      <c r="CE484" s="63"/>
      <c r="CF484" s="63"/>
      <c r="CG484" s="63"/>
      <c r="CH484" s="63"/>
      <c r="CI484" s="103"/>
      <c r="CJ484" s="103"/>
      <c r="CK484" s="103"/>
      <c r="CL484" s="103"/>
    </row>
    <row r="485" spans="7:90" ht="13" x14ac:dyDescent="0.15">
      <c r="G485" s="103"/>
      <c r="H485" s="103"/>
      <c r="I485" s="103"/>
      <c r="J485" s="103"/>
      <c r="K485" s="63"/>
      <c r="L485" s="63"/>
      <c r="M485" s="63"/>
      <c r="N485" s="63"/>
      <c r="O485" s="103"/>
      <c r="P485" s="103"/>
      <c r="Q485" s="103"/>
      <c r="R485" s="103"/>
      <c r="S485" s="63"/>
      <c r="T485" s="63"/>
      <c r="U485" s="63"/>
      <c r="V485" s="63"/>
      <c r="W485" s="103"/>
      <c r="X485" s="103"/>
      <c r="Y485" s="103"/>
      <c r="Z485" s="103"/>
      <c r="AA485" s="63"/>
      <c r="AB485" s="63"/>
      <c r="AC485" s="63"/>
      <c r="AD485" s="63"/>
      <c r="AE485" s="103"/>
      <c r="AF485" s="103"/>
      <c r="AG485" s="103"/>
      <c r="AH485" s="103"/>
      <c r="AI485" s="63"/>
      <c r="AJ485" s="63"/>
      <c r="AK485" s="63"/>
      <c r="AL485" s="63"/>
      <c r="AM485" s="103"/>
      <c r="AN485" s="103"/>
      <c r="AO485" s="103"/>
      <c r="AP485" s="103"/>
      <c r="AQ485" s="63"/>
      <c r="AR485" s="63"/>
      <c r="AS485" s="63"/>
      <c r="AT485" s="63"/>
      <c r="AU485" s="103"/>
      <c r="AV485" s="103"/>
      <c r="AW485" s="103"/>
      <c r="AX485" s="103"/>
      <c r="AY485" s="63"/>
      <c r="AZ485" s="63"/>
      <c r="BA485" s="63"/>
      <c r="BB485" s="63"/>
      <c r="BC485" s="103"/>
      <c r="BD485" s="103"/>
      <c r="BE485" s="103"/>
      <c r="BF485" s="103"/>
      <c r="BG485" s="63"/>
      <c r="BH485" s="63"/>
      <c r="BI485" s="63"/>
      <c r="BJ485" s="63"/>
      <c r="BK485" s="103"/>
      <c r="BL485" s="103"/>
      <c r="BM485" s="103"/>
      <c r="BN485" s="103"/>
      <c r="BO485" s="63"/>
      <c r="BP485" s="63"/>
      <c r="BQ485" s="63"/>
      <c r="BR485" s="63"/>
      <c r="BS485" s="103"/>
      <c r="BT485" s="103"/>
      <c r="BU485" s="103"/>
      <c r="BV485" s="103"/>
      <c r="BW485" s="63"/>
      <c r="BX485" s="63"/>
      <c r="BY485" s="63"/>
      <c r="BZ485" s="63"/>
      <c r="CA485" s="103"/>
      <c r="CB485" s="103"/>
      <c r="CC485" s="103"/>
      <c r="CD485" s="103"/>
      <c r="CE485" s="63"/>
      <c r="CF485" s="63"/>
      <c r="CG485" s="63"/>
      <c r="CH485" s="63"/>
      <c r="CI485" s="103"/>
      <c r="CJ485" s="103"/>
      <c r="CK485" s="103"/>
      <c r="CL485" s="103"/>
    </row>
    <row r="486" spans="7:90" ht="13" x14ac:dyDescent="0.15">
      <c r="G486" s="103"/>
      <c r="H486" s="103"/>
      <c r="I486" s="103"/>
      <c r="J486" s="103"/>
      <c r="K486" s="63"/>
      <c r="L486" s="63"/>
      <c r="M486" s="63"/>
      <c r="N486" s="63"/>
      <c r="O486" s="103"/>
      <c r="P486" s="103"/>
      <c r="Q486" s="103"/>
      <c r="R486" s="103"/>
      <c r="S486" s="63"/>
      <c r="T486" s="63"/>
      <c r="U486" s="63"/>
      <c r="V486" s="63"/>
      <c r="W486" s="103"/>
      <c r="X486" s="103"/>
      <c r="Y486" s="103"/>
      <c r="Z486" s="103"/>
      <c r="AA486" s="63"/>
      <c r="AB486" s="63"/>
      <c r="AC486" s="63"/>
      <c r="AD486" s="63"/>
      <c r="AE486" s="103"/>
      <c r="AF486" s="103"/>
      <c r="AG486" s="103"/>
      <c r="AH486" s="103"/>
      <c r="AI486" s="63"/>
      <c r="AJ486" s="63"/>
      <c r="AK486" s="63"/>
      <c r="AL486" s="63"/>
      <c r="AM486" s="103"/>
      <c r="AN486" s="103"/>
      <c r="AO486" s="103"/>
      <c r="AP486" s="103"/>
      <c r="AQ486" s="63"/>
      <c r="AR486" s="63"/>
      <c r="AS486" s="63"/>
      <c r="AT486" s="63"/>
      <c r="AU486" s="103"/>
      <c r="AV486" s="103"/>
      <c r="AW486" s="103"/>
      <c r="AX486" s="103"/>
      <c r="AY486" s="63"/>
      <c r="AZ486" s="63"/>
      <c r="BA486" s="63"/>
      <c r="BB486" s="63"/>
      <c r="BC486" s="103"/>
      <c r="BD486" s="103"/>
      <c r="BE486" s="103"/>
      <c r="BF486" s="103"/>
      <c r="BG486" s="63"/>
      <c r="BH486" s="63"/>
      <c r="BI486" s="63"/>
      <c r="BJ486" s="63"/>
      <c r="BK486" s="103"/>
      <c r="BL486" s="103"/>
      <c r="BM486" s="103"/>
      <c r="BN486" s="103"/>
      <c r="BO486" s="63"/>
      <c r="BP486" s="63"/>
      <c r="BQ486" s="63"/>
      <c r="BR486" s="63"/>
      <c r="BS486" s="103"/>
      <c r="BT486" s="103"/>
      <c r="BU486" s="103"/>
      <c r="BV486" s="103"/>
      <c r="BW486" s="63"/>
      <c r="BX486" s="63"/>
      <c r="BY486" s="63"/>
      <c r="BZ486" s="63"/>
      <c r="CA486" s="103"/>
      <c r="CB486" s="103"/>
      <c r="CC486" s="103"/>
      <c r="CD486" s="103"/>
      <c r="CE486" s="63"/>
      <c r="CF486" s="63"/>
      <c r="CG486" s="63"/>
      <c r="CH486" s="63"/>
      <c r="CI486" s="103"/>
      <c r="CJ486" s="103"/>
      <c r="CK486" s="103"/>
      <c r="CL486" s="103"/>
    </row>
    <row r="487" spans="7:90" ht="13" x14ac:dyDescent="0.15">
      <c r="G487" s="103"/>
      <c r="H487" s="103"/>
      <c r="I487" s="103"/>
      <c r="J487" s="103"/>
      <c r="K487" s="63"/>
      <c r="L487" s="63"/>
      <c r="M487" s="63"/>
      <c r="N487" s="63"/>
      <c r="O487" s="103"/>
      <c r="P487" s="103"/>
      <c r="Q487" s="103"/>
      <c r="R487" s="103"/>
      <c r="S487" s="63"/>
      <c r="T487" s="63"/>
      <c r="U487" s="63"/>
      <c r="V487" s="63"/>
      <c r="W487" s="103"/>
      <c r="X487" s="103"/>
      <c r="Y487" s="103"/>
      <c r="Z487" s="103"/>
      <c r="AA487" s="63"/>
      <c r="AB487" s="63"/>
      <c r="AC487" s="63"/>
      <c r="AD487" s="63"/>
      <c r="AE487" s="103"/>
      <c r="AF487" s="103"/>
      <c r="AG487" s="103"/>
      <c r="AH487" s="103"/>
      <c r="AI487" s="63"/>
      <c r="AJ487" s="63"/>
      <c r="AK487" s="63"/>
      <c r="AL487" s="63"/>
      <c r="AM487" s="103"/>
      <c r="AN487" s="103"/>
      <c r="AO487" s="103"/>
      <c r="AP487" s="103"/>
      <c r="AQ487" s="63"/>
      <c r="AR487" s="63"/>
      <c r="AS487" s="63"/>
      <c r="AT487" s="63"/>
      <c r="AU487" s="103"/>
      <c r="AV487" s="103"/>
      <c r="AW487" s="103"/>
      <c r="AX487" s="103"/>
      <c r="AY487" s="63"/>
      <c r="AZ487" s="63"/>
      <c r="BA487" s="63"/>
      <c r="BB487" s="63"/>
      <c r="BC487" s="103"/>
      <c r="BD487" s="103"/>
      <c r="BE487" s="103"/>
      <c r="BF487" s="103"/>
      <c r="BG487" s="63"/>
      <c r="BH487" s="63"/>
      <c r="BI487" s="63"/>
      <c r="BJ487" s="63"/>
      <c r="BK487" s="103"/>
      <c r="BL487" s="103"/>
      <c r="BM487" s="103"/>
      <c r="BN487" s="103"/>
      <c r="BO487" s="63"/>
      <c r="BP487" s="63"/>
      <c r="BQ487" s="63"/>
      <c r="BR487" s="63"/>
      <c r="BS487" s="103"/>
      <c r="BT487" s="103"/>
      <c r="BU487" s="103"/>
      <c r="BV487" s="103"/>
      <c r="BW487" s="63"/>
      <c r="BX487" s="63"/>
      <c r="BY487" s="63"/>
      <c r="BZ487" s="63"/>
      <c r="CA487" s="103"/>
      <c r="CB487" s="103"/>
      <c r="CC487" s="103"/>
      <c r="CD487" s="103"/>
      <c r="CE487" s="63"/>
      <c r="CF487" s="63"/>
      <c r="CG487" s="63"/>
      <c r="CH487" s="63"/>
      <c r="CI487" s="103"/>
      <c r="CJ487" s="103"/>
      <c r="CK487" s="103"/>
      <c r="CL487" s="103"/>
    </row>
    <row r="488" spans="7:90" ht="13" x14ac:dyDescent="0.15">
      <c r="G488" s="103"/>
      <c r="H488" s="103"/>
      <c r="I488" s="103"/>
      <c r="J488" s="103"/>
      <c r="K488" s="63"/>
      <c r="L488" s="63"/>
      <c r="M488" s="63"/>
      <c r="N488" s="63"/>
      <c r="O488" s="103"/>
      <c r="P488" s="103"/>
      <c r="Q488" s="103"/>
      <c r="R488" s="103"/>
      <c r="S488" s="63"/>
      <c r="T488" s="63"/>
      <c r="U488" s="63"/>
      <c r="V488" s="63"/>
      <c r="W488" s="103"/>
      <c r="X488" s="103"/>
      <c r="Y488" s="103"/>
      <c r="Z488" s="103"/>
      <c r="AA488" s="63"/>
      <c r="AB488" s="63"/>
      <c r="AC488" s="63"/>
      <c r="AD488" s="63"/>
      <c r="AE488" s="103"/>
      <c r="AF488" s="103"/>
      <c r="AG488" s="103"/>
      <c r="AH488" s="103"/>
      <c r="AI488" s="63"/>
      <c r="AJ488" s="63"/>
      <c r="AK488" s="63"/>
      <c r="AL488" s="63"/>
      <c r="AM488" s="103"/>
      <c r="AN488" s="103"/>
      <c r="AO488" s="103"/>
      <c r="AP488" s="103"/>
      <c r="AQ488" s="63"/>
      <c r="AR488" s="63"/>
      <c r="AS488" s="63"/>
      <c r="AT488" s="63"/>
      <c r="AU488" s="103"/>
      <c r="AV488" s="103"/>
      <c r="AW488" s="103"/>
      <c r="AX488" s="103"/>
      <c r="AY488" s="63"/>
      <c r="AZ488" s="63"/>
      <c r="BA488" s="63"/>
      <c r="BB488" s="63"/>
      <c r="BC488" s="103"/>
      <c r="BD488" s="103"/>
      <c r="BE488" s="103"/>
      <c r="BF488" s="103"/>
      <c r="BG488" s="63"/>
      <c r="BH488" s="63"/>
      <c r="BI488" s="63"/>
      <c r="BJ488" s="63"/>
      <c r="BK488" s="103"/>
      <c r="BL488" s="103"/>
      <c r="BM488" s="103"/>
      <c r="BN488" s="103"/>
      <c r="BO488" s="63"/>
      <c r="BP488" s="63"/>
      <c r="BQ488" s="63"/>
      <c r="BR488" s="63"/>
      <c r="BS488" s="103"/>
      <c r="BT488" s="103"/>
      <c r="BU488" s="103"/>
      <c r="BV488" s="103"/>
      <c r="BW488" s="63"/>
      <c r="BX488" s="63"/>
      <c r="BY488" s="63"/>
      <c r="BZ488" s="63"/>
      <c r="CA488" s="103"/>
      <c r="CB488" s="103"/>
      <c r="CC488" s="103"/>
      <c r="CD488" s="103"/>
      <c r="CE488" s="63"/>
      <c r="CF488" s="63"/>
      <c r="CG488" s="63"/>
      <c r="CH488" s="63"/>
      <c r="CI488" s="103"/>
      <c r="CJ488" s="103"/>
      <c r="CK488" s="103"/>
      <c r="CL488" s="103"/>
    </row>
    <row r="489" spans="7:90" ht="13" x14ac:dyDescent="0.15">
      <c r="G489" s="103"/>
      <c r="H489" s="103"/>
      <c r="I489" s="103"/>
      <c r="J489" s="103"/>
      <c r="K489" s="63"/>
      <c r="L489" s="63"/>
      <c r="M489" s="63"/>
      <c r="N489" s="63"/>
      <c r="O489" s="103"/>
      <c r="P489" s="103"/>
      <c r="Q489" s="103"/>
      <c r="R489" s="103"/>
      <c r="S489" s="63"/>
      <c r="T489" s="63"/>
      <c r="U489" s="63"/>
      <c r="V489" s="63"/>
      <c r="W489" s="103"/>
      <c r="X489" s="103"/>
      <c r="Y489" s="103"/>
      <c r="Z489" s="103"/>
      <c r="AA489" s="63"/>
      <c r="AB489" s="63"/>
      <c r="AC489" s="63"/>
      <c r="AD489" s="63"/>
      <c r="AE489" s="103"/>
      <c r="AF489" s="103"/>
      <c r="AG489" s="103"/>
      <c r="AH489" s="103"/>
      <c r="AI489" s="63"/>
      <c r="AJ489" s="63"/>
      <c r="AK489" s="63"/>
      <c r="AL489" s="63"/>
      <c r="AM489" s="103"/>
      <c r="AN489" s="103"/>
      <c r="AO489" s="103"/>
      <c r="AP489" s="103"/>
      <c r="AQ489" s="63"/>
      <c r="AR489" s="63"/>
      <c r="AS489" s="63"/>
      <c r="AT489" s="63"/>
      <c r="AU489" s="103"/>
      <c r="AV489" s="103"/>
      <c r="AW489" s="103"/>
      <c r="AX489" s="103"/>
      <c r="AY489" s="63"/>
      <c r="AZ489" s="63"/>
      <c r="BA489" s="63"/>
      <c r="BB489" s="63"/>
      <c r="BC489" s="103"/>
      <c r="BD489" s="103"/>
      <c r="BE489" s="103"/>
      <c r="BF489" s="103"/>
      <c r="BG489" s="63"/>
      <c r="BH489" s="63"/>
      <c r="BI489" s="63"/>
      <c r="BJ489" s="63"/>
      <c r="BK489" s="103"/>
      <c r="BL489" s="103"/>
      <c r="BM489" s="103"/>
      <c r="BN489" s="103"/>
      <c r="BO489" s="63"/>
      <c r="BP489" s="63"/>
      <c r="BQ489" s="63"/>
      <c r="BR489" s="63"/>
      <c r="BS489" s="103"/>
      <c r="BT489" s="103"/>
      <c r="BU489" s="103"/>
      <c r="BV489" s="103"/>
      <c r="BW489" s="63"/>
      <c r="BX489" s="63"/>
      <c r="BY489" s="63"/>
      <c r="BZ489" s="63"/>
      <c r="CA489" s="103"/>
      <c r="CB489" s="103"/>
      <c r="CC489" s="103"/>
      <c r="CD489" s="103"/>
      <c r="CE489" s="63"/>
      <c r="CF489" s="63"/>
      <c r="CG489" s="63"/>
      <c r="CH489" s="63"/>
      <c r="CI489" s="103"/>
      <c r="CJ489" s="103"/>
      <c r="CK489" s="103"/>
      <c r="CL489" s="103"/>
    </row>
    <row r="490" spans="7:90" ht="13" x14ac:dyDescent="0.15">
      <c r="G490" s="103"/>
      <c r="H490" s="103"/>
      <c r="I490" s="103"/>
      <c r="J490" s="103"/>
      <c r="K490" s="63"/>
      <c r="L490" s="63"/>
      <c r="M490" s="63"/>
      <c r="N490" s="63"/>
      <c r="O490" s="103"/>
      <c r="P490" s="103"/>
      <c r="Q490" s="103"/>
      <c r="R490" s="103"/>
      <c r="S490" s="63"/>
      <c r="T490" s="63"/>
      <c r="U490" s="63"/>
      <c r="V490" s="63"/>
      <c r="W490" s="103"/>
      <c r="X490" s="103"/>
      <c r="Y490" s="103"/>
      <c r="Z490" s="103"/>
      <c r="AA490" s="63"/>
      <c r="AB490" s="63"/>
      <c r="AC490" s="63"/>
      <c r="AD490" s="63"/>
      <c r="AE490" s="103"/>
      <c r="AF490" s="103"/>
      <c r="AG490" s="103"/>
      <c r="AH490" s="103"/>
      <c r="AI490" s="63"/>
      <c r="AJ490" s="63"/>
      <c r="AK490" s="63"/>
      <c r="AL490" s="63"/>
      <c r="AM490" s="103"/>
      <c r="AN490" s="103"/>
      <c r="AO490" s="103"/>
      <c r="AP490" s="103"/>
      <c r="AQ490" s="63"/>
      <c r="AR490" s="63"/>
      <c r="AS490" s="63"/>
      <c r="AT490" s="63"/>
      <c r="AU490" s="103"/>
      <c r="AV490" s="103"/>
      <c r="AW490" s="103"/>
      <c r="AX490" s="103"/>
      <c r="AY490" s="63"/>
      <c r="AZ490" s="63"/>
      <c r="BA490" s="63"/>
      <c r="BB490" s="63"/>
      <c r="BC490" s="103"/>
      <c r="BD490" s="103"/>
      <c r="BE490" s="103"/>
      <c r="BF490" s="103"/>
      <c r="BG490" s="63"/>
      <c r="BH490" s="63"/>
      <c r="BI490" s="63"/>
      <c r="BJ490" s="63"/>
      <c r="BK490" s="103"/>
      <c r="BL490" s="103"/>
      <c r="BM490" s="103"/>
      <c r="BN490" s="103"/>
      <c r="BO490" s="63"/>
      <c r="BP490" s="63"/>
      <c r="BQ490" s="63"/>
      <c r="BR490" s="63"/>
      <c r="BS490" s="103"/>
      <c r="BT490" s="103"/>
      <c r="BU490" s="103"/>
      <c r="BV490" s="103"/>
      <c r="BW490" s="63"/>
      <c r="BX490" s="63"/>
      <c r="BY490" s="63"/>
      <c r="BZ490" s="63"/>
      <c r="CA490" s="103"/>
      <c r="CB490" s="103"/>
      <c r="CC490" s="103"/>
      <c r="CD490" s="103"/>
      <c r="CE490" s="63"/>
      <c r="CF490" s="63"/>
      <c r="CG490" s="63"/>
      <c r="CH490" s="63"/>
      <c r="CI490" s="103"/>
      <c r="CJ490" s="103"/>
      <c r="CK490" s="103"/>
      <c r="CL490" s="103"/>
    </row>
    <row r="491" spans="7:90" ht="13" x14ac:dyDescent="0.15">
      <c r="G491" s="103"/>
      <c r="H491" s="103"/>
      <c r="I491" s="103"/>
      <c r="J491" s="103"/>
      <c r="K491" s="63"/>
      <c r="L491" s="63"/>
      <c r="M491" s="63"/>
      <c r="N491" s="63"/>
      <c r="O491" s="103"/>
      <c r="P491" s="103"/>
      <c r="Q491" s="103"/>
      <c r="R491" s="103"/>
      <c r="S491" s="63"/>
      <c r="T491" s="63"/>
      <c r="U491" s="63"/>
      <c r="V491" s="63"/>
      <c r="W491" s="103"/>
      <c r="X491" s="103"/>
      <c r="Y491" s="103"/>
      <c r="Z491" s="103"/>
      <c r="AA491" s="63"/>
      <c r="AB491" s="63"/>
      <c r="AC491" s="63"/>
      <c r="AD491" s="63"/>
      <c r="AE491" s="103"/>
      <c r="AF491" s="103"/>
      <c r="AG491" s="103"/>
      <c r="AH491" s="103"/>
      <c r="AI491" s="63"/>
      <c r="AJ491" s="63"/>
      <c r="AK491" s="63"/>
      <c r="AL491" s="63"/>
      <c r="AM491" s="103"/>
      <c r="AN491" s="103"/>
      <c r="AO491" s="103"/>
      <c r="AP491" s="103"/>
      <c r="AQ491" s="63"/>
      <c r="AR491" s="63"/>
      <c r="AS491" s="63"/>
      <c r="AT491" s="63"/>
      <c r="AU491" s="103"/>
      <c r="AV491" s="103"/>
      <c r="AW491" s="103"/>
      <c r="AX491" s="103"/>
      <c r="AY491" s="63"/>
      <c r="AZ491" s="63"/>
      <c r="BA491" s="63"/>
      <c r="BB491" s="63"/>
      <c r="BC491" s="103"/>
      <c r="BD491" s="103"/>
      <c r="BE491" s="103"/>
      <c r="BF491" s="103"/>
      <c r="BG491" s="63"/>
      <c r="BH491" s="63"/>
      <c r="BI491" s="63"/>
      <c r="BJ491" s="63"/>
      <c r="BK491" s="103"/>
      <c r="BL491" s="103"/>
      <c r="BM491" s="103"/>
      <c r="BN491" s="103"/>
      <c r="BO491" s="63"/>
      <c r="BP491" s="63"/>
      <c r="BQ491" s="63"/>
      <c r="BR491" s="63"/>
      <c r="BS491" s="103"/>
      <c r="BT491" s="103"/>
      <c r="BU491" s="103"/>
      <c r="BV491" s="103"/>
      <c r="BW491" s="63"/>
      <c r="BX491" s="63"/>
      <c r="BY491" s="63"/>
      <c r="BZ491" s="63"/>
      <c r="CA491" s="103"/>
      <c r="CB491" s="103"/>
      <c r="CC491" s="103"/>
      <c r="CD491" s="103"/>
      <c r="CE491" s="63"/>
      <c r="CF491" s="63"/>
      <c r="CG491" s="63"/>
      <c r="CH491" s="63"/>
      <c r="CI491" s="103"/>
      <c r="CJ491" s="103"/>
      <c r="CK491" s="103"/>
      <c r="CL491" s="103"/>
    </row>
    <row r="492" spans="7:90" ht="13" x14ac:dyDescent="0.15">
      <c r="G492" s="103"/>
      <c r="H492" s="103"/>
      <c r="I492" s="103"/>
      <c r="J492" s="103"/>
      <c r="K492" s="63"/>
      <c r="L492" s="63"/>
      <c r="M492" s="63"/>
      <c r="N492" s="63"/>
      <c r="O492" s="103"/>
      <c r="P492" s="103"/>
      <c r="Q492" s="103"/>
      <c r="R492" s="103"/>
      <c r="S492" s="63"/>
      <c r="T492" s="63"/>
      <c r="U492" s="63"/>
      <c r="V492" s="63"/>
      <c r="W492" s="103"/>
      <c r="X492" s="103"/>
      <c r="Y492" s="103"/>
      <c r="Z492" s="103"/>
      <c r="AA492" s="63"/>
      <c r="AB492" s="63"/>
      <c r="AC492" s="63"/>
      <c r="AD492" s="63"/>
      <c r="AE492" s="103"/>
      <c r="AF492" s="103"/>
      <c r="AG492" s="103"/>
      <c r="AH492" s="103"/>
      <c r="AI492" s="63"/>
      <c r="AJ492" s="63"/>
      <c r="AK492" s="63"/>
      <c r="AL492" s="63"/>
      <c r="AM492" s="103"/>
      <c r="AN492" s="103"/>
      <c r="AO492" s="103"/>
      <c r="AP492" s="103"/>
      <c r="AQ492" s="63"/>
      <c r="AR492" s="63"/>
      <c r="AS492" s="63"/>
      <c r="AT492" s="63"/>
      <c r="AU492" s="103"/>
      <c r="AV492" s="103"/>
      <c r="AW492" s="103"/>
      <c r="AX492" s="103"/>
      <c r="AY492" s="63"/>
      <c r="AZ492" s="63"/>
      <c r="BA492" s="63"/>
      <c r="BB492" s="63"/>
      <c r="BC492" s="103"/>
      <c r="BD492" s="103"/>
      <c r="BE492" s="103"/>
      <c r="BF492" s="103"/>
      <c r="BG492" s="63"/>
      <c r="BH492" s="63"/>
      <c r="BI492" s="63"/>
      <c r="BJ492" s="63"/>
      <c r="BK492" s="103"/>
      <c r="BL492" s="103"/>
      <c r="BM492" s="103"/>
      <c r="BN492" s="103"/>
      <c r="BO492" s="63"/>
      <c r="BP492" s="63"/>
      <c r="BQ492" s="63"/>
      <c r="BR492" s="63"/>
      <c r="BS492" s="103"/>
      <c r="BT492" s="103"/>
      <c r="BU492" s="103"/>
      <c r="BV492" s="103"/>
      <c r="BW492" s="63"/>
      <c r="BX492" s="63"/>
      <c r="BY492" s="63"/>
      <c r="BZ492" s="63"/>
      <c r="CA492" s="103"/>
      <c r="CB492" s="103"/>
      <c r="CC492" s="103"/>
      <c r="CD492" s="103"/>
      <c r="CE492" s="63"/>
      <c r="CF492" s="63"/>
      <c r="CG492" s="63"/>
      <c r="CH492" s="63"/>
      <c r="CI492" s="103"/>
      <c r="CJ492" s="103"/>
      <c r="CK492" s="103"/>
      <c r="CL492" s="103"/>
    </row>
    <row r="493" spans="7:90" ht="13" x14ac:dyDescent="0.15">
      <c r="G493" s="103"/>
      <c r="H493" s="103"/>
      <c r="I493" s="103"/>
      <c r="J493" s="103"/>
      <c r="K493" s="63"/>
      <c r="L493" s="63"/>
      <c r="M493" s="63"/>
      <c r="N493" s="63"/>
      <c r="O493" s="103"/>
      <c r="P493" s="103"/>
      <c r="Q493" s="103"/>
      <c r="R493" s="103"/>
      <c r="S493" s="63"/>
      <c r="T493" s="63"/>
      <c r="U493" s="63"/>
      <c r="V493" s="63"/>
      <c r="W493" s="103"/>
      <c r="X493" s="103"/>
      <c r="Y493" s="103"/>
      <c r="Z493" s="103"/>
      <c r="AA493" s="63"/>
      <c r="AB493" s="63"/>
      <c r="AC493" s="63"/>
      <c r="AD493" s="63"/>
      <c r="AE493" s="103"/>
      <c r="AF493" s="103"/>
      <c r="AG493" s="103"/>
      <c r="AH493" s="103"/>
      <c r="AI493" s="63"/>
      <c r="AJ493" s="63"/>
      <c r="AK493" s="63"/>
      <c r="AL493" s="63"/>
      <c r="AM493" s="103"/>
      <c r="AN493" s="103"/>
      <c r="AO493" s="103"/>
      <c r="AP493" s="103"/>
      <c r="AQ493" s="63"/>
      <c r="AR493" s="63"/>
      <c r="AS493" s="63"/>
      <c r="AT493" s="63"/>
      <c r="AU493" s="103"/>
      <c r="AV493" s="103"/>
      <c r="AW493" s="103"/>
      <c r="AX493" s="103"/>
      <c r="AY493" s="63"/>
      <c r="AZ493" s="63"/>
      <c r="BA493" s="63"/>
      <c r="BB493" s="63"/>
      <c r="BC493" s="103"/>
      <c r="BD493" s="103"/>
      <c r="BE493" s="103"/>
      <c r="BF493" s="103"/>
      <c r="BG493" s="63"/>
      <c r="BH493" s="63"/>
      <c r="BI493" s="63"/>
      <c r="BJ493" s="63"/>
      <c r="BK493" s="103"/>
      <c r="BL493" s="103"/>
      <c r="BM493" s="103"/>
      <c r="BN493" s="103"/>
      <c r="BO493" s="63"/>
      <c r="BP493" s="63"/>
      <c r="BQ493" s="63"/>
      <c r="BR493" s="63"/>
      <c r="BS493" s="103"/>
      <c r="BT493" s="103"/>
      <c r="BU493" s="103"/>
      <c r="BV493" s="103"/>
      <c r="BW493" s="63"/>
      <c r="BX493" s="63"/>
      <c r="BY493" s="63"/>
      <c r="BZ493" s="63"/>
      <c r="CA493" s="103"/>
      <c r="CB493" s="103"/>
      <c r="CC493" s="103"/>
      <c r="CD493" s="103"/>
      <c r="CE493" s="63"/>
      <c r="CF493" s="63"/>
      <c r="CG493" s="63"/>
      <c r="CH493" s="63"/>
      <c r="CI493" s="103"/>
      <c r="CJ493" s="103"/>
      <c r="CK493" s="103"/>
      <c r="CL493" s="103"/>
    </row>
    <row r="494" spans="7:90" ht="13" x14ac:dyDescent="0.15">
      <c r="G494" s="103"/>
      <c r="H494" s="103"/>
      <c r="I494" s="103"/>
      <c r="J494" s="103"/>
      <c r="K494" s="63"/>
      <c r="L494" s="63"/>
      <c r="M494" s="63"/>
      <c r="N494" s="63"/>
      <c r="O494" s="103"/>
      <c r="P494" s="103"/>
      <c r="Q494" s="103"/>
      <c r="R494" s="103"/>
      <c r="S494" s="63"/>
      <c r="T494" s="63"/>
      <c r="U494" s="63"/>
      <c r="V494" s="63"/>
      <c r="W494" s="103"/>
      <c r="X494" s="103"/>
      <c r="Y494" s="103"/>
      <c r="Z494" s="103"/>
      <c r="AA494" s="63"/>
      <c r="AB494" s="63"/>
      <c r="AC494" s="63"/>
      <c r="AD494" s="63"/>
      <c r="AE494" s="103"/>
      <c r="AF494" s="103"/>
      <c r="AG494" s="103"/>
      <c r="AH494" s="103"/>
      <c r="AI494" s="63"/>
      <c r="AJ494" s="63"/>
      <c r="AK494" s="63"/>
      <c r="AL494" s="63"/>
      <c r="AM494" s="103"/>
      <c r="AN494" s="103"/>
      <c r="AO494" s="103"/>
      <c r="AP494" s="103"/>
      <c r="AQ494" s="63"/>
      <c r="AR494" s="63"/>
      <c r="AS494" s="63"/>
      <c r="AT494" s="63"/>
      <c r="AU494" s="103"/>
      <c r="AV494" s="103"/>
      <c r="AW494" s="103"/>
      <c r="AX494" s="103"/>
      <c r="AY494" s="63"/>
      <c r="AZ494" s="63"/>
      <c r="BA494" s="63"/>
      <c r="BB494" s="63"/>
      <c r="BC494" s="103"/>
      <c r="BD494" s="103"/>
      <c r="BE494" s="103"/>
      <c r="BF494" s="103"/>
      <c r="BG494" s="63"/>
      <c r="BH494" s="63"/>
      <c r="BI494" s="63"/>
      <c r="BJ494" s="63"/>
      <c r="BK494" s="103"/>
      <c r="BL494" s="103"/>
      <c r="BM494" s="103"/>
      <c r="BN494" s="103"/>
      <c r="BO494" s="63"/>
      <c r="BP494" s="63"/>
      <c r="BQ494" s="63"/>
      <c r="BR494" s="63"/>
      <c r="BS494" s="103"/>
      <c r="BT494" s="103"/>
      <c r="BU494" s="103"/>
      <c r="BV494" s="103"/>
      <c r="BW494" s="63"/>
      <c r="BX494" s="63"/>
      <c r="BY494" s="63"/>
      <c r="BZ494" s="63"/>
      <c r="CA494" s="103"/>
      <c r="CB494" s="103"/>
      <c r="CC494" s="103"/>
      <c r="CD494" s="103"/>
      <c r="CE494" s="63"/>
      <c r="CF494" s="63"/>
      <c r="CG494" s="63"/>
      <c r="CH494" s="63"/>
      <c r="CI494" s="103"/>
      <c r="CJ494" s="103"/>
      <c r="CK494" s="103"/>
      <c r="CL494" s="103"/>
    </row>
    <row r="495" spans="7:90" ht="13" x14ac:dyDescent="0.15">
      <c r="G495" s="103"/>
      <c r="H495" s="103"/>
      <c r="I495" s="103"/>
      <c r="J495" s="103"/>
      <c r="K495" s="63"/>
      <c r="L495" s="63"/>
      <c r="M495" s="63"/>
      <c r="N495" s="63"/>
      <c r="O495" s="103"/>
      <c r="P495" s="103"/>
      <c r="Q495" s="103"/>
      <c r="R495" s="103"/>
      <c r="S495" s="63"/>
      <c r="T495" s="63"/>
      <c r="U495" s="63"/>
      <c r="V495" s="63"/>
      <c r="W495" s="103"/>
      <c r="X495" s="103"/>
      <c r="Y495" s="103"/>
      <c r="Z495" s="103"/>
      <c r="AA495" s="63"/>
      <c r="AB495" s="63"/>
      <c r="AC495" s="63"/>
      <c r="AD495" s="63"/>
      <c r="AE495" s="103"/>
      <c r="AF495" s="103"/>
      <c r="AG495" s="103"/>
      <c r="AH495" s="103"/>
      <c r="AI495" s="63"/>
      <c r="AJ495" s="63"/>
      <c r="AK495" s="63"/>
      <c r="AL495" s="63"/>
      <c r="AM495" s="103"/>
      <c r="AN495" s="103"/>
      <c r="AO495" s="103"/>
      <c r="AP495" s="103"/>
      <c r="AQ495" s="63"/>
      <c r="AR495" s="63"/>
      <c r="AS495" s="63"/>
      <c r="AT495" s="63"/>
      <c r="AU495" s="103"/>
      <c r="AV495" s="103"/>
      <c r="AW495" s="103"/>
      <c r="AX495" s="103"/>
      <c r="AY495" s="63"/>
      <c r="AZ495" s="63"/>
      <c r="BA495" s="63"/>
      <c r="BB495" s="63"/>
      <c r="BC495" s="103"/>
      <c r="BD495" s="103"/>
      <c r="BE495" s="103"/>
      <c r="BF495" s="103"/>
      <c r="BG495" s="63"/>
      <c r="BH495" s="63"/>
      <c r="BI495" s="63"/>
      <c r="BJ495" s="63"/>
      <c r="BK495" s="103"/>
      <c r="BL495" s="103"/>
      <c r="BM495" s="103"/>
      <c r="BN495" s="103"/>
      <c r="BO495" s="63"/>
      <c r="BP495" s="63"/>
      <c r="BQ495" s="63"/>
      <c r="BR495" s="63"/>
      <c r="BS495" s="103"/>
      <c r="BT495" s="103"/>
      <c r="BU495" s="103"/>
      <c r="BV495" s="103"/>
      <c r="BW495" s="63"/>
      <c r="BX495" s="63"/>
      <c r="BY495" s="63"/>
      <c r="BZ495" s="63"/>
      <c r="CA495" s="103"/>
      <c r="CB495" s="103"/>
      <c r="CC495" s="103"/>
      <c r="CD495" s="103"/>
      <c r="CE495" s="63"/>
      <c r="CF495" s="63"/>
      <c r="CG495" s="63"/>
      <c r="CH495" s="63"/>
      <c r="CI495" s="103"/>
      <c r="CJ495" s="103"/>
      <c r="CK495" s="103"/>
      <c r="CL495" s="103"/>
    </row>
    <row r="496" spans="7:90" ht="13" x14ac:dyDescent="0.15">
      <c r="G496" s="103"/>
      <c r="H496" s="103"/>
      <c r="I496" s="103"/>
      <c r="J496" s="103"/>
      <c r="K496" s="63"/>
      <c r="L496" s="63"/>
      <c r="M496" s="63"/>
      <c r="N496" s="63"/>
      <c r="O496" s="103"/>
      <c r="P496" s="103"/>
      <c r="Q496" s="103"/>
      <c r="R496" s="103"/>
      <c r="S496" s="63"/>
      <c r="T496" s="63"/>
      <c r="U496" s="63"/>
      <c r="V496" s="63"/>
      <c r="W496" s="103"/>
      <c r="X496" s="103"/>
      <c r="Y496" s="103"/>
      <c r="Z496" s="103"/>
      <c r="AA496" s="63"/>
      <c r="AB496" s="63"/>
      <c r="AC496" s="63"/>
      <c r="AD496" s="63"/>
      <c r="AE496" s="103"/>
      <c r="AF496" s="103"/>
      <c r="AG496" s="103"/>
      <c r="AH496" s="103"/>
      <c r="AI496" s="63"/>
      <c r="AJ496" s="63"/>
      <c r="AK496" s="63"/>
      <c r="AL496" s="63"/>
      <c r="AM496" s="103"/>
      <c r="AN496" s="103"/>
      <c r="AO496" s="103"/>
      <c r="AP496" s="103"/>
      <c r="AQ496" s="63"/>
      <c r="AR496" s="63"/>
      <c r="AS496" s="63"/>
      <c r="AT496" s="63"/>
      <c r="AU496" s="103"/>
      <c r="AV496" s="103"/>
      <c r="AW496" s="103"/>
      <c r="AX496" s="103"/>
      <c r="AY496" s="63"/>
      <c r="AZ496" s="63"/>
      <c r="BA496" s="63"/>
      <c r="BB496" s="63"/>
      <c r="BC496" s="103"/>
      <c r="BD496" s="103"/>
      <c r="BE496" s="103"/>
      <c r="BF496" s="103"/>
      <c r="BG496" s="63"/>
      <c r="BH496" s="63"/>
      <c r="BI496" s="63"/>
      <c r="BJ496" s="63"/>
      <c r="BK496" s="103"/>
      <c r="BL496" s="103"/>
      <c r="BM496" s="103"/>
      <c r="BN496" s="103"/>
      <c r="BO496" s="63"/>
      <c r="BP496" s="63"/>
      <c r="BQ496" s="63"/>
      <c r="BR496" s="63"/>
      <c r="BS496" s="103"/>
      <c r="BT496" s="103"/>
      <c r="BU496" s="103"/>
      <c r="BV496" s="103"/>
      <c r="BW496" s="63"/>
      <c r="BX496" s="63"/>
      <c r="BY496" s="63"/>
      <c r="BZ496" s="63"/>
      <c r="CA496" s="103"/>
      <c r="CB496" s="103"/>
      <c r="CC496" s="103"/>
      <c r="CD496" s="103"/>
      <c r="CE496" s="63"/>
      <c r="CF496" s="63"/>
      <c r="CG496" s="63"/>
      <c r="CH496" s="63"/>
      <c r="CI496" s="103"/>
      <c r="CJ496" s="103"/>
      <c r="CK496" s="103"/>
      <c r="CL496" s="103"/>
    </row>
    <row r="497" spans="7:90" ht="13" x14ac:dyDescent="0.15">
      <c r="G497" s="103"/>
      <c r="H497" s="103"/>
      <c r="I497" s="103"/>
      <c r="J497" s="103"/>
      <c r="K497" s="63"/>
      <c r="L497" s="63"/>
      <c r="M497" s="63"/>
      <c r="N497" s="63"/>
      <c r="O497" s="103"/>
      <c r="P497" s="103"/>
      <c r="Q497" s="103"/>
      <c r="R497" s="103"/>
      <c r="S497" s="63"/>
      <c r="T497" s="63"/>
      <c r="U497" s="63"/>
      <c r="V497" s="63"/>
      <c r="W497" s="103"/>
      <c r="X497" s="103"/>
      <c r="Y497" s="103"/>
      <c r="Z497" s="103"/>
      <c r="AA497" s="63"/>
      <c r="AB497" s="63"/>
      <c r="AC497" s="63"/>
      <c r="AD497" s="63"/>
      <c r="AE497" s="103"/>
      <c r="AF497" s="103"/>
      <c r="AG497" s="103"/>
      <c r="AH497" s="103"/>
      <c r="AI497" s="63"/>
      <c r="AJ497" s="63"/>
      <c r="AK497" s="63"/>
      <c r="AL497" s="63"/>
      <c r="AM497" s="103"/>
      <c r="AN497" s="103"/>
      <c r="AO497" s="103"/>
      <c r="AP497" s="103"/>
      <c r="AQ497" s="63"/>
      <c r="AR497" s="63"/>
      <c r="AS497" s="63"/>
      <c r="AT497" s="63"/>
      <c r="AU497" s="103"/>
      <c r="AV497" s="103"/>
      <c r="AW497" s="103"/>
      <c r="AX497" s="103"/>
      <c r="AY497" s="63"/>
      <c r="AZ497" s="63"/>
      <c r="BA497" s="63"/>
      <c r="BB497" s="63"/>
      <c r="BC497" s="103"/>
      <c r="BD497" s="103"/>
      <c r="BE497" s="103"/>
      <c r="BF497" s="103"/>
      <c r="BG497" s="63"/>
      <c r="BH497" s="63"/>
      <c r="BI497" s="63"/>
      <c r="BJ497" s="63"/>
      <c r="BK497" s="103"/>
      <c r="BL497" s="103"/>
      <c r="BM497" s="103"/>
      <c r="BN497" s="103"/>
      <c r="BO497" s="63"/>
      <c r="BP497" s="63"/>
      <c r="BQ497" s="63"/>
      <c r="BR497" s="63"/>
      <c r="BS497" s="103"/>
      <c r="BT497" s="103"/>
      <c r="BU497" s="103"/>
      <c r="BV497" s="103"/>
      <c r="BW497" s="63"/>
      <c r="BX497" s="63"/>
      <c r="BY497" s="63"/>
      <c r="BZ497" s="63"/>
      <c r="CA497" s="103"/>
      <c r="CB497" s="103"/>
      <c r="CC497" s="103"/>
      <c r="CD497" s="103"/>
      <c r="CE497" s="63"/>
      <c r="CF497" s="63"/>
      <c r="CG497" s="63"/>
      <c r="CH497" s="63"/>
      <c r="CI497" s="103"/>
      <c r="CJ497" s="103"/>
      <c r="CK497" s="103"/>
      <c r="CL497" s="103"/>
    </row>
    <row r="498" spans="7:90" ht="13" x14ac:dyDescent="0.15">
      <c r="G498" s="103"/>
      <c r="H498" s="103"/>
      <c r="I498" s="103"/>
      <c r="J498" s="103"/>
      <c r="K498" s="63"/>
      <c r="L498" s="63"/>
      <c r="M498" s="63"/>
      <c r="N498" s="63"/>
      <c r="O498" s="103"/>
      <c r="P498" s="103"/>
      <c r="Q498" s="103"/>
      <c r="R498" s="103"/>
      <c r="S498" s="63"/>
      <c r="T498" s="63"/>
      <c r="U498" s="63"/>
      <c r="V498" s="63"/>
      <c r="W498" s="103"/>
      <c r="X498" s="103"/>
      <c r="Y498" s="103"/>
      <c r="Z498" s="103"/>
      <c r="AA498" s="63"/>
      <c r="AB498" s="63"/>
      <c r="AC498" s="63"/>
      <c r="AD498" s="63"/>
      <c r="AE498" s="103"/>
      <c r="AF498" s="103"/>
      <c r="AG498" s="103"/>
      <c r="AH498" s="103"/>
      <c r="AI498" s="63"/>
      <c r="AJ498" s="63"/>
      <c r="AK498" s="63"/>
      <c r="AL498" s="63"/>
      <c r="AM498" s="103"/>
      <c r="AN498" s="103"/>
      <c r="AO498" s="103"/>
      <c r="AP498" s="103"/>
      <c r="AQ498" s="63"/>
      <c r="AR498" s="63"/>
      <c r="AS498" s="63"/>
      <c r="AT498" s="63"/>
      <c r="AU498" s="103"/>
      <c r="AV498" s="103"/>
      <c r="AW498" s="103"/>
      <c r="AX498" s="103"/>
      <c r="AY498" s="63"/>
      <c r="AZ498" s="63"/>
      <c r="BA498" s="63"/>
      <c r="BB498" s="63"/>
      <c r="BC498" s="103"/>
      <c r="BD498" s="103"/>
      <c r="BE498" s="103"/>
      <c r="BF498" s="103"/>
      <c r="BG498" s="63"/>
      <c r="BH498" s="63"/>
      <c r="BI498" s="63"/>
      <c r="BJ498" s="63"/>
      <c r="BK498" s="103"/>
      <c r="BL498" s="103"/>
      <c r="BM498" s="103"/>
      <c r="BN498" s="103"/>
      <c r="BO498" s="63"/>
      <c r="BP498" s="63"/>
      <c r="BQ498" s="63"/>
      <c r="BR498" s="63"/>
      <c r="BS498" s="103"/>
      <c r="BT498" s="103"/>
      <c r="BU498" s="103"/>
      <c r="BV498" s="103"/>
      <c r="BW498" s="63"/>
      <c r="BX498" s="63"/>
      <c r="BY498" s="63"/>
      <c r="BZ498" s="63"/>
      <c r="CA498" s="103"/>
      <c r="CB498" s="103"/>
      <c r="CC498" s="103"/>
      <c r="CD498" s="103"/>
      <c r="CE498" s="63"/>
      <c r="CF498" s="63"/>
      <c r="CG498" s="63"/>
      <c r="CH498" s="63"/>
      <c r="CI498" s="103"/>
      <c r="CJ498" s="103"/>
      <c r="CK498" s="103"/>
      <c r="CL498" s="103"/>
    </row>
    <row r="499" spans="7:90" ht="13" x14ac:dyDescent="0.15">
      <c r="G499" s="103"/>
      <c r="H499" s="103"/>
      <c r="I499" s="103"/>
      <c r="J499" s="103"/>
      <c r="K499" s="63"/>
      <c r="L499" s="63"/>
      <c r="M499" s="63"/>
      <c r="N499" s="63"/>
      <c r="O499" s="103"/>
      <c r="P499" s="103"/>
      <c r="Q499" s="103"/>
      <c r="R499" s="103"/>
      <c r="S499" s="63"/>
      <c r="T499" s="63"/>
      <c r="U499" s="63"/>
      <c r="V499" s="63"/>
      <c r="W499" s="103"/>
      <c r="X499" s="103"/>
      <c r="Y499" s="103"/>
      <c r="Z499" s="103"/>
      <c r="AA499" s="63"/>
      <c r="AB499" s="63"/>
      <c r="AC499" s="63"/>
      <c r="AD499" s="63"/>
      <c r="AE499" s="103"/>
      <c r="AF499" s="103"/>
      <c r="AG499" s="103"/>
      <c r="AH499" s="103"/>
      <c r="AI499" s="63"/>
      <c r="AJ499" s="63"/>
      <c r="AK499" s="63"/>
      <c r="AL499" s="63"/>
      <c r="AM499" s="103"/>
      <c r="AN499" s="103"/>
      <c r="AO499" s="103"/>
      <c r="AP499" s="103"/>
      <c r="AQ499" s="63"/>
      <c r="AR499" s="63"/>
      <c r="AS499" s="63"/>
      <c r="AT499" s="63"/>
      <c r="AU499" s="103"/>
      <c r="AV499" s="103"/>
      <c r="AW499" s="103"/>
      <c r="AX499" s="103"/>
      <c r="AY499" s="63"/>
      <c r="AZ499" s="63"/>
      <c r="BA499" s="63"/>
      <c r="BB499" s="63"/>
      <c r="BC499" s="103"/>
      <c r="BD499" s="103"/>
      <c r="BE499" s="103"/>
      <c r="BF499" s="103"/>
      <c r="BG499" s="63"/>
      <c r="BH499" s="63"/>
      <c r="BI499" s="63"/>
      <c r="BJ499" s="63"/>
      <c r="BK499" s="103"/>
      <c r="BL499" s="103"/>
      <c r="BM499" s="103"/>
      <c r="BN499" s="103"/>
      <c r="BO499" s="63"/>
      <c r="BP499" s="63"/>
      <c r="BQ499" s="63"/>
      <c r="BR499" s="63"/>
      <c r="BS499" s="103"/>
      <c r="BT499" s="103"/>
      <c r="BU499" s="103"/>
      <c r="BV499" s="103"/>
      <c r="BW499" s="63"/>
      <c r="BX499" s="63"/>
      <c r="BY499" s="63"/>
      <c r="BZ499" s="63"/>
      <c r="CA499" s="103"/>
      <c r="CB499" s="103"/>
      <c r="CC499" s="103"/>
      <c r="CD499" s="103"/>
      <c r="CE499" s="63"/>
      <c r="CF499" s="63"/>
      <c r="CG499" s="63"/>
      <c r="CH499" s="63"/>
      <c r="CI499" s="103"/>
      <c r="CJ499" s="103"/>
      <c r="CK499" s="103"/>
      <c r="CL499" s="103"/>
    </row>
    <row r="500" spans="7:90" ht="13" x14ac:dyDescent="0.15">
      <c r="G500" s="103"/>
      <c r="H500" s="103"/>
      <c r="I500" s="103"/>
      <c r="J500" s="103"/>
      <c r="K500" s="63"/>
      <c r="L500" s="63"/>
      <c r="M500" s="63"/>
      <c r="N500" s="63"/>
      <c r="O500" s="103"/>
      <c r="P500" s="103"/>
      <c r="Q500" s="103"/>
      <c r="R500" s="103"/>
      <c r="S500" s="63"/>
      <c r="T500" s="63"/>
      <c r="U500" s="63"/>
      <c r="V500" s="63"/>
      <c r="W500" s="103"/>
      <c r="X500" s="103"/>
      <c r="Y500" s="103"/>
      <c r="Z500" s="103"/>
      <c r="AA500" s="63"/>
      <c r="AB500" s="63"/>
      <c r="AC500" s="63"/>
      <c r="AD500" s="63"/>
      <c r="AE500" s="103"/>
      <c r="AF500" s="103"/>
      <c r="AG500" s="103"/>
      <c r="AH500" s="103"/>
      <c r="AI500" s="63"/>
      <c r="AJ500" s="63"/>
      <c r="AK500" s="63"/>
      <c r="AL500" s="63"/>
      <c r="AM500" s="103"/>
      <c r="AN500" s="103"/>
      <c r="AO500" s="103"/>
      <c r="AP500" s="103"/>
      <c r="AQ500" s="63"/>
      <c r="AR500" s="63"/>
      <c r="AS500" s="63"/>
      <c r="AT500" s="63"/>
      <c r="AU500" s="103"/>
      <c r="AV500" s="103"/>
      <c r="AW500" s="103"/>
      <c r="AX500" s="103"/>
      <c r="AY500" s="63"/>
      <c r="AZ500" s="63"/>
      <c r="BA500" s="63"/>
      <c r="BB500" s="63"/>
      <c r="BC500" s="103"/>
      <c r="BD500" s="103"/>
      <c r="BE500" s="103"/>
      <c r="BF500" s="103"/>
      <c r="BG500" s="63"/>
      <c r="BH500" s="63"/>
      <c r="BI500" s="63"/>
      <c r="BJ500" s="63"/>
      <c r="BK500" s="103"/>
      <c r="BL500" s="103"/>
      <c r="BM500" s="103"/>
      <c r="BN500" s="103"/>
      <c r="BO500" s="63"/>
      <c r="BP500" s="63"/>
      <c r="BQ500" s="63"/>
      <c r="BR500" s="63"/>
      <c r="BS500" s="103"/>
      <c r="BT500" s="103"/>
      <c r="BU500" s="103"/>
      <c r="BV500" s="103"/>
      <c r="BW500" s="63"/>
      <c r="BX500" s="63"/>
      <c r="BY500" s="63"/>
      <c r="BZ500" s="63"/>
      <c r="CA500" s="103"/>
      <c r="CB500" s="103"/>
      <c r="CC500" s="103"/>
      <c r="CD500" s="103"/>
      <c r="CE500" s="63"/>
      <c r="CF500" s="63"/>
      <c r="CG500" s="63"/>
      <c r="CH500" s="63"/>
      <c r="CI500" s="103"/>
      <c r="CJ500" s="103"/>
      <c r="CK500" s="103"/>
      <c r="CL500" s="103"/>
    </row>
  </sheetData>
  <sheetProtection password="D2FD" sheet="1" objects="1" scenarios="1"/>
  <mergeCells count="21">
    <mergeCell ref="AA9:AD9"/>
    <mergeCell ref="G9:J9"/>
    <mergeCell ref="K9:N9"/>
    <mergeCell ref="O9:R9"/>
    <mergeCell ref="S9:V9"/>
    <mergeCell ref="W9:Z9"/>
    <mergeCell ref="BC9:BF9"/>
    <mergeCell ref="BG9:BJ9"/>
    <mergeCell ref="BK9:BN9"/>
    <mergeCell ref="BO9:BR9"/>
    <mergeCell ref="AE9:AH9"/>
    <mergeCell ref="AI9:AL9"/>
    <mergeCell ref="AM9:AP9"/>
    <mergeCell ref="AQ9:AT9"/>
    <mergeCell ref="AU9:AX9"/>
    <mergeCell ref="AY9:BB9"/>
    <mergeCell ref="BS9:BV9"/>
    <mergeCell ref="BW9:BZ9"/>
    <mergeCell ref="CA9:CD9"/>
    <mergeCell ref="CE9:CH9"/>
    <mergeCell ref="CI9:CL9"/>
  </mergeCells>
  <hyperlinks>
    <hyperlink ref="F2" location="Forside!A1" display="Gå til forside" xr:uid="{800F118D-025B-4AB0-9912-4F0D58E0B241}"/>
  </hyperlinks>
  <pageMargins left="0.7" right="0.7" top="0.75" bottom="0.75" header="0.3" footer="0.3"/>
  <pageSetup paperSize="9" orientation="portrait" r:id="rId1"/>
  <headerFooter>
    <oddHeader>&amp;R&amp;"Calibri"&amp;10&amp;K000000 INTERNAL&amp;1#_x000D_</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21"/>
  <sheetViews>
    <sheetView workbookViewId="0"/>
  </sheetViews>
  <sheetFormatPr baseColWidth="10" defaultColWidth="8.83203125" defaultRowHeight="15" x14ac:dyDescent="0.2"/>
  <cols>
    <col min="1" max="1" width="16.5" bestFit="1" customWidth="1"/>
    <col min="2" max="2" width="36.33203125" bestFit="1" customWidth="1"/>
    <col min="3" max="3" width="43.33203125" bestFit="1" customWidth="1"/>
    <col min="4" max="4" width="21.5" bestFit="1" customWidth="1"/>
    <col min="5" max="5" width="24.6640625" customWidth="1"/>
    <col min="6" max="6" width="18.6640625" style="72" customWidth="1"/>
    <col min="7" max="7" width="24.6640625" customWidth="1"/>
    <col min="8" max="8" width="18.6640625" style="72" customWidth="1"/>
    <col min="9" max="9" width="24.6640625" customWidth="1"/>
    <col min="10" max="10" width="18.6640625" style="72" customWidth="1"/>
    <col min="11" max="11" width="18.6640625" style="66" customWidth="1"/>
    <col min="12" max="12" width="15.83203125" style="73" customWidth="1"/>
    <col min="13" max="13" width="9.5" bestFit="1" customWidth="1"/>
    <col min="14" max="18" width="18.6640625" style="66" customWidth="1"/>
    <col min="19" max="19" width="81.33203125" customWidth="1"/>
    <col min="20" max="20" width="9.5" style="67" bestFit="1" customWidth="1"/>
    <col min="21" max="21" width="11.5" customWidth="1"/>
    <col min="22" max="22" width="16.5" customWidth="1"/>
    <col min="23" max="23" width="10.5" customWidth="1"/>
    <col min="24" max="26" width="13.6640625" customWidth="1"/>
    <col min="27" max="27" width="14.83203125" customWidth="1"/>
    <col min="28" max="28" width="72.6640625" customWidth="1"/>
  </cols>
  <sheetData>
    <row r="1" spans="1:28" ht="15" customHeight="1" x14ac:dyDescent="0.2">
      <c r="A1" s="32"/>
      <c r="B1" s="32"/>
      <c r="C1" s="32"/>
      <c r="D1" s="32"/>
      <c r="E1" s="32"/>
      <c r="F1" s="32"/>
      <c r="G1" s="32"/>
      <c r="H1" s="32"/>
      <c r="I1" s="32"/>
      <c r="J1" s="32"/>
      <c r="K1" s="32"/>
      <c r="L1" s="32"/>
      <c r="M1" s="32"/>
      <c r="N1" s="32"/>
      <c r="O1" s="32"/>
      <c r="P1" s="32"/>
      <c r="Q1" s="32"/>
      <c r="R1" s="32"/>
      <c r="S1" s="32"/>
      <c r="T1" s="32"/>
      <c r="U1" s="32"/>
      <c r="V1" s="32"/>
      <c r="W1" s="32"/>
      <c r="X1" s="32"/>
    </row>
    <row r="2" spans="1:28" ht="21" customHeight="1" x14ac:dyDescent="0.2">
      <c r="A2" s="32"/>
      <c r="B2" s="26" t="str">
        <f>Tekstnøgler!C28</f>
        <v>Data (alle poster)</v>
      </c>
      <c r="C2" s="26"/>
      <c r="D2" s="27"/>
      <c r="E2" s="290" t="str">
        <f>Tekstnøgler!$C$2</f>
        <v>&lt;-- Gå til forsiden</v>
      </c>
      <c r="F2" s="27"/>
      <c r="G2" s="27"/>
      <c r="H2" s="27"/>
      <c r="I2" s="27"/>
      <c r="J2" s="27"/>
      <c r="K2" s="27"/>
      <c r="L2" s="32"/>
      <c r="M2" s="32"/>
      <c r="N2" s="32"/>
      <c r="O2" s="32"/>
      <c r="P2" s="32"/>
      <c r="Q2" s="32"/>
      <c r="R2" s="32"/>
      <c r="S2" s="32"/>
      <c r="T2" s="32"/>
      <c r="U2" s="32"/>
      <c r="V2" s="32"/>
      <c r="W2" s="32"/>
      <c r="X2" s="32"/>
    </row>
    <row r="3" spans="1:28" ht="15" customHeight="1" x14ac:dyDescent="0.2">
      <c r="A3" s="32"/>
      <c r="B3" s="32"/>
      <c r="C3" s="32"/>
      <c r="D3" s="32"/>
      <c r="E3" s="32"/>
      <c r="F3" s="32"/>
      <c r="G3" s="32"/>
      <c r="H3" s="32"/>
      <c r="I3" s="32"/>
      <c r="J3" s="32"/>
      <c r="K3" s="32"/>
      <c r="L3" s="32"/>
      <c r="M3" s="32"/>
      <c r="N3" s="32"/>
      <c r="O3" s="32"/>
      <c r="P3" s="32"/>
      <c r="Q3" s="32"/>
      <c r="R3" s="32"/>
      <c r="S3" s="32"/>
      <c r="T3" s="32"/>
      <c r="U3" s="32"/>
      <c r="V3" s="32"/>
      <c r="W3" s="32"/>
      <c r="X3" s="32"/>
    </row>
    <row r="4" spans="1:28" s="324" customFormat="1" ht="28" customHeight="1" x14ac:dyDescent="0.2">
      <c r="A4" s="322" t="str">
        <f>Tekstnøgler!C506</f>
        <v xml:space="preserve">Hovedkategori
</v>
      </c>
      <c r="B4" s="322" t="str">
        <f>Tekstnøgler!C507</f>
        <v xml:space="preserve">Kategori
</v>
      </c>
      <c r="C4" s="322" t="str">
        <f>Tekstnøgler!C508</f>
        <v>Underkategori</v>
      </c>
      <c r="D4" s="322" t="str">
        <f>Tekstnøgler!C509</f>
        <v xml:space="preserve">Beskrivelse
</v>
      </c>
      <c r="E4" s="322" t="str">
        <f>Tekstnøgler!C510</f>
        <v xml:space="preserve">Parameter 1 - titel </v>
      </c>
      <c r="F4" s="325" t="str">
        <f>Tekstnøgler!C511</f>
        <v>Parameter</v>
      </c>
      <c r="G4" s="322" t="str">
        <f>Tekstnøgler!C512</f>
        <v xml:space="preserve">Parameter 2 - titel
</v>
      </c>
      <c r="H4" s="325" t="str">
        <f>Tekstnøgler!C513</f>
        <v>Parameter 2</v>
      </c>
      <c r="I4" s="326" t="str">
        <f>Tekstnøgler!C514</f>
        <v>Parameter 3 - titel</v>
      </c>
      <c r="J4" s="327" t="str">
        <f>Tekstnøgler!C515</f>
        <v>Parameter 3</v>
      </c>
      <c r="K4" s="323" t="str">
        <f>Tekstnøgler!C516</f>
        <v>Mængde</v>
      </c>
      <c r="L4" s="328" t="str">
        <f>Tekstnøgler!C517</f>
        <v xml:space="preserve">Beløb (ekskl. Moms, DKK)
</v>
      </c>
      <c r="M4" s="322" t="str">
        <f>Tekstnøgler!C518</f>
        <v>Enhed</v>
      </c>
      <c r="N4" s="323" t="str">
        <f>Tekstnøgler!C519</f>
        <v>Scope 1 - faktor</v>
      </c>
      <c r="O4" s="323" t="str">
        <f>Tekstnøgler!C520</f>
        <v>Scope 2 - faktor</v>
      </c>
      <c r="P4" s="323" t="str">
        <f>Tekstnøgler!C521</f>
        <v>Scope 3 - faktor</v>
      </c>
      <c r="Q4" s="323" t="str">
        <f>Tekstnøgler!C522</f>
        <v xml:space="preserve">Udledning i alt 
</v>
      </c>
      <c r="R4" s="323" t="str">
        <f>Tekstnøgler!C523</f>
        <v>Udenfor scope - faktor</v>
      </c>
      <c r="S4" s="326" t="str">
        <f>Tekstnøgler!C524</f>
        <v xml:space="preserve">Bemærkninger (fra inputfelt)
</v>
      </c>
      <c r="T4" s="329" t="str">
        <f>Tekstnøgler!C525</f>
        <v xml:space="preserve">År for emissions-faktorer
</v>
      </c>
      <c r="U4" s="326" t="str">
        <f>Tekstnøgler!C526</f>
        <v xml:space="preserve">Land for emissionsfaktorer
</v>
      </c>
      <c r="V4" s="322" t="str">
        <f>Tekstnøgler!C527</f>
        <v xml:space="preserve">Metodevalg
</v>
      </c>
      <c r="W4" s="322"/>
      <c r="X4" s="322"/>
      <c r="Y4" s="322"/>
      <c r="Z4" s="322"/>
      <c r="AA4" s="322"/>
      <c r="AB4" s="322"/>
    </row>
    <row r="5" spans="1:28" ht="16" x14ac:dyDescent="0.2">
      <c r="A5" t="str">
        <f>Tekstnøgler!C376</f>
        <v>Affald og genbrug</v>
      </c>
      <c r="B5" t="str">
        <f>Tekstnøgler!C568</f>
        <v>Affald</v>
      </c>
      <c r="C5" t="str">
        <f>Tekstnøgler!C182</f>
        <v>Affald</v>
      </c>
      <c r="D5" t="s">
        <v>2457</v>
      </c>
      <c r="E5" t="str">
        <f>Tekstnøgler!C832</f>
        <v>Affaldstype</v>
      </c>
      <c r="F5" s="72" t="s">
        <v>2457</v>
      </c>
      <c r="G5" t="str">
        <f>Tekstnøgler!C723</f>
        <v>Affaldshåndtering</v>
      </c>
      <c r="H5" s="72" t="str">
        <f>Tekstnøgler!C1000</f>
        <v>Forbrænding</v>
      </c>
      <c r="K5" s="66">
        <v>100</v>
      </c>
      <c r="M5" t="str">
        <f>Tekstnøgler!C280</f>
        <v>Ton</v>
      </c>
      <c r="N5" s="66">
        <v>0</v>
      </c>
      <c r="O5" s="66">
        <v>0</v>
      </c>
      <c r="P5" s="66">
        <v>0</v>
      </c>
      <c r="Q5" s="66">
        <v>0</v>
      </c>
      <c r="R5" s="66">
        <v>59.109108999999997</v>
      </c>
      <c r="S5" s="68" t="s">
        <v>46</v>
      </c>
      <c r="T5">
        <v>2021</v>
      </c>
      <c r="U5" t="s">
        <v>47</v>
      </c>
    </row>
    <row r="6" spans="1:28" ht="16" x14ac:dyDescent="0.2">
      <c r="A6" t="str">
        <f>Tekstnøgler!C376</f>
        <v>Affald og genbrug</v>
      </c>
      <c r="B6" t="str">
        <f>Tekstnøgler!C568</f>
        <v>Affald</v>
      </c>
      <c r="C6" t="str">
        <f>Tekstnøgler!C182</f>
        <v>Affald</v>
      </c>
      <c r="D6" t="s">
        <v>2218</v>
      </c>
      <c r="E6" t="str">
        <f>Tekstnøgler!C832</f>
        <v>Affaldstype</v>
      </c>
      <c r="F6" s="72" t="s">
        <v>2459</v>
      </c>
      <c r="G6" t="str">
        <f>Tekstnøgler!C723</f>
        <v>Affaldshåndtering</v>
      </c>
      <c r="H6" s="72" t="str">
        <f>Tekstnøgler!C933</f>
        <v>Genanvendelse</v>
      </c>
      <c r="K6" s="66">
        <v>60</v>
      </c>
      <c r="M6" t="str">
        <f>Tekstnøgler!C280</f>
        <v>Ton</v>
      </c>
      <c r="N6" s="66">
        <v>0</v>
      </c>
      <c r="O6" s="66">
        <v>0</v>
      </c>
      <c r="P6" s="66">
        <v>0</v>
      </c>
      <c r="Q6" s="66">
        <v>0</v>
      </c>
      <c r="R6" s="66">
        <v>-159.246816</v>
      </c>
      <c r="S6" s="68" t="s">
        <v>46</v>
      </c>
      <c r="T6">
        <v>2021</v>
      </c>
      <c r="U6" t="s">
        <v>47</v>
      </c>
    </row>
    <row r="7" spans="1:28" ht="16" x14ac:dyDescent="0.2">
      <c r="A7" t="str">
        <f>Tekstnøgler!C376</f>
        <v>Affald og genbrug</v>
      </c>
      <c r="B7" t="str">
        <f>Tekstnøgler!C568</f>
        <v>Affald</v>
      </c>
      <c r="C7" t="str">
        <f>Tekstnøgler!C182</f>
        <v>Affald</v>
      </c>
      <c r="D7" t="s">
        <v>2405</v>
      </c>
      <c r="E7" s="68" t="str">
        <f>Tekstnøgler!C832</f>
        <v>Affaldstype</v>
      </c>
      <c r="F7" s="72" t="str">
        <f>Tekstnøgler!C979</f>
        <v>Træ</v>
      </c>
      <c r="G7" t="str">
        <f>Tekstnøgler!C723</f>
        <v>Affaldshåndtering</v>
      </c>
      <c r="H7" s="72" t="str">
        <f>Tekstnøgler!C933</f>
        <v>Genanvendelse</v>
      </c>
      <c r="K7" s="66">
        <v>200</v>
      </c>
      <c r="M7" t="str">
        <f>Tekstnøgler!C280</f>
        <v>Ton</v>
      </c>
      <c r="N7" s="66">
        <v>0</v>
      </c>
      <c r="O7" s="66">
        <v>0</v>
      </c>
      <c r="P7" s="66">
        <v>0</v>
      </c>
      <c r="Q7" s="66">
        <v>0</v>
      </c>
      <c r="R7" s="66">
        <v>-28.080110000000001</v>
      </c>
      <c r="S7" s="68" t="s">
        <v>46</v>
      </c>
      <c r="T7">
        <v>2021</v>
      </c>
      <c r="U7" t="s">
        <v>47</v>
      </c>
    </row>
    <row r="8" spans="1:28" ht="16" x14ac:dyDescent="0.2">
      <c r="A8" t="str">
        <f>Tekstnøgler!C373</f>
        <v>Energi og processer</v>
      </c>
      <c r="B8" t="str">
        <f>Tekstnøgler!C553</f>
        <v>Elektricitet</v>
      </c>
      <c r="C8" t="str">
        <f>Tekstnøgler!C122</f>
        <v>Forbrug af elektricitet</v>
      </c>
      <c r="D8" t="s">
        <v>41</v>
      </c>
      <c r="E8" t="str">
        <f>Tekstnøgler!C833</f>
        <v>Forbrug af vedvarende el fra egen produktion</v>
      </c>
      <c r="F8" s="72">
        <v>0</v>
      </c>
      <c r="K8" s="66">
        <v>4500</v>
      </c>
      <c r="M8" t="str">
        <f>Tekstnøgler!C837</f>
        <v>MWh</v>
      </c>
      <c r="N8" s="66">
        <v>0</v>
      </c>
      <c r="O8" s="66">
        <v>1851.7950000000001</v>
      </c>
      <c r="P8" s="66">
        <v>331.10114552139999</v>
      </c>
      <c r="Q8" s="66">
        <v>2182.8961455213998</v>
      </c>
      <c r="R8" s="66">
        <v>129.88681422709999</v>
      </c>
      <c r="S8" s="68" t="s">
        <v>46</v>
      </c>
      <c r="T8">
        <v>2021</v>
      </c>
      <c r="U8" t="s">
        <v>47</v>
      </c>
      <c r="V8" t="str">
        <f>Tekstnøgler!C79</f>
        <v>Eldeklaration</v>
      </c>
    </row>
    <row r="9" spans="1:28" ht="16" x14ac:dyDescent="0.2">
      <c r="A9" t="str">
        <f>Tekstnøgler!C373</f>
        <v>Energi og processer</v>
      </c>
      <c r="B9" t="str">
        <f>Tekstnøgler!C554</f>
        <v>Varme og procesenergi</v>
      </c>
      <c r="C9" t="str">
        <f>Tekstnøgler!C126</f>
        <v>Brændsler</v>
      </c>
      <c r="D9" t="s">
        <v>70</v>
      </c>
      <c r="E9" t="str">
        <f>Tekstnøgler!C803</f>
        <v>Brændselstype</v>
      </c>
      <c r="F9" s="72" t="str">
        <f>Tekstnøgler!C768</f>
        <v>Benzin</v>
      </c>
      <c r="K9" s="66">
        <v>50000</v>
      </c>
      <c r="M9" t="str">
        <f>Tekstnøgler!C981</f>
        <v>L</v>
      </c>
      <c r="N9" s="66">
        <v>108.58750547779999</v>
      </c>
      <c r="O9" s="66">
        <v>0</v>
      </c>
      <c r="P9" s="66">
        <v>29.206460941300001</v>
      </c>
      <c r="Q9" s="66">
        <v>137.7939664191</v>
      </c>
      <c r="R9" s="66">
        <v>7.6007239379999998</v>
      </c>
      <c r="S9" s="68" t="s">
        <v>46</v>
      </c>
      <c r="T9">
        <v>2021</v>
      </c>
      <c r="U9" t="s">
        <v>47</v>
      </c>
    </row>
    <row r="10" spans="1:28" ht="16" x14ac:dyDescent="0.2">
      <c r="A10" t="str">
        <f>Tekstnøgler!C373</f>
        <v>Energi og processer</v>
      </c>
      <c r="B10" t="str">
        <f>Tekstnøgler!C554</f>
        <v>Varme og procesenergi</v>
      </c>
      <c r="C10" t="str">
        <f>Tekstnøgler!C126</f>
        <v>Brændsler</v>
      </c>
      <c r="D10" t="s">
        <v>51</v>
      </c>
      <c r="E10" t="str">
        <f>Tekstnøgler!C803</f>
        <v>Brændselstype</v>
      </c>
      <c r="F10" s="72" t="str">
        <f>Tekstnøgler!C890</f>
        <v>Naturgas (X% biogas)</v>
      </c>
      <c r="K10" s="69">
        <v>152265</v>
      </c>
      <c r="L10" s="74"/>
      <c r="M10" t="str">
        <f>Tekstnøgler!C710</f>
        <v>m3</v>
      </c>
      <c r="N10" s="66">
        <v>326.85819987560001</v>
      </c>
      <c r="O10" s="66">
        <v>0</v>
      </c>
      <c r="P10" s="66">
        <v>52.287801000000002</v>
      </c>
      <c r="Q10" s="66">
        <v>379.14600087560001</v>
      </c>
      <c r="R10" s="66">
        <v>0</v>
      </c>
      <c r="S10" s="68" t="s">
        <v>46</v>
      </c>
      <c r="T10" s="67">
        <v>2021</v>
      </c>
      <c r="U10" t="s">
        <v>47</v>
      </c>
    </row>
    <row r="11" spans="1:28" ht="16" x14ac:dyDescent="0.2">
      <c r="A11" t="str">
        <f>Tekstnøgler!C374</f>
        <v>Indkøb</v>
      </c>
      <c r="B11" t="str">
        <f>Tekstnøgler!C557</f>
        <v>Materialer</v>
      </c>
      <c r="C11" t="str">
        <f>Tekstnøgler!C135</f>
        <v>Indkøb af materialer i fysiske enheder</v>
      </c>
      <c r="D11" t="s">
        <v>2218</v>
      </c>
      <c r="E11" t="str">
        <f>Tekstnøgler!C900</f>
        <v>Materialeproduktgruppe</v>
      </c>
      <c r="F11" s="72" t="str">
        <f>Tekstnøgler!C743</f>
        <v>Metaller</v>
      </c>
      <c r="G11" t="str">
        <f>Tekstnøgler!C752</f>
        <v>Materialegruppe</v>
      </c>
      <c r="H11" s="72" t="str">
        <f>Tekstnøgler!C765</f>
        <v>Stål og jern (nyt)</v>
      </c>
      <c r="K11" s="69">
        <v>400</v>
      </c>
      <c r="L11" s="74"/>
      <c r="M11" t="str">
        <f>Tekstnøgler!C280</f>
        <v>Ton</v>
      </c>
      <c r="N11" s="66" t="str">
        <f>Tekstnøgler!C544</f>
        <v>Ikke relevant</v>
      </c>
      <c r="O11" s="66" t="str">
        <f>Tekstnøgler!C544</f>
        <v>Ikke relevant</v>
      </c>
      <c r="P11" s="66">
        <v>948.94802137399995</v>
      </c>
      <c r="Q11" s="66">
        <v>948.94802137399995</v>
      </c>
      <c r="R11" s="66" t="str">
        <f>Tekstnøgler!C544</f>
        <v>Ikke relevant</v>
      </c>
      <c r="S11" s="68" t="s">
        <v>46</v>
      </c>
      <c r="T11">
        <v>2021</v>
      </c>
      <c r="U11" t="s">
        <v>47</v>
      </c>
    </row>
    <row r="12" spans="1:28" ht="16" x14ac:dyDescent="0.2">
      <c r="A12" t="str">
        <f>Tekstnøgler!C374</f>
        <v>Indkøb</v>
      </c>
      <c r="B12" t="str">
        <f>Tekstnøgler!C557</f>
        <v>Materialer</v>
      </c>
      <c r="C12" t="str">
        <f>Tekstnøgler!C135</f>
        <v>Indkøb af materialer i fysiske enheder</v>
      </c>
      <c r="D12" t="s">
        <v>2452</v>
      </c>
      <c r="E12" t="str">
        <f>Tekstnøgler!C900</f>
        <v>Materialeproduktgruppe</v>
      </c>
      <c r="F12" s="72" t="str">
        <f>Tekstnøgler!C836</f>
        <v>Øvrige</v>
      </c>
      <c r="G12" t="str">
        <f>Tekstnøgler!C752</f>
        <v>Materialegruppe</v>
      </c>
      <c r="H12" s="72" t="str">
        <f>Tekstnøgler!C957</f>
        <v>Glas (nyt)</v>
      </c>
      <c r="K12" s="69">
        <v>2500</v>
      </c>
      <c r="L12" s="74"/>
      <c r="M12" s="70" t="str">
        <f>Tekstnøgler!C280</f>
        <v>Ton</v>
      </c>
      <c r="N12" s="66" t="str">
        <f>Tekstnøgler!C544</f>
        <v>Ikke relevant</v>
      </c>
      <c r="O12" s="66" t="str">
        <f>Tekstnøgler!C544</f>
        <v>Ikke relevant</v>
      </c>
      <c r="P12" s="66">
        <v>2500.1329999999998</v>
      </c>
      <c r="Q12" s="66">
        <v>2500.1329999999998</v>
      </c>
      <c r="R12" s="66" t="str">
        <f>Tekstnøgler!C544</f>
        <v>Ikke relevant</v>
      </c>
      <c r="S12" s="68" t="s">
        <v>46</v>
      </c>
      <c r="T12">
        <v>2021</v>
      </c>
      <c r="U12" t="s">
        <v>47</v>
      </c>
    </row>
    <row r="13" spans="1:28" ht="16" x14ac:dyDescent="0.2">
      <c r="A13" t="str">
        <f>Tekstnøgler!C374</f>
        <v>Indkøb</v>
      </c>
      <c r="B13" t="str">
        <f>Tekstnøgler!C557</f>
        <v>Materialer</v>
      </c>
      <c r="C13" t="str">
        <f>Tekstnøgler!C135</f>
        <v>Indkøb af materialer i fysiske enheder</v>
      </c>
      <c r="D13" t="s">
        <v>2405</v>
      </c>
      <c r="E13" t="str">
        <f>Tekstnøgler!C900</f>
        <v>Materialeproduktgruppe</v>
      </c>
      <c r="F13" s="72" t="str">
        <f>Tekstnøgler!C836</f>
        <v>Øvrige</v>
      </c>
      <c r="G13" t="str">
        <f>Tekstnøgler!C752</f>
        <v>Materialegruppe</v>
      </c>
      <c r="H13" s="72" t="str">
        <f>Tekstnøgler!C983</f>
        <v>Træ (nyt)</v>
      </c>
      <c r="K13" s="69">
        <v>3500</v>
      </c>
      <c r="L13" s="74"/>
      <c r="M13" s="70" t="str">
        <f>Tekstnøgler!C280</f>
        <v>Ton</v>
      </c>
      <c r="N13" s="66" t="str">
        <f>Tekstnøgler!C544</f>
        <v>Ikke relevant</v>
      </c>
      <c r="O13" s="66" t="str">
        <f>Tekstnøgler!C544</f>
        <v>Ikke relevant</v>
      </c>
      <c r="P13" s="66">
        <v>3311.849181739</v>
      </c>
      <c r="Q13" s="66">
        <v>3311.849181739</v>
      </c>
      <c r="R13" s="66" t="str">
        <f>Tekstnøgler!C544</f>
        <v>Ikke relevant</v>
      </c>
      <c r="S13" s="68" t="s">
        <v>46</v>
      </c>
      <c r="T13">
        <v>2021</v>
      </c>
      <c r="U13" t="s">
        <v>47</v>
      </c>
    </row>
    <row r="14" spans="1:28" ht="16" x14ac:dyDescent="0.2">
      <c r="A14" t="str">
        <f>Tekstnøgler!C374</f>
        <v>Indkøb</v>
      </c>
      <c r="B14" t="str">
        <f>Tekstnøgler!C558</f>
        <v>Produkter og services</v>
      </c>
      <c r="C14" t="str">
        <f>Tekstnøgler!C140</f>
        <v>Indkøb af produkter i fysiske enheder</v>
      </c>
      <c r="D14" t="s">
        <v>2456</v>
      </c>
      <c r="E14" t="str">
        <f>Tekstnøgler!C974</f>
        <v>Produktgruppe</v>
      </c>
      <c r="F14" s="72" t="str">
        <f>Tekstnøgler!C836</f>
        <v>Øvrige</v>
      </c>
      <c r="G14" t="str">
        <f>Tekstnøgler!C843</f>
        <v>Specifikke produkter</v>
      </c>
      <c r="H14" s="72" t="str">
        <f>Tekstnøgler!C876</f>
        <v>Vandforbrug</v>
      </c>
      <c r="K14" s="69">
        <v>2000000</v>
      </c>
      <c r="L14" s="74"/>
      <c r="M14" s="70" t="str">
        <f>Tekstnøgler!C981</f>
        <v>L</v>
      </c>
      <c r="N14" s="66" t="str">
        <f>Tekstnøgler!C544</f>
        <v>Ikke relevant</v>
      </c>
      <c r="O14" s="66" t="str">
        <f>Tekstnøgler!C544</f>
        <v>Ikke relevant</v>
      </c>
      <c r="P14" s="66">
        <v>4.6554365806</v>
      </c>
      <c r="Q14" s="66">
        <v>4.6554365806</v>
      </c>
      <c r="R14" s="66" t="str">
        <f>Tekstnøgler!C544</f>
        <v>Ikke relevant</v>
      </c>
      <c r="S14" s="68" t="s">
        <v>46</v>
      </c>
      <c r="T14">
        <v>2021</v>
      </c>
      <c r="U14" t="s">
        <v>47</v>
      </c>
    </row>
    <row r="15" spans="1:28" ht="16" x14ac:dyDescent="0.2">
      <c r="A15" t="str">
        <f>Tekstnøgler!C377</f>
        <v>Solgte produkter</v>
      </c>
      <c r="B15" t="str">
        <f>Tekstnøgler!C573</f>
        <v>End-of-life behandling</v>
      </c>
      <c r="C15" t="str">
        <f>Tekstnøgler!C191</f>
        <v>Håndtering af affaldsprodukt</v>
      </c>
      <c r="D15" t="s">
        <v>2457</v>
      </c>
      <c r="E15" t="str">
        <f>Tekstnøgler!C832</f>
        <v>Affaldstype</v>
      </c>
      <c r="F15" s="72" t="s">
        <v>2457</v>
      </c>
      <c r="G15" t="str">
        <f>Tekstnøgler!C723</f>
        <v>Affaldshåndtering</v>
      </c>
      <c r="H15" s="72" t="str">
        <f>Tekstnøgler!C933</f>
        <v>Genanvendelse</v>
      </c>
      <c r="K15" s="66">
        <v>50</v>
      </c>
      <c r="M15" t="str">
        <f>Tekstnøgler!C280</f>
        <v>Ton</v>
      </c>
      <c r="N15" s="66" t="str">
        <f>Tekstnøgler!C544</f>
        <v>Ikke relevant</v>
      </c>
      <c r="O15" s="66" t="str">
        <f>Tekstnøgler!C544</f>
        <v>Ikke relevant</v>
      </c>
      <c r="P15" s="66">
        <v>0</v>
      </c>
      <c r="Q15" s="66">
        <v>0</v>
      </c>
      <c r="R15" s="66">
        <v>-15.605416</v>
      </c>
      <c r="S15" s="68" t="s">
        <v>46</v>
      </c>
      <c r="T15" s="67">
        <v>2021</v>
      </c>
      <c r="U15" t="s">
        <v>47</v>
      </c>
    </row>
    <row r="16" spans="1:28" ht="16" x14ac:dyDescent="0.2">
      <c r="A16" t="str">
        <f>Tekstnøgler!C377</f>
        <v>Solgte produkter</v>
      </c>
      <c r="B16" t="str">
        <f>Tekstnøgler!C573</f>
        <v>End-of-life behandling</v>
      </c>
      <c r="C16" t="str">
        <f>Tekstnøgler!C191</f>
        <v>Håndtering af affaldsprodukt</v>
      </c>
      <c r="D16" t="s">
        <v>2218</v>
      </c>
      <c r="E16" t="str">
        <f>Tekstnøgler!C832</f>
        <v>Affaldstype</v>
      </c>
      <c r="F16" s="72" t="s">
        <v>2459</v>
      </c>
      <c r="G16" t="str">
        <f>Tekstnøgler!C723</f>
        <v>Affaldshåndtering</v>
      </c>
      <c r="H16" s="72" t="str">
        <f>Tekstnøgler!C933</f>
        <v>Genanvendelse</v>
      </c>
      <c r="K16" s="66">
        <v>8</v>
      </c>
      <c r="M16" t="str">
        <f>Tekstnøgler!C280</f>
        <v>Ton</v>
      </c>
      <c r="N16" s="66" t="str">
        <f>Tekstnøgler!C544</f>
        <v>Ikke relevant</v>
      </c>
      <c r="O16" s="66" t="str">
        <f>Tekstnøgler!C544</f>
        <v>Ikke relevant</v>
      </c>
      <c r="P16" s="66">
        <v>0</v>
      </c>
      <c r="Q16" s="66">
        <v>0</v>
      </c>
      <c r="R16" s="66">
        <v>-21.232908800000001</v>
      </c>
      <c r="S16" s="68" t="s">
        <v>46</v>
      </c>
      <c r="T16" s="67">
        <v>2021</v>
      </c>
      <c r="U16" t="s">
        <v>47</v>
      </c>
    </row>
    <row r="17" spans="1:21" ht="16" x14ac:dyDescent="0.2">
      <c r="A17" t="str">
        <f>Tekstnøgler!C377</f>
        <v>Solgte produkter</v>
      </c>
      <c r="B17" t="str">
        <f>Tekstnøgler!C573</f>
        <v>End-of-life behandling</v>
      </c>
      <c r="C17" t="str">
        <f>Tekstnøgler!C191</f>
        <v>Håndtering af affaldsprodukt</v>
      </c>
      <c r="D17" t="s">
        <v>2405</v>
      </c>
      <c r="E17" t="str">
        <f>Tekstnøgler!C832</f>
        <v>Affaldstype</v>
      </c>
      <c r="F17" s="72" t="str">
        <f>Tekstnøgler!C979</f>
        <v>Træ</v>
      </c>
      <c r="G17" t="str">
        <f>Tekstnøgler!C723</f>
        <v>Affaldshåndtering</v>
      </c>
      <c r="H17" s="72" t="str">
        <f>Tekstnøgler!C744</f>
        <v>Genbrug</v>
      </c>
      <c r="K17" s="66">
        <v>50</v>
      </c>
      <c r="M17" t="str">
        <f>Tekstnøgler!C280</f>
        <v>Ton</v>
      </c>
      <c r="N17" s="66" t="str">
        <f>Tekstnøgler!C544</f>
        <v>Ikke relevant</v>
      </c>
      <c r="O17" s="66" t="str">
        <f>Tekstnøgler!C544</f>
        <v>Ikke relevant</v>
      </c>
      <c r="P17" s="66">
        <v>0</v>
      </c>
      <c r="Q17" s="66">
        <v>0</v>
      </c>
      <c r="R17" s="66">
        <v>-75.058999999999997</v>
      </c>
      <c r="S17" s="68" t="s">
        <v>46</v>
      </c>
      <c r="T17" s="67">
        <v>2021</v>
      </c>
      <c r="U17" t="s">
        <v>47</v>
      </c>
    </row>
    <row r="18" spans="1:21" ht="16" x14ac:dyDescent="0.2">
      <c r="A18" t="str">
        <f>Tekstnøgler!C375</f>
        <v>Transport</v>
      </c>
      <c r="B18" t="str">
        <f>Tekstnøgler!C563</f>
        <v>Egne og leasede transportmidler</v>
      </c>
      <c r="C18" t="str">
        <f>Tekstnøgler!C163</f>
        <v>Egne og leasede transportmidler</v>
      </c>
      <c r="D18" t="s">
        <v>2455</v>
      </c>
      <c r="E18" t="str">
        <f>Tekstnøgler!C545</f>
        <v>Transportmiddel</v>
      </c>
      <c r="F18" s="72" t="str">
        <f>Tekstnøgler!C928</f>
        <v>Personbiler</v>
      </c>
      <c r="G18" t="str">
        <f>Tekstnøgler!C546</f>
        <v>Drivmiddel</v>
      </c>
      <c r="H18" s="72" t="str">
        <f>Tekstnøgler!C768</f>
        <v>Benzin</v>
      </c>
      <c r="I18" t="str">
        <f>Tekstnøgler!C867</f>
        <v>Biobrændstofsandel (%)</v>
      </c>
      <c r="J18" s="72" t="s">
        <v>72</v>
      </c>
      <c r="K18" s="66">
        <v>50000</v>
      </c>
      <c r="M18" t="str">
        <f>Tekstnøgler!C1005</f>
        <v>Km</v>
      </c>
      <c r="N18" s="66">
        <v>7.9191353917000002</v>
      </c>
      <c r="O18" s="66">
        <v>0</v>
      </c>
      <c r="P18" s="66">
        <v>2.1299864794999999</v>
      </c>
      <c r="Q18" s="66">
        <v>10.049121871200001</v>
      </c>
      <c r="R18" s="66">
        <v>0.55431020060000002</v>
      </c>
      <c r="S18" s="68" t="s">
        <v>46</v>
      </c>
      <c r="T18" s="67">
        <v>2021</v>
      </c>
      <c r="U18" t="s">
        <v>47</v>
      </c>
    </row>
    <row r="19" spans="1:21" ht="16" x14ac:dyDescent="0.2">
      <c r="A19" t="str">
        <f>Tekstnøgler!C375</f>
        <v>Transport</v>
      </c>
      <c r="B19" t="str">
        <f>Tekstnøgler!C564</f>
        <v>Medarbejdertransport</v>
      </c>
      <c r="C19" t="str">
        <f>Tekstnøgler!C167</f>
        <v>Pendling</v>
      </c>
      <c r="D19" t="s">
        <v>75</v>
      </c>
      <c r="E19" t="str">
        <f>Tekstnøgler!C545</f>
        <v>Transportmiddel</v>
      </c>
      <c r="F19" s="72" t="str">
        <f>Tekstnøgler!C928</f>
        <v>Personbiler</v>
      </c>
      <c r="G19" t="str">
        <f>Tekstnøgler!C546</f>
        <v>Drivmiddel</v>
      </c>
      <c r="H19" s="72" t="str">
        <f>Tekstnøgler!C768</f>
        <v>Benzin</v>
      </c>
      <c r="K19" s="66">
        <v>18000</v>
      </c>
      <c r="M19" t="str">
        <f>Tekstnøgler!C888</f>
        <v>Person.km</v>
      </c>
      <c r="N19" s="66">
        <v>0</v>
      </c>
      <c r="O19" s="66">
        <v>0</v>
      </c>
      <c r="P19" s="66">
        <v>3.6176838735999999</v>
      </c>
      <c r="Q19" s="66">
        <v>3.6176838735999999</v>
      </c>
      <c r="R19" s="66">
        <v>0.1995516722</v>
      </c>
      <c r="S19" s="68" t="s">
        <v>46</v>
      </c>
      <c r="T19" s="67">
        <v>2021</v>
      </c>
      <c r="U19" t="s">
        <v>47</v>
      </c>
    </row>
    <row r="20" spans="1:21" ht="16" x14ac:dyDescent="0.2">
      <c r="A20" t="str">
        <f>Tekstnøgler!C375</f>
        <v>Transport</v>
      </c>
      <c r="B20" t="str">
        <f>Tekstnøgler!C566</f>
        <v>Varetransport til kunde</v>
      </c>
      <c r="C20" t="str">
        <f>Tekstnøgler!C176</f>
        <v>Varetransport i fysiske enheder</v>
      </c>
      <c r="D20" t="s">
        <v>2453</v>
      </c>
      <c r="E20" t="str">
        <f>Tekstnøgler!C545</f>
        <v>Transportmiddel</v>
      </c>
      <c r="F20" s="72" t="str">
        <f>Tekstnøgler!C934</f>
        <v>Lastbiler</v>
      </c>
      <c r="G20" t="str">
        <f>Tekstnøgler!C546</f>
        <v>Drivmiddel</v>
      </c>
      <c r="H20" s="72" t="str">
        <f>Tekstnøgler!C893</f>
        <v>Diesel</v>
      </c>
      <c r="K20" s="66">
        <v>4000000</v>
      </c>
      <c r="M20" t="str">
        <f>Tekstnøgler!C906</f>
        <v>Ton.km</v>
      </c>
      <c r="N20" s="66">
        <v>0</v>
      </c>
      <c r="O20" s="66">
        <v>0</v>
      </c>
      <c r="P20" s="66">
        <v>546.55999999999995</v>
      </c>
      <c r="Q20" s="66">
        <v>546.55999999999995</v>
      </c>
      <c r="R20" s="66">
        <v>29.962532768300001</v>
      </c>
      <c r="S20" s="68" t="s">
        <v>46</v>
      </c>
      <c r="T20" s="67">
        <v>2021</v>
      </c>
      <c r="U20" t="s">
        <v>47</v>
      </c>
    </row>
    <row r="21" spans="1:21" ht="16" x14ac:dyDescent="0.2">
      <c r="A21" t="str">
        <f>Tekstnøgler!C375</f>
        <v>Transport</v>
      </c>
      <c r="B21" t="str">
        <f>Tekstnøgler!C565</f>
        <v>Varetransport til virksomhed</v>
      </c>
      <c r="C21" t="str">
        <f>Tekstnøgler!C172</f>
        <v>Varetransport i fysiske enheder</v>
      </c>
      <c r="D21" t="s">
        <v>2454</v>
      </c>
      <c r="E21" t="str">
        <f>Tekstnøgler!C545</f>
        <v>Transportmiddel</v>
      </c>
      <c r="F21" s="72" t="str">
        <f>Tekstnøgler!C934</f>
        <v>Lastbiler</v>
      </c>
      <c r="G21" t="str">
        <f>Tekstnøgler!C546</f>
        <v>Drivmiddel</v>
      </c>
      <c r="H21" s="72" t="str">
        <f>Tekstnøgler!C893</f>
        <v>Diesel</v>
      </c>
      <c r="K21" s="66">
        <v>1500000</v>
      </c>
      <c r="M21" t="str">
        <f>Tekstnøgler!C906</f>
        <v>Ton.km</v>
      </c>
      <c r="N21" s="66">
        <v>0</v>
      </c>
      <c r="O21" s="66">
        <v>0</v>
      </c>
      <c r="P21" s="66">
        <v>204.96</v>
      </c>
      <c r="Q21" s="66">
        <v>204.96</v>
      </c>
      <c r="R21" s="66">
        <v>11.235949788099999</v>
      </c>
      <c r="S21" s="68" t="s">
        <v>46</v>
      </c>
      <c r="T21" s="67">
        <v>2021</v>
      </c>
      <c r="U21" t="s">
        <v>47</v>
      </c>
    </row>
  </sheetData>
  <hyperlinks>
    <hyperlink ref="E2" location="Forside!A1" display="Gå til forside" xr:uid="{115298E0-B6A6-5443-9400-075911BBC669}"/>
  </hyperlinks>
  <pageMargins left="0.7" right="0.7" top="0.75" bottom="0.75" header="0.3" footer="0.3"/>
  <pageSetup paperSize="9" orientation="portrait" r:id="rId1"/>
  <headerFooter>
    <oddHeader>&amp;R&amp;"Calibri"&amp;10&amp;K000000 INTERNAL&amp;1#_x000D_</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91FA3-148C-4994-A88D-047148689D03}">
  <dimension ref="A1:K37"/>
  <sheetViews>
    <sheetView zoomScale="130" zoomScaleNormal="130" workbookViewId="0"/>
  </sheetViews>
  <sheetFormatPr baseColWidth="10" defaultColWidth="9.1640625" defaultRowHeight="15" x14ac:dyDescent="0.2"/>
  <cols>
    <col min="1" max="1" width="14.1640625" bestFit="1" customWidth="1"/>
    <col min="2" max="2" width="10.33203125" bestFit="1" customWidth="1"/>
    <col min="3" max="3" width="30.5" customWidth="1"/>
    <col min="4" max="4" width="75.5" customWidth="1"/>
    <col min="5" max="5" width="19.5" style="71" customWidth="1"/>
    <col min="6" max="6" width="19.5" bestFit="1" customWidth="1"/>
    <col min="7" max="9" width="13.6640625" customWidth="1"/>
    <col min="10" max="10" width="14.83203125" customWidth="1"/>
    <col min="11" max="11" width="72.6640625" customWidth="1"/>
  </cols>
  <sheetData>
    <row r="1" spans="1:11" ht="15" customHeight="1" x14ac:dyDescent="0.2">
      <c r="A1" s="370"/>
      <c r="B1" s="370"/>
      <c r="C1" s="370"/>
      <c r="D1" s="370"/>
      <c r="E1" s="370"/>
      <c r="F1" s="370"/>
      <c r="G1" s="370"/>
      <c r="H1" s="370"/>
      <c r="I1" s="370"/>
      <c r="J1" s="370"/>
      <c r="K1" s="370"/>
    </row>
    <row r="2" spans="1:11" ht="20" x14ac:dyDescent="0.2">
      <c r="A2" s="370"/>
      <c r="B2" s="26" t="str">
        <f>Tekstnøgler!C29</f>
        <v>Data (E-nøgletal)</v>
      </c>
      <c r="C2" s="371"/>
      <c r="D2" s="372"/>
      <c r="E2" s="290" t="str">
        <f>Tekstnøgler!$C$2</f>
        <v>&lt;-- Gå til forsiden</v>
      </c>
      <c r="F2" s="372"/>
      <c r="G2" s="372"/>
      <c r="H2" s="372"/>
      <c r="I2" s="372"/>
      <c r="J2" s="372"/>
      <c r="K2" s="372"/>
    </row>
    <row r="3" spans="1:11" ht="15" customHeight="1" x14ac:dyDescent="0.2">
      <c r="A3" s="370"/>
      <c r="B3" s="370"/>
      <c r="C3" s="370"/>
      <c r="D3" s="370"/>
      <c r="E3" s="370"/>
      <c r="F3" s="370"/>
      <c r="G3" s="370"/>
      <c r="H3" s="370"/>
      <c r="I3" s="370"/>
      <c r="J3" s="370"/>
      <c r="K3" s="370"/>
    </row>
    <row r="4" spans="1:11" s="324" customFormat="1" ht="28" customHeight="1" x14ac:dyDescent="0.2">
      <c r="A4" s="322" t="str">
        <f>Tekstnøgler!C506</f>
        <v xml:space="preserve">Hovedkategori
</v>
      </c>
      <c r="B4" s="322" t="str">
        <f>Tekstnøgler!C507</f>
        <v xml:space="preserve">Kategori
</v>
      </c>
      <c r="C4" s="322" t="str">
        <f>Tekstnøgler!C509</f>
        <v xml:space="preserve">Beskrivelse
</v>
      </c>
      <c r="D4" s="322" t="str">
        <f>Tekstnøgler!C530</f>
        <v>Titel</v>
      </c>
      <c r="E4" s="323" t="str">
        <f>Tekstnøgler!C516</f>
        <v>Mængde</v>
      </c>
      <c r="F4" s="322" t="str">
        <f>Tekstnøgler!C518</f>
        <v>Enhed</v>
      </c>
      <c r="G4" s="322"/>
      <c r="H4" s="322"/>
      <c r="I4" s="322"/>
      <c r="J4" s="322"/>
      <c r="K4" s="322"/>
    </row>
    <row r="5" spans="1:11" s="227" customFormat="1" ht="14" customHeight="1" x14ac:dyDescent="0.2">
      <c r="A5" s="227" t="str">
        <f>Tekstnøgler!C576</f>
        <v>ESG</v>
      </c>
      <c r="B5" s="227" t="str">
        <f>Tekstnøgler!C577</f>
        <v>E-Nøgletal</v>
      </c>
      <c r="D5" s="228" t="str">
        <f>Tekstnøgler!C247</f>
        <v>CO₂e-udledning inden for scope 1</v>
      </c>
      <c r="E5" s="383">
        <v>443.36484074510003</v>
      </c>
      <c r="F5" s="229" t="str">
        <f>Tekstnøgler!$C$263</f>
        <v>Ton CO₂e</v>
      </c>
    </row>
    <row r="6" spans="1:11" ht="14" customHeight="1" x14ac:dyDescent="0.2">
      <c r="A6" s="227" t="str">
        <f>Tekstnøgler!C576</f>
        <v>ESG</v>
      </c>
      <c r="B6" s="227" t="str">
        <f>Tekstnøgler!C577</f>
        <v>E-Nøgletal</v>
      </c>
      <c r="D6" s="228" t="str">
        <f>Tekstnøgler!C248</f>
        <v>CO₂e-udledning inden for scope 2</v>
      </c>
      <c r="E6" s="383">
        <v>1851.7950000000001</v>
      </c>
      <c r="F6" s="229" t="str">
        <f>Tekstnøgler!$C$263</f>
        <v>Ton CO₂e</v>
      </c>
    </row>
    <row r="7" spans="1:11" ht="14" customHeight="1" x14ac:dyDescent="0.2">
      <c r="A7" s="227" t="str">
        <f>Tekstnøgler!C576</f>
        <v>ESG</v>
      </c>
      <c r="B7" s="227" t="str">
        <f>Tekstnøgler!C577</f>
        <v>E-Nøgletal</v>
      </c>
      <c r="D7" s="228" t="str">
        <f>Tekstnøgler!C250</f>
        <v>Samlet CO₂e-udledning (Scope 1 og 2)</v>
      </c>
      <c r="E7" s="383">
        <v>2295.1598407451002</v>
      </c>
      <c r="F7" s="229" t="str">
        <f>Tekstnøgler!$C$263</f>
        <v>Ton CO₂e</v>
      </c>
    </row>
    <row r="8" spans="1:11" ht="14" customHeight="1" x14ac:dyDescent="0.2">
      <c r="A8" s="227" t="str">
        <f>Tekstnøgler!C576</f>
        <v>ESG</v>
      </c>
      <c r="B8" s="227" t="str">
        <f>Tekstnøgler!C577</f>
        <v>E-Nøgletal</v>
      </c>
      <c r="D8" s="228" t="str">
        <f>Tekstnøgler!C253</f>
        <v>CO₂ intensitet (CO₂e-udledning for scope 1 og 2 ift. nettoomsætning)</v>
      </c>
      <c r="E8" s="383">
        <v>99.789558293265216</v>
      </c>
      <c r="F8" s="229" t="str">
        <f>Tekstnøgler!C264</f>
        <v>Ton CO₂e / mio. DKK</v>
      </c>
    </row>
    <row r="9" spans="1:11" x14ac:dyDescent="0.2">
      <c r="A9" s="227" t="str">
        <f>Tekstnøgler!C576</f>
        <v>ESG</v>
      </c>
      <c r="B9" s="227" t="str">
        <f>Tekstnøgler!C577</f>
        <v>E-Nøgletal</v>
      </c>
      <c r="D9" s="228" t="str">
        <f>Tekstnøgler!C249</f>
        <v>CO₂e-udledning inden for scope 3</v>
      </c>
      <c r="E9" s="383">
        <v>7935.4487175094</v>
      </c>
      <c r="F9" s="229" t="str">
        <f>Tekstnøgler!$C$263</f>
        <v>Ton CO₂e</v>
      </c>
    </row>
    <row r="10" spans="1:11" x14ac:dyDescent="0.2">
      <c r="A10" s="227" t="str">
        <f>Tekstnøgler!C576</f>
        <v>ESG</v>
      </c>
      <c r="B10" s="227" t="str">
        <f>Tekstnøgler!C577</f>
        <v>E-Nøgletal</v>
      </c>
      <c r="D10" s="228" t="str">
        <f>Tekstnøgler!C251</f>
        <v>Samlet CO₂e-udledning (Scope 1, 2 og 3)</v>
      </c>
      <c r="E10" s="383">
        <v>10230.6085582545</v>
      </c>
      <c r="F10" s="229" t="str">
        <f>Tekstnøgler!$C$263</f>
        <v>Ton CO₂e</v>
      </c>
    </row>
    <row r="11" spans="1:11" x14ac:dyDescent="0.2">
      <c r="A11" s="227" t="str">
        <f>Tekstnøgler!C576</f>
        <v>ESG</v>
      </c>
      <c r="B11" s="227" t="str">
        <f>Tekstnøgler!C577</f>
        <v>E-Nøgletal</v>
      </c>
      <c r="D11" s="228" t="str">
        <f>Tekstnøgler!C252</f>
        <v>CO₂ intensitet (Samlet CO₂e-udledning ift. nettoomsætning)</v>
      </c>
      <c r="E11" s="383">
        <v>444.80906775019571</v>
      </c>
      <c r="F11" s="229" t="str">
        <f>Tekstnøgler!C264</f>
        <v>Ton CO₂e / mio. DKK</v>
      </c>
    </row>
    <row r="12" spans="1:11" x14ac:dyDescent="0.2">
      <c r="A12" s="227" t="str">
        <f>Tekstnøgler!C576</f>
        <v>ESG</v>
      </c>
      <c r="B12" s="227" t="str">
        <f>Tekstnøgler!C577</f>
        <v>E-Nøgletal</v>
      </c>
      <c r="D12" s="228" t="str">
        <f>Tekstnøgler!C254</f>
        <v>Energiforbrug: Fossile kilder</v>
      </c>
      <c r="E12" s="383">
        <v>4621.2242975160043</v>
      </c>
      <c r="F12" s="229" t="str">
        <f>Tekstnøgler!$C$289</f>
        <v>MWh</v>
      </c>
    </row>
    <row r="13" spans="1:11" x14ac:dyDescent="0.2">
      <c r="A13" s="227" t="str">
        <f>Tekstnøgler!C576</f>
        <v>ESG</v>
      </c>
      <c r="B13" s="227" t="str">
        <f>Tekstnøgler!C577</f>
        <v>E-Nøgletal</v>
      </c>
      <c r="D13" s="228" t="str">
        <f>Tekstnøgler!C255</f>
        <v>Energiforbrug: Nukleare kilder</v>
      </c>
      <c r="E13" s="383">
        <v>1389.2903989037959</v>
      </c>
      <c r="F13" s="229" t="str">
        <f>Tekstnøgler!$C$289</f>
        <v>MWh</v>
      </c>
    </row>
    <row r="14" spans="1:11" x14ac:dyDescent="0.2">
      <c r="A14" s="227" t="str">
        <f>Tekstnøgler!C576</f>
        <v>ESG</v>
      </c>
      <c r="B14" s="227" t="str">
        <f>Tekstnøgler!C577</f>
        <v>E-Nøgletal</v>
      </c>
      <c r="D14" s="228" t="str">
        <f>Tekstnøgler!C256</f>
        <v>Energiforbrug: Vedvarende kilder</v>
      </c>
      <c r="E14" s="383">
        <v>479.31625376963831</v>
      </c>
      <c r="F14" s="229" t="str">
        <f>Tekstnøgler!$C$289</f>
        <v>MWh</v>
      </c>
    </row>
    <row r="15" spans="1:11" x14ac:dyDescent="0.2">
      <c r="A15" s="227" t="str">
        <f>Tekstnøgler!C576</f>
        <v>ESG</v>
      </c>
      <c r="B15" s="227" t="str">
        <f>Tekstnøgler!C577</f>
        <v>E-Nøgletal</v>
      </c>
      <c r="D15" s="228" t="str">
        <f>Tekstnøgler!C257</f>
        <v>Samlet energiforbrug</v>
      </c>
      <c r="E15" s="383">
        <v>6489.8309501894382</v>
      </c>
      <c r="F15" s="229" t="str">
        <f>Tekstnøgler!$C$289</f>
        <v>MWh</v>
      </c>
    </row>
    <row r="16" spans="1:11" x14ac:dyDescent="0.2">
      <c r="A16" s="227" t="str">
        <f>Tekstnøgler!C576</f>
        <v>ESG</v>
      </c>
      <c r="B16" s="227" t="str">
        <f>Tekstnøgler!C577</f>
        <v>E-Nøgletal</v>
      </c>
      <c r="D16" s="228" t="str">
        <f>Tekstnøgler!C260</f>
        <v>Samlet vandforbrug</v>
      </c>
      <c r="E16" s="383">
        <v>2000</v>
      </c>
      <c r="F16" s="229" t="str">
        <f>Tekstnøgler!C290</f>
        <v>m3</v>
      </c>
    </row>
    <row r="17" spans="1:6" x14ac:dyDescent="0.2">
      <c r="A17" s="227" t="str">
        <f>Tekstnøgler!$C$576</f>
        <v>ESG</v>
      </c>
      <c r="B17" s="227" t="str">
        <f>Tekstnøgler!$C$577</f>
        <v>E-Nøgletal</v>
      </c>
      <c r="D17" s="228" t="str">
        <f>Tekstnøgler!C292</f>
        <v>Samlet mængde affald</v>
      </c>
      <c r="E17" s="383">
        <v>360</v>
      </c>
      <c r="F17" s="229" t="str">
        <f>Tekstnøgler!$C$280</f>
        <v>Ton</v>
      </c>
    </row>
    <row r="18" spans="1:6" x14ac:dyDescent="0.2">
      <c r="A18" s="227" t="str">
        <f>Tekstnøgler!$C$576</f>
        <v>ESG</v>
      </c>
      <c r="B18" s="227" t="str">
        <f>Tekstnøgler!$C$577</f>
        <v>E-Nøgletal</v>
      </c>
      <c r="D18" s="228" t="str">
        <f>Tekstnøgler!C261</f>
        <v>Andel af farligt affald (Mængde af farligt affald ift. total mængde affald)</v>
      </c>
      <c r="E18" s="383" t="str">
        <f>Tekstnøgler!C269</f>
        <v>(ikke angivet)</v>
      </c>
      <c r="F18" s="229" t="str">
        <f>Tekstnøgler!C267</f>
        <v>Pct. (%)</v>
      </c>
    </row>
    <row r="19" spans="1:6" x14ac:dyDescent="0.2">
      <c r="A19" s="227" t="str">
        <f>Tekstnøgler!$C$576</f>
        <v>ESG</v>
      </c>
      <c r="B19" s="227" t="str">
        <f>Tekstnøgler!$C$577</f>
        <v>E-Nøgletal</v>
      </c>
      <c r="D19" s="228" t="str">
        <f>Tekstnøgler!C262</f>
        <v>Andel affald sendt til genanvendelse og genbrug (Mængde af genanvendt affald ift. total mængde affald)</v>
      </c>
      <c r="E19" s="383">
        <v>72.222222222222214</v>
      </c>
      <c r="F19" s="229" t="str">
        <f>Tekstnøgler!C267</f>
        <v>Pct. (%)</v>
      </c>
    </row>
    <row r="20" spans="1:6" x14ac:dyDescent="0.2">
      <c r="A20" s="227" t="str">
        <f>Tekstnøgler!$C$576</f>
        <v>ESG</v>
      </c>
      <c r="B20" s="227" t="str">
        <f>Tekstnøgler!$C$577</f>
        <v>E-Nøgletal</v>
      </c>
      <c r="D20" s="228" t="str">
        <f>_xlfn.CONCAT(Tekstnøgler!C285," ",Tekstnøgler!C293)</f>
        <v>Vedvarende Elektricitet</v>
      </c>
      <c r="E20" s="383">
        <v>1819.6129309212602</v>
      </c>
      <c r="F20" s="229" t="str">
        <f>Tekstnøgler!$C$289</f>
        <v>MWh</v>
      </c>
    </row>
    <row r="21" spans="1:6" x14ac:dyDescent="0.2">
      <c r="A21" s="227" t="str">
        <f>Tekstnøgler!$C$576</f>
        <v>ESG</v>
      </c>
      <c r="B21" s="227" t="str">
        <f>Tekstnøgler!$C$577</f>
        <v>E-Nøgletal</v>
      </c>
      <c r="D21" s="228" t="str">
        <f>_xlfn.CONCAT(Tekstnøgler!C286," ",Tekstnøgler!C293)</f>
        <v>Ikke vedvarende Elektricitet</v>
      </c>
      <c r="E21" s="383">
        <v>2680.3870690787398</v>
      </c>
      <c r="F21" s="229" t="str">
        <f>Tekstnøgler!$C$289</f>
        <v>MWh</v>
      </c>
    </row>
    <row r="22" spans="1:6" x14ac:dyDescent="0.2">
      <c r="A22" s="227" t="str">
        <f>Tekstnøgler!$C$576</f>
        <v>ESG</v>
      </c>
      <c r="B22" s="227" t="str">
        <f>Tekstnøgler!$C$577</f>
        <v>E-Nøgletal</v>
      </c>
      <c r="D22" s="228" t="str">
        <f>_xlfn.CONCAT(Tekstnøgler!C285," ",Tekstnøgler!C294)</f>
        <v>Vedvarende Brændsler</v>
      </c>
      <c r="E22" s="383">
        <v>48.993721752173862</v>
      </c>
      <c r="F22" s="229" t="str">
        <f>Tekstnøgler!$C$289</f>
        <v>MWh</v>
      </c>
    </row>
    <row r="23" spans="1:6" x14ac:dyDescent="0.2">
      <c r="A23" s="227" t="str">
        <f>Tekstnøgler!$C$576</f>
        <v>ESG</v>
      </c>
      <c r="B23" s="227" t="str">
        <f>Tekstnøgler!$C$577</f>
        <v>E-Nøgletal</v>
      </c>
      <c r="D23" s="228" t="str">
        <f>_xlfn.CONCAT(Tekstnøgler!C286," ",Tekstnøgler!C294)</f>
        <v>Ikke vedvarende Brændsler</v>
      </c>
      <c r="E23" s="383">
        <v>1940.8372284372647</v>
      </c>
      <c r="F23" s="229" t="str">
        <f>Tekstnøgler!$C$289</f>
        <v>MWh</v>
      </c>
    </row>
    <row r="24" spans="1:6" x14ac:dyDescent="0.2">
      <c r="A24" s="227" t="str">
        <f>Tekstnøgler!$C$576</f>
        <v>ESG</v>
      </c>
      <c r="B24" s="227" t="str">
        <f>Tekstnøgler!$C$577</f>
        <v>E-Nøgletal</v>
      </c>
      <c r="D24" s="228" t="str">
        <f>_xlfn.CONCAT(Tekstnøgler!C285," ",Tekstnøgler!C295)</f>
        <v>Vedvarende Fjernvarme</v>
      </c>
      <c r="E24" s="383" t="str">
        <f>Tekstnøgler!C269</f>
        <v>(ikke angivet)</v>
      </c>
      <c r="F24" s="229" t="str">
        <f>Tekstnøgler!$C$289</f>
        <v>MWh</v>
      </c>
    </row>
    <row r="25" spans="1:6" x14ac:dyDescent="0.2">
      <c r="A25" s="227" t="str">
        <f>Tekstnøgler!$C$576</f>
        <v>ESG</v>
      </c>
      <c r="B25" s="227" t="str">
        <f>Tekstnøgler!$C$577</f>
        <v>E-Nøgletal</v>
      </c>
      <c r="D25" s="228" t="str">
        <f>_xlfn.CONCAT(Tekstnøgler!C286," ",Tekstnøgler!C295)</f>
        <v>Ikke vedvarende Fjernvarme</v>
      </c>
      <c r="E25" s="383" t="str">
        <f>Tekstnøgler!C269</f>
        <v>(ikke angivet)</v>
      </c>
      <c r="F25" s="229" t="str">
        <f>Tekstnøgler!$C$289</f>
        <v>MWh</v>
      </c>
    </row>
    <row r="26" spans="1:6" x14ac:dyDescent="0.2">
      <c r="A26" s="227" t="str">
        <f>Tekstnøgler!C576</f>
        <v>ESG</v>
      </c>
      <c r="B26" t="str">
        <f>Tekstnøgler!C578</f>
        <v>Parameter</v>
      </c>
      <c r="C26" t="str">
        <f>Tekstnøgler!C579</f>
        <v>Brugt til beregning af E-nøgletal</v>
      </c>
      <c r="D26" t="str">
        <f>Tekstnøgler!C273</f>
        <v>Nettoomsætning</v>
      </c>
      <c r="E26" s="383">
        <v>23</v>
      </c>
      <c r="F26" s="229" t="str">
        <f>Tekstnøgler!C278</f>
        <v>mio. DKK</v>
      </c>
    </row>
    <row r="27" spans="1:6" x14ac:dyDescent="0.2">
      <c r="A27" s="227" t="str">
        <f>Tekstnøgler!C576</f>
        <v>ESG</v>
      </c>
      <c r="B27" t="str">
        <f>Tekstnøgler!C578</f>
        <v>Parameter</v>
      </c>
      <c r="C27" t="str">
        <f>Tekstnøgler!C579</f>
        <v>Brugt til beregning af E-nøgletal</v>
      </c>
      <c r="D27" t="str">
        <f>Tekstnøgler!C274</f>
        <v>Vedvarende energiforbrug</v>
      </c>
      <c r="E27" s="383">
        <v>479.31625376963831</v>
      </c>
      <c r="F27" s="229" t="str">
        <f>Tekstnøgler!$C$289</f>
        <v>MWh</v>
      </c>
    </row>
    <row r="28" spans="1:6" x14ac:dyDescent="0.2">
      <c r="A28" s="227" t="str">
        <f>Tekstnøgler!C576</f>
        <v>ESG</v>
      </c>
      <c r="B28" t="str">
        <f>Tekstnøgler!C578</f>
        <v>Parameter</v>
      </c>
      <c r="C28" t="str">
        <f>Tekstnøgler!C579</f>
        <v>Brugt til beregning af E-nøgletal</v>
      </c>
      <c r="D28" t="str">
        <f>Tekstnøgler!C275</f>
        <v>Total mængde af affald</v>
      </c>
      <c r="E28" s="383">
        <v>360</v>
      </c>
      <c r="F28" s="229" t="str">
        <f>Tekstnøgler!$C$280</f>
        <v>Ton</v>
      </c>
    </row>
    <row r="29" spans="1:6" x14ac:dyDescent="0.2">
      <c r="A29" s="227" t="str">
        <f>Tekstnøgler!C576</f>
        <v>ESG</v>
      </c>
      <c r="B29" t="str">
        <f>Tekstnøgler!C578</f>
        <v>Parameter</v>
      </c>
      <c r="C29" t="str">
        <f>Tekstnøgler!C579</f>
        <v>Brugt til beregning af E-nøgletal</v>
      </c>
      <c r="D29" t="str">
        <f>Tekstnøgler!C276</f>
        <v>Mængde af farligt affald</v>
      </c>
      <c r="E29" s="383" t="str">
        <f>Tekstnøgler!C269</f>
        <v>(ikke angivet)</v>
      </c>
      <c r="F29" s="229" t="str">
        <f>Tekstnøgler!$C$280</f>
        <v>Ton</v>
      </c>
    </row>
    <row r="30" spans="1:6" x14ac:dyDescent="0.2">
      <c r="A30" s="227" t="str">
        <f>Tekstnøgler!C576</f>
        <v>ESG</v>
      </c>
      <c r="B30" t="str">
        <f>Tekstnøgler!C578</f>
        <v>Parameter</v>
      </c>
      <c r="C30" t="str">
        <f>Tekstnøgler!C579</f>
        <v>Brugt til beregning af E-nøgletal</v>
      </c>
      <c r="D30" t="str">
        <f>Tekstnøgler!C277</f>
        <v>Mængde af genanvendt affald</v>
      </c>
      <c r="E30" s="383">
        <v>260</v>
      </c>
      <c r="F30" s="229" t="str">
        <f>Tekstnøgler!$C$280</f>
        <v>Ton</v>
      </c>
    </row>
    <row r="31" spans="1:6" x14ac:dyDescent="0.2">
      <c r="E31" s="69"/>
      <c r="F31" s="229"/>
    </row>
    <row r="32" spans="1:6" x14ac:dyDescent="0.2">
      <c r="F32" s="229"/>
    </row>
    <row r="33" spans="6:6" x14ac:dyDescent="0.2">
      <c r="F33" s="229"/>
    </row>
    <row r="34" spans="6:6" x14ac:dyDescent="0.2">
      <c r="F34" s="229"/>
    </row>
    <row r="35" spans="6:6" x14ac:dyDescent="0.2">
      <c r="F35" s="229"/>
    </row>
    <row r="36" spans="6:6" x14ac:dyDescent="0.2">
      <c r="F36" s="229"/>
    </row>
    <row r="37" spans="6:6" x14ac:dyDescent="0.2">
      <c r="F37" s="229"/>
    </row>
  </sheetData>
  <hyperlinks>
    <hyperlink ref="E2" location="Forside!A1" display="Gå til forside" xr:uid="{B7A6AD53-86A3-924A-B407-FCC8BD032F5D}"/>
  </hyperlinks>
  <pageMargins left="0.7" right="0.7" top="0.75" bottom="0.75" header="0.3" footer="0.3"/>
  <pageSetup paperSize="9" orientation="portrait" r:id="rId1"/>
  <headerFooter>
    <oddHeader>&amp;R&amp;"Calibri"&amp;10&amp;K000000 INTERNAL&amp;1#_x000D_</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3949D-59E7-40B0-A92E-0B7B3081796F}">
  <dimension ref="B1:AW102"/>
  <sheetViews>
    <sheetView topLeftCell="A4" workbookViewId="0"/>
  </sheetViews>
  <sheetFormatPr baseColWidth="10" defaultColWidth="8.6640625" defaultRowHeight="15" x14ac:dyDescent="0.2"/>
  <cols>
    <col min="1" max="1" width="8.6640625" style="221"/>
    <col min="2" max="2" width="13.5" style="221" customWidth="1"/>
    <col min="3" max="3" width="5.6640625" style="221" customWidth="1"/>
    <col min="4" max="16384" width="8.6640625" style="221"/>
  </cols>
  <sheetData>
    <row r="1" spans="2:49" s="32" customFormat="1" ht="12" x14ac:dyDescent="0.2"/>
    <row r="2" spans="2:49" s="32" customFormat="1" ht="20" x14ac:dyDescent="0.2">
      <c r="B2" s="26" t="s">
        <v>99</v>
      </c>
      <c r="C2" s="27"/>
      <c r="D2" s="27"/>
      <c r="E2" s="27"/>
      <c r="F2" s="27"/>
      <c r="G2" s="27"/>
      <c r="H2" s="27"/>
      <c r="I2" s="27"/>
      <c r="J2" s="27"/>
      <c r="K2" s="27"/>
      <c r="L2" s="27"/>
      <c r="M2" s="27"/>
      <c r="N2" s="290" t="s">
        <v>100</v>
      </c>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7"/>
      <c r="AV2" s="27"/>
      <c r="AW2" s="27"/>
    </row>
    <row r="3" spans="2:49" s="32" customFormat="1" ht="12" x14ac:dyDescent="0.2"/>
    <row r="5" spans="2:49" x14ac:dyDescent="0.2">
      <c r="B5" s="254"/>
      <c r="C5" s="256" t="s">
        <v>101</v>
      </c>
      <c r="D5" s="221" t="s">
        <v>102</v>
      </c>
    </row>
    <row r="7" spans="2:49" x14ac:dyDescent="0.2">
      <c r="B7" s="255"/>
      <c r="C7" s="256" t="s">
        <v>101</v>
      </c>
      <c r="D7" s="221" t="s">
        <v>103</v>
      </c>
      <c r="G7" s="257"/>
      <c r="H7" s="257"/>
    </row>
    <row r="9" spans="2:49" x14ac:dyDescent="0.2">
      <c r="B9" s="198" t="s">
        <v>19</v>
      </c>
      <c r="C9" s="256" t="s">
        <v>101</v>
      </c>
      <c r="D9" s="221" t="s">
        <v>104</v>
      </c>
    </row>
    <row r="11" spans="2:49" x14ac:dyDescent="0.2">
      <c r="B11" s="198" t="s">
        <v>14</v>
      </c>
      <c r="C11" s="256" t="s">
        <v>101</v>
      </c>
      <c r="D11" s="221" t="s">
        <v>105</v>
      </c>
    </row>
    <row r="12" spans="2:49" ht="16" thickBot="1" x14ac:dyDescent="0.25">
      <c r="C12" s="256"/>
    </row>
    <row r="13" spans="2:49" ht="16" thickBot="1" x14ac:dyDescent="0.25">
      <c r="B13" s="282"/>
      <c r="C13" s="256" t="s">
        <v>101</v>
      </c>
      <c r="D13" s="221" t="s">
        <v>106</v>
      </c>
    </row>
    <row r="14" spans="2:49" x14ac:dyDescent="0.2">
      <c r="C14" s="256"/>
    </row>
    <row r="15" spans="2:49" x14ac:dyDescent="0.2">
      <c r="B15" s="276"/>
      <c r="C15" s="256" t="s">
        <v>101</v>
      </c>
      <c r="D15" s="221" t="s">
        <v>107</v>
      </c>
    </row>
    <row r="16" spans="2:49" x14ac:dyDescent="0.2">
      <c r="C16" s="256"/>
    </row>
    <row r="17" spans="2:10" x14ac:dyDescent="0.2">
      <c r="C17" s="256"/>
    </row>
    <row r="18" spans="2:10" ht="20" x14ac:dyDescent="0.2">
      <c r="B18" s="2" t="s">
        <v>108</v>
      </c>
      <c r="C18" s="256"/>
      <c r="E18" s="307" t="s">
        <v>109</v>
      </c>
      <c r="F18" s="307"/>
      <c r="G18" s="307"/>
      <c r="H18" s="307"/>
      <c r="I18" s="307"/>
      <c r="J18" s="307"/>
    </row>
    <row r="19" spans="2:10" x14ac:dyDescent="0.2">
      <c r="C19" s="256"/>
    </row>
    <row r="20" spans="2:10" x14ac:dyDescent="0.2">
      <c r="B20" s="221" t="s">
        <v>0</v>
      </c>
      <c r="C20" s="256"/>
    </row>
    <row r="21" spans="2:10" x14ac:dyDescent="0.2">
      <c r="B21" s="221" t="s">
        <v>110</v>
      </c>
      <c r="C21" s="256"/>
    </row>
    <row r="24" spans="2:10" ht="20" x14ac:dyDescent="0.2">
      <c r="B24" s="2" t="s">
        <v>111</v>
      </c>
    </row>
    <row r="26" spans="2:10" x14ac:dyDescent="0.2">
      <c r="B26" s="221" t="s">
        <v>112</v>
      </c>
    </row>
    <row r="28" spans="2:10" ht="17" thickBot="1" x14ac:dyDescent="0.25">
      <c r="B28" s="261" t="s">
        <v>113</v>
      </c>
    </row>
    <row r="29" spans="2:10" ht="16" thickBot="1" x14ac:dyDescent="0.25">
      <c r="B29" s="221" t="s">
        <v>114</v>
      </c>
      <c r="F29" s="283">
        <f>YEAR(Stamdata!B14)-YEAR(Stamdata!B17)</f>
        <v>0</v>
      </c>
    </row>
    <row r="32" spans="2:10" ht="16" x14ac:dyDescent="0.2">
      <c r="B32" s="261" t="s">
        <v>115</v>
      </c>
    </row>
    <row r="33" spans="2:9" ht="16" thickBot="1" x14ac:dyDescent="0.25"/>
    <row r="34" spans="2:9" ht="16" thickBot="1" x14ac:dyDescent="0.25">
      <c r="B34" s="221" t="s">
        <v>116</v>
      </c>
      <c r="F34" s="283">
        <f>Hovedresultater!D29-Delresultater!D98</f>
        <v>0</v>
      </c>
    </row>
    <row r="35" spans="2:9" ht="16" thickBot="1" x14ac:dyDescent="0.25">
      <c r="B35" s="221" t="s">
        <v>117</v>
      </c>
      <c r="F35" s="283">
        <f>'Hovedresultater (GHG)'!D25-'Delresultater (GHG)'!G98</f>
        <v>0</v>
      </c>
    </row>
    <row r="36" spans="2:9" ht="16" thickBot="1" x14ac:dyDescent="0.25">
      <c r="B36" s="221" t="s">
        <v>118</v>
      </c>
      <c r="F36" s="283">
        <f>Hovedresultater!D29-'Delresultater (GHG)'!G98</f>
        <v>0</v>
      </c>
    </row>
    <row r="39" spans="2:9" ht="16" x14ac:dyDescent="0.2">
      <c r="B39" s="261" t="s">
        <v>119</v>
      </c>
    </row>
    <row r="41" spans="2:9" ht="16" thickBot="1" x14ac:dyDescent="0.25">
      <c r="B41" s="263" t="s">
        <v>120</v>
      </c>
      <c r="C41" s="263"/>
      <c r="D41" s="263"/>
      <c r="F41" s="263" t="s">
        <v>121</v>
      </c>
      <c r="G41" s="263"/>
      <c r="H41" s="263"/>
      <c r="I41" s="263" t="s">
        <v>111</v>
      </c>
    </row>
    <row r="42" spans="2:9" ht="16" thickBot="1" x14ac:dyDescent="0.25">
      <c r="B42" s="221" t="s">
        <v>122</v>
      </c>
      <c r="F42" s="221" t="s">
        <v>123</v>
      </c>
      <c r="I42" s="283">
        <f>Hovedresultater!E29-1</f>
        <v>0</v>
      </c>
    </row>
    <row r="43" spans="2:9" ht="16" thickBot="1" x14ac:dyDescent="0.25">
      <c r="B43" s="221" t="s">
        <v>124</v>
      </c>
      <c r="F43" s="221" t="s">
        <v>123</v>
      </c>
      <c r="I43" s="283">
        <f>Delresultater!E98-1</f>
        <v>0</v>
      </c>
    </row>
    <row r="44" spans="2:9" ht="16" thickBot="1" x14ac:dyDescent="0.25">
      <c r="B44" s="221" t="s">
        <v>125</v>
      </c>
      <c r="F44" s="221" t="s">
        <v>123</v>
      </c>
      <c r="I44" s="283">
        <f>'Hovedresultater (GHG)'!E25-1</f>
        <v>0</v>
      </c>
    </row>
    <row r="45" spans="2:9" ht="16" thickBot="1" x14ac:dyDescent="0.25"/>
    <row r="46" spans="2:9" ht="16" thickBot="1" x14ac:dyDescent="0.25">
      <c r="B46" s="264" t="s">
        <v>126</v>
      </c>
      <c r="F46" s="221" t="s">
        <v>127</v>
      </c>
      <c r="I46" s="284" t="e">
        <f>'E-nøgletal (ESG)'!#REF!</f>
        <v>#REF!</v>
      </c>
    </row>
    <row r="47" spans="2:9" ht="16" thickBot="1" x14ac:dyDescent="0.25">
      <c r="B47" s="264" t="s">
        <v>128</v>
      </c>
      <c r="F47" s="221" t="s">
        <v>127</v>
      </c>
      <c r="I47" s="284" t="e">
        <f>'E-nøgletal (ESG)'!#REF!</f>
        <v>#REF!</v>
      </c>
    </row>
    <row r="48" spans="2:9" ht="16" thickBot="1" x14ac:dyDescent="0.25">
      <c r="B48" s="264" t="s">
        <v>129</v>
      </c>
      <c r="F48" s="221" t="s">
        <v>127</v>
      </c>
      <c r="I48" s="284" t="e">
        <f>'E-nøgletal (ESG)'!#REF!</f>
        <v>#REF!</v>
      </c>
    </row>
    <row r="51" spans="2:23" ht="16" x14ac:dyDescent="0.2">
      <c r="B51" s="261" t="s">
        <v>130</v>
      </c>
    </row>
    <row r="53" spans="2:23" x14ac:dyDescent="0.2">
      <c r="B53" s="221" t="s">
        <v>131</v>
      </c>
    </row>
    <row r="54" spans="2:23" ht="16" thickBot="1" x14ac:dyDescent="0.25"/>
    <row r="55" spans="2:23" ht="16" thickBot="1" x14ac:dyDescent="0.25">
      <c r="B55" s="221" t="s">
        <v>132</v>
      </c>
      <c r="E55" s="285">
        <f>'Fremskrivning - Hovedresultater'!D28-LOOKUP('Fremskrivning - Hovedresultater'!C11,'Fremskrivning - Delresultater'!D15:X15,'Fremskrivning - Delresultater'!D19:X19)</f>
        <v>0</v>
      </c>
      <c r="G55" s="221" t="s">
        <v>133</v>
      </c>
      <c r="J55" s="285">
        <f>'Fremskrivning - Hovedresultater'!E28-LOOKUP('Fremskrivning - Hovedresultater'!D11,'Fremskrivning - Delresultater'!D15:X15,'Fremskrivning - Delresultater'!D19:X19)</f>
        <v>0</v>
      </c>
    </row>
    <row r="57" spans="2:23" ht="16" thickBot="1" x14ac:dyDescent="0.25">
      <c r="B57" s="221" t="s">
        <v>134</v>
      </c>
    </row>
    <row r="58" spans="2:23" ht="16" thickBot="1" x14ac:dyDescent="0.25">
      <c r="B58" s="286" t="s">
        <v>31</v>
      </c>
      <c r="C58" s="286">
        <v>2015</v>
      </c>
      <c r="D58" s="286">
        <v>2016</v>
      </c>
      <c r="E58" s="286">
        <v>2017</v>
      </c>
      <c r="F58" s="286">
        <v>2018</v>
      </c>
      <c r="G58" s="286">
        <v>2019</v>
      </c>
      <c r="H58" s="286">
        <v>2020</v>
      </c>
      <c r="I58" s="286">
        <v>2021</v>
      </c>
      <c r="J58" s="286">
        <v>2022</v>
      </c>
      <c r="K58" s="286">
        <v>2023</v>
      </c>
      <c r="L58" s="286">
        <v>2024</v>
      </c>
      <c r="M58" s="286">
        <v>2025</v>
      </c>
      <c r="N58" s="286">
        <v>2026</v>
      </c>
      <c r="O58" s="286">
        <v>2027</v>
      </c>
      <c r="P58" s="286">
        <v>2028</v>
      </c>
      <c r="Q58" s="286">
        <v>2029</v>
      </c>
      <c r="R58" s="286">
        <v>2030</v>
      </c>
      <c r="S58" s="286">
        <v>2031</v>
      </c>
      <c r="T58" s="286">
        <v>2032</v>
      </c>
      <c r="U58" s="286">
        <v>2033</v>
      </c>
      <c r="V58" s="286">
        <v>2034</v>
      </c>
      <c r="W58" s="286">
        <v>2035</v>
      </c>
    </row>
    <row r="59" spans="2:23" ht="16" thickBot="1" x14ac:dyDescent="0.25">
      <c r="B59" s="287" t="s">
        <v>111</v>
      </c>
      <c r="C59" s="285">
        <f>'Fremskrivning - Delresultater'!D19-'Fremskrivning - Delresultater'!G109</f>
        <v>0</v>
      </c>
      <c r="D59" s="285">
        <f>'Fremskrivning - Delresultater'!E19-'Fremskrivning - Delresultater'!K109</f>
        <v>0</v>
      </c>
      <c r="E59" s="285">
        <f>'Fremskrivning - Delresultater'!F19-'Fremskrivning - Delresultater'!O109</f>
        <v>0</v>
      </c>
      <c r="F59" s="285">
        <f>'Fremskrivning - Delresultater'!G19-'Fremskrivning - Delresultater'!S109</f>
        <v>0</v>
      </c>
      <c r="G59" s="285">
        <f>'Fremskrivning - Delresultater'!H19-'Fremskrivning - Delresultater'!W109</f>
        <v>0</v>
      </c>
      <c r="H59" s="285">
        <f>'Fremskrivning - Delresultater'!I19-'Fremskrivning - Delresultater'!AA109</f>
        <v>0</v>
      </c>
      <c r="I59" s="285">
        <f>'Fremskrivning - Delresultater'!J19-'Fremskrivning - Delresultater'!AE109</f>
        <v>0</v>
      </c>
      <c r="J59" s="285">
        <f>'Fremskrivning - Delresultater'!K19-'Fremskrivning - Delresultater'!AI109</f>
        <v>0</v>
      </c>
      <c r="K59" s="285">
        <f>'Fremskrivning - Delresultater'!L19-'Fremskrivning - Delresultater'!AM109</f>
        <v>0</v>
      </c>
      <c r="L59" s="285">
        <f>'Fremskrivning - Delresultater'!M19-'Fremskrivning - Delresultater'!AQ109</f>
        <v>0</v>
      </c>
      <c r="M59" s="285">
        <f>'Fremskrivning - Delresultater'!N19-'Fremskrivning - Delresultater'!AU109</f>
        <v>0</v>
      </c>
      <c r="N59" s="285">
        <f>'Fremskrivning - Delresultater'!O19-'Fremskrivning - Delresultater'!AY109</f>
        <v>0</v>
      </c>
      <c r="O59" s="285">
        <f>'Fremskrivning - Delresultater'!P19-'Fremskrivning - Delresultater'!BC109</f>
        <v>0</v>
      </c>
      <c r="P59" s="285">
        <f>'Fremskrivning - Delresultater'!Q19-'Fremskrivning - Delresultater'!BG109</f>
        <v>0</v>
      </c>
      <c r="Q59" s="285">
        <f>'Fremskrivning - Delresultater'!R19-'Fremskrivning - Delresultater'!BK109</f>
        <v>0</v>
      </c>
      <c r="R59" s="285">
        <f>'Fremskrivning - Delresultater'!S19-'Fremskrivning - Delresultater'!BO109</f>
        <v>0</v>
      </c>
      <c r="S59" s="285">
        <f>'Fremskrivning - Delresultater'!T19-'Fremskrivning - Delresultater'!BS109</f>
        <v>0</v>
      </c>
      <c r="T59" s="285">
        <f>'Fremskrivning - Delresultater'!U19-'Fremskrivning - Delresultater'!BW109</f>
        <v>0</v>
      </c>
      <c r="U59" s="285">
        <f>'Fremskrivning - Delresultater'!V19-'Fremskrivning - Delresultater'!CA109</f>
        <v>0</v>
      </c>
      <c r="V59" s="285">
        <f>'Fremskrivning - Delresultater'!W19-'Fremskrivning - Delresultater'!CE109</f>
        <v>0</v>
      </c>
      <c r="W59" s="285">
        <f>'Fremskrivning - Delresultater'!X19-'Fremskrivning - Delresultater'!CI109</f>
        <v>0</v>
      </c>
    </row>
    <row r="62" spans="2:23" ht="16" x14ac:dyDescent="0.2">
      <c r="B62" s="261" t="s">
        <v>135</v>
      </c>
    </row>
    <row r="63" spans="2:23" ht="16" thickBot="1" x14ac:dyDescent="0.25"/>
    <row r="64" spans="2:23" ht="16" thickBot="1" x14ac:dyDescent="0.25">
      <c r="B64" s="221" t="s">
        <v>136</v>
      </c>
      <c r="K64" s="277">
        <f>MAX(2030,'Fremskrivning - Hovedresultater'!C11+10)-Reduktionsmålsætning!D15</f>
        <v>0</v>
      </c>
      <c r="L64" s="221" t="s">
        <v>137</v>
      </c>
    </row>
    <row r="65" spans="2:28" ht="16" thickBot="1" x14ac:dyDescent="0.25">
      <c r="B65" s="221" t="s">
        <v>138</v>
      </c>
      <c r="K65" s="277">
        <f>MAX(2030,'Fremskrivning - Hovedresultater'!C11+10)-Reduktionsmålsætning!D69</f>
        <v>0</v>
      </c>
      <c r="L65" s="221" t="s">
        <v>137</v>
      </c>
    </row>
    <row r="66" spans="2:28" ht="16" thickBot="1" x14ac:dyDescent="0.25">
      <c r="B66" s="221" t="s">
        <v>139</v>
      </c>
      <c r="K66" s="277">
        <f>2050-Reduktionsmålsætning!D124</f>
        <v>0</v>
      </c>
      <c r="L66" s="221" t="s">
        <v>137</v>
      </c>
    </row>
    <row r="67" spans="2:28" ht="16" thickBot="1" x14ac:dyDescent="0.25"/>
    <row r="68" spans="2:28" ht="16" thickBot="1" x14ac:dyDescent="0.25">
      <c r="B68" s="221" t="s">
        <v>140</v>
      </c>
      <c r="K68" s="288">
        <f>1-Reduktionsmålsætning!D16</f>
        <v>0.35</v>
      </c>
      <c r="L68" s="221" t="s">
        <v>141</v>
      </c>
    </row>
    <row r="69" spans="2:28" ht="16" thickBot="1" x14ac:dyDescent="0.25">
      <c r="B69" s="221" t="s">
        <v>142</v>
      </c>
      <c r="K69" s="288">
        <f>1-Reduktionsmålsætning!D70</f>
        <v>0.35</v>
      </c>
      <c r="L69" s="221" t="s">
        <v>141</v>
      </c>
    </row>
    <row r="70" spans="2:28" ht="16" thickBot="1" x14ac:dyDescent="0.25">
      <c r="B70" s="221" t="s">
        <v>143</v>
      </c>
      <c r="K70" s="288">
        <f>1-Reduktionsmålsætning!D125</f>
        <v>9.9999999999999978E-2</v>
      </c>
      <c r="L70" s="221" t="s">
        <v>141</v>
      </c>
    </row>
    <row r="73" spans="2:28" ht="16" x14ac:dyDescent="0.2">
      <c r="B73" s="261" t="s">
        <v>144</v>
      </c>
    </row>
    <row r="75" spans="2:28" x14ac:dyDescent="0.2">
      <c r="B75" s="221" t="s">
        <v>145</v>
      </c>
    </row>
    <row r="76" spans="2:28" ht="16" thickBot="1" x14ac:dyDescent="0.25"/>
    <row r="77" spans="2:28" ht="16" thickBot="1" x14ac:dyDescent="0.25">
      <c r="B77" s="552" t="s">
        <v>146</v>
      </c>
      <c r="C77" s="553"/>
      <c r="D77" s="553"/>
      <c r="E77" s="553"/>
      <c r="F77" s="553"/>
      <c r="G77" s="558" t="s">
        <v>147</v>
      </c>
      <c r="H77" s="560"/>
      <c r="I77" s="558" t="s">
        <v>148</v>
      </c>
      <c r="J77" s="559"/>
      <c r="K77" s="559"/>
      <c r="L77" s="560"/>
      <c r="M77" s="552" t="s">
        <v>149</v>
      </c>
      <c r="N77" s="553"/>
      <c r="O77" s="553"/>
      <c r="P77" s="553"/>
      <c r="Q77" s="553"/>
      <c r="R77" s="553"/>
      <c r="S77" s="553"/>
      <c r="T77" s="553"/>
      <c r="U77" s="553"/>
      <c r="V77" s="553"/>
      <c r="W77" s="553"/>
      <c r="X77" s="553"/>
      <c r="Y77" s="553"/>
      <c r="Z77" s="553"/>
      <c r="AA77" s="553"/>
      <c r="AB77" s="554"/>
    </row>
    <row r="78" spans="2:28" ht="16" x14ac:dyDescent="0.2">
      <c r="B78" s="561" t="s">
        <v>150</v>
      </c>
      <c r="C78" s="562"/>
      <c r="D78" s="562"/>
      <c r="E78" s="562"/>
      <c r="F78" s="563"/>
      <c r="G78" s="541"/>
      <c r="H78" s="543"/>
      <c r="I78" s="567"/>
      <c r="J78" s="568"/>
      <c r="K78" s="568"/>
      <c r="L78" s="569"/>
      <c r="M78" s="535"/>
      <c r="N78" s="536"/>
      <c r="O78" s="536"/>
      <c r="P78" s="536"/>
      <c r="Q78" s="536"/>
      <c r="R78" s="536"/>
      <c r="S78" s="536"/>
      <c r="T78" s="536"/>
      <c r="U78" s="536"/>
      <c r="V78" s="536"/>
      <c r="W78" s="536"/>
      <c r="X78" s="536"/>
      <c r="Y78" s="536"/>
      <c r="Z78" s="536"/>
      <c r="AA78" s="536"/>
      <c r="AB78" s="537"/>
    </row>
    <row r="79" spans="2:28" x14ac:dyDescent="0.2">
      <c r="B79" s="564" t="s">
        <v>151</v>
      </c>
      <c r="C79" s="565"/>
      <c r="D79" s="565"/>
      <c r="E79" s="565"/>
      <c r="F79" s="566"/>
      <c r="G79" s="544" t="s">
        <v>152</v>
      </c>
      <c r="H79" s="545"/>
      <c r="I79" s="541"/>
      <c r="J79" s="542"/>
      <c r="K79" s="542"/>
      <c r="L79" s="543"/>
      <c r="M79" s="532"/>
      <c r="N79" s="533"/>
      <c r="O79" s="533"/>
      <c r="P79" s="533"/>
      <c r="Q79" s="533"/>
      <c r="R79" s="533"/>
      <c r="S79" s="533"/>
      <c r="T79" s="533"/>
      <c r="U79" s="533"/>
      <c r="V79" s="533"/>
      <c r="W79" s="533"/>
      <c r="X79" s="533"/>
      <c r="Y79" s="533"/>
      <c r="Z79" s="533"/>
      <c r="AA79" s="533"/>
      <c r="AB79" s="534"/>
    </row>
    <row r="80" spans="2:28" x14ac:dyDescent="0.2">
      <c r="B80" s="538" t="s">
        <v>113</v>
      </c>
      <c r="C80" s="539"/>
      <c r="D80" s="539"/>
      <c r="E80" s="539"/>
      <c r="F80" s="540"/>
      <c r="G80" s="541" t="s">
        <v>153</v>
      </c>
      <c r="H80" s="543"/>
      <c r="I80" s="541" t="s">
        <v>154</v>
      </c>
      <c r="J80" s="542"/>
      <c r="K80" s="542"/>
      <c r="L80" s="543"/>
      <c r="M80" s="532" t="str">
        <f>IF(OR(ISBLANK(Stamdata!B14),ISTEXT(Stamdata!B14)),"Se Start dato under stamdata mangler eller bruger ikke format DATO(yyy,mm,dd)","Fejlbeskeden installeret på siderne Stamdata og Fremskrivnings - Hovedresultater. Bør ikke fejle, da dato er obligatorisk, men format skal være korrekt.")</f>
        <v>Fejlbeskeden installeret på siderne Stamdata og Fremskrivnings - Hovedresultater. Bør ikke fejle, da dato er obligatorisk, men format skal være korrekt.</v>
      </c>
      <c r="N80" s="533"/>
      <c r="O80" s="533"/>
      <c r="P80" s="533"/>
      <c r="Q80" s="533"/>
      <c r="R80" s="533"/>
      <c r="S80" s="533"/>
      <c r="T80" s="533"/>
      <c r="U80" s="533"/>
      <c r="V80" s="533"/>
      <c r="W80" s="533"/>
      <c r="X80" s="533"/>
      <c r="Y80" s="533"/>
      <c r="Z80" s="533"/>
      <c r="AA80" s="533"/>
      <c r="AB80" s="534"/>
    </row>
    <row r="81" spans="2:28" x14ac:dyDescent="0.2">
      <c r="B81" s="538" t="s">
        <v>155</v>
      </c>
      <c r="C81" s="539"/>
      <c r="D81" s="539"/>
      <c r="E81" s="539"/>
      <c r="F81" s="540"/>
      <c r="G81" s="544" t="s">
        <v>152</v>
      </c>
      <c r="H81" s="545"/>
      <c r="I81" s="541"/>
      <c r="J81" s="542"/>
      <c r="K81" s="542"/>
      <c r="L81" s="543"/>
      <c r="M81" s="532"/>
      <c r="N81" s="533"/>
      <c r="O81" s="533"/>
      <c r="P81" s="533"/>
      <c r="Q81" s="533"/>
      <c r="R81" s="533"/>
      <c r="S81" s="533"/>
      <c r="T81" s="533"/>
      <c r="U81" s="533"/>
      <c r="V81" s="533"/>
      <c r="W81" s="533"/>
      <c r="X81" s="533"/>
      <c r="Y81" s="533"/>
      <c r="Z81" s="533"/>
      <c r="AA81" s="533"/>
      <c r="AB81" s="534"/>
    </row>
    <row r="82" spans="2:28" x14ac:dyDescent="0.2">
      <c r="B82" s="532"/>
      <c r="C82" s="533"/>
      <c r="D82" s="533"/>
      <c r="E82" s="533"/>
      <c r="F82" s="534"/>
      <c r="G82" s="541"/>
      <c r="H82" s="543"/>
      <c r="I82" s="541"/>
      <c r="J82" s="542"/>
      <c r="K82" s="542"/>
      <c r="L82" s="543"/>
      <c r="M82" s="532"/>
      <c r="N82" s="533"/>
      <c r="O82" s="533"/>
      <c r="P82" s="533"/>
      <c r="Q82" s="533"/>
      <c r="R82" s="533"/>
      <c r="S82" s="533"/>
      <c r="T82" s="533"/>
      <c r="U82" s="533"/>
      <c r="V82" s="533"/>
      <c r="W82" s="533"/>
      <c r="X82" s="533"/>
      <c r="Y82" s="533"/>
      <c r="Z82" s="533"/>
      <c r="AA82" s="533"/>
      <c r="AB82" s="534"/>
    </row>
    <row r="83" spans="2:28" ht="16" x14ac:dyDescent="0.2">
      <c r="B83" s="549" t="s">
        <v>156</v>
      </c>
      <c r="C83" s="550"/>
      <c r="D83" s="550"/>
      <c r="E83" s="550"/>
      <c r="F83" s="551"/>
      <c r="G83" s="541"/>
      <c r="H83" s="543"/>
      <c r="I83" s="541"/>
      <c r="J83" s="542"/>
      <c r="K83" s="542"/>
      <c r="L83" s="543"/>
      <c r="M83" s="532"/>
      <c r="N83" s="533"/>
      <c r="O83" s="533"/>
      <c r="P83" s="533"/>
      <c r="Q83" s="533"/>
      <c r="R83" s="533"/>
      <c r="S83" s="533"/>
      <c r="T83" s="533"/>
      <c r="U83" s="533"/>
      <c r="V83" s="533"/>
      <c r="W83" s="533"/>
      <c r="X83" s="533"/>
      <c r="Y83" s="533"/>
      <c r="Z83" s="533"/>
      <c r="AA83" s="533"/>
      <c r="AB83" s="534"/>
    </row>
    <row r="84" spans="2:28" x14ac:dyDescent="0.2">
      <c r="B84" s="538" t="s">
        <v>157</v>
      </c>
      <c r="C84" s="539"/>
      <c r="D84" s="539"/>
      <c r="E84" s="539"/>
      <c r="F84" s="540"/>
      <c r="G84" s="541" t="s">
        <v>158</v>
      </c>
      <c r="H84" s="543"/>
      <c r="I84" s="541" t="s">
        <v>159</v>
      </c>
      <c r="J84" s="542"/>
      <c r="K84" s="542"/>
      <c r="L84" s="543"/>
      <c r="M84" s="532" t="s">
        <v>160</v>
      </c>
      <c r="N84" s="533"/>
      <c r="O84" s="533"/>
      <c r="P84" s="533"/>
      <c r="Q84" s="533"/>
      <c r="R84" s="533"/>
      <c r="S84" s="533"/>
      <c r="T84" s="533"/>
      <c r="U84" s="533"/>
      <c r="V84" s="533"/>
      <c r="W84" s="533"/>
      <c r="X84" s="533"/>
      <c r="Y84" s="533"/>
      <c r="Z84" s="533"/>
      <c r="AA84" s="533"/>
      <c r="AB84" s="534"/>
    </row>
    <row r="85" spans="2:28" x14ac:dyDescent="0.2">
      <c r="B85" s="538" t="s">
        <v>161</v>
      </c>
      <c r="C85" s="539"/>
      <c r="D85" s="539"/>
      <c r="E85" s="539"/>
      <c r="F85" s="540"/>
      <c r="G85" s="544" t="s">
        <v>152</v>
      </c>
      <c r="H85" s="545"/>
      <c r="I85" s="541"/>
      <c r="J85" s="542"/>
      <c r="K85" s="542"/>
      <c r="L85" s="543"/>
      <c r="M85" s="532"/>
      <c r="N85" s="533"/>
      <c r="O85" s="533"/>
      <c r="P85" s="533"/>
      <c r="Q85" s="533"/>
      <c r="R85" s="533"/>
      <c r="S85" s="533"/>
      <c r="T85" s="533"/>
      <c r="U85" s="533"/>
      <c r="V85" s="533"/>
      <c r="W85" s="533"/>
      <c r="X85" s="533"/>
      <c r="Y85" s="533"/>
      <c r="Z85" s="533"/>
      <c r="AA85" s="533"/>
      <c r="AB85" s="534"/>
    </row>
    <row r="86" spans="2:28" x14ac:dyDescent="0.2">
      <c r="B86" s="538" t="s">
        <v>162</v>
      </c>
      <c r="C86" s="539"/>
      <c r="D86" s="539"/>
      <c r="E86" s="539"/>
      <c r="F86" s="540"/>
      <c r="G86" s="544" t="s">
        <v>152</v>
      </c>
      <c r="H86" s="545"/>
      <c r="I86" s="541"/>
      <c r="J86" s="542"/>
      <c r="K86" s="542"/>
      <c r="L86" s="543"/>
      <c r="M86" s="532"/>
      <c r="N86" s="533"/>
      <c r="O86" s="533"/>
      <c r="P86" s="533"/>
      <c r="Q86" s="533"/>
      <c r="R86" s="533"/>
      <c r="S86" s="533"/>
      <c r="T86" s="533"/>
      <c r="U86" s="533"/>
      <c r="V86" s="533"/>
      <c r="W86" s="533"/>
      <c r="X86" s="533"/>
      <c r="Y86" s="533"/>
      <c r="Z86" s="533"/>
      <c r="AA86" s="533"/>
      <c r="AB86" s="534"/>
    </row>
    <row r="87" spans="2:28" x14ac:dyDescent="0.2">
      <c r="B87" s="538" t="s">
        <v>163</v>
      </c>
      <c r="C87" s="539"/>
      <c r="D87" s="539"/>
      <c r="E87" s="539"/>
      <c r="F87" s="540"/>
      <c r="G87" s="541" t="s">
        <v>164</v>
      </c>
      <c r="H87" s="543"/>
      <c r="I87" s="541" t="s">
        <v>159</v>
      </c>
      <c r="J87" s="542"/>
      <c r="K87" s="542"/>
      <c r="L87" s="543"/>
      <c r="M87" s="532" t="str">
        <f>IF(OR(SUM('Delresultater (GHG)'!D98:E98)=0,'Delresultater (GHG)'!F98=0),"Enten er summen af scopes 1 og 2 eller scope 3 lige med 0 tons.","Både Scopes 1+2 og scope 3 har en værdier over 0 ton.")</f>
        <v>Både Scopes 1+2 og scope 3 har en værdier over 0 ton.</v>
      </c>
      <c r="N87" s="533"/>
      <c r="O87" s="533"/>
      <c r="P87" s="533"/>
      <c r="Q87" s="533"/>
      <c r="R87" s="533"/>
      <c r="S87" s="533"/>
      <c r="T87" s="533"/>
      <c r="U87" s="533"/>
      <c r="V87" s="533"/>
      <c r="W87" s="533"/>
      <c r="X87" s="533"/>
      <c r="Y87" s="533"/>
      <c r="Z87" s="533"/>
      <c r="AA87" s="533"/>
      <c r="AB87" s="534"/>
    </row>
    <row r="88" spans="2:28" x14ac:dyDescent="0.2">
      <c r="B88" s="538" t="s">
        <v>165</v>
      </c>
      <c r="C88" s="539"/>
      <c r="D88" s="539"/>
      <c r="E88" s="539"/>
      <c r="F88" s="540"/>
      <c r="G88" s="541" t="s">
        <v>164</v>
      </c>
      <c r="H88" s="543"/>
      <c r="I88" s="541" t="s">
        <v>159</v>
      </c>
      <c r="J88" s="542"/>
      <c r="K88" s="542"/>
      <c r="L88" s="543"/>
      <c r="M88" s="532" t="str">
        <f>IF(OR('E-nøgletal (ESG)'!E69&gt;'E-nøgletal (ESG)'!E68,'E-nøgletal (ESG)'!E70&gt;'E-nøgletal (ESG)'!E68),"Mængde af farligt og/eller genanvendt affald er større end den total mængde af affald","Både mængde af farligt og genavnvendt affald er mindre eller lige med den total mængde affald.")</f>
        <v>Mængde af farligt og/eller genanvendt affald er større end den total mængde af affald</v>
      </c>
      <c r="N88" s="533"/>
      <c r="O88" s="533"/>
      <c r="P88" s="533"/>
      <c r="Q88" s="533"/>
      <c r="R88" s="533"/>
      <c r="S88" s="533"/>
      <c r="T88" s="533"/>
      <c r="U88" s="533"/>
      <c r="V88" s="533"/>
      <c r="W88" s="533"/>
      <c r="X88" s="533"/>
      <c r="Y88" s="533"/>
      <c r="Z88" s="533"/>
      <c r="AA88" s="533"/>
      <c r="AB88" s="534"/>
    </row>
    <row r="89" spans="2:28" x14ac:dyDescent="0.2">
      <c r="B89" s="538" t="s">
        <v>166</v>
      </c>
      <c r="C89" s="539"/>
      <c r="D89" s="539"/>
      <c r="E89" s="539"/>
      <c r="F89" s="540"/>
      <c r="G89" s="541" t="s">
        <v>164</v>
      </c>
      <c r="H89" s="543"/>
      <c r="I89" s="541" t="s">
        <v>159</v>
      </c>
      <c r="J89" s="542"/>
      <c r="K89" s="542"/>
      <c r="L89" s="543"/>
      <c r="M89" s="532" t="str">
        <f>IF('Scope 3 kategorier'!E37&gt;'Delresultater (GHG)'!F98,"Summen af scope 3 kategorier udledninger er større end summen af alle scope 3 udledninger.","")</f>
        <v/>
      </c>
      <c r="N89" s="533"/>
      <c r="O89" s="533"/>
      <c r="P89" s="533"/>
      <c r="Q89" s="533"/>
      <c r="R89" s="533"/>
      <c r="S89" s="533"/>
      <c r="T89" s="533"/>
      <c r="U89" s="533"/>
      <c r="V89" s="533"/>
      <c r="W89" s="533"/>
      <c r="X89" s="533"/>
      <c r="Y89" s="533"/>
      <c r="Z89" s="533"/>
      <c r="AA89" s="533"/>
      <c r="AB89" s="534"/>
    </row>
    <row r="90" spans="2:28" x14ac:dyDescent="0.2">
      <c r="B90" s="538" t="s">
        <v>167</v>
      </c>
      <c r="C90" s="539"/>
      <c r="D90" s="539"/>
      <c r="E90" s="539"/>
      <c r="F90" s="540"/>
      <c r="G90" s="541" t="s">
        <v>164</v>
      </c>
      <c r="H90" s="543"/>
      <c r="I90" s="541" t="s">
        <v>159</v>
      </c>
      <c r="J90" s="542"/>
      <c r="K90" s="542"/>
      <c r="L90" s="543"/>
      <c r="M90" s="532" t="str">
        <f>IF(OR('Største udledningsposter'!E61&gt;'Delresultater (GHG)'!D98,'Største udledningsposter'!F61&gt;'Delresultater (GHG)'!E98,'Største udledningsposter'!G61&gt;'Delresultater (GHG)'!F98),"En af scopes for de 30 største poster er større end summen af alle poster for den samme scope","")</f>
        <v/>
      </c>
      <c r="N90" s="533"/>
      <c r="O90" s="533"/>
      <c r="P90" s="533"/>
      <c r="Q90" s="533"/>
      <c r="R90" s="533"/>
      <c r="S90" s="533"/>
      <c r="T90" s="533"/>
      <c r="U90" s="533"/>
      <c r="V90" s="533"/>
      <c r="W90" s="533"/>
      <c r="X90" s="533"/>
      <c r="Y90" s="533"/>
      <c r="Z90" s="533"/>
      <c r="AA90" s="533"/>
      <c r="AB90" s="534"/>
    </row>
    <row r="91" spans="2:28" x14ac:dyDescent="0.2">
      <c r="B91" s="532"/>
      <c r="C91" s="533"/>
      <c r="D91" s="533"/>
      <c r="E91" s="533"/>
      <c r="F91" s="534"/>
      <c r="G91" s="541"/>
      <c r="H91" s="543"/>
      <c r="I91" s="541"/>
      <c r="J91" s="542"/>
      <c r="K91" s="542"/>
      <c r="L91" s="543"/>
      <c r="M91" s="532"/>
      <c r="N91" s="533"/>
      <c r="O91" s="533"/>
      <c r="P91" s="533"/>
      <c r="Q91" s="533"/>
      <c r="R91" s="533"/>
      <c r="S91" s="533"/>
      <c r="T91" s="533"/>
      <c r="U91" s="533"/>
      <c r="V91" s="533"/>
      <c r="W91" s="533"/>
      <c r="X91" s="533"/>
      <c r="Y91" s="533"/>
      <c r="Z91" s="533"/>
      <c r="AA91" s="533"/>
      <c r="AB91" s="534"/>
    </row>
    <row r="92" spans="2:28" ht="16" x14ac:dyDescent="0.2">
      <c r="B92" s="549" t="s">
        <v>168</v>
      </c>
      <c r="C92" s="550"/>
      <c r="D92" s="550"/>
      <c r="E92" s="550"/>
      <c r="F92" s="551"/>
      <c r="G92" s="541"/>
      <c r="H92" s="543"/>
      <c r="I92" s="541"/>
      <c r="J92" s="542"/>
      <c r="K92" s="542"/>
      <c r="L92" s="543"/>
      <c r="M92" s="532"/>
      <c r="N92" s="533"/>
      <c r="O92" s="533"/>
      <c r="P92" s="533"/>
      <c r="Q92" s="533"/>
      <c r="R92" s="533"/>
      <c r="S92" s="533"/>
      <c r="T92" s="533"/>
      <c r="U92" s="533"/>
      <c r="V92" s="533"/>
      <c r="W92" s="533"/>
      <c r="X92" s="533"/>
      <c r="Y92" s="533"/>
      <c r="Z92" s="533"/>
      <c r="AA92" s="533"/>
      <c r="AB92" s="534"/>
    </row>
    <row r="93" spans="2:28" x14ac:dyDescent="0.2">
      <c r="B93" s="538" t="s">
        <v>130</v>
      </c>
      <c r="C93" s="539"/>
      <c r="D93" s="539"/>
      <c r="E93" s="539"/>
      <c r="F93" s="540"/>
      <c r="G93" s="541" t="s">
        <v>164</v>
      </c>
      <c r="H93" s="543"/>
      <c r="I93" s="541" t="s">
        <v>159</v>
      </c>
      <c r="J93" s="542"/>
      <c r="K93" s="542"/>
      <c r="L93" s="543"/>
      <c r="M93" s="532" t="str">
        <f>IF(OR('Fremskrivning - Hovedresultater'!D11&lt;='Fremskrivning - Hovedresultater'!C11,'Fremskrivning - Hovedresultater'!D11&lt;2016,'Fremskrivning - Hovedresultater'!D11&gt;MAX(2030,'Fremskrivning - Hovedresultater'!C11+10)),"Slutår er enten mindre (eller lige) med startår eller større end MAKS(2030,startår+10), og det må den ikke","Slutår er mellem startår +1 og MAKS(2030,Startår+10).")</f>
        <v>Slutår er mellem startår +1 og MAKS(2030,Startår+10).</v>
      </c>
      <c r="N93" s="533"/>
      <c r="O93" s="533"/>
      <c r="P93" s="533"/>
      <c r="Q93" s="533"/>
      <c r="R93" s="533"/>
      <c r="S93" s="533"/>
      <c r="T93" s="533"/>
      <c r="U93" s="533"/>
      <c r="V93" s="533"/>
      <c r="W93" s="533"/>
      <c r="X93" s="533"/>
      <c r="Y93" s="533"/>
      <c r="Z93" s="533"/>
      <c r="AA93" s="533"/>
      <c r="AB93" s="534"/>
    </row>
    <row r="94" spans="2:28" x14ac:dyDescent="0.2">
      <c r="B94" s="538" t="s">
        <v>169</v>
      </c>
      <c r="C94" s="539"/>
      <c r="D94" s="539"/>
      <c r="E94" s="539"/>
      <c r="F94" s="540"/>
      <c r="G94" s="541" t="s">
        <v>164</v>
      </c>
      <c r="H94" s="543"/>
      <c r="I94" s="541" t="s">
        <v>159</v>
      </c>
      <c r="J94" s="542"/>
      <c r="K94" s="542"/>
      <c r="L94" s="543"/>
      <c r="M94" s="532" t="str">
        <f>IF(OR('Fremskrivning - Delresultater'!K109=0,'Fremskrivning - Delresultater'!O109=0,'Fremskrivning - Delresultater'!S109=0,'Fremskrivning - Delresultater'!W109=0,'Fremskrivning - Delresultater'!AA109=0,'Fremskrivning - Delresultater'!AE109=0,'Fremskrivning - Delresultater'!AI109=0,'Fremskrivning - Delresultater'!AI109=0,'Fremskrivning - Delresultater'!AM109=0,'Fremskrivning - Delresultater'!AQ109=0,'Fremskrivning - Delresultater'!AU109=0,'Fremskrivning - Delresultater'!AY109=0,'Fremskrivning - Delresultater'!BC109=0,'Fremskrivning - Delresultater'!BG109=0,'Fremskrivning - Delresultater'!BK109=0,'Fremskrivning - Delresultater'!BO109=0,'Fremskrivning - Delresultater'!BS109=0,'Fremskrivning - Delresultater'!BW109=0,'Fremskrivning - Delresultater'!CA109=0,'Fremskrivning - Delresultater'!CE109=0,'Fremskrivning - Delresultater'!CI109=0),"Scopes er lige med nul i en af de fremskrevne år","Scopes for alle år er IKKE lige med nul for nogle af de fremskrevne år.")</f>
        <v>Scopes for alle år er IKKE lige med nul for nogle af de fremskrevne år.</v>
      </c>
      <c r="N94" s="533"/>
      <c r="O94" s="533"/>
      <c r="P94" s="533"/>
      <c r="Q94" s="533"/>
      <c r="R94" s="533"/>
      <c r="S94" s="533"/>
      <c r="T94" s="533"/>
      <c r="U94" s="533"/>
      <c r="V94" s="533"/>
      <c r="W94" s="533"/>
      <c r="X94" s="533"/>
      <c r="Y94" s="533"/>
      <c r="Z94" s="533"/>
      <c r="AA94" s="533"/>
      <c r="AB94" s="534"/>
    </row>
    <row r="95" spans="2:28" x14ac:dyDescent="0.2">
      <c r="B95" s="538" t="s">
        <v>135</v>
      </c>
      <c r="C95" s="539"/>
      <c r="D95" s="539"/>
      <c r="E95" s="539"/>
      <c r="F95" s="540"/>
      <c r="G95" s="541"/>
      <c r="H95" s="543"/>
      <c r="I95" s="541"/>
      <c r="J95" s="542"/>
      <c r="K95" s="542"/>
      <c r="L95" s="543"/>
      <c r="M95" s="532"/>
      <c r="N95" s="533"/>
      <c r="O95" s="533"/>
      <c r="P95" s="533"/>
      <c r="Q95" s="533"/>
      <c r="R95" s="533"/>
      <c r="S95" s="533"/>
      <c r="T95" s="533"/>
      <c r="U95" s="533"/>
      <c r="V95" s="533"/>
      <c r="W95" s="533"/>
      <c r="X95" s="533"/>
      <c r="Y95" s="533"/>
      <c r="Z95" s="533"/>
      <c r="AA95" s="533"/>
      <c r="AB95" s="534"/>
    </row>
    <row r="96" spans="2:28" x14ac:dyDescent="0.2">
      <c r="B96" s="532"/>
      <c r="C96" s="533"/>
      <c r="D96" s="533"/>
      <c r="E96" s="533"/>
      <c r="F96" s="534"/>
      <c r="G96" s="541"/>
      <c r="H96" s="543"/>
      <c r="I96" s="541"/>
      <c r="J96" s="542"/>
      <c r="K96" s="542"/>
      <c r="L96" s="543"/>
    </row>
    <row r="97" spans="2:28" ht="16" x14ac:dyDescent="0.2">
      <c r="B97" s="549" t="s">
        <v>170</v>
      </c>
      <c r="C97" s="550"/>
      <c r="D97" s="550"/>
      <c r="E97" s="550"/>
      <c r="F97" s="551"/>
      <c r="G97" s="541"/>
      <c r="H97" s="543"/>
      <c r="I97" s="541"/>
      <c r="J97" s="542"/>
      <c r="K97" s="542"/>
      <c r="L97" s="543"/>
      <c r="M97" s="532"/>
      <c r="N97" s="533"/>
      <c r="O97" s="533"/>
      <c r="P97" s="533"/>
      <c r="Q97" s="533"/>
      <c r="R97" s="533"/>
      <c r="S97" s="533"/>
      <c r="T97" s="533"/>
      <c r="U97" s="533"/>
      <c r="V97" s="533"/>
      <c r="W97" s="533"/>
      <c r="X97" s="533"/>
      <c r="Y97" s="533"/>
      <c r="Z97" s="533"/>
      <c r="AA97" s="533"/>
      <c r="AB97" s="534"/>
    </row>
    <row r="98" spans="2:28" x14ac:dyDescent="0.2">
      <c r="B98" s="538" t="s">
        <v>171</v>
      </c>
      <c r="C98" s="539"/>
      <c r="D98" s="539"/>
      <c r="E98" s="539"/>
      <c r="F98" s="540"/>
      <c r="G98" s="541"/>
      <c r="H98" s="543"/>
      <c r="I98" s="541"/>
      <c r="J98" s="542"/>
      <c r="K98" s="542"/>
      <c r="L98" s="543"/>
      <c r="M98" s="532"/>
      <c r="N98" s="533"/>
      <c r="O98" s="533"/>
      <c r="P98" s="533"/>
      <c r="Q98" s="533"/>
      <c r="R98" s="533"/>
      <c r="S98" s="533"/>
      <c r="T98" s="533"/>
      <c r="U98" s="533"/>
      <c r="V98" s="533"/>
      <c r="W98" s="533"/>
      <c r="X98" s="533"/>
      <c r="Y98" s="533"/>
      <c r="Z98" s="533"/>
      <c r="AA98" s="533"/>
      <c r="AB98" s="534"/>
    </row>
    <row r="99" spans="2:28" x14ac:dyDescent="0.2">
      <c r="B99" s="538" t="s">
        <v>172</v>
      </c>
      <c r="C99" s="539"/>
      <c r="D99" s="539"/>
      <c r="E99" s="539"/>
      <c r="F99" s="540"/>
      <c r="G99" s="541"/>
      <c r="H99" s="543"/>
      <c r="I99" s="541"/>
      <c r="J99" s="542"/>
      <c r="K99" s="542"/>
      <c r="L99" s="543"/>
      <c r="M99" s="532"/>
      <c r="N99" s="533"/>
      <c r="O99" s="533"/>
      <c r="P99" s="533"/>
      <c r="Q99" s="533"/>
      <c r="R99" s="533"/>
      <c r="S99" s="533"/>
      <c r="T99" s="533"/>
      <c r="U99" s="533"/>
      <c r="V99" s="533"/>
      <c r="W99" s="533"/>
      <c r="X99" s="533"/>
      <c r="Y99" s="533"/>
      <c r="Z99" s="533"/>
      <c r="AA99" s="533"/>
      <c r="AB99" s="534"/>
    </row>
    <row r="100" spans="2:28" x14ac:dyDescent="0.2">
      <c r="B100" s="538" t="s">
        <v>173</v>
      </c>
      <c r="C100" s="539"/>
      <c r="D100" s="539"/>
      <c r="E100" s="539"/>
      <c r="F100" s="540"/>
      <c r="G100" s="541"/>
      <c r="H100" s="543"/>
      <c r="I100" s="541"/>
      <c r="J100" s="542"/>
      <c r="K100" s="542"/>
      <c r="L100" s="543"/>
      <c r="M100" s="532"/>
      <c r="N100" s="533"/>
      <c r="O100" s="533"/>
      <c r="P100" s="533"/>
      <c r="Q100" s="533"/>
      <c r="R100" s="533"/>
      <c r="S100" s="533"/>
      <c r="T100" s="533"/>
      <c r="U100" s="533"/>
      <c r="V100" s="533"/>
      <c r="W100" s="533"/>
      <c r="X100" s="533"/>
      <c r="Y100" s="533"/>
      <c r="Z100" s="533"/>
      <c r="AA100" s="533"/>
      <c r="AB100" s="534"/>
    </row>
    <row r="101" spans="2:28" x14ac:dyDescent="0.2">
      <c r="B101" s="538" t="s">
        <v>174</v>
      </c>
      <c r="C101" s="539"/>
      <c r="D101" s="539"/>
      <c r="E101" s="539"/>
      <c r="F101" s="540"/>
      <c r="G101" s="541"/>
      <c r="H101" s="543"/>
      <c r="I101" s="541"/>
      <c r="J101" s="542"/>
      <c r="K101" s="542"/>
      <c r="L101" s="543"/>
      <c r="M101" s="532"/>
      <c r="N101" s="533"/>
      <c r="O101" s="533"/>
      <c r="P101" s="533"/>
      <c r="Q101" s="533"/>
      <c r="R101" s="533"/>
      <c r="S101" s="533"/>
      <c r="T101" s="533"/>
      <c r="U101" s="533"/>
      <c r="V101" s="533"/>
      <c r="W101" s="533"/>
      <c r="X101" s="533"/>
      <c r="Y101" s="533"/>
      <c r="Z101" s="533"/>
      <c r="AA101" s="533"/>
      <c r="AB101" s="534"/>
    </row>
    <row r="102" spans="2:28" ht="16" thickBot="1" x14ac:dyDescent="0.25">
      <c r="B102" s="546" t="s">
        <v>175</v>
      </c>
      <c r="C102" s="547"/>
      <c r="D102" s="547"/>
      <c r="E102" s="547"/>
      <c r="F102" s="548"/>
      <c r="G102" s="555"/>
      <c r="H102" s="557"/>
      <c r="I102" s="555"/>
      <c r="J102" s="556"/>
      <c r="K102" s="556"/>
      <c r="L102" s="557"/>
      <c r="M102" s="280"/>
      <c r="N102" s="278"/>
      <c r="O102" s="278"/>
      <c r="P102" s="278"/>
      <c r="Q102" s="278"/>
      <c r="R102" s="278"/>
      <c r="S102" s="278"/>
      <c r="T102" s="278"/>
      <c r="U102" s="278"/>
      <c r="V102" s="278"/>
      <c r="W102" s="278"/>
      <c r="X102" s="278"/>
      <c r="Y102" s="278"/>
      <c r="Z102" s="278"/>
      <c r="AA102" s="278"/>
      <c r="AB102" s="279"/>
    </row>
  </sheetData>
  <sheetProtection password="D2FD" sheet="1" objects="1" scenarios="1"/>
  <mergeCells count="102">
    <mergeCell ref="I85:L85"/>
    <mergeCell ref="B85:F85"/>
    <mergeCell ref="B86:F86"/>
    <mergeCell ref="B87:F87"/>
    <mergeCell ref="B88:F88"/>
    <mergeCell ref="G87:H87"/>
    <mergeCell ref="B77:F77"/>
    <mergeCell ref="G77:H77"/>
    <mergeCell ref="G81:H81"/>
    <mergeCell ref="G78:H78"/>
    <mergeCell ref="G79:H79"/>
    <mergeCell ref="G80:H80"/>
    <mergeCell ref="I78:L78"/>
    <mergeCell ref="I79:L79"/>
    <mergeCell ref="G88:H88"/>
    <mergeCell ref="I82:L82"/>
    <mergeCell ref="I83:L83"/>
    <mergeCell ref="I84:L84"/>
    <mergeCell ref="G102:H102"/>
    <mergeCell ref="G94:H94"/>
    <mergeCell ref="G95:H95"/>
    <mergeCell ref="G96:H96"/>
    <mergeCell ref="G97:H97"/>
    <mergeCell ref="G98:H98"/>
    <mergeCell ref="G99:H99"/>
    <mergeCell ref="G89:H89"/>
    <mergeCell ref="G90:H90"/>
    <mergeCell ref="G91:H91"/>
    <mergeCell ref="G92:H92"/>
    <mergeCell ref="G93:H93"/>
    <mergeCell ref="I102:L102"/>
    <mergeCell ref="I77:L77"/>
    <mergeCell ref="B78:F78"/>
    <mergeCell ref="B79:F79"/>
    <mergeCell ref="I94:L94"/>
    <mergeCell ref="I95:L95"/>
    <mergeCell ref="I80:L80"/>
    <mergeCell ref="I81:L81"/>
    <mergeCell ref="B97:F97"/>
    <mergeCell ref="B98:F98"/>
    <mergeCell ref="B99:F99"/>
    <mergeCell ref="B100:F100"/>
    <mergeCell ref="I97:L97"/>
    <mergeCell ref="I98:L98"/>
    <mergeCell ref="I99:L99"/>
    <mergeCell ref="B80:F80"/>
    <mergeCell ref="B81:F81"/>
    <mergeCell ref="B82:F82"/>
    <mergeCell ref="B83:F83"/>
    <mergeCell ref="B84:F84"/>
    <mergeCell ref="I90:L90"/>
    <mergeCell ref="I91:L91"/>
    <mergeCell ref="I92:L92"/>
    <mergeCell ref="I93:L93"/>
    <mergeCell ref="B102:F102"/>
    <mergeCell ref="B91:F91"/>
    <mergeCell ref="B92:F92"/>
    <mergeCell ref="B93:F93"/>
    <mergeCell ref="B94:F94"/>
    <mergeCell ref="B95:F95"/>
    <mergeCell ref="B96:F96"/>
    <mergeCell ref="M77:AB77"/>
    <mergeCell ref="M95:AB95"/>
    <mergeCell ref="M97:AB97"/>
    <mergeCell ref="M98:AB98"/>
    <mergeCell ref="M99:AB99"/>
    <mergeCell ref="M100:AB100"/>
    <mergeCell ref="M101:AB101"/>
    <mergeCell ref="M90:AB90"/>
    <mergeCell ref="M91:AB91"/>
    <mergeCell ref="M92:AB92"/>
    <mergeCell ref="M93:AB93"/>
    <mergeCell ref="M94:AB94"/>
    <mergeCell ref="M84:AB84"/>
    <mergeCell ref="M85:AB85"/>
    <mergeCell ref="M86:AB86"/>
    <mergeCell ref="M87:AB87"/>
    <mergeCell ref="B89:F89"/>
    <mergeCell ref="M88:AB88"/>
    <mergeCell ref="M89:AB89"/>
    <mergeCell ref="M78:AB78"/>
    <mergeCell ref="M79:AB79"/>
    <mergeCell ref="M80:AB80"/>
    <mergeCell ref="M81:AB81"/>
    <mergeCell ref="M82:AB82"/>
    <mergeCell ref="M83:AB83"/>
    <mergeCell ref="B101:F101"/>
    <mergeCell ref="B90:F90"/>
    <mergeCell ref="I101:L101"/>
    <mergeCell ref="I100:L100"/>
    <mergeCell ref="I96:L96"/>
    <mergeCell ref="I86:L86"/>
    <mergeCell ref="I87:L87"/>
    <mergeCell ref="I88:L88"/>
    <mergeCell ref="I89:L89"/>
    <mergeCell ref="G100:H100"/>
    <mergeCell ref="G101:H101"/>
    <mergeCell ref="G82:H82"/>
    <mergeCell ref="G83:H83"/>
    <mergeCell ref="G84:H84"/>
    <mergeCell ref="G85:H85"/>
    <mergeCell ref="G86:H86"/>
  </mergeCells>
  <conditionalFormatting sqref="C59:W59">
    <cfRule type="cellIs" dxfId="48" priority="27" operator="notEqual">
      <formula>0</formula>
    </cfRule>
    <cfRule type="cellIs" dxfId="47" priority="28" operator="between">
      <formula>0</formula>
      <formula>0</formula>
    </cfRule>
  </conditionalFormatting>
  <conditionalFormatting sqref="E55">
    <cfRule type="cellIs" dxfId="46" priority="24" operator="between">
      <formula>0</formula>
      <formula>0</formula>
    </cfRule>
    <cfRule type="cellIs" dxfId="45" priority="23" operator="notEqual">
      <formula>0</formula>
    </cfRule>
  </conditionalFormatting>
  <conditionalFormatting sqref="F29">
    <cfRule type="cellIs" dxfId="44" priority="5" operator="notEqual">
      <formula>0</formula>
    </cfRule>
    <cfRule type="cellIs" dxfId="43" priority="6" operator="between">
      <formula>0</formula>
      <formula>0</formula>
    </cfRule>
  </conditionalFormatting>
  <conditionalFormatting sqref="F34:F36">
    <cfRule type="cellIs" dxfId="42" priority="15" operator="notEqual">
      <formula>0</formula>
    </cfRule>
    <cfRule type="cellIs" dxfId="41" priority="16" operator="between">
      <formula>0</formula>
      <formula>0</formula>
    </cfRule>
  </conditionalFormatting>
  <conditionalFormatting sqref="I42:I44">
    <cfRule type="cellIs" dxfId="40" priority="20" operator="between">
      <formula>0</formula>
      <formula>0</formula>
    </cfRule>
    <cfRule type="cellIs" dxfId="39" priority="19" operator="notEqual">
      <formula>0</formula>
    </cfRule>
  </conditionalFormatting>
  <conditionalFormatting sqref="I46:I48">
    <cfRule type="cellIs" dxfId="38" priority="18" operator="lessThanOrEqual">
      <formula>1</formula>
    </cfRule>
    <cfRule type="cellIs" dxfId="37" priority="17" operator="greaterThan">
      <formula>1</formula>
    </cfRule>
  </conditionalFormatting>
  <conditionalFormatting sqref="J55">
    <cfRule type="cellIs" dxfId="36" priority="22" operator="between">
      <formula>0</formula>
      <formula>0</formula>
    </cfRule>
    <cfRule type="cellIs" dxfId="35" priority="21" operator="notEqual">
      <formula>0</formula>
    </cfRule>
  </conditionalFormatting>
  <conditionalFormatting sqref="K64:K66">
    <cfRule type="cellIs" dxfId="34" priority="3" operator="greaterThanOrEqual">
      <formula>0</formula>
    </cfRule>
    <cfRule type="cellIs" dxfId="33" priority="4" operator="lessThan">
      <formula>0</formula>
    </cfRule>
  </conditionalFormatting>
  <conditionalFormatting sqref="K68:K70">
    <cfRule type="cellIs" dxfId="32" priority="1" operator="greaterThanOrEqual">
      <formula>0</formula>
    </cfRule>
    <cfRule type="cellIs" dxfId="31" priority="2" operator="lessThan">
      <formula>0</formula>
    </cfRule>
  </conditionalFormatting>
  <hyperlinks>
    <hyperlink ref="B79" location="Forside!A1" display="Forside" xr:uid="{74109C50-C387-40EE-8ACD-A6DC351ADA9F}"/>
    <hyperlink ref="B80" location="Stamdata!A1" display="Stamdata" xr:uid="{476F325A-42D5-4547-80B3-7CFEC25CE1F5}"/>
    <hyperlink ref="B81" location="Kontaktoplysninger!A1" display="Kontaktoplysninger" xr:uid="{EEE5E258-F449-49F3-97E9-0531DB41839C}"/>
    <hyperlink ref="B84" location="Hovedresultater!A1" display="Hovedresultater" xr:uid="{28D59428-7CEE-4D5B-A369-68CDA86E5509}"/>
    <hyperlink ref="B85" location="Delresultater!A1" display="Delresultater" xr:uid="{4BDF4D33-A9FA-4966-B77C-CED4AD17F6F4}"/>
    <hyperlink ref="B86" location="'Hovedresultater (GHG)'!A1" display="Hovedresultater (GHG)" xr:uid="{ED008B4D-2535-47FE-86DF-71A529956066}"/>
    <hyperlink ref="B87" location="'Delresultater (GHG)'!A1" display="Delresultater (GHG)" xr:uid="{2B6E8466-7020-4347-98E1-3E953F913C50}"/>
    <hyperlink ref="B88" location="'E-nøgletal (ESG)'!A1" display="E-nøgletal (ESG)" xr:uid="{0B20C8E4-4CC4-4AE0-8263-691EBD39EB78}"/>
    <hyperlink ref="B89" location="'Scope 3 kategorier'!A1" display="Scope 3 kategorier" xr:uid="{E02FAB39-DD4D-485B-928A-C56A5657082D}"/>
    <hyperlink ref="B90" location="'Højeste udledningskategorier'!A1" display="Højeste udledningskategorier" xr:uid="{6351CA28-9BEB-4A5C-B65B-1BBA7C226529}"/>
    <hyperlink ref="B93" location="'Fremskrivning - Hovedresultater'!A1" display="Fremskrivning - Hovedresultater" xr:uid="{E5483BDB-F115-4CEE-ACC1-0BFDC9237BE1}"/>
    <hyperlink ref="B94" location="'Fremskrivning - Delresultater'!A1" display="Fremskrivning - Delresultater" xr:uid="{8C6FB433-B031-47BC-AA7E-C9071D5FDC54}"/>
    <hyperlink ref="B95" location="Reduktionsmålsætning!A1" display="Reduktionsmålsætninger" xr:uid="{8B424559-9111-4023-B530-A1C96530616E}"/>
    <hyperlink ref="B98" location="Emissionsfaktorer!A1" display="Emissionsfaktorer" xr:uid="{825B0331-91EF-4701-BF2A-18299292049E}"/>
    <hyperlink ref="B99" location="'Egne emissionsfaktorer'!A1" display="Egne Emissionsfaktorer" xr:uid="{3C04EB38-5C43-451D-9F74-CEF4A8A8F9DC}"/>
    <hyperlink ref="B100" location="'Fremskrevne emissionsfaktorer'!A1" display="Fremskrevne emissionsfaktorer" xr:uid="{4EE83841-9674-4EC7-98A6-43104779E5A3}"/>
    <hyperlink ref="B101" location="'Data (alle poster)'!A1" display="Data (alle poster)" xr:uid="{80FC4A6E-1B59-437D-93FF-39F6C39E0F5D}"/>
    <hyperlink ref="B102" location="'Data (E-nøgletal)'!A1" display="Data (E-nøgletal)" xr:uid="{0907E90E-6E41-4629-9B4E-915569904703}"/>
    <hyperlink ref="N2" location="Forside!A1" display="Gå til forside" xr:uid="{ED2DD9B2-B630-473B-BDB0-C865783D7381}"/>
  </hyperlinks>
  <pageMargins left="0.7" right="0.7" top="0.75" bottom="0.75" header="0.3" footer="0.3"/>
  <pageSetup paperSize="9" orientation="portrait" r:id="rId1"/>
  <headerFooter>
    <oddHeader>&amp;R&amp;"Calibri"&amp;10&amp;K000000 INTERNAL&amp;1#_x000D_</oddHeader>
  </headerFooter>
  <extLst>
    <ext xmlns:x14="http://schemas.microsoft.com/office/spreadsheetml/2009/9/main" uri="{78C0D931-6437-407d-A8EE-F0AAD7539E65}">
      <x14:conditionalFormattings>
        <x14:conditionalFormatting xmlns:xm="http://schemas.microsoft.com/office/excel/2006/main">
          <x14:cfRule type="expression" priority="12" id="{D74EE5D1-3FF0-4CCC-BE19-42EC9DE2E6DB}">
            <xm:f>OR(ISBLANK(Stamdata!B14),ISTEXT(Stamdata!B14))</xm:f>
            <x14:dxf>
              <fill>
                <patternFill>
                  <bgColor rgb="FFFF9999"/>
                </patternFill>
              </fill>
            </x14:dxf>
          </x14:cfRule>
          <xm:sqref>M80:AB80</xm:sqref>
        </x14:conditionalFormatting>
        <x14:conditionalFormatting xmlns:xm="http://schemas.microsoft.com/office/excel/2006/main">
          <x14:cfRule type="expression" priority="13" id="{87B26C50-39C9-4BD0-B564-32626BB34C04}">
            <xm:f>OR(SUM('Delresultater (GHG)'!D98:E98)=0,'Delresultater (GHG)'!F98=0)</xm:f>
            <x14:dxf>
              <fill>
                <patternFill>
                  <bgColor rgb="FFFF9999"/>
                </patternFill>
              </fill>
            </x14:dxf>
          </x14:cfRule>
          <xm:sqref>M87:AB87</xm:sqref>
        </x14:conditionalFormatting>
        <x14:conditionalFormatting xmlns:xm="http://schemas.microsoft.com/office/excel/2006/main">
          <x14:cfRule type="expression" priority="11" id="{3ADA6D62-C561-4100-83C4-1F2625BD283B}">
            <xm:f>IF(OR('E-nøgletal (ESG)'!E69&gt;'E-nøgletal (ESG)'!E68,'E-nøgletal (ESG)'!E70&gt;'E-nøgletal (ESG)'!E68),TRUE())</xm:f>
            <x14:dxf>
              <fill>
                <patternFill>
                  <bgColor rgb="FFFF9999"/>
                </patternFill>
              </fill>
            </x14:dxf>
          </x14:cfRule>
          <xm:sqref>M88:AB88</xm:sqref>
        </x14:conditionalFormatting>
        <x14:conditionalFormatting xmlns:xm="http://schemas.microsoft.com/office/excel/2006/main">
          <x14:cfRule type="expression" priority="10" id="{7C831A5E-D247-43FA-BF87-8327F59EABCA}">
            <xm:f>IF('Scope 3 kategorier'!$E$37&gt;'Delresultater (GHG)'!F98,TRUE())</xm:f>
            <x14:dxf>
              <fill>
                <patternFill>
                  <bgColor rgb="FFFF9999"/>
                </patternFill>
              </fill>
            </x14:dxf>
          </x14:cfRule>
          <xm:sqref>M89:AB89</xm:sqref>
        </x14:conditionalFormatting>
        <x14:conditionalFormatting xmlns:xm="http://schemas.microsoft.com/office/excel/2006/main">
          <x14:cfRule type="expression" priority="9" id="{A7F9A70A-E565-412B-AC30-63B81AB7CABB}">
            <xm:f>IF(OR('Største udledningsposter'!E61&gt;'Delresultater (GHG)'!D98,'Største udledningsposter'!F61&gt;'Delresultater (GHG)'!E98,'Største udledningsposter'!G61&gt;'Delresultater (GHG)'!F98),TRUE())</xm:f>
            <x14:dxf>
              <fill>
                <patternFill>
                  <bgColor rgb="FFFF9999"/>
                </patternFill>
              </fill>
            </x14:dxf>
          </x14:cfRule>
          <xm:sqref>M90:AB90</xm:sqref>
        </x14:conditionalFormatting>
        <x14:conditionalFormatting xmlns:xm="http://schemas.microsoft.com/office/excel/2006/main">
          <x14:cfRule type="expression" priority="8" id="{3DEB258D-DA3F-49CA-A4A5-FD6E2ACBC45B}">
            <xm:f>IF(OR('Fremskrivning - Hovedresultater'!D11&lt;='Fremskrivning - Hovedresultater'!C11,'Fremskrivning - Hovedresultater'!D11&lt;2016,'Fremskrivning - Hovedresultater'!D11&gt;MAX(2030,'Fremskrivning - Hovedresultater'!C11+10)),TRUE())</xm:f>
            <x14:dxf>
              <fill>
                <patternFill>
                  <bgColor rgb="FFFF9999"/>
                </patternFill>
              </fill>
            </x14:dxf>
          </x14:cfRule>
          <xm:sqref>M93:AB93</xm:sqref>
        </x14:conditionalFormatting>
        <x14:conditionalFormatting xmlns:xm="http://schemas.microsoft.com/office/excel/2006/main">
          <x14:cfRule type="expression" priority="7" id="{068A5F2D-5673-457E-9354-146CE8E55126}">
            <xm:f>IF(OR('Fremskrivning - Delresultater'!K109=0,'Fremskrivning - Delresultater'!O109=0,'Fremskrivning - Delresultater'!S109=0,'Fremskrivning - Delresultater'!W109=0,'Fremskrivning - Delresultater'!AA109=0,'Fremskrivning - Delresultater'!AE109=0,'Fremskrivning - Delresultater'!AI109=0,'Fremskrivning - Delresultater'!AI109=0,'Fremskrivning - Delresultater'!AM109=0,'Fremskrivning - Delresultater'!AQ109=0,'Fremskrivning - Delresultater'!AU109=0,'Fremskrivning - Delresultater'!AY109=0,'Fremskrivning - Delresultater'!BC109=0,'Fremskrivning - Delresultater'!BG109=0,'Fremskrivning - Delresultater'!BK109=0,'Fremskrivning - Delresultater'!BO109=0,'Fremskrivning - Delresultater'!BS109=0,'Fremskrivning - Delresultater'!BW109=0,'Fremskrivning - Delresultater'!CA109=0,'Fremskrivning - Delresultater'!CE109=0,'Fremskrivning - Delresultater'!CI109=0),TRUE())</xm:f>
            <x14:dxf>
              <fill>
                <patternFill>
                  <bgColor rgb="FFFF7C80"/>
                </patternFill>
              </fill>
            </x14:dxf>
          </x14:cfRule>
          <xm:sqref>M94:AB94</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8AAF9-29AD-4438-A372-A612CD39E4D1}">
  <dimension ref="A1:U1213"/>
  <sheetViews>
    <sheetView workbookViewId="0">
      <pane ySplit="1" topLeftCell="A2" activePane="bottomLeft" state="frozen"/>
      <selection pane="bottomLeft"/>
    </sheetView>
  </sheetViews>
  <sheetFormatPr baseColWidth="10" defaultColWidth="9.1640625" defaultRowHeight="14" x14ac:dyDescent="0.2"/>
  <cols>
    <col min="1" max="1" width="66.6640625" style="297" customWidth="1"/>
    <col min="2" max="2" width="1.5" style="297" bestFit="1" customWidth="1"/>
    <col min="3" max="3" width="43.83203125" style="297" customWidth="1"/>
    <col min="4" max="4" width="1.5" style="297" bestFit="1" customWidth="1"/>
    <col min="5" max="5" width="32.1640625" style="299" customWidth="1"/>
    <col min="6" max="6" width="1.5" style="297" bestFit="1" customWidth="1"/>
    <col min="7" max="7" width="28.1640625" style="300" customWidth="1"/>
    <col min="8" max="8" width="1.5" style="297" bestFit="1" customWidth="1"/>
    <col min="9" max="9" width="30.83203125" style="297" customWidth="1"/>
    <col min="10" max="10" width="6.1640625" style="297" customWidth="1"/>
    <col min="11" max="11" width="40.83203125" style="297" customWidth="1"/>
    <col min="12" max="12" width="1.5" style="297" bestFit="1" customWidth="1"/>
    <col min="13" max="13" width="18.33203125" style="297" customWidth="1"/>
    <col min="14" max="14" width="50.33203125" style="297" customWidth="1"/>
    <col min="15" max="15" width="8.83203125" style="297" customWidth="1"/>
    <col min="16" max="16" width="13.33203125" style="297" bestFit="1" customWidth="1"/>
    <col min="17" max="16384" width="9.1640625" style="297"/>
  </cols>
  <sheetData>
    <row r="1" spans="1:13" s="296" customFormat="1" x14ac:dyDescent="0.2">
      <c r="A1" s="294" t="s">
        <v>176</v>
      </c>
      <c r="B1" s="294"/>
      <c r="C1" s="294" t="s">
        <v>177</v>
      </c>
      <c r="D1" s="294"/>
      <c r="E1" s="295" t="s">
        <v>0</v>
      </c>
      <c r="F1" s="294"/>
      <c r="G1" s="301" t="s">
        <v>178</v>
      </c>
      <c r="H1" s="294"/>
      <c r="I1" s="294" t="s">
        <v>179</v>
      </c>
      <c r="J1" s="294" t="s">
        <v>180</v>
      </c>
      <c r="K1" s="294" t="s">
        <v>181</v>
      </c>
      <c r="L1" s="294"/>
      <c r="M1" s="294" t="s">
        <v>182</v>
      </c>
    </row>
    <row r="2" spans="1:13" ht="15" x14ac:dyDescent="0.2">
      <c r="A2" s="297" t="s">
        <v>981</v>
      </c>
      <c r="B2" s="298" t="s">
        <v>183</v>
      </c>
      <c r="C2" s="297" t="str">
        <f>IF(Forside!$D$12="Dansk",Tekstnøgler!E2,Tekstnøgler!G2)</f>
        <v>&lt;-- Gå til forsiden</v>
      </c>
      <c r="D2" s="298" t="s">
        <v>183</v>
      </c>
      <c r="E2" s="292" t="s">
        <v>184</v>
      </c>
      <c r="F2" s="298" t="s">
        <v>183</v>
      </c>
      <c r="G2" s="302" t="s">
        <v>185</v>
      </c>
      <c r="H2" s="298" t="s">
        <v>183</v>
      </c>
      <c r="I2" s="297" t="s">
        <v>113</v>
      </c>
      <c r="J2" s="297" t="s">
        <v>186</v>
      </c>
      <c r="K2" s="297" t="str" cm="1">
        <f t="array" aca="1" ref="K2" ca="1">INDIRECT("'"&amp;I2&amp;"'!"&amp;J2)</f>
        <v>&lt;-- Gå til forsiden</v>
      </c>
      <c r="L2" s="298" t="s">
        <v>183</v>
      </c>
      <c r="M2" s="297" t="str">
        <f ca="1">IF(C2=K2,"OK","Reference fejl")</f>
        <v>OK</v>
      </c>
    </row>
    <row r="3" spans="1:13" x14ac:dyDescent="0.2">
      <c r="A3" s="297" t="s">
        <v>982</v>
      </c>
      <c r="B3" s="298" t="s">
        <v>183</v>
      </c>
      <c r="C3" s="297" t="str">
        <f>IF(Forside!$D$12="Dansk",Tekstnøgler!E3,Tekstnøgler!G3)</f>
        <v>Download af resultater</v>
      </c>
      <c r="D3" s="298" t="s">
        <v>183</v>
      </c>
      <c r="E3" s="299" t="s">
        <v>187</v>
      </c>
      <c r="F3" s="298" t="s">
        <v>183</v>
      </c>
      <c r="G3" s="300" t="s">
        <v>1573</v>
      </c>
      <c r="H3" s="298" t="s">
        <v>183</v>
      </c>
      <c r="I3" s="297" t="s">
        <v>151</v>
      </c>
      <c r="J3" s="297" t="s">
        <v>188</v>
      </c>
      <c r="K3" s="297" t="str" cm="1">
        <f t="array" aca="1" ref="K3" ca="1">INDIRECT("'"&amp;I3&amp;"'!"&amp;J3)</f>
        <v>Download af resultater</v>
      </c>
      <c r="L3" s="298" t="s">
        <v>183</v>
      </c>
      <c r="M3" s="297" t="str">
        <f ca="1">IF(C3=K3,"OK","Reference fejl")</f>
        <v>OK</v>
      </c>
    </row>
    <row r="4" spans="1:13" x14ac:dyDescent="0.2">
      <c r="A4" s="297" t="s">
        <v>983</v>
      </c>
      <c r="B4" s="298" t="s">
        <v>183</v>
      </c>
      <c r="C4" s="297" t="str">
        <f>IF(Forside!$D$12="Dansk",Tekstnøgler!E4,Tekstnøgler!G4)</f>
        <v>I dette Excel regneark, kan du finde alle resultater som du kunne se på Klimakompasset for den beregning du har valgt (se navn på beregning ovenfor). Herunder kan du se en liste af de resultater og data, du har adgang til. Da navne på individuelle ark i bunden af Excel-arket ikke ændres, når du vælger mellem dansk og engelsk sprog, er det skrevet ind, hvilke ark de danske titler referer til.</v>
      </c>
      <c r="D4" s="298" t="s">
        <v>183</v>
      </c>
      <c r="E4" s="299" t="s">
        <v>1574</v>
      </c>
      <c r="F4" s="298" t="s">
        <v>183</v>
      </c>
      <c r="G4" s="300" t="s">
        <v>1575</v>
      </c>
      <c r="H4" s="298" t="s">
        <v>183</v>
      </c>
      <c r="I4" s="297" t="s">
        <v>151</v>
      </c>
      <c r="J4" s="297" t="s">
        <v>189</v>
      </c>
      <c r="K4" s="297" t="str" cm="1">
        <f t="array" aca="1" ref="K4" ca="1">INDIRECT("'"&amp;I4&amp;"'!"&amp;J4)</f>
        <v>I dette Excel regneark, kan du finde alle resultater som du kunne se på Klimakompasset for den beregning du har valgt (se navn på beregning ovenfor). Herunder kan du se en liste af de resultater og data, du har adgang til. Da navne på individuelle ark i bunden af Excel-arket ikke ændres, når du vælger mellem dansk og engelsk sprog, er det skrevet ind, hvilke ark de danske titler referer til.</v>
      </c>
      <c r="L4" s="298" t="s">
        <v>183</v>
      </c>
      <c r="M4" s="297" t="str">
        <f ca="1">IF(C4=K4,"OK","reference fejl")</f>
        <v>OK</v>
      </c>
    </row>
    <row r="5" spans="1:13" ht="15.75" customHeight="1" x14ac:dyDescent="0.2">
      <c r="A5" s="297" t="s">
        <v>984</v>
      </c>
      <c r="B5" s="298" t="s">
        <v>183</v>
      </c>
      <c r="C5" s="297" t="str">
        <f>IF(Forside!$D$12="Dansk",Tekstnøgler!E5,Tekstnøgler!G5)</f>
        <v>Vælg af sprog</v>
      </c>
      <c r="D5" s="298" t="s">
        <v>183</v>
      </c>
      <c r="E5" s="299" t="s">
        <v>190</v>
      </c>
      <c r="F5" s="298" t="s">
        <v>183</v>
      </c>
      <c r="G5" s="300" t="s">
        <v>191</v>
      </c>
      <c r="H5" s="298" t="s">
        <v>183</v>
      </c>
      <c r="I5" s="297" t="s">
        <v>151</v>
      </c>
      <c r="J5" s="297" t="s">
        <v>192</v>
      </c>
      <c r="K5" s="297" t="str" cm="1">
        <f t="array" aca="1" ref="K5" ca="1">INDIRECT("'"&amp;I5&amp;"'!"&amp;J5)</f>
        <v>Vælg af sprog</v>
      </c>
      <c r="L5" s="298" t="s">
        <v>183</v>
      </c>
      <c r="M5" s="297" t="str">
        <f t="shared" ref="M5:M30" ca="1" si="0">IF(C5=K5,"OK","Reference fejl")</f>
        <v>OK</v>
      </c>
    </row>
    <row r="6" spans="1:13" ht="15" x14ac:dyDescent="0.2">
      <c r="A6" s="297" t="s">
        <v>985</v>
      </c>
      <c r="B6" s="298" t="s">
        <v>183</v>
      </c>
      <c r="C6" s="297" t="str">
        <f>IF(Forside!$D$12="Dansk",Tekstnøgler!E6,Tekstnøgler!G6)</f>
        <v>&lt;-- klik på cellen</v>
      </c>
      <c r="D6" s="298" t="s">
        <v>183</v>
      </c>
      <c r="E6" s="292" t="s">
        <v>193</v>
      </c>
      <c r="F6" s="298" t="s">
        <v>183</v>
      </c>
      <c r="G6" s="302" t="s">
        <v>194</v>
      </c>
      <c r="H6" s="298" t="s">
        <v>183</v>
      </c>
      <c r="I6" s="297" t="s">
        <v>151</v>
      </c>
      <c r="J6" s="297" t="s">
        <v>195</v>
      </c>
      <c r="K6" s="297" t="str" cm="1">
        <f t="array" aca="1" ref="K6" ca="1">INDIRECT("'"&amp;I6&amp;"'!"&amp;J6)</f>
        <v>&lt;-- klik på cellen</v>
      </c>
      <c r="L6" s="298" t="s">
        <v>183</v>
      </c>
      <c r="M6" s="297" t="str">
        <f t="shared" ca="1" si="0"/>
        <v>OK</v>
      </c>
    </row>
    <row r="7" spans="1:13" x14ac:dyDescent="0.2">
      <c r="A7" s="297" t="s">
        <v>986</v>
      </c>
      <c r="B7" s="298" t="s">
        <v>183</v>
      </c>
      <c r="C7" s="297" t="str">
        <f>IF(Forside!$D$12="Dansk",Tekstnøgler!E7,Tekstnøgler!G7)</f>
        <v>Indholdsfortegnelse</v>
      </c>
      <c r="D7" s="298" t="s">
        <v>183</v>
      </c>
      <c r="E7" s="299" t="s">
        <v>196</v>
      </c>
      <c r="F7" s="298" t="s">
        <v>183</v>
      </c>
      <c r="G7" s="300" t="s">
        <v>197</v>
      </c>
      <c r="H7" s="298" t="s">
        <v>183</v>
      </c>
      <c r="I7" s="297" t="s">
        <v>151</v>
      </c>
      <c r="J7" s="297" t="s">
        <v>198</v>
      </c>
      <c r="K7" s="297" t="str" cm="1">
        <f t="array" aca="1" ref="K7" ca="1">INDIRECT("'"&amp;I7&amp;"'!"&amp;J7)</f>
        <v>Indholdsfortegnelse</v>
      </c>
      <c r="L7" s="298" t="s">
        <v>183</v>
      </c>
      <c r="M7" s="297" t="str">
        <f t="shared" ca="1" si="0"/>
        <v>OK</v>
      </c>
    </row>
    <row r="8" spans="1:13" x14ac:dyDescent="0.2">
      <c r="A8" s="297" t="s">
        <v>987</v>
      </c>
      <c r="B8" s="298" t="s">
        <v>183</v>
      </c>
      <c r="C8" s="297" t="str">
        <f>IF(Forside!$D$12="Dansk",Tekstnøgler!E8,Tekstnøgler!G8)</f>
        <v>Generelle oplysninger om beregningen</v>
      </c>
      <c r="D8" s="298" t="s">
        <v>183</v>
      </c>
      <c r="E8" s="299" t="s">
        <v>150</v>
      </c>
      <c r="F8" s="298" t="s">
        <v>183</v>
      </c>
      <c r="G8" s="300" t="s">
        <v>1576</v>
      </c>
      <c r="H8" s="298" t="s">
        <v>183</v>
      </c>
      <c r="I8" s="297" t="s">
        <v>151</v>
      </c>
      <c r="J8" s="297" t="s">
        <v>199</v>
      </c>
      <c r="K8" s="297" t="str" cm="1">
        <f t="array" aca="1" ref="K8" ca="1">INDIRECT("'"&amp;I8&amp;"'!"&amp;J8)</f>
        <v>Generelle oplysninger om beregningen</v>
      </c>
      <c r="L8" s="298" t="s">
        <v>183</v>
      </c>
      <c r="M8" s="297" t="str">
        <f t="shared" ca="1" si="0"/>
        <v>OK</v>
      </c>
    </row>
    <row r="9" spans="1:13" x14ac:dyDescent="0.2">
      <c r="A9" s="297" t="s">
        <v>988</v>
      </c>
      <c r="B9" s="298" t="s">
        <v>183</v>
      </c>
      <c r="C9" s="297" t="str">
        <f>IF(Forside!$D$12="Dansk",Tekstnøgler!E9,Tekstnøgler!G9)</f>
        <v>Forside</v>
      </c>
      <c r="D9" s="298" t="s">
        <v>183</v>
      </c>
      <c r="E9" s="297" t="s">
        <v>151</v>
      </c>
      <c r="F9" s="298" t="s">
        <v>183</v>
      </c>
      <c r="G9" s="300" t="s">
        <v>200</v>
      </c>
      <c r="H9" s="298" t="s">
        <v>183</v>
      </c>
      <c r="I9" s="297" t="s">
        <v>151</v>
      </c>
      <c r="J9" s="297" t="s">
        <v>201</v>
      </c>
      <c r="K9" s="297" t="str" cm="1">
        <f t="array" aca="1" ref="K9" ca="1">INDIRECT("'"&amp;I9&amp;"'!"&amp;J9)</f>
        <v>Forside</v>
      </c>
      <c r="L9" s="298" t="s">
        <v>183</v>
      </c>
      <c r="M9" s="297" t="str">
        <f t="shared" ca="1" si="0"/>
        <v>OK</v>
      </c>
    </row>
    <row r="10" spans="1:13" x14ac:dyDescent="0.2">
      <c r="A10" s="297" t="s">
        <v>989</v>
      </c>
      <c r="B10" s="298" t="s">
        <v>183</v>
      </c>
      <c r="C10" s="297" t="str">
        <f>IF(Forside!$D$12="Dansk",Tekstnøgler!E10,Tekstnøgler!G10)</f>
        <v>Stamdata</v>
      </c>
      <c r="D10" s="298" t="s">
        <v>183</v>
      </c>
      <c r="E10" s="297" t="s">
        <v>113</v>
      </c>
      <c r="F10" s="298" t="s">
        <v>183</v>
      </c>
      <c r="G10" s="300" t="s">
        <v>202</v>
      </c>
      <c r="H10" s="298" t="s">
        <v>183</v>
      </c>
      <c r="I10" s="297" t="s">
        <v>151</v>
      </c>
      <c r="J10" s="297" t="s">
        <v>203</v>
      </c>
      <c r="K10" s="297" t="str" cm="1">
        <f t="array" aca="1" ref="K10" ca="1">INDIRECT("'"&amp;I10&amp;"'!"&amp;J10)</f>
        <v>Stamdata</v>
      </c>
      <c r="L10" s="298" t="s">
        <v>183</v>
      </c>
      <c r="M10" s="297" t="str">
        <f t="shared" ca="1" si="0"/>
        <v>OK</v>
      </c>
    </row>
    <row r="11" spans="1:13" x14ac:dyDescent="0.2">
      <c r="A11" s="297" t="s">
        <v>990</v>
      </c>
      <c r="B11" s="298" t="s">
        <v>183</v>
      </c>
      <c r="C11" s="297" t="str">
        <f>IF(Forside!$D$12="Dansk",Tekstnøgler!E11,Tekstnøgler!G11)</f>
        <v>Kontaktoplysninger</v>
      </c>
      <c r="D11" s="298" t="s">
        <v>183</v>
      </c>
      <c r="E11" s="297" t="s">
        <v>155</v>
      </c>
      <c r="F11" s="298" t="s">
        <v>183</v>
      </c>
      <c r="G11" s="300" t="s">
        <v>304</v>
      </c>
      <c r="H11" s="298" t="s">
        <v>183</v>
      </c>
      <c r="I11" s="297" t="s">
        <v>151</v>
      </c>
      <c r="J11" s="297" t="s">
        <v>204</v>
      </c>
      <c r="K11" s="297" t="str" cm="1">
        <f t="array" aca="1" ref="K11" ca="1">INDIRECT("'"&amp;I11&amp;"'!"&amp;J11)</f>
        <v>Kontaktoplysninger</v>
      </c>
      <c r="L11" s="298" t="s">
        <v>183</v>
      </c>
      <c r="M11" s="297" t="str">
        <f t="shared" ca="1" si="0"/>
        <v>OK</v>
      </c>
    </row>
    <row r="12" spans="1:13" x14ac:dyDescent="0.2">
      <c r="A12" s="297" t="s">
        <v>991</v>
      </c>
      <c r="B12" s="298" t="s">
        <v>183</v>
      </c>
      <c r="C12" s="297" t="str">
        <f>IF(Forside!$D$12="Dansk",Tekstnøgler!E12,Tekstnøgler!G12)</f>
        <v>Resultater</v>
      </c>
      <c r="D12" s="298" t="s">
        <v>183</v>
      </c>
      <c r="E12" s="299" t="s">
        <v>156</v>
      </c>
      <c r="F12" s="298" t="s">
        <v>183</v>
      </c>
      <c r="G12" s="300" t="s">
        <v>205</v>
      </c>
      <c r="H12" s="298" t="s">
        <v>183</v>
      </c>
      <c r="I12" s="297" t="s">
        <v>151</v>
      </c>
      <c r="J12" s="297" t="s">
        <v>206</v>
      </c>
      <c r="K12" s="297" t="str" cm="1">
        <f t="array" aca="1" ref="K12" ca="1">INDIRECT("'"&amp;I12&amp;"'!"&amp;J12)</f>
        <v>Resultater</v>
      </c>
      <c r="L12" s="298" t="s">
        <v>183</v>
      </c>
      <c r="M12" s="297" t="str">
        <f t="shared" ca="1" si="0"/>
        <v>OK</v>
      </c>
    </row>
    <row r="13" spans="1:13" x14ac:dyDescent="0.2">
      <c r="A13" s="297" t="s">
        <v>992</v>
      </c>
      <c r="B13" s="298" t="s">
        <v>183</v>
      </c>
      <c r="C13" s="297" t="str">
        <f>IF(Forside!$D$12="Dansk",Tekstnøgler!E13,Tekstnøgler!G13)</f>
        <v>Hovedresultater</v>
      </c>
      <c r="D13" s="298" t="s">
        <v>183</v>
      </c>
      <c r="E13" s="297" t="s">
        <v>157</v>
      </c>
      <c r="F13" s="298" t="s">
        <v>183</v>
      </c>
      <c r="G13" s="300" t="s">
        <v>207</v>
      </c>
      <c r="H13" s="298" t="s">
        <v>183</v>
      </c>
      <c r="I13" s="297" t="s">
        <v>151</v>
      </c>
      <c r="J13" s="297" t="s">
        <v>208</v>
      </c>
      <c r="K13" s="297" t="str" cm="1">
        <f t="array" aca="1" ref="K13" ca="1">INDIRECT("'"&amp;I13&amp;"'!"&amp;J13)</f>
        <v>Hovedresultater</v>
      </c>
      <c r="L13" s="298" t="s">
        <v>183</v>
      </c>
      <c r="M13" s="297" t="str">
        <f t="shared" ca="1" si="0"/>
        <v>OK</v>
      </c>
    </row>
    <row r="14" spans="1:13" x14ac:dyDescent="0.2">
      <c r="A14" s="297" t="s">
        <v>993</v>
      </c>
      <c r="B14" s="298" t="s">
        <v>183</v>
      </c>
      <c r="C14" s="297" t="str">
        <f>IF(Forside!$D$12="Dansk",Tekstnøgler!E14,Tekstnøgler!G14)</f>
        <v>Delresultater</v>
      </c>
      <c r="D14" s="298" t="s">
        <v>183</v>
      </c>
      <c r="E14" s="297" t="s">
        <v>161</v>
      </c>
      <c r="F14" s="298" t="s">
        <v>183</v>
      </c>
      <c r="G14" s="300" t="s">
        <v>209</v>
      </c>
      <c r="H14" s="298" t="s">
        <v>183</v>
      </c>
      <c r="I14" s="297" t="s">
        <v>151</v>
      </c>
      <c r="J14" s="297" t="s">
        <v>210</v>
      </c>
      <c r="K14" s="297" t="str" cm="1">
        <f t="array" aca="1" ref="K14" ca="1">INDIRECT("'"&amp;I14&amp;"'!"&amp;J14)</f>
        <v>Delresultater</v>
      </c>
      <c r="L14" s="298" t="s">
        <v>183</v>
      </c>
      <c r="M14" s="297" t="str">
        <f t="shared" ca="1" si="0"/>
        <v>OK</v>
      </c>
    </row>
    <row r="15" spans="1:13" x14ac:dyDescent="0.2">
      <c r="A15" s="297" t="s">
        <v>994</v>
      </c>
      <c r="B15" s="298" t="s">
        <v>183</v>
      </c>
      <c r="C15" s="297" t="str">
        <f>IF(Forside!$D$12="Dansk",Tekstnøgler!E15,Tekstnøgler!G15)</f>
        <v>Hovedresultater (GHG)</v>
      </c>
      <c r="D15" s="298" t="s">
        <v>183</v>
      </c>
      <c r="E15" s="297" t="s">
        <v>162</v>
      </c>
      <c r="F15" s="298" t="s">
        <v>183</v>
      </c>
      <c r="G15" s="300" t="s">
        <v>211</v>
      </c>
      <c r="H15" s="298" t="s">
        <v>183</v>
      </c>
      <c r="I15" s="297" t="s">
        <v>151</v>
      </c>
      <c r="J15" s="297" t="s">
        <v>212</v>
      </c>
      <c r="K15" s="297" t="str" cm="1">
        <f t="array" aca="1" ref="K15" ca="1">INDIRECT("'"&amp;I15&amp;"'!"&amp;J15)</f>
        <v>Hovedresultater (GHG)</v>
      </c>
      <c r="L15" s="298" t="s">
        <v>183</v>
      </c>
      <c r="M15" s="297" t="str">
        <f t="shared" ca="1" si="0"/>
        <v>OK</v>
      </c>
    </row>
    <row r="16" spans="1:13" x14ac:dyDescent="0.2">
      <c r="A16" s="297" t="s">
        <v>995</v>
      </c>
      <c r="B16" s="298" t="s">
        <v>183</v>
      </c>
      <c r="C16" s="297" t="str">
        <f>IF(Forside!$D$12="Dansk",Tekstnøgler!E16,Tekstnøgler!G16)</f>
        <v>Delresultater (GHG)</v>
      </c>
      <c r="D16" s="298" t="s">
        <v>183</v>
      </c>
      <c r="E16" s="297" t="s">
        <v>163</v>
      </c>
      <c r="F16" s="298" t="s">
        <v>183</v>
      </c>
      <c r="G16" s="300" t="s">
        <v>213</v>
      </c>
      <c r="H16" s="298" t="s">
        <v>183</v>
      </c>
      <c r="I16" s="297" t="s">
        <v>151</v>
      </c>
      <c r="J16" s="297" t="s">
        <v>214</v>
      </c>
      <c r="K16" s="297" t="str" cm="1">
        <f t="array" aca="1" ref="K16" ca="1">INDIRECT("'"&amp;I16&amp;"'!"&amp;J16)</f>
        <v>Delresultater (GHG)</v>
      </c>
      <c r="L16" s="298" t="s">
        <v>183</v>
      </c>
      <c r="M16" s="297" t="str">
        <f t="shared" ca="1" si="0"/>
        <v>OK</v>
      </c>
    </row>
    <row r="17" spans="1:13" x14ac:dyDescent="0.2">
      <c r="A17" s="297" t="s">
        <v>996</v>
      </c>
      <c r="B17" s="298" t="s">
        <v>183</v>
      </c>
      <c r="C17" s="297" t="str">
        <f>IF(Forside!$D$12="Dansk",Tekstnøgler!E17,Tekstnøgler!G17)</f>
        <v>E-nøgletal (ESG)</v>
      </c>
      <c r="D17" s="298" t="s">
        <v>183</v>
      </c>
      <c r="E17" s="297" t="s">
        <v>165</v>
      </c>
      <c r="F17" s="298" t="s">
        <v>183</v>
      </c>
      <c r="G17" s="300" t="s">
        <v>215</v>
      </c>
      <c r="H17" s="298" t="s">
        <v>183</v>
      </c>
      <c r="I17" s="297" t="s">
        <v>151</v>
      </c>
      <c r="J17" s="297" t="s">
        <v>216</v>
      </c>
      <c r="K17" s="297" t="str" cm="1">
        <f t="array" aca="1" ref="K17" ca="1">INDIRECT("'"&amp;I17&amp;"'!"&amp;J17)</f>
        <v>E-nøgletal (ESG)</v>
      </c>
      <c r="L17" s="298" t="s">
        <v>183</v>
      </c>
      <c r="M17" s="297" t="str">
        <f t="shared" ca="1" si="0"/>
        <v>OK</v>
      </c>
    </row>
    <row r="18" spans="1:13" x14ac:dyDescent="0.2">
      <c r="A18" s="297" t="s">
        <v>997</v>
      </c>
      <c r="B18" s="298" t="s">
        <v>183</v>
      </c>
      <c r="C18" s="297" t="str">
        <f>IF(Forside!$D$12="Dansk",Tekstnøgler!E18,Tekstnøgler!G18)</f>
        <v>Scope 3 kategorier</v>
      </c>
      <c r="D18" s="298" t="s">
        <v>183</v>
      </c>
      <c r="E18" s="297" t="s">
        <v>166</v>
      </c>
      <c r="F18" s="298" t="s">
        <v>183</v>
      </c>
      <c r="G18" s="300" t="s">
        <v>217</v>
      </c>
      <c r="H18" s="298" t="s">
        <v>183</v>
      </c>
      <c r="I18" s="297" t="s">
        <v>151</v>
      </c>
      <c r="J18" s="297" t="s">
        <v>218</v>
      </c>
      <c r="K18" s="297" t="str" cm="1">
        <f t="array" aca="1" ref="K18" ca="1">INDIRECT("'"&amp;I18&amp;"'!"&amp;J18)</f>
        <v>Scope 3 kategorier</v>
      </c>
      <c r="L18" s="298" t="s">
        <v>183</v>
      </c>
      <c r="M18" s="297" t="str">
        <f t="shared" ca="1" si="0"/>
        <v>OK</v>
      </c>
    </row>
    <row r="19" spans="1:13" x14ac:dyDescent="0.2">
      <c r="A19" s="297" t="s">
        <v>998</v>
      </c>
      <c r="B19" s="298" t="s">
        <v>183</v>
      </c>
      <c r="C19" s="297" t="str">
        <f>IF(Forside!$D$12="Dansk",Tekstnøgler!E19,Tekstnøgler!G19)</f>
        <v>Største udledningsposter</v>
      </c>
      <c r="D19" s="298" t="s">
        <v>183</v>
      </c>
      <c r="E19" s="297" t="s">
        <v>1577</v>
      </c>
      <c r="F19" s="298" t="s">
        <v>183</v>
      </c>
      <c r="G19" s="300" t="s">
        <v>1578</v>
      </c>
      <c r="H19" s="298" t="s">
        <v>183</v>
      </c>
      <c r="I19" s="297" t="s">
        <v>151</v>
      </c>
      <c r="J19" s="297" t="s">
        <v>220</v>
      </c>
      <c r="K19" s="297" t="str" cm="1">
        <f t="array" aca="1" ref="K19" ca="1">INDIRECT("'"&amp;I19&amp;"'!"&amp;J19)</f>
        <v>Største udledningsposter</v>
      </c>
      <c r="L19" s="298" t="s">
        <v>183</v>
      </c>
      <c r="M19" s="297" t="str">
        <f t="shared" ca="1" si="0"/>
        <v>OK</v>
      </c>
    </row>
    <row r="20" spans="1:13" x14ac:dyDescent="0.2">
      <c r="A20" s="297" t="s">
        <v>999</v>
      </c>
      <c r="B20" s="298" t="s">
        <v>183</v>
      </c>
      <c r="C20" s="297" t="str">
        <f>IF(Forside!$D$12="Dansk",Tekstnøgler!E20,Tekstnøgler!G20)</f>
        <v>Fremskrivning &amp; Reduktionsmålsætninger</v>
      </c>
      <c r="D20" s="298" t="s">
        <v>183</v>
      </c>
      <c r="E20" s="299" t="s">
        <v>168</v>
      </c>
      <c r="F20" s="298" t="s">
        <v>183</v>
      </c>
      <c r="G20" s="300" t="s">
        <v>1579</v>
      </c>
      <c r="H20" s="298" t="s">
        <v>183</v>
      </c>
      <c r="I20" s="297" t="s">
        <v>151</v>
      </c>
      <c r="J20" s="297" t="s">
        <v>221</v>
      </c>
      <c r="K20" s="297" t="str" cm="1">
        <f t="array" aca="1" ref="K20" ca="1">INDIRECT("'"&amp;I20&amp;"'!"&amp;J20)</f>
        <v>Fremskrivning &amp; Reduktionsmålsætninger</v>
      </c>
      <c r="L20" s="298" t="s">
        <v>183</v>
      </c>
      <c r="M20" s="297" t="str">
        <f t="shared" ca="1" si="0"/>
        <v>OK</v>
      </c>
    </row>
    <row r="21" spans="1:13" x14ac:dyDescent="0.2">
      <c r="A21" s="297" t="s">
        <v>1000</v>
      </c>
      <c r="B21" s="298" t="s">
        <v>183</v>
      </c>
      <c r="C21" s="297" t="str">
        <f>IF(Forside!$D$12="Dansk",Tekstnøgler!E21,Tekstnøgler!G21)</f>
        <v>Fremskrivning - Hovedresultater</v>
      </c>
      <c r="D21" s="298" t="s">
        <v>183</v>
      </c>
      <c r="E21" s="297" t="s">
        <v>130</v>
      </c>
      <c r="F21" s="298" t="s">
        <v>183</v>
      </c>
      <c r="G21" s="300" t="s">
        <v>1580</v>
      </c>
      <c r="H21" s="298" t="s">
        <v>183</v>
      </c>
      <c r="I21" s="297" t="s">
        <v>151</v>
      </c>
      <c r="J21" s="297" t="s">
        <v>222</v>
      </c>
      <c r="K21" s="297" t="str" cm="1">
        <f t="array" aca="1" ref="K21" ca="1">INDIRECT("'"&amp;I21&amp;"'!"&amp;J21)</f>
        <v>Fremskrivning - Hovedresultater</v>
      </c>
      <c r="L21" s="298" t="s">
        <v>183</v>
      </c>
      <c r="M21" s="297" t="str">
        <f t="shared" ca="1" si="0"/>
        <v>OK</v>
      </c>
    </row>
    <row r="22" spans="1:13" x14ac:dyDescent="0.2">
      <c r="A22" s="297" t="s">
        <v>1001</v>
      </c>
      <c r="B22" s="298" t="s">
        <v>183</v>
      </c>
      <c r="C22" s="297" t="str">
        <f>IF(Forside!$D$12="Dansk",Tekstnøgler!E22,Tekstnøgler!G22)</f>
        <v>Fremskrivning - Delresultater</v>
      </c>
      <c r="D22" s="298" t="s">
        <v>183</v>
      </c>
      <c r="E22" s="297" t="s">
        <v>169</v>
      </c>
      <c r="F22" s="298" t="s">
        <v>183</v>
      </c>
      <c r="G22" s="300" t="s">
        <v>1581</v>
      </c>
      <c r="H22" s="298" t="s">
        <v>183</v>
      </c>
      <c r="I22" s="297" t="s">
        <v>151</v>
      </c>
      <c r="J22" s="297" t="s">
        <v>223</v>
      </c>
      <c r="K22" s="297" t="str" cm="1">
        <f t="array" aca="1" ref="K22" ca="1">INDIRECT("'"&amp;I22&amp;"'!"&amp;J22)</f>
        <v>Fremskrivning - Delresultater</v>
      </c>
      <c r="L22" s="298" t="s">
        <v>183</v>
      </c>
      <c r="M22" s="297" t="str">
        <f t="shared" ca="1" si="0"/>
        <v>OK</v>
      </c>
    </row>
    <row r="23" spans="1:13" x14ac:dyDescent="0.2">
      <c r="A23" s="297" t="s">
        <v>1002</v>
      </c>
      <c r="B23" s="298" t="s">
        <v>183</v>
      </c>
      <c r="C23" s="297" t="str">
        <f>IF(Forside!$D$12="Dansk",Tekstnøgler!E23,Tekstnøgler!G23)</f>
        <v>Reduktionsmålsætninger</v>
      </c>
      <c r="D23" s="298" t="s">
        <v>183</v>
      </c>
      <c r="E23" s="297" t="s">
        <v>135</v>
      </c>
      <c r="F23" s="298" t="s">
        <v>183</v>
      </c>
      <c r="G23" s="300" t="s">
        <v>1582</v>
      </c>
      <c r="H23" s="298" t="s">
        <v>183</v>
      </c>
      <c r="I23" s="297" t="s">
        <v>151</v>
      </c>
      <c r="J23" s="297" t="s">
        <v>224</v>
      </c>
      <c r="K23" s="297" t="str" cm="1">
        <f t="array" aca="1" ref="K23" ca="1">INDIRECT("'"&amp;I23&amp;"'!"&amp;J23)</f>
        <v>Reduktionsmålsætninger</v>
      </c>
      <c r="L23" s="298" t="s">
        <v>183</v>
      </c>
      <c r="M23" s="297" t="str">
        <f t="shared" ca="1" si="0"/>
        <v>OK</v>
      </c>
    </row>
    <row r="24" spans="1:13" x14ac:dyDescent="0.2">
      <c r="A24" s="297" t="s">
        <v>1003</v>
      </c>
      <c r="B24" s="298" t="s">
        <v>183</v>
      </c>
      <c r="C24" s="297" t="str">
        <f>IF(Forside!$D$12="Dansk",Tekstnøgler!E24,Tekstnøgler!G24)</f>
        <v>Data</v>
      </c>
      <c r="D24" s="298" t="s">
        <v>183</v>
      </c>
      <c r="E24" s="299" t="s">
        <v>170</v>
      </c>
      <c r="F24" s="298" t="s">
        <v>183</v>
      </c>
      <c r="G24" s="300" t="s">
        <v>170</v>
      </c>
      <c r="H24" s="298" t="s">
        <v>183</v>
      </c>
      <c r="I24" s="297" t="s">
        <v>151</v>
      </c>
      <c r="J24" s="297" t="s">
        <v>225</v>
      </c>
      <c r="K24" s="297" t="str" cm="1">
        <f t="array" aca="1" ref="K24" ca="1">INDIRECT("'"&amp;I24&amp;"'!"&amp;J24)</f>
        <v>Data</v>
      </c>
      <c r="L24" s="298" t="s">
        <v>183</v>
      </c>
      <c r="M24" s="297" t="str">
        <f t="shared" ca="1" si="0"/>
        <v>OK</v>
      </c>
    </row>
    <row r="25" spans="1:13" x14ac:dyDescent="0.2">
      <c r="A25" s="297" t="s">
        <v>1004</v>
      </c>
      <c r="B25" s="298" t="s">
        <v>183</v>
      </c>
      <c r="C25" s="297" t="str">
        <f>IF(Forside!$D$12="Dansk",Tekstnøgler!E25,Tekstnøgler!G25)</f>
        <v>Emissionsfaktorer</v>
      </c>
      <c r="D25" s="298" t="s">
        <v>183</v>
      </c>
      <c r="E25" s="297" t="s">
        <v>171</v>
      </c>
      <c r="F25" s="298" t="s">
        <v>183</v>
      </c>
      <c r="G25" s="300" t="s">
        <v>860</v>
      </c>
      <c r="H25" s="298" t="s">
        <v>183</v>
      </c>
      <c r="I25" s="297" t="s">
        <v>151</v>
      </c>
      <c r="J25" s="297" t="s">
        <v>226</v>
      </c>
      <c r="K25" s="297" t="str" cm="1">
        <f t="array" aca="1" ref="K25" ca="1">INDIRECT("'"&amp;I25&amp;"'!"&amp;J25)</f>
        <v>Emissionsfaktorer</v>
      </c>
      <c r="L25" s="298" t="s">
        <v>183</v>
      </c>
      <c r="M25" s="297" t="str">
        <f t="shared" ca="1" si="0"/>
        <v>OK</v>
      </c>
    </row>
    <row r="26" spans="1:13" x14ac:dyDescent="0.2">
      <c r="A26" s="297" t="s">
        <v>1007</v>
      </c>
      <c r="B26" s="298" t="s">
        <v>183</v>
      </c>
      <c r="C26" s="297" t="str">
        <f>IF(Forside!$D$12="Dansk",Tekstnøgler!E26,Tekstnøgler!G26)</f>
        <v>Egne emissionsfaktorer</v>
      </c>
      <c r="D26" s="298" t="s">
        <v>183</v>
      </c>
      <c r="E26" s="297" t="s">
        <v>889</v>
      </c>
      <c r="F26" s="298" t="s">
        <v>183</v>
      </c>
      <c r="G26" s="300" t="s">
        <v>890</v>
      </c>
      <c r="H26" s="298" t="s">
        <v>183</v>
      </c>
      <c r="I26" s="297" t="s">
        <v>151</v>
      </c>
      <c r="J26" s="297" t="s">
        <v>227</v>
      </c>
      <c r="K26" s="297" t="str" cm="1">
        <f t="array" aca="1" ref="K26" ca="1">INDIRECT("'"&amp;I26&amp;"'!"&amp;J26)</f>
        <v>Egne emissionsfaktorer</v>
      </c>
      <c r="L26" s="298" t="s">
        <v>183</v>
      </c>
      <c r="M26" s="297" t="str">
        <f t="shared" ca="1" si="0"/>
        <v>OK</v>
      </c>
    </row>
    <row r="27" spans="1:13" x14ac:dyDescent="0.2">
      <c r="A27" s="297" t="s">
        <v>1008</v>
      </c>
      <c r="B27" s="298" t="s">
        <v>183</v>
      </c>
      <c r="C27" s="297" t="str">
        <f>IF(Forside!$D$12="Dansk",Tekstnøgler!E27,Tekstnøgler!G27)</f>
        <v>Fremskrevne emissionsfaktorer</v>
      </c>
      <c r="D27" s="298" t="s">
        <v>183</v>
      </c>
      <c r="E27" s="297" t="s">
        <v>173</v>
      </c>
      <c r="F27" s="298" t="s">
        <v>183</v>
      </c>
      <c r="G27" s="300" t="s">
        <v>1583</v>
      </c>
      <c r="H27" s="298" t="s">
        <v>183</v>
      </c>
      <c r="I27" s="297" t="s">
        <v>151</v>
      </c>
      <c r="J27" s="297" t="s">
        <v>228</v>
      </c>
      <c r="K27" s="297" t="str" cm="1">
        <f t="array" aca="1" ref="K27" ca="1">INDIRECT("'"&amp;I27&amp;"'!"&amp;J27)</f>
        <v>Fremskrevne emissionsfaktorer</v>
      </c>
      <c r="L27" s="298" t="s">
        <v>183</v>
      </c>
      <c r="M27" s="297" t="str">
        <f t="shared" ca="1" si="0"/>
        <v>OK</v>
      </c>
    </row>
    <row r="28" spans="1:13" x14ac:dyDescent="0.2">
      <c r="A28" s="297" t="s">
        <v>1005</v>
      </c>
      <c r="B28" s="298" t="s">
        <v>183</v>
      </c>
      <c r="C28" s="297" t="str">
        <f>IF(Forside!$D$12="Dansk",Tekstnøgler!E28,Tekstnøgler!G28)</f>
        <v>Data (alle poster)</v>
      </c>
      <c r="D28" s="298" t="s">
        <v>183</v>
      </c>
      <c r="E28" s="297" t="s">
        <v>174</v>
      </c>
      <c r="F28" s="298" t="s">
        <v>183</v>
      </c>
      <c r="G28" s="300" t="s">
        <v>229</v>
      </c>
      <c r="H28" s="298" t="s">
        <v>183</v>
      </c>
      <c r="I28" s="297" t="s">
        <v>151</v>
      </c>
      <c r="J28" s="297" t="s">
        <v>230</v>
      </c>
      <c r="K28" s="297" t="str" cm="1">
        <f t="array" aca="1" ref="K28" ca="1">INDIRECT("'"&amp;I28&amp;"'!"&amp;J28)</f>
        <v>Data (alle poster)</v>
      </c>
      <c r="L28" s="298" t="s">
        <v>183</v>
      </c>
      <c r="M28" s="297" t="str">
        <f t="shared" ca="1" si="0"/>
        <v>OK</v>
      </c>
    </row>
    <row r="29" spans="1:13" x14ac:dyDescent="0.2">
      <c r="A29" s="297" t="s">
        <v>1006</v>
      </c>
      <c r="B29" s="298" t="s">
        <v>183</v>
      </c>
      <c r="C29" s="297" t="str">
        <f>IF(Forside!$D$12="Dansk",Tekstnøgler!E29,Tekstnøgler!G29)</f>
        <v>Data (E-nøgletal)</v>
      </c>
      <c r="D29" s="298" t="s">
        <v>183</v>
      </c>
      <c r="E29" s="297" t="s">
        <v>175</v>
      </c>
      <c r="F29" s="298" t="s">
        <v>183</v>
      </c>
      <c r="G29" s="300" t="s">
        <v>1584</v>
      </c>
      <c r="H29" s="298" t="s">
        <v>183</v>
      </c>
      <c r="I29" s="297" t="s">
        <v>151</v>
      </c>
      <c r="J29" s="297" t="s">
        <v>231</v>
      </c>
      <c r="K29" s="297" t="str" cm="1">
        <f t="array" aca="1" ref="K29" ca="1">INDIRECT("'"&amp;I29&amp;"'!"&amp;J29)</f>
        <v>Data (E-nøgletal)</v>
      </c>
      <c r="L29" s="298" t="s">
        <v>183</v>
      </c>
      <c r="M29" s="297" t="str">
        <f t="shared" ca="1" si="0"/>
        <v>OK</v>
      </c>
    </row>
    <row r="30" spans="1:13" x14ac:dyDescent="0.2">
      <c r="A30" s="297" t="s">
        <v>1009</v>
      </c>
      <c r="B30" s="298" t="s">
        <v>183</v>
      </c>
      <c r="C30" s="297" t="str">
        <f>IF(Forside!$D$12="Dansk",Tekstnøgler!E30,Tekstnøgler!G30)</f>
        <v>Til udviklerne</v>
      </c>
      <c r="D30" s="298" t="s">
        <v>183</v>
      </c>
      <c r="E30" s="299" t="s">
        <v>99</v>
      </c>
      <c r="F30" s="298" t="s">
        <v>183</v>
      </c>
      <c r="G30" s="300" t="s">
        <v>1585</v>
      </c>
      <c r="H30" s="298" t="s">
        <v>183</v>
      </c>
      <c r="I30" s="297" t="s">
        <v>151</v>
      </c>
      <c r="J30" s="297" t="s">
        <v>232</v>
      </c>
      <c r="K30" s="297" t="str" cm="1">
        <f t="array" aca="1" ref="K30" ca="1">INDIRECT("'"&amp;I30&amp;"'!"&amp;J30)</f>
        <v>Til udviklerne</v>
      </c>
      <c r="L30" s="298" t="s">
        <v>183</v>
      </c>
      <c r="M30" s="297" t="str">
        <f t="shared" ca="1" si="0"/>
        <v>OK</v>
      </c>
    </row>
    <row r="31" spans="1:13" x14ac:dyDescent="0.2">
      <c r="A31" s="297" t="s">
        <v>1010</v>
      </c>
      <c r="B31" s="298" t="s">
        <v>183</v>
      </c>
      <c r="C31" s="297" t="str">
        <f>IF(Forside!$D$12="Dansk",Tekstnøgler!E31,Tekstnøgler!G31)</f>
        <v>Til udviklerne</v>
      </c>
      <c r="D31" s="298" t="s">
        <v>183</v>
      </c>
      <c r="E31" s="299" t="s">
        <v>99</v>
      </c>
      <c r="F31" s="298" t="s">
        <v>183</v>
      </c>
      <c r="G31" s="300" t="s">
        <v>1585</v>
      </c>
      <c r="H31" s="298" t="s">
        <v>183</v>
      </c>
      <c r="I31" s="297" t="s">
        <v>151</v>
      </c>
      <c r="J31" s="297" t="s">
        <v>233</v>
      </c>
      <c r="K31" s="297" t="str" cm="1">
        <f t="array" aca="1" ref="K31" ca="1">INDIRECT("'"&amp;I31&amp;"'!"&amp;J31)</f>
        <v>Til udviklerne</v>
      </c>
      <c r="L31" s="298" t="s">
        <v>183</v>
      </c>
      <c r="M31" s="297" t="str">
        <f t="shared" ref="M31" ca="1" si="1">IF(C31=K31,"OK","Reference fejl")</f>
        <v>OK</v>
      </c>
    </row>
    <row r="32" spans="1:13" x14ac:dyDescent="0.2">
      <c r="A32" s="297" t="s">
        <v>1011</v>
      </c>
      <c r="B32" s="298" t="s">
        <v>183</v>
      </c>
      <c r="C32" s="297" t="str">
        <f>IF(Forside!$D$12="Dansk",Tekstnøgler!E32,Tekstnøgler!G32)</f>
        <v>Tekstnøgler</v>
      </c>
      <c r="D32" s="298" t="s">
        <v>183</v>
      </c>
      <c r="E32" s="297" t="s">
        <v>234</v>
      </c>
      <c r="F32" s="298" t="s">
        <v>183</v>
      </c>
      <c r="G32" s="300" t="s">
        <v>235</v>
      </c>
      <c r="H32" s="298" t="s">
        <v>183</v>
      </c>
      <c r="I32" s="297" t="s">
        <v>151</v>
      </c>
      <c r="J32" s="297" t="s">
        <v>236</v>
      </c>
      <c r="K32" s="297" t="str" cm="1">
        <f t="array" aca="1" ref="K32" ca="1">INDIRECT("'"&amp;I32&amp;"'!"&amp;J32)</f>
        <v>Tekstnøgler</v>
      </c>
      <c r="L32" s="298" t="s">
        <v>183</v>
      </c>
      <c r="M32" s="297" t="str">
        <f ca="1">IF(C32=K32,"OK","Reference fejl")</f>
        <v>OK</v>
      </c>
    </row>
    <row r="33" spans="1:15" x14ac:dyDescent="0.2">
      <c r="A33" s="297" t="s">
        <v>237</v>
      </c>
      <c r="B33" s="298" t="s">
        <v>183</v>
      </c>
      <c r="C33" s="297" t="str">
        <f>IF(Forside!$D$12="Dansk",Tekstnøgler!E33,Tekstnøgler!G33)</f>
        <v>Resultat</v>
      </c>
      <c r="D33" s="298" t="s">
        <v>183</v>
      </c>
      <c r="E33" s="299" t="s">
        <v>749</v>
      </c>
      <c r="F33" s="298" t="s">
        <v>183</v>
      </c>
      <c r="G33" s="300" t="s">
        <v>750</v>
      </c>
      <c r="H33" s="298" t="s">
        <v>183</v>
      </c>
      <c r="I33" s="297" t="s">
        <v>151</v>
      </c>
      <c r="J33" s="297" t="s">
        <v>238</v>
      </c>
      <c r="K33" s="297" t="str" cm="1">
        <f t="array" aca="1" ref="K33" ca="1">INDIRECT("'"&amp;I33&amp;"'!"&amp;J33)</f>
        <v>Resultat</v>
      </c>
      <c r="L33" s="298" t="s">
        <v>183</v>
      </c>
      <c r="M33" s="297" t="str">
        <f t="shared" ref="M33:M35" ca="1" si="2">IF(C33=K33,"OK","Reference fejl")</f>
        <v>OK</v>
      </c>
    </row>
    <row r="34" spans="1:15" x14ac:dyDescent="0.2">
      <c r="A34" s="297" t="s">
        <v>239</v>
      </c>
      <c r="B34" s="298" t="s">
        <v>183</v>
      </c>
      <c r="C34" s="297" t="str">
        <f>IF(Forside!$D$12="Dansk",Tekstnøgler!E34,Tekstnøgler!G34)</f>
        <v>Resultat for</v>
      </c>
      <c r="D34" s="298" t="s">
        <v>183</v>
      </c>
      <c r="E34" s="299" t="s">
        <v>240</v>
      </c>
      <c r="F34" s="298" t="s">
        <v>183</v>
      </c>
      <c r="G34" s="300" t="s">
        <v>1586</v>
      </c>
      <c r="H34" s="298" t="s">
        <v>183</v>
      </c>
      <c r="I34" s="297" t="s">
        <v>151</v>
      </c>
      <c r="J34" s="297" t="s">
        <v>241</v>
      </c>
      <c r="K34" s="297" t="str" cm="1">
        <f t="array" aca="1" ref="K34" ca="1">INDIRECT("'"&amp;I34&amp;"'!"&amp;J34)</f>
        <v>Resultat for 0 (År) - Tiltagscase</v>
      </c>
      <c r="L34" s="298" t="s">
        <v>183</v>
      </c>
      <c r="M34" s="297" t="str">
        <f t="shared" ca="1" si="2"/>
        <v>Reference fejl</v>
      </c>
    </row>
    <row r="35" spans="1:15" x14ac:dyDescent="0.2">
      <c r="B35" s="298" t="s">
        <v>183</v>
      </c>
      <c r="C35" s="297">
        <f>IF(Forside!$D$12="Dansk",Tekstnøgler!E35,Tekstnøgler!G35)</f>
        <v>0</v>
      </c>
      <c r="D35" s="298" t="s">
        <v>183</v>
      </c>
      <c r="F35" s="298" t="s">
        <v>183</v>
      </c>
      <c r="H35" s="298" t="s">
        <v>183</v>
      </c>
      <c r="I35" s="297" t="s">
        <v>151</v>
      </c>
      <c r="K35" s="297" t="e" cm="1">
        <f t="array" aca="1" ref="K35" ca="1">INDIRECT("'"&amp;I35&amp;"'!"&amp;J35)</f>
        <v>#REF!</v>
      </c>
      <c r="L35" s="298" t="s">
        <v>183</v>
      </c>
      <c r="M35" s="297" t="e">
        <f t="shared" ca="1" si="2"/>
        <v>#REF!</v>
      </c>
      <c r="N35" s="300" t="s">
        <v>242</v>
      </c>
      <c r="O35" s="297" t="s">
        <v>1103</v>
      </c>
    </row>
    <row r="36" spans="1:15" x14ac:dyDescent="0.2">
      <c r="B36" s="298" t="s">
        <v>183</v>
      </c>
      <c r="C36" s="297">
        <f>IF(Forside!$D$12="Dansk",Tekstnøgler!E36,Tekstnøgler!G36)</f>
        <v>0</v>
      </c>
      <c r="D36" s="298" t="s">
        <v>183</v>
      </c>
      <c r="F36" s="298" t="s">
        <v>183</v>
      </c>
      <c r="H36" s="298" t="s">
        <v>183</v>
      </c>
      <c r="I36" s="297" t="s">
        <v>151</v>
      </c>
      <c r="K36" s="297" t="e" cm="1">
        <f t="array" aca="1" ref="K36" ca="1">INDIRECT("'"&amp;I36&amp;"'!"&amp;J36)</f>
        <v>#REF!</v>
      </c>
      <c r="L36" s="298" t="s">
        <v>183</v>
      </c>
      <c r="M36" s="297" t="e">
        <f t="shared" ref="M36:M59" ca="1" si="3">IF(C36=K36,"OK","Reference fejl")</f>
        <v>#REF!</v>
      </c>
      <c r="N36" s="300" t="s">
        <v>243</v>
      </c>
      <c r="O36" s="297" t="s">
        <v>1103</v>
      </c>
    </row>
    <row r="37" spans="1:15" x14ac:dyDescent="0.2">
      <c r="A37" s="297" t="s">
        <v>244</v>
      </c>
      <c r="B37" s="298" t="s">
        <v>183</v>
      </c>
      <c r="C37" s="297" t="str">
        <f>IF(Forside!$D$12="Dansk",Tekstnøgler!E37,Tekstnøgler!G37)</f>
        <v>Stamdata</v>
      </c>
      <c r="D37" s="298" t="s">
        <v>183</v>
      </c>
      <c r="E37" s="299" t="s">
        <v>113</v>
      </c>
      <c r="F37" s="298" t="s">
        <v>183</v>
      </c>
      <c r="G37" s="303" t="s">
        <v>202</v>
      </c>
      <c r="H37" s="298" t="s">
        <v>183</v>
      </c>
      <c r="I37" s="297" t="s">
        <v>113</v>
      </c>
      <c r="J37" s="297" t="s">
        <v>238</v>
      </c>
      <c r="K37" s="297" t="str" cm="1">
        <f t="array" aca="1" ref="K37" ca="1">INDIRECT("'"&amp;I37&amp;"'!"&amp;J37)</f>
        <v>Stamdata</v>
      </c>
      <c r="L37" s="298" t="s">
        <v>183</v>
      </c>
      <c r="M37" s="297" t="str">
        <f t="shared" ca="1" si="3"/>
        <v>OK</v>
      </c>
    </row>
    <row r="38" spans="1:15" x14ac:dyDescent="0.2">
      <c r="A38" s="297" t="s">
        <v>245</v>
      </c>
      <c r="B38" s="298" t="s">
        <v>183</v>
      </c>
      <c r="C38" s="297" t="str">
        <f>IF(Forside!$D$12="Dansk",Tekstnøgler!E38,Tekstnøgler!G38)</f>
        <v>Om beregningen</v>
      </c>
      <c r="D38" s="298" t="s">
        <v>183</v>
      </c>
      <c r="E38" s="299" t="s">
        <v>1587</v>
      </c>
      <c r="F38" s="298" t="s">
        <v>183</v>
      </c>
      <c r="G38" s="303" t="s">
        <v>1588</v>
      </c>
      <c r="H38" s="298" t="s">
        <v>183</v>
      </c>
      <c r="I38" s="297" t="s">
        <v>113</v>
      </c>
      <c r="J38" s="297" t="s">
        <v>241</v>
      </c>
      <c r="K38" s="297" t="str" cm="1">
        <f t="array" aca="1" ref="K38" ca="1">INDIRECT("'"&amp;I38&amp;"'!"&amp;J38)</f>
        <v>Om beregningen</v>
      </c>
      <c r="L38" s="298" t="s">
        <v>183</v>
      </c>
      <c r="M38" s="297" t="str">
        <f t="shared" ca="1" si="3"/>
        <v>OK</v>
      </c>
    </row>
    <row r="39" spans="1:15" x14ac:dyDescent="0.2">
      <c r="A39" s="297" t="s">
        <v>246</v>
      </c>
      <c r="B39" s="298" t="s">
        <v>183</v>
      </c>
      <c r="C39" s="297" t="str">
        <f>IF(Forside!$D$12="Dansk",Tekstnøgler!E39,Tekstnøgler!G39)</f>
        <v>Navn på beregning</v>
      </c>
      <c r="D39" s="298" t="s">
        <v>183</v>
      </c>
      <c r="E39" s="299" t="s">
        <v>247</v>
      </c>
      <c r="F39" s="298" t="s">
        <v>183</v>
      </c>
      <c r="G39" s="303" t="s">
        <v>248</v>
      </c>
      <c r="H39" s="298" t="s">
        <v>183</v>
      </c>
      <c r="I39" s="297" t="s">
        <v>113</v>
      </c>
      <c r="J39" s="297" t="s">
        <v>249</v>
      </c>
      <c r="K39" s="297" t="str" cm="1">
        <f t="array" aca="1" ref="K39" ca="1">INDIRECT("'"&amp;I39&amp;"'!"&amp;J39)</f>
        <v>Navn på beregning</v>
      </c>
      <c r="L39" s="298" t="s">
        <v>183</v>
      </c>
      <c r="M39" s="297" t="str">
        <f t="shared" ca="1" si="3"/>
        <v>OK</v>
      </c>
    </row>
    <row r="40" spans="1:15" x14ac:dyDescent="0.2">
      <c r="A40" s="297" t="s">
        <v>250</v>
      </c>
      <c r="B40" s="298" t="s">
        <v>183</v>
      </c>
      <c r="C40" s="297" t="str">
        <f>IF(Forside!$D$12="Dansk",Tekstnøgler!E40,Tekstnøgler!G40)</f>
        <v>Formål med beregningen</v>
      </c>
      <c r="D40" s="298" t="s">
        <v>183</v>
      </c>
      <c r="E40" s="299" t="s">
        <v>251</v>
      </c>
      <c r="F40" s="298" t="s">
        <v>183</v>
      </c>
      <c r="G40" s="303" t="s">
        <v>252</v>
      </c>
      <c r="H40" s="298" t="s">
        <v>183</v>
      </c>
      <c r="I40" s="297" t="s">
        <v>113</v>
      </c>
      <c r="J40" s="297" t="s">
        <v>189</v>
      </c>
      <c r="K40" s="297" t="str" cm="1">
        <f t="array" aca="1" ref="K40" ca="1">INDIRECT("'"&amp;I40&amp;"'!"&amp;J40)</f>
        <v>Formål med beregningen</v>
      </c>
      <c r="L40" s="298" t="s">
        <v>183</v>
      </c>
      <c r="M40" s="297" t="str">
        <f t="shared" ca="1" si="3"/>
        <v>OK</v>
      </c>
    </row>
    <row r="41" spans="1:15" x14ac:dyDescent="0.2">
      <c r="A41" s="297" t="s">
        <v>1012</v>
      </c>
      <c r="B41" s="298" t="s">
        <v>183</v>
      </c>
      <c r="C41" s="297" t="str">
        <f>IF(Forside!$D$12="Dansk",Tekstnøgler!E41,Tekstnøgler!G41)</f>
        <v>1. Beregn klimaaftrykket for din virksomhed (CVR-nr. tilknyttet)</v>
      </c>
      <c r="D41" s="298" t="s">
        <v>183</v>
      </c>
      <c r="E41" s="299" t="s">
        <v>253</v>
      </c>
      <c r="F41" s="298" t="s">
        <v>183</v>
      </c>
      <c r="G41" s="303" t="s">
        <v>1589</v>
      </c>
      <c r="H41" s="298" t="s">
        <v>183</v>
      </c>
      <c r="I41" s="297" t="s">
        <v>113</v>
      </c>
      <c r="J41" s="297" t="s">
        <v>254</v>
      </c>
      <c r="K41" s="297" t="str" cm="1">
        <f t="array" aca="1" ref="K41" ca="1">INDIRECT("'"&amp;I41&amp;"'!"&amp;J41)</f>
        <v>4. Beregn klimaaftrykket for din virksomhed (ingen krav om CVR nr.).</v>
      </c>
      <c r="L41" s="298" t="s">
        <v>183</v>
      </c>
      <c r="M41" s="297" t="str">
        <f t="shared" ca="1" si="3"/>
        <v>Reference fejl</v>
      </c>
      <c r="N41" s="297" t="str">
        <f ca="1">IF(OR(M41="OK",M42="OK",M43="OK",M44="OK"),"OK (one is enough)","fejl")</f>
        <v>OK (one is enough)</v>
      </c>
    </row>
    <row r="42" spans="1:15" x14ac:dyDescent="0.2">
      <c r="A42" s="297" t="s">
        <v>1013</v>
      </c>
      <c r="B42" s="298" t="s">
        <v>183</v>
      </c>
      <c r="C42" s="297" t="str">
        <f>IF(Forside!$D$12="Dansk",Tekstnøgler!E42,Tekstnøgler!G42)</f>
        <v>2. Beregn forskellige klimatiltag for din virksomhed (CVR-nr. tilknyttet)</v>
      </c>
      <c r="D42" s="298" t="s">
        <v>183</v>
      </c>
      <c r="E42" s="299" t="s">
        <v>255</v>
      </c>
      <c r="F42" s="298" t="s">
        <v>183</v>
      </c>
      <c r="G42" s="303" t="s">
        <v>1590</v>
      </c>
      <c r="H42" s="298" t="s">
        <v>183</v>
      </c>
      <c r="I42" s="297" t="s">
        <v>113</v>
      </c>
      <c r="J42" s="297" t="s">
        <v>254</v>
      </c>
      <c r="K42" s="297" t="str" cm="1">
        <f t="array" aca="1" ref="K42" ca="1">INDIRECT("'"&amp;I42&amp;"'!"&amp;J42)</f>
        <v>4. Beregn klimaaftrykket for din virksomhed (ingen krav om CVR nr.).</v>
      </c>
      <c r="L42" s="298" t="s">
        <v>183</v>
      </c>
      <c r="M42" s="297" t="str">
        <f t="shared" ref="M42:M44" ca="1" si="4">IF(C42=K42,"OK","Reference fejl")</f>
        <v>Reference fejl</v>
      </c>
      <c r="N42" s="297" t="str">
        <f ca="1">IF(OR(M41="OK",M42="OK",M43="OK",M44="OK"),"OK (one is enough)","fejl")</f>
        <v>OK (one is enough)</v>
      </c>
    </row>
    <row r="43" spans="1:15" x14ac:dyDescent="0.2">
      <c r="A43" s="297" t="s">
        <v>1014</v>
      </c>
      <c r="B43" s="298" t="s">
        <v>183</v>
      </c>
      <c r="C43" s="297" t="str">
        <f>IF(Forside!$D$12="Dansk",Tekstnøgler!E43,Tekstnøgler!G43)</f>
        <v>3. Beregn en virksomheds klimaaftryk (fx hvis den er placeret i udlandet)</v>
      </c>
      <c r="D43" s="298" t="s">
        <v>183</v>
      </c>
      <c r="E43" s="299" t="s">
        <v>256</v>
      </c>
      <c r="F43" s="298" t="s">
        <v>183</v>
      </c>
      <c r="G43" s="303" t="s">
        <v>1591</v>
      </c>
      <c r="H43" s="298" t="s">
        <v>183</v>
      </c>
      <c r="I43" s="297" t="s">
        <v>113</v>
      </c>
      <c r="J43" s="297" t="s">
        <v>254</v>
      </c>
      <c r="K43" s="297" t="str" cm="1">
        <f t="array" aca="1" ref="K43" ca="1">INDIRECT("'"&amp;I43&amp;"'!"&amp;J43)</f>
        <v>4. Beregn klimaaftrykket for din virksomhed (ingen krav om CVR nr.).</v>
      </c>
      <c r="L43" s="298" t="s">
        <v>183</v>
      </c>
      <c r="M43" s="297" t="str">
        <f t="shared" ca="1" si="4"/>
        <v>Reference fejl</v>
      </c>
      <c r="N43" s="297" t="str">
        <f ca="1">IF(OR(M41="OK",M42="OK",M43="OK",M44="OK"),"OK (one is enough)","fejl")</f>
        <v>OK (one is enough)</v>
      </c>
    </row>
    <row r="44" spans="1:15" x14ac:dyDescent="0.2">
      <c r="A44" s="297" t="s">
        <v>1015</v>
      </c>
      <c r="B44" s="298" t="s">
        <v>183</v>
      </c>
      <c r="C44" s="297" t="str">
        <f>IF(Forside!$D$12="Dansk",Tekstnøgler!E44,Tekstnøgler!G44)</f>
        <v>4. Beregn klimaaftrykket for din virksomhed (ingen krav om CVR nr.).</v>
      </c>
      <c r="D44" s="298" t="s">
        <v>183</v>
      </c>
      <c r="E44" s="299" t="s">
        <v>1592</v>
      </c>
      <c r="F44" s="298" t="s">
        <v>183</v>
      </c>
      <c r="G44" s="303" t="s">
        <v>1593</v>
      </c>
      <c r="H44" s="298" t="s">
        <v>183</v>
      </c>
      <c r="I44" s="297" t="s">
        <v>113</v>
      </c>
      <c r="J44" s="297" t="s">
        <v>254</v>
      </c>
      <c r="K44" s="297" t="str" cm="1">
        <f t="array" aca="1" ref="K44" ca="1">INDIRECT("'"&amp;I44&amp;"'!"&amp;J44)</f>
        <v>4. Beregn klimaaftrykket for din virksomhed (ingen krav om CVR nr.).</v>
      </c>
      <c r="L44" s="298" t="s">
        <v>183</v>
      </c>
      <c r="M44" s="297" t="str">
        <f t="shared" ca="1" si="4"/>
        <v>OK</v>
      </c>
      <c r="N44" s="297" t="str">
        <f ca="1">IF(OR(M41="OK",M42="OK",M43="OK",M44="OK"),"OK (one is enough)","fejl")</f>
        <v>OK (one is enough)</v>
      </c>
    </row>
    <row r="45" spans="1:15" x14ac:dyDescent="0.2">
      <c r="A45" s="297" t="s">
        <v>257</v>
      </c>
      <c r="B45" s="298" t="s">
        <v>183</v>
      </c>
      <c r="C45" s="297" t="str">
        <f>IF(Forside!$D$12="Dansk",Tekstnøgler!E45,Tekstnøgler!G45)</f>
        <v>Start dato - Klimaopgørelser laves typisk for et kalenderår</v>
      </c>
      <c r="D45" s="298" t="s">
        <v>183</v>
      </c>
      <c r="E45" s="299" t="s">
        <v>1594</v>
      </c>
      <c r="F45" s="298" t="s">
        <v>183</v>
      </c>
      <c r="G45" s="303" t="s">
        <v>1595</v>
      </c>
      <c r="H45" s="298" t="s">
        <v>183</v>
      </c>
      <c r="I45" s="297" t="s">
        <v>113</v>
      </c>
      <c r="J45" s="297" t="s">
        <v>258</v>
      </c>
      <c r="K45" s="297" t="str" cm="1">
        <f t="array" aca="1" ref="K45" ca="1">INDIRECT("'"&amp;I45&amp;"'!"&amp;J45)</f>
        <v>Start dato - Klimaopgørelser laves typisk for et kalenderår</v>
      </c>
      <c r="L45" s="298" t="s">
        <v>183</v>
      </c>
      <c r="M45" s="297" t="str">
        <f t="shared" ca="1" si="3"/>
        <v>OK</v>
      </c>
    </row>
    <row r="46" spans="1:15" x14ac:dyDescent="0.2">
      <c r="A46" s="297" t="s">
        <v>259</v>
      </c>
      <c r="B46" s="298" t="s">
        <v>183</v>
      </c>
      <c r="C46" s="297" t="str">
        <f>IF(Forside!$D$12="Dansk",Tekstnøgler!E46,Tekstnøgler!G46)</f>
        <v xml:space="preserve">Slut dato </v>
      </c>
      <c r="D46" s="298" t="s">
        <v>183</v>
      </c>
      <c r="E46" s="299" t="s">
        <v>1596</v>
      </c>
      <c r="F46" s="298" t="s">
        <v>183</v>
      </c>
      <c r="G46" s="303" t="s">
        <v>1597</v>
      </c>
      <c r="H46" s="298" t="s">
        <v>183</v>
      </c>
      <c r="I46" s="297" t="s">
        <v>113</v>
      </c>
      <c r="J46" s="297" t="s">
        <v>260</v>
      </c>
      <c r="K46" s="297" t="str" cm="1">
        <f t="array" aca="1" ref="K46" ca="1">INDIRECT("'"&amp;I46&amp;"'!"&amp;J46)</f>
        <v xml:space="preserve">Slut dato </v>
      </c>
      <c r="L46" s="298" t="s">
        <v>183</v>
      </c>
      <c r="M46" s="297" t="str">
        <f t="shared" ca="1" si="3"/>
        <v>OK</v>
      </c>
    </row>
    <row r="47" spans="1:15" x14ac:dyDescent="0.2">
      <c r="A47" s="297" t="s">
        <v>261</v>
      </c>
      <c r="B47" s="298" t="s">
        <v>183</v>
      </c>
      <c r="C47" s="297" t="str">
        <f>IF(Forside!$D$12="Dansk",Tekstnøgler!E47,Tekstnøgler!G47)</f>
        <v>Kommentarer til beregningen</v>
      </c>
      <c r="D47" s="298" t="s">
        <v>183</v>
      </c>
      <c r="E47" s="299" t="s">
        <v>1598</v>
      </c>
      <c r="F47" s="298" t="s">
        <v>183</v>
      </c>
      <c r="G47" s="303" t="s">
        <v>1599</v>
      </c>
      <c r="H47" s="298" t="s">
        <v>183</v>
      </c>
      <c r="I47" s="297" t="s">
        <v>113</v>
      </c>
      <c r="J47" s="297" t="s">
        <v>262</v>
      </c>
      <c r="K47" s="297" t="str" cm="1">
        <f t="array" aca="1" ref="K47" ca="1">INDIRECT("'"&amp;I47&amp;"'!"&amp;J47)</f>
        <v>Kommentarer til beregningen</v>
      </c>
      <c r="L47" s="298" t="s">
        <v>183</v>
      </c>
      <c r="M47" s="297" t="str">
        <f t="shared" ca="1" si="3"/>
        <v>OK</v>
      </c>
    </row>
    <row r="48" spans="1:15" x14ac:dyDescent="0.2">
      <c r="A48" s="297" t="s">
        <v>263</v>
      </c>
      <c r="B48" s="298" t="s">
        <v>183</v>
      </c>
      <c r="C48" s="297" t="str">
        <f>IF(Forside!$D$12="Dansk",Tekstnøgler!E48,Tekstnøgler!G48)</f>
        <v>Din virksomhed</v>
      </c>
      <c r="D48" s="298" t="s">
        <v>183</v>
      </c>
      <c r="E48" s="299" t="s">
        <v>264</v>
      </c>
      <c r="F48" s="298" t="s">
        <v>183</v>
      </c>
      <c r="G48" s="303" t="s">
        <v>265</v>
      </c>
      <c r="H48" s="298" t="s">
        <v>183</v>
      </c>
      <c r="I48" s="297" t="s">
        <v>113</v>
      </c>
      <c r="J48" s="297" t="s">
        <v>266</v>
      </c>
      <c r="K48" s="297" t="str" cm="1">
        <f t="array" aca="1" ref="K48" ca="1">INDIRECT("'"&amp;I48&amp;"'!"&amp;J48)</f>
        <v>Din virksomhed</v>
      </c>
      <c r="L48" s="298" t="s">
        <v>183</v>
      </c>
      <c r="M48" s="297" t="str">
        <f t="shared" ca="1" si="3"/>
        <v>OK</v>
      </c>
    </row>
    <row r="49" spans="1:13" x14ac:dyDescent="0.2">
      <c r="A49" s="297" t="s">
        <v>267</v>
      </c>
      <c r="B49" s="298" t="s">
        <v>183</v>
      </c>
      <c r="C49" s="297" t="str">
        <f>IF(Forside!$D$12="Dansk",Tekstnøgler!E49,Tekstnøgler!G49)</f>
        <v>CVR</v>
      </c>
      <c r="D49" s="298" t="s">
        <v>183</v>
      </c>
      <c r="E49" s="299" t="s">
        <v>1600</v>
      </c>
      <c r="F49" s="298" t="s">
        <v>183</v>
      </c>
      <c r="G49" s="303" t="s">
        <v>1600</v>
      </c>
      <c r="H49" s="298" t="s">
        <v>183</v>
      </c>
      <c r="I49" s="297" t="s">
        <v>113</v>
      </c>
      <c r="J49" s="297" t="s">
        <v>268</v>
      </c>
      <c r="K49" s="297" t="str" cm="1">
        <f t="array" aca="1" ref="K49" ca="1">INDIRECT("'"&amp;I49&amp;"'!"&amp;J49)</f>
        <v>CVR</v>
      </c>
      <c r="L49" s="298" t="s">
        <v>183</v>
      </c>
      <c r="M49" s="297" t="str">
        <f t="shared" ca="1" si="3"/>
        <v>OK</v>
      </c>
    </row>
    <row r="50" spans="1:13" x14ac:dyDescent="0.2">
      <c r="A50" s="297" t="s">
        <v>269</v>
      </c>
      <c r="B50" s="298" t="s">
        <v>183</v>
      </c>
      <c r="C50" s="297" t="str">
        <f>IF(Forside!$D$12="Dansk",Tekstnøgler!E50,Tekstnøgler!G50)</f>
        <v>Virksomhedens navn</v>
      </c>
      <c r="D50" s="298" t="s">
        <v>183</v>
      </c>
      <c r="E50" s="299" t="s">
        <v>1601</v>
      </c>
      <c r="F50" s="298" t="s">
        <v>183</v>
      </c>
      <c r="G50" s="303" t="s">
        <v>270</v>
      </c>
      <c r="H50" s="298" t="s">
        <v>183</v>
      </c>
      <c r="I50" s="297" t="s">
        <v>113</v>
      </c>
      <c r="J50" s="297" t="s">
        <v>271</v>
      </c>
      <c r="K50" s="297" t="str" cm="1">
        <f t="array" aca="1" ref="K50" ca="1">INDIRECT("'"&amp;I50&amp;"'!"&amp;J50)</f>
        <v>Virksomhedens navn</v>
      </c>
      <c r="M50" s="297" t="str">
        <f t="shared" ca="1" si="3"/>
        <v>OK</v>
      </c>
    </row>
    <row r="51" spans="1:13" x14ac:dyDescent="0.2">
      <c r="A51" s="297" t="s">
        <v>272</v>
      </c>
      <c r="B51" s="298" t="s">
        <v>183</v>
      </c>
      <c r="C51" s="297" t="str">
        <f>IF(Forside!$D$12="Dansk",Tekstnøgler!E51,Tekstnøgler!G51)</f>
        <v>Virksomhed som beregningen vedrører</v>
      </c>
      <c r="D51" s="298" t="s">
        <v>183</v>
      </c>
      <c r="E51" s="299" t="s">
        <v>1602</v>
      </c>
      <c r="F51" s="298" t="s">
        <v>183</v>
      </c>
      <c r="G51" s="303" t="s">
        <v>1603</v>
      </c>
      <c r="H51" s="298" t="s">
        <v>183</v>
      </c>
      <c r="I51" s="297" t="s">
        <v>113</v>
      </c>
      <c r="J51" s="297" t="s">
        <v>274</v>
      </c>
      <c r="K51" s="297" t="str" cm="1">
        <f t="array" aca="1" ref="K51" ca="1">INDIRECT("'"&amp;I51&amp;"'!"&amp;J51)</f>
        <v>Virksomhed som beregningen vedrører</v>
      </c>
      <c r="L51" s="297" t="s">
        <v>275</v>
      </c>
      <c r="M51" s="297" t="str">
        <f t="shared" ca="1" si="3"/>
        <v>OK</v>
      </c>
    </row>
    <row r="52" spans="1:13" x14ac:dyDescent="0.2">
      <c r="A52" s="297" t="s">
        <v>276</v>
      </c>
      <c r="B52" s="298" t="s">
        <v>183</v>
      </c>
      <c r="C52" s="297" t="str">
        <f>IF(Forside!$D$12="Dansk",Tekstnøgler!E52,Tekstnøgler!G52)</f>
        <v>Land</v>
      </c>
      <c r="D52" s="298" t="s">
        <v>183</v>
      </c>
      <c r="E52" s="299" t="s">
        <v>277</v>
      </c>
      <c r="F52" s="298" t="s">
        <v>183</v>
      </c>
      <c r="G52" s="303" t="s">
        <v>278</v>
      </c>
      <c r="H52" s="298" t="s">
        <v>183</v>
      </c>
      <c r="I52" s="297" t="s">
        <v>113</v>
      </c>
      <c r="J52" s="297" t="s">
        <v>225</v>
      </c>
      <c r="K52" s="297" t="str" cm="1">
        <f t="array" aca="1" ref="K52" ca="1">INDIRECT("'"&amp;I52&amp;"'!"&amp;J52)</f>
        <v>Land</v>
      </c>
      <c r="L52" s="298" t="s">
        <v>183</v>
      </c>
      <c r="M52" s="297" t="str">
        <f t="shared" ca="1" si="3"/>
        <v>OK</v>
      </c>
    </row>
    <row r="53" spans="1:13" x14ac:dyDescent="0.2">
      <c r="A53" s="297" t="s">
        <v>279</v>
      </c>
      <c r="B53" s="298" t="s">
        <v>183</v>
      </c>
      <c r="C53" s="297" t="str">
        <f>IF(Forside!$D$12="Dansk",Tekstnøgler!E53,Tekstnøgler!G53)</f>
        <v>P-nummer</v>
      </c>
      <c r="D53" s="298" t="s">
        <v>183</v>
      </c>
      <c r="E53" s="299" t="s">
        <v>280</v>
      </c>
      <c r="F53" s="298" t="s">
        <v>183</v>
      </c>
      <c r="G53" s="303" t="s">
        <v>281</v>
      </c>
      <c r="H53" s="298" t="s">
        <v>183</v>
      </c>
      <c r="I53" s="297" t="s">
        <v>113</v>
      </c>
      <c r="J53" s="297" t="s">
        <v>282</v>
      </c>
      <c r="K53" s="297" t="str" cm="1">
        <f t="array" aca="1" ref="K53" ca="1">INDIRECT("'"&amp;I53&amp;"'!"&amp;J53)</f>
        <v>P-nummer</v>
      </c>
      <c r="L53" s="298" t="s">
        <v>183</v>
      </c>
      <c r="M53" s="297" t="str">
        <f t="shared" ca="1" si="3"/>
        <v>OK</v>
      </c>
    </row>
    <row r="54" spans="1:13" x14ac:dyDescent="0.2">
      <c r="A54" s="297" t="s">
        <v>1019</v>
      </c>
      <c r="B54" s="298" t="s">
        <v>183</v>
      </c>
      <c r="C54" s="297" t="str">
        <f>IF(Forside!$D$12="Dansk",Tekstnøgler!E54,Tekstnøgler!G54)</f>
        <v>eller</v>
      </c>
      <c r="D54" s="298" t="s">
        <v>183</v>
      </c>
      <c r="E54" s="299" t="s">
        <v>283</v>
      </c>
      <c r="F54" s="298" t="s">
        <v>183</v>
      </c>
      <c r="G54" s="300" t="s">
        <v>284</v>
      </c>
      <c r="H54" s="298" t="s">
        <v>183</v>
      </c>
      <c r="I54" s="297" t="s">
        <v>113</v>
      </c>
      <c r="J54" s="297" t="s">
        <v>285</v>
      </c>
      <c r="K54" s="297" cm="1">
        <f t="array" aca="1" ref="K54" ca="1">INDIRECT("'"&amp;I54&amp;"'!"&amp;J54)</f>
        <v>0</v>
      </c>
      <c r="M54" s="297" t="str">
        <f t="shared" ca="1" si="3"/>
        <v>Reference fejl</v>
      </c>
    </row>
    <row r="55" spans="1:13" x14ac:dyDescent="0.2">
      <c r="A55" s="297" t="s">
        <v>1016</v>
      </c>
      <c r="B55" s="298" t="s">
        <v>183</v>
      </c>
      <c r="C55" s="297" t="str">
        <f>IF(Forside!$D$12="Dansk",Tekstnøgler!E55,Tekstnøgler!G55)</f>
        <v>Udenlandske virksomhed som beregningen vedrører</v>
      </c>
      <c r="D55" s="298" t="s">
        <v>183</v>
      </c>
      <c r="E55" s="299" t="s">
        <v>1604</v>
      </c>
      <c r="F55" s="298" t="s">
        <v>183</v>
      </c>
      <c r="G55" s="303" t="s">
        <v>273</v>
      </c>
      <c r="H55" s="298" t="s">
        <v>183</v>
      </c>
      <c r="I55" s="297" t="s">
        <v>113</v>
      </c>
      <c r="J55" s="297" t="s">
        <v>286</v>
      </c>
      <c r="K55" s="297" cm="1">
        <f t="array" aca="1" ref="K55" ca="1">INDIRECT("'"&amp;I55&amp;"'!"&amp;J55)</f>
        <v>0</v>
      </c>
      <c r="M55" s="297" t="str">
        <f t="shared" ca="1" si="3"/>
        <v>Reference fejl</v>
      </c>
    </row>
    <row r="56" spans="1:13" x14ac:dyDescent="0.2">
      <c r="A56" s="297" t="s">
        <v>276</v>
      </c>
      <c r="B56" s="298" t="s">
        <v>183</v>
      </c>
      <c r="C56" s="297" t="str">
        <f>IF(Forside!$D$12="Dansk",Tekstnøgler!E56,Tekstnøgler!G56)</f>
        <v>Land</v>
      </c>
      <c r="D56" s="298" t="s">
        <v>183</v>
      </c>
      <c r="E56" s="299" t="s">
        <v>277</v>
      </c>
      <c r="F56" s="298" t="s">
        <v>183</v>
      </c>
      <c r="G56" s="303" t="s">
        <v>278</v>
      </c>
      <c r="H56" s="298" t="s">
        <v>183</v>
      </c>
      <c r="I56" s="297" t="s">
        <v>113</v>
      </c>
      <c r="J56" s="297" t="s">
        <v>287</v>
      </c>
      <c r="K56" s="297" cm="1">
        <f t="array" aca="1" ref="K56" ca="1">INDIRECT("'"&amp;I56&amp;"'!"&amp;J56)</f>
        <v>0</v>
      </c>
      <c r="M56" s="297" t="str">
        <f t="shared" ca="1" si="3"/>
        <v>Reference fejl</v>
      </c>
    </row>
    <row r="57" spans="1:13" x14ac:dyDescent="0.2">
      <c r="A57" s="297" t="s">
        <v>1017</v>
      </c>
      <c r="B57" s="298" t="s">
        <v>183</v>
      </c>
      <c r="C57" s="297" t="str">
        <f>IF(Forside!$D$12="Dansk",Tekstnøgler!E57,Tekstnøgler!G57)</f>
        <v>Registreringsnummer</v>
      </c>
      <c r="D57" s="298" t="s">
        <v>183</v>
      </c>
      <c r="E57" s="299" t="s">
        <v>288</v>
      </c>
      <c r="F57" s="298" t="s">
        <v>183</v>
      </c>
      <c r="G57" s="300" t="s">
        <v>1605</v>
      </c>
      <c r="H57" s="298" t="s">
        <v>183</v>
      </c>
      <c r="I57" s="297" t="s">
        <v>113</v>
      </c>
      <c r="J57" s="297" t="s">
        <v>289</v>
      </c>
      <c r="K57" s="297" cm="1">
        <f t="array" aca="1" ref="K57" ca="1">INDIRECT("'"&amp;I57&amp;"'!"&amp;J57)</f>
        <v>0</v>
      </c>
      <c r="M57" s="297" t="str">
        <f t="shared" ca="1" si="3"/>
        <v>Reference fejl</v>
      </c>
    </row>
    <row r="58" spans="1:13" x14ac:dyDescent="0.2">
      <c r="A58" s="297" t="s">
        <v>1017</v>
      </c>
      <c r="B58" s="298" t="s">
        <v>183</v>
      </c>
      <c r="C58" s="297" t="str">
        <f>IF(Forside!$D$12="Dansk",Tekstnøgler!E58,Tekstnøgler!G58)</f>
        <v>Registreringsnummer</v>
      </c>
      <c r="D58" s="298" t="s">
        <v>183</v>
      </c>
      <c r="E58" s="299" t="s">
        <v>288</v>
      </c>
      <c r="F58" s="298" t="s">
        <v>183</v>
      </c>
      <c r="G58" s="303" t="s">
        <v>1605</v>
      </c>
      <c r="H58" s="298" t="s">
        <v>183</v>
      </c>
      <c r="I58" s="297" t="s">
        <v>113</v>
      </c>
      <c r="J58" s="297" t="s">
        <v>290</v>
      </c>
      <c r="K58" s="297" cm="1">
        <f t="array" aca="1" ref="K58" ca="1">INDIRECT("'"&amp;I58&amp;"'!"&amp;J58)</f>
        <v>0</v>
      </c>
      <c r="L58" s="298" t="s">
        <v>183</v>
      </c>
      <c r="M58" s="297" t="str">
        <f t="shared" ca="1" si="3"/>
        <v>Reference fejl</v>
      </c>
    </row>
    <row r="59" spans="1:13" x14ac:dyDescent="0.2">
      <c r="A59" s="297" t="s">
        <v>1018</v>
      </c>
      <c r="B59" s="298" t="s">
        <v>183</v>
      </c>
      <c r="C59" s="297" t="str">
        <f>IF(Forside!$D$12="Dansk",Tekstnøgler!E59,Tekstnøgler!G59)</f>
        <v>Udenlandske adresser</v>
      </c>
      <c r="D59" s="298" t="s">
        <v>183</v>
      </c>
      <c r="E59" s="299" t="s">
        <v>291</v>
      </c>
      <c r="F59" s="298" t="s">
        <v>183</v>
      </c>
      <c r="G59" s="300" t="s">
        <v>1606</v>
      </c>
      <c r="H59" s="298" t="s">
        <v>183</v>
      </c>
      <c r="I59" s="297" t="s">
        <v>113</v>
      </c>
      <c r="J59" s="297" t="s">
        <v>292</v>
      </c>
      <c r="K59" s="297" cm="1">
        <f t="array" aca="1" ref="K59" ca="1">INDIRECT("'"&amp;I59&amp;"'!"&amp;J59)</f>
        <v>0</v>
      </c>
      <c r="L59" s="298" t="s">
        <v>183</v>
      </c>
      <c r="M59" s="297" t="str">
        <f t="shared" ca="1" si="3"/>
        <v>Reference fejl</v>
      </c>
    </row>
    <row r="60" spans="1:13" x14ac:dyDescent="0.2">
      <c r="A60" s="297" t="s">
        <v>293</v>
      </c>
      <c r="B60" s="298" t="s">
        <v>183</v>
      </c>
      <c r="C60" s="297" t="str">
        <f>IF(Forside!$D$12="Dansk",Tekstnøgler!E60,Tekstnøgler!G60)</f>
        <v>Nøgletal</v>
      </c>
      <c r="D60" s="298" t="s">
        <v>183</v>
      </c>
      <c r="E60" s="299" t="s">
        <v>294</v>
      </c>
      <c r="F60" s="298" t="s">
        <v>183</v>
      </c>
      <c r="G60" s="303" t="s">
        <v>1607</v>
      </c>
      <c r="H60" s="298" t="s">
        <v>183</v>
      </c>
      <c r="I60" s="297" t="s">
        <v>113</v>
      </c>
      <c r="J60" s="297" t="s">
        <v>295</v>
      </c>
      <c r="K60" s="297" t="str" cm="1">
        <f t="array" aca="1" ref="K60" ca="1">INDIRECT("'"&amp;I60&amp;"'!"&amp;J60)</f>
        <v>Nøgletal</v>
      </c>
      <c r="L60" s="298" t="s">
        <v>183</v>
      </c>
      <c r="M60" s="297" t="str">
        <f ca="1">IF(C60=K60,"OK","Reference fejl")</f>
        <v>OK</v>
      </c>
    </row>
    <row r="61" spans="1:13" x14ac:dyDescent="0.2">
      <c r="A61" s="297" t="s">
        <v>296</v>
      </c>
      <c r="B61" s="298" t="s">
        <v>183</v>
      </c>
      <c r="C61" s="297" t="str">
        <f>IF(Forside!$D$12="Dansk",Tekstnøgler!E61,Tekstnøgler!G61)</f>
        <v>Antal fuldtidsansatte</v>
      </c>
      <c r="D61" s="298" t="s">
        <v>183</v>
      </c>
      <c r="E61" s="299" t="s">
        <v>1608</v>
      </c>
      <c r="F61" s="298" t="s">
        <v>183</v>
      </c>
      <c r="G61" s="303" t="s">
        <v>1609</v>
      </c>
      <c r="H61" s="298" t="s">
        <v>183</v>
      </c>
      <c r="I61" s="297" t="s">
        <v>113</v>
      </c>
      <c r="J61" s="297" t="s">
        <v>297</v>
      </c>
      <c r="K61" s="297" t="str" cm="1">
        <f t="array" aca="1" ref="K61" ca="1">INDIRECT("'"&amp;I61&amp;"'!"&amp;J61)</f>
        <v>Antal fuldtidsansatte</v>
      </c>
      <c r="L61" s="298" t="s">
        <v>183</v>
      </c>
      <c r="M61" s="297" t="str">
        <f ca="1">IF(C61=K61,"OK","Reference fejl")</f>
        <v>OK</v>
      </c>
    </row>
    <row r="62" spans="1:13" x14ac:dyDescent="0.2">
      <c r="A62" s="297" t="s">
        <v>298</v>
      </c>
      <c r="B62" s="298" t="s">
        <v>183</v>
      </c>
      <c r="C62" s="297" t="str">
        <f>IF(Forside!$D$12="Dansk",Tekstnøgler!E62,Tekstnøgler!G62)</f>
        <v>Nettoomsætning, mio. kr.</v>
      </c>
      <c r="D62" s="298" t="s">
        <v>183</v>
      </c>
      <c r="E62" s="299" t="s">
        <v>1610</v>
      </c>
      <c r="F62" s="298" t="s">
        <v>183</v>
      </c>
      <c r="G62" s="303" t="s">
        <v>1611</v>
      </c>
      <c r="H62" s="298" t="s">
        <v>183</v>
      </c>
      <c r="I62" s="297" t="s">
        <v>113</v>
      </c>
      <c r="J62" s="297" t="s">
        <v>299</v>
      </c>
      <c r="K62" s="297" t="str" cm="1">
        <f t="array" aca="1" ref="K62" ca="1">INDIRECT("'"&amp;I62&amp;"'!"&amp;J62)</f>
        <v>Nettoomsætning, mio. kr.</v>
      </c>
      <c r="L62" s="298" t="s">
        <v>183</v>
      </c>
      <c r="M62" s="297" t="str">
        <f ca="1">IF(C62=K62,"OK","Reference fejl")</f>
        <v>OK</v>
      </c>
    </row>
    <row r="63" spans="1:13" x14ac:dyDescent="0.2">
      <c r="A63" s="297" t="s">
        <v>300</v>
      </c>
      <c r="B63" s="298" t="s">
        <v>183</v>
      </c>
      <c r="C63" s="297" t="str">
        <f>IF(Forside!$D$12="Dansk",Tekstnøgler!E63,Tekstnøgler!G63)</f>
        <v>Antal m2 bygningsareal</v>
      </c>
      <c r="D63" s="298" t="s">
        <v>183</v>
      </c>
      <c r="E63" s="299" t="s">
        <v>1612</v>
      </c>
      <c r="F63" s="298" t="s">
        <v>183</v>
      </c>
      <c r="G63" s="303" t="s">
        <v>301</v>
      </c>
      <c r="H63" s="298" t="s">
        <v>183</v>
      </c>
      <c r="I63" s="297" t="s">
        <v>113</v>
      </c>
      <c r="J63" s="297" t="s">
        <v>302</v>
      </c>
      <c r="K63" s="297" t="str" cm="1">
        <f t="array" aca="1" ref="K63" ca="1">INDIRECT("'"&amp;I63&amp;"'!"&amp;J63)</f>
        <v>Antal m2 bygningsareal</v>
      </c>
      <c r="L63" s="298" t="s">
        <v>183</v>
      </c>
      <c r="M63" s="297" t="str">
        <f ca="1">IF(C63=K63,"OK","Reference fejl")</f>
        <v>OK</v>
      </c>
    </row>
    <row r="64" spans="1:13" x14ac:dyDescent="0.2">
      <c r="A64" s="297" t="s">
        <v>303</v>
      </c>
      <c r="B64" s="298" t="s">
        <v>183</v>
      </c>
      <c r="C64" s="297" t="str">
        <f>IF(Forside!$D$12="Dansk",Tekstnøgler!E64,Tekstnøgler!G64)</f>
        <v>Kontaktoplysninger</v>
      </c>
      <c r="D64" s="298" t="s">
        <v>183</v>
      </c>
      <c r="E64" s="299" t="s">
        <v>155</v>
      </c>
      <c r="F64" s="298" t="s">
        <v>183</v>
      </c>
      <c r="G64" s="304" t="s">
        <v>304</v>
      </c>
      <c r="H64" s="298" t="s">
        <v>183</v>
      </c>
      <c r="I64" s="297" t="s">
        <v>155</v>
      </c>
      <c r="J64" s="297" t="s">
        <v>238</v>
      </c>
      <c r="K64" s="297" t="str" cm="1">
        <f t="array" aca="1" ref="K64" ca="1">INDIRECT("'"&amp;I64&amp;"'!"&amp;J64)</f>
        <v>Kontaktoplysninger</v>
      </c>
      <c r="L64" s="298" t="s">
        <v>183</v>
      </c>
      <c r="M64" s="297" t="str">
        <f t="shared" ref="M64:M109" ca="1" si="5">IF(C64=K64,"OK","Reference fejl")</f>
        <v>OK</v>
      </c>
    </row>
    <row r="65" spans="1:17" x14ac:dyDescent="0.2">
      <c r="A65" s="297" t="s">
        <v>305</v>
      </c>
      <c r="B65" s="298" t="s">
        <v>183</v>
      </c>
      <c r="C65" s="297" t="str">
        <f>IF(Forside!$D$12="Dansk",Tekstnøgler!E65,Tekstnøgler!G65)</f>
        <v>Virksomhedsoplysninger</v>
      </c>
      <c r="D65" s="298" t="s">
        <v>183</v>
      </c>
      <c r="E65" s="299" t="s">
        <v>1613</v>
      </c>
      <c r="F65" s="298" t="s">
        <v>183</v>
      </c>
      <c r="G65" s="304" t="s">
        <v>1614</v>
      </c>
      <c r="H65" s="298" t="s">
        <v>183</v>
      </c>
      <c r="I65" s="297" t="s">
        <v>155</v>
      </c>
      <c r="J65" s="297" t="s">
        <v>241</v>
      </c>
      <c r="K65" s="297" t="str" cm="1">
        <f t="array" aca="1" ref="K65" ca="1">INDIRECT("'"&amp;I65&amp;"'!"&amp;J65)</f>
        <v>Virksomhedsoplysninger</v>
      </c>
      <c r="L65" s="298" t="s">
        <v>183</v>
      </c>
      <c r="M65" s="297" t="str">
        <f t="shared" ca="1" si="5"/>
        <v>OK</v>
      </c>
    </row>
    <row r="66" spans="1:17" x14ac:dyDescent="0.2">
      <c r="A66" s="297" t="s">
        <v>306</v>
      </c>
      <c r="B66" s="298" t="s">
        <v>183</v>
      </c>
      <c r="C66" s="297" t="str">
        <f>IF(Forside!$D$12="Dansk",Tekstnøgler!E66,Tekstnøgler!G66)</f>
        <v>Virksomhedens e-mailadresse</v>
      </c>
      <c r="D66" s="298" t="s">
        <v>183</v>
      </c>
      <c r="E66" s="299" t="s">
        <v>307</v>
      </c>
      <c r="F66" s="298" t="s">
        <v>183</v>
      </c>
      <c r="G66" s="304" t="s">
        <v>308</v>
      </c>
      <c r="H66" s="298" t="s">
        <v>183</v>
      </c>
      <c r="I66" s="297" t="s">
        <v>155</v>
      </c>
      <c r="J66" s="297" t="s">
        <v>249</v>
      </c>
      <c r="K66" s="297" t="str" cm="1">
        <f t="array" aca="1" ref="K66" ca="1">INDIRECT("'"&amp;I66&amp;"'!"&amp;J66)</f>
        <v>Virksomhedens e-mailadresse</v>
      </c>
      <c r="L66" s="298" t="s">
        <v>183</v>
      </c>
      <c r="M66" s="297" t="str">
        <f t="shared" ca="1" si="5"/>
        <v>OK</v>
      </c>
    </row>
    <row r="67" spans="1:17" x14ac:dyDescent="0.2">
      <c r="A67" s="297" t="s">
        <v>309</v>
      </c>
      <c r="B67" s="298" t="s">
        <v>183</v>
      </c>
      <c r="C67" s="297" t="str">
        <f>IF(Forside!$D$12="Dansk",Tekstnøgler!E67,Tekstnøgler!G67)</f>
        <v>Kontaktperson</v>
      </c>
      <c r="D67" s="298" t="s">
        <v>183</v>
      </c>
      <c r="E67" s="299" t="s">
        <v>310</v>
      </c>
      <c r="F67" s="298" t="s">
        <v>183</v>
      </c>
      <c r="G67" s="304" t="s">
        <v>311</v>
      </c>
      <c r="H67" s="298" t="s">
        <v>183</v>
      </c>
      <c r="I67" s="297" t="s">
        <v>155</v>
      </c>
      <c r="J67" s="297" t="s">
        <v>254</v>
      </c>
      <c r="K67" s="297" t="str" cm="1">
        <f t="array" aca="1" ref="K67" ca="1">INDIRECT("'"&amp;I67&amp;"'!"&amp;J67)</f>
        <v>Kontaktperson</v>
      </c>
      <c r="L67" s="298" t="s">
        <v>183</v>
      </c>
      <c r="M67" s="297" t="str">
        <f t="shared" ca="1" si="5"/>
        <v>OK</v>
      </c>
    </row>
    <row r="68" spans="1:17" x14ac:dyDescent="0.2">
      <c r="A68" s="297" t="s">
        <v>312</v>
      </c>
      <c r="B68" s="298" t="s">
        <v>183</v>
      </c>
      <c r="C68" s="297" t="str">
        <f>IF(Forside!$D$12="Dansk",Tekstnøgler!E68,Tekstnøgler!G68)</f>
        <v>Fornavn</v>
      </c>
      <c r="D68" s="298" t="s">
        <v>183</v>
      </c>
      <c r="E68" s="299" t="s">
        <v>313</v>
      </c>
      <c r="F68" s="298" t="s">
        <v>183</v>
      </c>
      <c r="G68" s="304" t="s">
        <v>314</v>
      </c>
      <c r="H68" s="298" t="s">
        <v>183</v>
      </c>
      <c r="I68" s="297" t="s">
        <v>155</v>
      </c>
      <c r="J68" s="297" t="s">
        <v>258</v>
      </c>
      <c r="K68" s="297" t="str" cm="1">
        <f t="array" aca="1" ref="K68" ca="1">INDIRECT("'"&amp;I68&amp;"'!"&amp;J68)</f>
        <v>Fornavn</v>
      </c>
      <c r="L68" s="298" t="s">
        <v>183</v>
      </c>
      <c r="M68" s="297" t="str">
        <f t="shared" ca="1" si="5"/>
        <v>OK</v>
      </c>
    </row>
    <row r="69" spans="1:17" x14ac:dyDescent="0.2">
      <c r="A69" s="297" t="s">
        <v>315</v>
      </c>
      <c r="B69" s="298" t="s">
        <v>183</v>
      </c>
      <c r="C69" s="297" t="str">
        <f>IF(Forside!$D$12="Dansk",Tekstnøgler!E69,Tekstnøgler!G69)</f>
        <v>Efternavn</v>
      </c>
      <c r="D69" s="298" t="s">
        <v>183</v>
      </c>
      <c r="E69" s="299" t="s">
        <v>316</v>
      </c>
      <c r="F69" s="298" t="s">
        <v>183</v>
      </c>
      <c r="G69" s="304" t="s">
        <v>317</v>
      </c>
      <c r="H69" s="298" t="s">
        <v>183</v>
      </c>
      <c r="I69" s="297" t="s">
        <v>155</v>
      </c>
      <c r="J69" s="297" t="s">
        <v>260</v>
      </c>
      <c r="K69" s="297" t="str" cm="1">
        <f t="array" aca="1" ref="K69" ca="1">INDIRECT("'"&amp;I69&amp;"'!"&amp;J69)</f>
        <v>Efternavn</v>
      </c>
      <c r="L69" s="298" t="s">
        <v>183</v>
      </c>
      <c r="M69" s="297" t="str">
        <f t="shared" ca="1" si="5"/>
        <v>OK</v>
      </c>
    </row>
    <row r="70" spans="1:17" x14ac:dyDescent="0.2">
      <c r="A70" s="297" t="s">
        <v>318</v>
      </c>
      <c r="B70" s="298" t="s">
        <v>183</v>
      </c>
      <c r="C70" s="297" t="str">
        <f>IF(Forside!$D$12="Dansk",Tekstnøgler!E70,Tekstnøgler!G70)</f>
        <v>E-mail</v>
      </c>
      <c r="D70" s="298" t="s">
        <v>183</v>
      </c>
      <c r="E70" s="299" t="s">
        <v>1615</v>
      </c>
      <c r="F70" s="298" t="s">
        <v>183</v>
      </c>
      <c r="G70" s="304" t="s">
        <v>1616</v>
      </c>
      <c r="H70" s="298" t="s">
        <v>183</v>
      </c>
      <c r="I70" s="297" t="s">
        <v>155</v>
      </c>
      <c r="J70" s="297" t="s">
        <v>262</v>
      </c>
      <c r="K70" s="297" t="str" cm="1">
        <f t="array" aca="1" ref="K70" ca="1">INDIRECT("'"&amp;I70&amp;"'!"&amp;J70)</f>
        <v>E-mail</v>
      </c>
      <c r="L70" s="298" t="s">
        <v>183</v>
      </c>
      <c r="M70" s="297" t="str">
        <f t="shared" ca="1" si="5"/>
        <v>OK</v>
      </c>
    </row>
    <row r="71" spans="1:17" x14ac:dyDescent="0.2">
      <c r="A71" s="297" t="s">
        <v>319</v>
      </c>
      <c r="B71" s="298" t="s">
        <v>183</v>
      </c>
      <c r="C71" s="297" t="str">
        <f>IF(Forside!$D$12="Dansk",Tekstnøgler!E71,Tekstnøgler!G71)</f>
        <v>Metodevalg</v>
      </c>
      <c r="D71" s="298" t="s">
        <v>183</v>
      </c>
      <c r="E71" s="299" t="s">
        <v>320</v>
      </c>
      <c r="F71" s="298" t="s">
        <v>183</v>
      </c>
      <c r="G71" s="300" t="s">
        <v>321</v>
      </c>
      <c r="H71" s="298" t="s">
        <v>183</v>
      </c>
      <c r="I71" s="297" t="s">
        <v>157</v>
      </c>
      <c r="J71" s="297" t="s">
        <v>322</v>
      </c>
      <c r="K71" s="297" t="str" cm="1">
        <f t="array" aca="1" ref="K71" ca="1">INDIRECT("'"&amp;I71&amp;"'!"&amp;J71)</f>
        <v>Metodevalg</v>
      </c>
      <c r="L71" s="298"/>
      <c r="M71" s="297" t="str">
        <f t="shared" ca="1" si="5"/>
        <v>OK</v>
      </c>
    </row>
    <row r="72" spans="1:17" x14ac:dyDescent="0.2">
      <c r="A72" s="297" t="s">
        <v>323</v>
      </c>
      <c r="B72" s="298" t="s">
        <v>183</v>
      </c>
      <c r="C72" s="297" t="str">
        <f>IF(Forside!$D$12="Dansk",Tekstnøgler!E72,Tekstnøgler!G72)</f>
        <v>Resultaterne baserer sig på en række metodiske valg, der er foretaget i forbindelse med beregningerne. I nedenstående tabel kan du se, hvorvidt Radiative Forcing Index (RFI) er medregnet i forbindelse med udledninger fra flytransport. At medregne (eller korrigere for) RFI betyder, at der er taget højde for, at CO₂e udledt højere oppe i atmosfæren har en større drivhuseffekt end CO₂e udledt ved landjorden. Tabellen viser også, om emissionsfaktoren for el baserer sig på det årlige gennemsnit for sammensætningen af produktionen af el (miljødeklaration), eller om der i emissionsfaktoren korrigeres for virksomheders køb af grønne certifikater, såkaldte oprindelsesgarantier (eldeklaration).</v>
      </c>
      <c r="D72" s="298" t="s">
        <v>183</v>
      </c>
      <c r="E72" s="299" t="s">
        <v>1617</v>
      </c>
      <c r="F72" s="298" t="s">
        <v>183</v>
      </c>
      <c r="G72" s="300" t="s">
        <v>1618</v>
      </c>
      <c r="H72" s="298" t="s">
        <v>183</v>
      </c>
      <c r="I72" s="297" t="s">
        <v>157</v>
      </c>
      <c r="J72" s="297" t="s">
        <v>324</v>
      </c>
      <c r="K72" s="297" t="str" cm="1">
        <f t="array" aca="1" ref="K72" ca="1">INDIRECT("'"&amp;I72&amp;"'!"&amp;J72)</f>
        <v>Resultaterne baserer sig på en række metodiske valg, der er foretaget i forbindelse med beregningerne. I nedenstående tabel kan du se, hvorvidt Radiative Forcing Index (RFI) er medregnet i forbindelse med udledninger fra flytransport. At medregne (eller korrigere for) RFI betyder, at der er taget højde for, at CO₂e udledt højere oppe i atmosfæren har en større drivhuseffekt end CO₂e udledt ved landjorden. Tabellen viser også, om emissionsfaktoren for el baserer sig på det årlige gennemsnit for sammensætningen af produktionen af el (miljødeklaration), eller om der i emissionsfaktoren korrigeres for virksomheders køb af grønne certifikater, såkaldte oprindelsesgarantier (eldeklaration).</v>
      </c>
      <c r="L72" s="298" t="s">
        <v>183</v>
      </c>
      <c r="M72" s="297" t="str">
        <f t="shared" ca="1" si="5"/>
        <v>OK</v>
      </c>
      <c r="O72" s="297">
        <f>ROW(A77)</f>
        <v>77</v>
      </c>
    </row>
    <row r="73" spans="1:17" x14ac:dyDescent="0.2">
      <c r="A73" s="297" t="s">
        <v>325</v>
      </c>
      <c r="B73" s="298" t="s">
        <v>183</v>
      </c>
      <c r="C73" s="297" t="str">
        <f>IF(Forside!$D$12="Dansk",Tekstnøgler!E73,Tekstnøgler!G73)</f>
        <v>Emissionsfaktor</v>
      </c>
      <c r="D73" s="298" t="s">
        <v>183</v>
      </c>
      <c r="E73" s="299" t="s">
        <v>326</v>
      </c>
      <c r="F73" s="298" t="s">
        <v>183</v>
      </c>
      <c r="G73" s="300" t="s">
        <v>327</v>
      </c>
      <c r="H73" s="298" t="s">
        <v>183</v>
      </c>
      <c r="I73" s="297" t="s">
        <v>157</v>
      </c>
      <c r="J73" s="297" t="s">
        <v>328</v>
      </c>
      <c r="K73" s="297" t="str" cm="1">
        <f t="array" aca="1" ref="K73" ca="1">INDIRECT("'"&amp;I73&amp;"'!"&amp;J73)</f>
        <v>Emissionsfaktor</v>
      </c>
      <c r="L73" s="298" t="s">
        <v>183</v>
      </c>
      <c r="M73" s="297" t="str">
        <f t="shared" ca="1" si="5"/>
        <v>OK</v>
      </c>
    </row>
    <row r="74" spans="1:17" x14ac:dyDescent="0.2">
      <c r="A74" s="297" t="s">
        <v>319</v>
      </c>
      <c r="B74" s="298" t="s">
        <v>183</v>
      </c>
      <c r="C74" s="297" t="str">
        <f>IF(Forside!$D$12="Dansk",Tekstnøgler!E74,Tekstnøgler!G74)</f>
        <v>Metodevalg</v>
      </c>
      <c r="D74" s="298" t="s">
        <v>183</v>
      </c>
      <c r="E74" s="299" t="s">
        <v>320</v>
      </c>
      <c r="F74" s="298" t="s">
        <v>183</v>
      </c>
      <c r="G74" s="300" t="s">
        <v>321</v>
      </c>
      <c r="H74" s="298" t="s">
        <v>183</v>
      </c>
      <c r="I74" s="297" t="s">
        <v>157</v>
      </c>
      <c r="J74" s="297" t="s">
        <v>195</v>
      </c>
      <c r="K74" s="297" t="str" cm="1">
        <f t="array" aca="1" ref="K74" ca="1">INDIRECT("'"&amp;I74&amp;"'!"&amp;J74)</f>
        <v>Metodevalg</v>
      </c>
      <c r="L74" s="298" t="s">
        <v>183</v>
      </c>
      <c r="M74" s="297" t="str">
        <f t="shared" ca="1" si="5"/>
        <v>OK</v>
      </c>
      <c r="O74" s="297" t="str" cm="1">
        <f t="array" aca="1" ref="O74" ca="1">INDIRECT("C"&amp;MATCH("coefficient-group.name.environmental-declaration",A:A))</f>
        <v>Kg</v>
      </c>
    </row>
    <row r="75" spans="1:17" x14ac:dyDescent="0.2">
      <c r="A75" s="297" t="s">
        <v>329</v>
      </c>
      <c r="B75" s="298" t="s">
        <v>183</v>
      </c>
      <c r="C75" s="297" t="str">
        <f>IF(Forside!$D$12="Dansk",Tekstnøgler!E75,Tekstnøgler!G75)</f>
        <v>Valg af emissionsfaktor for elektricitet</v>
      </c>
      <c r="D75" s="298" t="s">
        <v>183</v>
      </c>
      <c r="E75" s="299" t="s">
        <v>330</v>
      </c>
      <c r="F75" s="298" t="s">
        <v>183</v>
      </c>
      <c r="G75" s="300" t="s">
        <v>1619</v>
      </c>
      <c r="H75" s="298" t="s">
        <v>183</v>
      </c>
      <c r="I75" s="297" t="s">
        <v>157</v>
      </c>
      <c r="J75" s="297" t="s">
        <v>331</v>
      </c>
      <c r="K75" s="297" t="str" cm="1">
        <f t="array" aca="1" ref="K75" ca="1">INDIRECT("'"&amp;I75&amp;"'!"&amp;J75)</f>
        <v>Valg af emissionsfaktor for elektricitet</v>
      </c>
      <c r="L75" s="298" t="s">
        <v>183</v>
      </c>
      <c r="M75" s="297" t="str">
        <f t="shared" ca="1" si="5"/>
        <v>OK</v>
      </c>
    </row>
    <row r="76" spans="1:17" x14ac:dyDescent="0.2">
      <c r="A76" s="297" t="s">
        <v>332</v>
      </c>
      <c r="B76" s="298" t="s">
        <v>183</v>
      </c>
      <c r="C76" s="297" t="str">
        <f>IF(Forside!$D$12="Dansk",Tekstnøgler!E76,Tekstnøgler!G76)</f>
        <v>Emissionsfaktor for flytransport</v>
      </c>
      <c r="D76" s="298" t="s">
        <v>183</v>
      </c>
      <c r="E76" s="299" t="s">
        <v>333</v>
      </c>
      <c r="F76" s="298" t="s">
        <v>183</v>
      </c>
      <c r="G76" s="300" t="s">
        <v>1620</v>
      </c>
      <c r="H76" s="298" t="s">
        <v>183</v>
      </c>
      <c r="I76" s="297" t="s">
        <v>157</v>
      </c>
      <c r="J76" s="297" t="s">
        <v>334</v>
      </c>
      <c r="K76" s="297" t="str" cm="1">
        <f t="array" aca="1" ref="K76" ca="1">INDIRECT("'"&amp;I76&amp;"'!"&amp;J76)</f>
        <v>Emissionsfaktor for flytransport</v>
      </c>
      <c r="L76" s="298" t="s">
        <v>183</v>
      </c>
      <c r="M76" s="297" t="str">
        <f t="shared" ca="1" si="5"/>
        <v>OK</v>
      </c>
      <c r="O76" s="297" t="str">
        <f>LOOKUP("coefficient-group.name.environmental-declaration",A77:A80,C77:C80)</f>
        <v>Inkluder ikke RFI</v>
      </c>
    </row>
    <row r="77" spans="1:17" x14ac:dyDescent="0.2">
      <c r="A77" s="297" t="s">
        <v>335</v>
      </c>
      <c r="B77" s="298" t="s">
        <v>183</v>
      </c>
      <c r="C77" s="297" t="str">
        <f>IF(Forside!$D$12="Dansk",Tekstnøgler!E77,Tekstnøgler!G77)</f>
        <v>Miljødeklaration</v>
      </c>
      <c r="D77" s="298" t="s">
        <v>183</v>
      </c>
      <c r="E77" s="299" t="s">
        <v>48</v>
      </c>
      <c r="F77" s="298" t="s">
        <v>183</v>
      </c>
      <c r="G77" s="300" t="s">
        <v>1621</v>
      </c>
      <c r="H77" s="298" t="s">
        <v>183</v>
      </c>
      <c r="L77" s="298"/>
      <c r="O77" s="297" t="str">
        <f>LOOKUP("coefficient-group.name.environmental-declaration",Tekstnøgler!A:A,Tekstnøgler!C:C)</f>
        <v>Kg</v>
      </c>
    </row>
    <row r="78" spans="1:17" x14ac:dyDescent="0.2">
      <c r="A78" s="297" t="s">
        <v>336</v>
      </c>
      <c r="B78" s="298" t="s">
        <v>183</v>
      </c>
      <c r="C78" s="297" t="str">
        <f>IF(Forside!$D$12="Dansk",Tekstnøgler!E78,Tekstnøgler!G78)</f>
        <v>Inkluder RFI</v>
      </c>
      <c r="D78" s="298" t="s">
        <v>183</v>
      </c>
      <c r="E78" s="299" t="s">
        <v>1622</v>
      </c>
      <c r="F78" s="298" t="s">
        <v>183</v>
      </c>
      <c r="G78" s="300" t="s">
        <v>1623</v>
      </c>
      <c r="H78" s="298" t="s">
        <v>183</v>
      </c>
      <c r="L78" s="298"/>
      <c r="O78" s="297" cm="1">
        <f t="array" ref="O78">LOOKUP(2,1/SEARCH(A:A,"coefficient-group.name.environmental-declaration"),C:C)</f>
        <v>0</v>
      </c>
      <c r="Q78" s="297" t="s">
        <v>337</v>
      </c>
    </row>
    <row r="79" spans="1:17" x14ac:dyDescent="0.2">
      <c r="A79" s="297" t="s">
        <v>1021</v>
      </c>
      <c r="B79" s="298" t="s">
        <v>183</v>
      </c>
      <c r="C79" s="297" t="str">
        <f>IF(Forside!$D$12="Dansk",Tekstnøgler!E79,Tekstnøgler!G79)</f>
        <v>Eldeklaration</v>
      </c>
      <c r="D79" s="298" t="s">
        <v>183</v>
      </c>
      <c r="E79" s="299" t="s">
        <v>1624</v>
      </c>
      <c r="F79" s="298" t="s">
        <v>183</v>
      </c>
      <c r="G79" s="300" t="s">
        <v>1625</v>
      </c>
      <c r="H79" s="298" t="s">
        <v>183</v>
      </c>
      <c r="L79" s="298"/>
    </row>
    <row r="80" spans="1:17" x14ac:dyDescent="0.2">
      <c r="A80" s="297" t="s">
        <v>1020</v>
      </c>
      <c r="B80" s="298" t="s">
        <v>183</v>
      </c>
      <c r="C80" s="297" t="str">
        <f>IF(Forside!$D$12="Dansk",Tekstnøgler!E80,Tekstnøgler!G80)</f>
        <v>Inkluder ikke RFI</v>
      </c>
      <c r="D80" s="298" t="s">
        <v>183</v>
      </c>
      <c r="E80" s="299" t="s">
        <v>1626</v>
      </c>
      <c r="F80" s="298" t="s">
        <v>183</v>
      </c>
      <c r="G80" s="300" t="s">
        <v>1627</v>
      </c>
      <c r="H80" s="298" t="s">
        <v>183</v>
      </c>
      <c r="L80" s="298"/>
    </row>
    <row r="81" spans="1:13" x14ac:dyDescent="0.2">
      <c r="A81" s="297" t="s">
        <v>338</v>
      </c>
      <c r="B81" s="298" t="s">
        <v>183</v>
      </c>
      <c r="C81" s="297" t="str">
        <f>IF(Forside!$D$12="Dansk",Tekstnøgler!E81,Tekstnøgler!G81)</f>
        <v>Hovedresultater</v>
      </c>
      <c r="D81" s="298" t="s">
        <v>183</v>
      </c>
      <c r="E81" s="299" t="s">
        <v>157</v>
      </c>
      <c r="F81" s="298" t="s">
        <v>183</v>
      </c>
      <c r="G81" s="300" t="s">
        <v>207</v>
      </c>
      <c r="H81" s="298" t="s">
        <v>183</v>
      </c>
      <c r="I81" s="297" t="s">
        <v>157</v>
      </c>
      <c r="J81" s="297" t="s">
        <v>339</v>
      </c>
      <c r="K81" s="297" t="str" cm="1">
        <f t="array" aca="1" ref="K81" ca="1">INDIRECT("'"&amp;I81&amp;"'!"&amp;J81)</f>
        <v>Hovedresultater</v>
      </c>
      <c r="L81" s="298" t="s">
        <v>183</v>
      </c>
      <c r="M81" s="297" t="str">
        <f t="shared" ca="1" si="5"/>
        <v>OK</v>
      </c>
    </row>
    <row r="82" spans="1:13" x14ac:dyDescent="0.2">
      <c r="A82" s="297" t="s">
        <v>340</v>
      </c>
      <c r="B82" s="298" t="s">
        <v>183</v>
      </c>
      <c r="C82" s="297" t="str">
        <f>IF(Forside!$D$12="Dansk",Tekstnøgler!E82,Tekstnøgler!G82)</f>
        <v>Virksomhedens samlede CO₂e-udledning er angivet i tabel 1. CO₂e-udledningen er angivet i ton CO₂-ækvivalenter, og tabellen viser udledningen fordelt på de forskellige hovedkategorier. Bemærk, at udenfor scopes ikke medregnes i klimaaftrykket ifølge GHG-protokollen, men kan oplyses særskilt.</v>
      </c>
      <c r="D82" s="298" t="s">
        <v>183</v>
      </c>
      <c r="E82" s="299" t="s">
        <v>1628</v>
      </c>
      <c r="F82" s="298" t="s">
        <v>183</v>
      </c>
      <c r="G82" s="300" t="s">
        <v>1629</v>
      </c>
      <c r="H82" s="298" t="s">
        <v>183</v>
      </c>
      <c r="I82" s="297" t="s">
        <v>157</v>
      </c>
      <c r="J82" s="297" t="s">
        <v>203</v>
      </c>
      <c r="K82" s="297" t="str" cm="1">
        <f t="array" aca="1" ref="K82" ca="1">INDIRECT("'"&amp;I82&amp;"'!"&amp;J82)</f>
        <v>Virksomhedens samlede CO₂e-udledning er angivet i tabel 1. CO₂e-udledningen er angivet i ton CO₂-ækvivalenter, og tabellen viser udledningen fordelt på de forskellige hovedkategorier. Bemærk, at udenfor scopes ikke medregnes i klimaaftrykket ifølge GHG-protokollen, men kan oplyses særskilt.</v>
      </c>
      <c r="L82" s="298" t="s">
        <v>183</v>
      </c>
      <c r="M82" s="297" t="str">
        <f t="shared" ca="1" si="5"/>
        <v>OK</v>
      </c>
    </row>
    <row r="83" spans="1:13" x14ac:dyDescent="0.2">
      <c r="A83" s="297" t="s">
        <v>341</v>
      </c>
      <c r="B83" s="298" t="s">
        <v>183</v>
      </c>
      <c r="C83" s="297" t="str">
        <f>IF(Forside!$D$12="Dansk",Tekstnøgler!E83,Tekstnøgler!G83)</f>
        <v>Tabel 1: Oversigt over virksomhedens CO₂e-udledninger</v>
      </c>
      <c r="D83" s="298" t="s">
        <v>183</v>
      </c>
      <c r="E83" s="299" t="s">
        <v>1630</v>
      </c>
      <c r="F83" s="298" t="s">
        <v>183</v>
      </c>
      <c r="G83" s="300" t="s">
        <v>1631</v>
      </c>
      <c r="H83" s="298" t="s">
        <v>183</v>
      </c>
      <c r="I83" s="297" t="s">
        <v>157</v>
      </c>
      <c r="J83" s="297" t="s">
        <v>342</v>
      </c>
      <c r="K83" s="297" t="str" cm="1">
        <f t="array" aca="1" ref="K83" ca="1">INDIRECT("'"&amp;I83&amp;"'!"&amp;J83)</f>
        <v>Tabel 1: Oversigt over virksomhedens CO₂e-udledninger</v>
      </c>
      <c r="L83" s="298" t="s">
        <v>183</v>
      </c>
      <c r="M83" s="297" t="str">
        <f t="shared" ca="1" si="5"/>
        <v>OK</v>
      </c>
    </row>
    <row r="84" spans="1:13" x14ac:dyDescent="0.2">
      <c r="A84" s="297" t="s">
        <v>343</v>
      </c>
      <c r="B84" s="298" t="s">
        <v>183</v>
      </c>
      <c r="C84" s="297" t="str">
        <f>IF(Forside!$D$12="Dansk",Tekstnøgler!E84,Tekstnøgler!G84)</f>
        <v>Hovedkategori</v>
      </c>
      <c r="D84" s="298" t="s">
        <v>183</v>
      </c>
      <c r="E84" s="299" t="s">
        <v>344</v>
      </c>
      <c r="F84" s="298" t="s">
        <v>183</v>
      </c>
      <c r="G84" s="300" t="s">
        <v>345</v>
      </c>
      <c r="H84" s="298" t="s">
        <v>183</v>
      </c>
      <c r="I84" s="297" t="s">
        <v>157</v>
      </c>
      <c r="J84" s="297" t="s">
        <v>346</v>
      </c>
      <c r="K84" s="297" t="str" cm="1">
        <f t="array" aca="1" ref="K84" ca="1">INDIRECT("'"&amp;I84&amp;"'!"&amp;J84)</f>
        <v>Hovedkategori</v>
      </c>
      <c r="L84" s="298" t="s">
        <v>183</v>
      </c>
      <c r="M84" s="297" t="str">
        <f t="shared" ca="1" si="5"/>
        <v>OK</v>
      </c>
    </row>
    <row r="85" spans="1:13" x14ac:dyDescent="0.2">
      <c r="A85" s="298" t="s">
        <v>347</v>
      </c>
      <c r="B85" s="298" t="s">
        <v>183</v>
      </c>
      <c r="C85" s="297" t="str">
        <f>IF(Forside!$D$12="Dansk",Tekstnøgler!E85,Tekstnøgler!G85)</f>
        <v>Udledning i ton CO₂e
(scope 1+2+3)</v>
      </c>
      <c r="D85" s="298" t="s">
        <v>183</v>
      </c>
      <c r="E85" s="299" t="s">
        <v>1632</v>
      </c>
      <c r="F85" s="298" t="s">
        <v>183</v>
      </c>
      <c r="G85" s="300" t="s">
        <v>1633</v>
      </c>
      <c r="H85" s="298" t="s">
        <v>183</v>
      </c>
      <c r="I85" s="297" t="s">
        <v>157</v>
      </c>
      <c r="J85" s="297" t="s">
        <v>348</v>
      </c>
      <c r="K85" s="297" t="str" cm="1">
        <f t="array" aca="1" ref="K85" ca="1">INDIRECT("'"&amp;I85&amp;"'!"&amp;J85)</f>
        <v>Udledning i ton CO₂e
(scope 1+2+3)</v>
      </c>
      <c r="L85" s="298" t="s">
        <v>183</v>
      </c>
      <c r="M85" s="297" t="str">
        <f t="shared" ca="1" si="5"/>
        <v>OK</v>
      </c>
    </row>
    <row r="86" spans="1:13" x14ac:dyDescent="0.2">
      <c r="A86" s="297" t="s">
        <v>349</v>
      </c>
      <c r="B86" s="298" t="s">
        <v>183</v>
      </c>
      <c r="C86" s="297" t="str">
        <f>IF(Forside!$D$12="Dansk",Tekstnøgler!E86,Tekstnøgler!G86)</f>
        <v>Andel af udledning
(scope 1+2+3)</v>
      </c>
      <c r="D86" s="298" t="s">
        <v>183</v>
      </c>
      <c r="E86" s="299" t="s">
        <v>1634</v>
      </c>
      <c r="F86" s="298" t="s">
        <v>183</v>
      </c>
      <c r="G86" s="300" t="s">
        <v>1635</v>
      </c>
      <c r="H86" s="298" t="s">
        <v>183</v>
      </c>
      <c r="I86" s="297" t="s">
        <v>157</v>
      </c>
      <c r="J86" s="297" t="s">
        <v>350</v>
      </c>
      <c r="K86" s="297" t="str" cm="1">
        <f t="array" aca="1" ref="K86" ca="1">INDIRECT("'"&amp;I86&amp;"'!"&amp;J86)</f>
        <v>Andel af udledning
(scope 1+2+3)</v>
      </c>
      <c r="L86" s="298" t="s">
        <v>183</v>
      </c>
      <c r="M86" s="297" t="str">
        <f t="shared" ca="1" si="5"/>
        <v>OK</v>
      </c>
    </row>
    <row r="87" spans="1:13" x14ac:dyDescent="0.2">
      <c r="A87" s="298" t="s">
        <v>351</v>
      </c>
      <c r="B87" s="298" t="s">
        <v>183</v>
      </c>
      <c r="C87" s="297" t="str">
        <f>IF(Forside!$D$12="Dansk",Tekstnøgler!E87,Tekstnøgler!G87)</f>
        <v>Udledning i ton CO₂e (udenfor scopes)</v>
      </c>
      <c r="D87" s="298" t="s">
        <v>183</v>
      </c>
      <c r="E87" s="299" t="s">
        <v>1636</v>
      </c>
      <c r="F87" s="298" t="s">
        <v>183</v>
      </c>
      <c r="G87" s="300" t="s">
        <v>1637</v>
      </c>
      <c r="H87" s="298" t="s">
        <v>183</v>
      </c>
      <c r="I87" s="297" t="s">
        <v>157</v>
      </c>
      <c r="J87" s="297" t="s">
        <v>352</v>
      </c>
      <c r="K87" s="297" t="str" cm="1">
        <f t="array" aca="1" ref="K87" ca="1">INDIRECT("'"&amp;I87&amp;"'!"&amp;J87)</f>
        <v>Udledning i ton CO₂e
(udenfor scopes)</v>
      </c>
      <c r="L87" s="298" t="s">
        <v>183</v>
      </c>
      <c r="M87" s="297" t="str">
        <f t="shared" ca="1" si="5"/>
        <v>Reference fejl</v>
      </c>
    </row>
    <row r="88" spans="1:13" ht="15" x14ac:dyDescent="0.2">
      <c r="A88" s="299" t="s">
        <v>353</v>
      </c>
      <c r="B88" s="298" t="s">
        <v>183</v>
      </c>
      <c r="C88" s="297" t="str">
        <f>IF(Forside!$D$12="Dansk",Tekstnøgler!E88,Tekstnøgler!G88)</f>
        <v>Udledning i ton CO₂e  &lt;br /&gt; (scope 1+2+3 + udenfor scopes)</v>
      </c>
      <c r="D88" s="298" t="s">
        <v>183</v>
      </c>
      <c r="E88" s="299" t="s">
        <v>1638</v>
      </c>
      <c r="F88" s="298" t="s">
        <v>183</v>
      </c>
      <c r="G88" t="s">
        <v>1639</v>
      </c>
      <c r="H88" s="298" t="s">
        <v>183</v>
      </c>
      <c r="I88" s="297" t="s">
        <v>157</v>
      </c>
      <c r="K88" s="297" t="e" cm="1">
        <f t="array" aca="1" ref="K88" ca="1">INDIRECT("'"&amp;I88&amp;"'!"&amp;J88)</f>
        <v>#REF!</v>
      </c>
      <c r="L88" s="298" t="s">
        <v>183</v>
      </c>
      <c r="M88" s="297" t="e">
        <f t="shared" ca="1" si="5"/>
        <v>#REF!</v>
      </c>
    </row>
    <row r="89" spans="1:13" ht="15" x14ac:dyDescent="0.2">
      <c r="A89" s="298" t="s">
        <v>354</v>
      </c>
      <c r="B89" s="298" t="s">
        <v>183</v>
      </c>
      <c r="C89" s="297" t="str">
        <f>IF(Forside!$D$12="Dansk",Tekstnøgler!E89,Tekstnøgler!G89)</f>
        <v>Andel af udledning
(scope 1+2+3 + udenfor scopes)</v>
      </c>
      <c r="D89" s="298" t="s">
        <v>183</v>
      </c>
      <c r="E89" s="299" t="s">
        <v>1640</v>
      </c>
      <c r="F89" s="298" t="s">
        <v>183</v>
      </c>
      <c r="G89" t="s">
        <v>1641</v>
      </c>
      <c r="H89" s="298" t="s">
        <v>183</v>
      </c>
      <c r="I89" s="297" t="s">
        <v>157</v>
      </c>
      <c r="K89" s="297" t="e" cm="1">
        <f t="array" aca="1" ref="K89" ca="1">INDIRECT("'"&amp;I89&amp;"'!"&amp;J89)</f>
        <v>#REF!</v>
      </c>
      <c r="L89" s="298" t="s">
        <v>183</v>
      </c>
      <c r="M89" s="297" t="e">
        <f t="shared" ca="1" si="5"/>
        <v>#REF!</v>
      </c>
    </row>
    <row r="90" spans="1:13" x14ac:dyDescent="0.2">
      <c r="A90" s="297" t="s">
        <v>355</v>
      </c>
      <c r="B90" s="298" t="s">
        <v>183</v>
      </c>
      <c r="C90" s="297" t="str">
        <f>IF(Forside!$D$12="Dansk",Tekstnøgler!E90,Tekstnøgler!G90)</f>
        <v>Energi og processer</v>
      </c>
      <c r="D90" s="298" t="s">
        <v>183</v>
      </c>
      <c r="E90" s="299" t="s">
        <v>40</v>
      </c>
      <c r="F90" s="298" t="s">
        <v>183</v>
      </c>
      <c r="G90" s="300" t="s">
        <v>1642</v>
      </c>
      <c r="H90" s="298" t="s">
        <v>183</v>
      </c>
      <c r="I90" s="297" t="s">
        <v>157</v>
      </c>
      <c r="J90" s="297" t="s">
        <v>210</v>
      </c>
      <c r="K90" s="297" t="str" cm="1">
        <f t="array" aca="1" ref="K90" ca="1">INDIRECT("'"&amp;I90&amp;"'!"&amp;J90)</f>
        <v>Energi og processer</v>
      </c>
      <c r="L90" s="298" t="s">
        <v>183</v>
      </c>
      <c r="M90" s="297" t="str">
        <f t="shared" ca="1" si="5"/>
        <v>OK</v>
      </c>
    </row>
    <row r="91" spans="1:13" x14ac:dyDescent="0.2">
      <c r="A91" s="297" t="s">
        <v>356</v>
      </c>
      <c r="B91" s="298" t="s">
        <v>183</v>
      </c>
      <c r="C91" s="297" t="str">
        <f>IF(Forside!$D$12="Dansk",Tekstnøgler!E91,Tekstnøgler!G91)</f>
        <v>Indkøb</v>
      </c>
      <c r="D91" s="298" t="s">
        <v>183</v>
      </c>
      <c r="E91" s="299" t="s">
        <v>52</v>
      </c>
      <c r="F91" s="298" t="s">
        <v>183</v>
      </c>
      <c r="G91" s="300" t="s">
        <v>1643</v>
      </c>
      <c r="H91" s="298" t="s">
        <v>183</v>
      </c>
      <c r="I91" s="297" t="s">
        <v>157</v>
      </c>
      <c r="J91" s="297" t="s">
        <v>212</v>
      </c>
      <c r="K91" s="297" t="str" cm="1">
        <f t="array" aca="1" ref="K91" ca="1">INDIRECT("'"&amp;I91&amp;"'!"&amp;J91)</f>
        <v>Indkøb</v>
      </c>
      <c r="L91" s="298" t="s">
        <v>183</v>
      </c>
      <c r="M91" s="297" t="str">
        <f t="shared" ca="1" si="5"/>
        <v>OK</v>
      </c>
    </row>
    <row r="92" spans="1:13" x14ac:dyDescent="0.2">
      <c r="A92" s="297" t="s">
        <v>357</v>
      </c>
      <c r="B92" s="298" t="s">
        <v>183</v>
      </c>
      <c r="C92" s="297" t="str">
        <f>IF(Forside!$D$12="Dansk",Tekstnøgler!E92,Tekstnøgler!G92)</f>
        <v>Transport</v>
      </c>
      <c r="D92" s="298" t="s">
        <v>183</v>
      </c>
      <c r="E92" s="299" t="s">
        <v>65</v>
      </c>
      <c r="F92" s="298" t="s">
        <v>183</v>
      </c>
      <c r="G92" s="300" t="s">
        <v>65</v>
      </c>
      <c r="H92" s="298" t="s">
        <v>183</v>
      </c>
      <c r="I92" s="297" t="s">
        <v>157</v>
      </c>
      <c r="J92" s="297" t="s">
        <v>214</v>
      </c>
      <c r="K92" s="297" t="str" cm="1">
        <f t="array" aca="1" ref="K92" ca="1">INDIRECT("'"&amp;I92&amp;"'!"&amp;J92)</f>
        <v>Transport</v>
      </c>
      <c r="L92" s="298" t="s">
        <v>183</v>
      </c>
      <c r="M92" s="297" t="str">
        <f t="shared" ca="1" si="5"/>
        <v>OK</v>
      </c>
    </row>
    <row r="93" spans="1:13" x14ac:dyDescent="0.2">
      <c r="A93" s="297" t="s">
        <v>358</v>
      </c>
      <c r="B93" s="298" t="s">
        <v>183</v>
      </c>
      <c r="C93" s="297" t="str">
        <f>IF(Forside!$D$12="Dansk",Tekstnøgler!E93,Tekstnøgler!G93)</f>
        <v>Affald og genbrug</v>
      </c>
      <c r="D93" s="298" t="s">
        <v>183</v>
      </c>
      <c r="E93" s="299" t="s">
        <v>359</v>
      </c>
      <c r="F93" s="298" t="s">
        <v>183</v>
      </c>
      <c r="G93" s="300" t="s">
        <v>360</v>
      </c>
      <c r="H93" s="298" t="s">
        <v>183</v>
      </c>
      <c r="I93" s="297" t="s">
        <v>157</v>
      </c>
      <c r="J93" s="297" t="s">
        <v>216</v>
      </c>
      <c r="K93" s="297" t="str" cm="1">
        <f t="array" aca="1" ref="K93" ca="1">INDIRECT("'"&amp;I93&amp;"'!"&amp;J93)</f>
        <v>Affald og genbrug</v>
      </c>
      <c r="L93" s="298" t="s">
        <v>183</v>
      </c>
      <c r="M93" s="297" t="str">
        <f t="shared" ca="1" si="5"/>
        <v>OK</v>
      </c>
    </row>
    <row r="94" spans="1:13" x14ac:dyDescent="0.2">
      <c r="A94" s="297" t="s">
        <v>361</v>
      </c>
      <c r="B94" s="298" t="s">
        <v>183</v>
      </c>
      <c r="C94" s="297" t="str">
        <f>IF(Forside!$D$12="Dansk",Tekstnøgler!E94,Tekstnøgler!G94)</f>
        <v>Solgte produkter</v>
      </c>
      <c r="D94" s="298" t="s">
        <v>183</v>
      </c>
      <c r="E94" s="299" t="s">
        <v>362</v>
      </c>
      <c r="F94" s="298" t="s">
        <v>183</v>
      </c>
      <c r="G94" s="300" t="s">
        <v>363</v>
      </c>
      <c r="H94" s="298" t="s">
        <v>183</v>
      </c>
      <c r="I94" s="297" t="s">
        <v>157</v>
      </c>
      <c r="J94" s="297" t="s">
        <v>218</v>
      </c>
      <c r="K94" s="297" t="str" cm="1">
        <f t="array" aca="1" ref="K94" ca="1">INDIRECT("'"&amp;I94&amp;"'!"&amp;J94)</f>
        <v>Solgte produkter</v>
      </c>
      <c r="L94" s="298" t="s">
        <v>183</v>
      </c>
      <c r="M94" s="297" t="str">
        <f t="shared" ca="1" si="5"/>
        <v>OK</v>
      </c>
    </row>
    <row r="95" spans="1:13" x14ac:dyDescent="0.2">
      <c r="A95" s="297" t="s">
        <v>364</v>
      </c>
      <c r="B95" s="298" t="s">
        <v>183</v>
      </c>
      <c r="C95" s="297" t="str">
        <f>IF(Forside!$D$12="Dansk",Tekstnøgler!E95,Tekstnøgler!G95)</f>
        <v>Total</v>
      </c>
      <c r="D95" s="298" t="s">
        <v>183</v>
      </c>
      <c r="E95" s="299" t="s">
        <v>761</v>
      </c>
      <c r="F95" s="298" t="s">
        <v>183</v>
      </c>
      <c r="G95" s="300" t="s">
        <v>761</v>
      </c>
      <c r="H95" s="298" t="s">
        <v>183</v>
      </c>
      <c r="I95" s="297" t="s">
        <v>157</v>
      </c>
      <c r="J95" s="297" t="s">
        <v>220</v>
      </c>
      <c r="K95" s="297" t="str" cm="1">
        <f t="array" aca="1" ref="K95" ca="1">INDIRECT("'"&amp;I95&amp;"'!"&amp;J95)</f>
        <v>Total</v>
      </c>
      <c r="L95" s="298" t="s">
        <v>183</v>
      </c>
      <c r="M95" s="297" t="str">
        <f t="shared" ca="1" si="5"/>
        <v>OK</v>
      </c>
    </row>
    <row r="96" spans="1:13" x14ac:dyDescent="0.2">
      <c r="A96" s="297" t="s">
        <v>365</v>
      </c>
      <c r="B96" s="298" t="s">
        <v>183</v>
      </c>
      <c r="C96" s="297" t="str">
        <f>IF(Forside!$D$12="Dansk",Tekstnøgler!E96,Tekstnøgler!G96)</f>
        <v xml:space="preserve">Opsummering af virksomhedens beregnede CO₂e-udledning </v>
      </c>
      <c r="D96" s="298" t="s">
        <v>183</v>
      </c>
      <c r="E96" s="299" t="s">
        <v>1644</v>
      </c>
      <c r="F96" s="298" t="s">
        <v>183</v>
      </c>
      <c r="G96" s="300" t="s">
        <v>1645</v>
      </c>
      <c r="H96" s="298" t="s">
        <v>183</v>
      </c>
      <c r="I96" s="297" t="s">
        <v>157</v>
      </c>
      <c r="J96" s="297" t="s">
        <v>222</v>
      </c>
      <c r="K96" s="297" t="str" cm="1">
        <f t="array" aca="1" ref="K96" ca="1">INDIRECT("'"&amp;I96&amp;"'!"&amp;J96)</f>
        <v xml:space="preserve">Opsummering af virksomhedens beregnede CO₂e-udledning </v>
      </c>
      <c r="L96" s="298" t="s">
        <v>183</v>
      </c>
      <c r="M96" s="297" t="str">
        <f t="shared" ca="1" si="5"/>
        <v>OK</v>
      </c>
    </row>
    <row r="97" spans="1:13" x14ac:dyDescent="0.2">
      <c r="A97" s="297" t="s">
        <v>367</v>
      </c>
      <c r="B97" s="298" t="s">
        <v>183</v>
      </c>
      <c r="C97" s="297" t="str">
        <f>IF(Forside!$D$12="Dansk",Tekstnøgler!E97,Tekstnøgler!G97)</f>
        <v>Nedenstående figurer opsummerer virksomhedens beregnede CO₂e-udledning. Figur 1 angiver virksomhedens absolutte CO₂e-udledning i ton CO₂e-ækvivalenter fordelt på hovedkategorier. Figur 2 viser den procentuelle fordeling af CO₂e-udledningen fordelt på hovedkategorier.</v>
      </c>
      <c r="D97" s="298" t="s">
        <v>183</v>
      </c>
      <c r="E97" s="299" t="s">
        <v>1646</v>
      </c>
      <c r="F97" s="298" t="s">
        <v>183</v>
      </c>
      <c r="G97" s="300" t="s">
        <v>1647</v>
      </c>
      <c r="H97" s="298" t="s">
        <v>183</v>
      </c>
      <c r="I97" s="297" t="s">
        <v>157</v>
      </c>
      <c r="J97" s="297" t="s">
        <v>224</v>
      </c>
      <c r="K97" s="297" t="str" cm="1">
        <f t="array" aca="1" ref="K97" ca="1">INDIRECT("'"&amp;I97&amp;"'!"&amp;J97)</f>
        <v>Nedenstående figurer opsummerer virksomhedens beregnede CO₂e-udledning. Figur 1 angiver virksomhedens absolutte CO₂e-udledning i ton CO₂e-ækvivalenter fordelt på hovedkategorier. Figur 2 viser den procentuelle fordeling af CO₂e-udledningen fordelt på hovedkategorier.</v>
      </c>
      <c r="L97" s="298" t="s">
        <v>183</v>
      </c>
      <c r="M97" s="297" t="str">
        <f t="shared" ca="1" si="5"/>
        <v>OK</v>
      </c>
    </row>
    <row r="98" spans="1:13" x14ac:dyDescent="0.2">
      <c r="A98" s="297" t="s">
        <v>368</v>
      </c>
      <c r="B98" s="298" t="s">
        <v>183</v>
      </c>
      <c r="C98" s="297" t="str">
        <f>IF(Forside!$D$12="Dansk",Tekstnøgler!E98,Tekstnøgler!G98)</f>
        <v>Figur 1: CO₂e-udledning i ton (scope 1+2+3) fordelt på hovedkategorier</v>
      </c>
      <c r="D98" s="298" t="s">
        <v>183</v>
      </c>
      <c r="E98" s="299" t="s">
        <v>1648</v>
      </c>
      <c r="F98" s="298" t="s">
        <v>183</v>
      </c>
      <c r="G98" s="300" t="s">
        <v>1649</v>
      </c>
      <c r="H98" s="298" t="s">
        <v>183</v>
      </c>
      <c r="I98" s="297" t="s">
        <v>157</v>
      </c>
      <c r="J98" s="297" t="s">
        <v>369</v>
      </c>
      <c r="K98" s="297" t="str" cm="1">
        <f t="array" aca="1" ref="K98" ca="1">INDIRECT("'"&amp;I98&amp;"'!"&amp;J98)</f>
        <v>Figur 1: CO₂e-udledning i ton (scope 1+2+3) fordelt på hovedkategorier</v>
      </c>
      <c r="L98" s="298" t="s">
        <v>183</v>
      </c>
      <c r="M98" s="297" t="str">
        <f t="shared" ca="1" si="5"/>
        <v>OK</v>
      </c>
    </row>
    <row r="99" spans="1:13" x14ac:dyDescent="0.2">
      <c r="A99" s="297" t="s">
        <v>370</v>
      </c>
      <c r="B99" s="298" t="s">
        <v>183</v>
      </c>
      <c r="C99" s="297" t="str">
        <f>IF(Forside!$D$12="Dansk",Tekstnøgler!E99,Tekstnøgler!G99)</f>
        <v>Figur 2: Procentfordeling af CO₂e-udledning (scope 1+2+3) fordelt på hovedkategorier</v>
      </c>
      <c r="D99" s="298" t="s">
        <v>183</v>
      </c>
      <c r="E99" s="299" t="s">
        <v>1650</v>
      </c>
      <c r="F99" s="298" t="s">
        <v>183</v>
      </c>
      <c r="G99" s="300" t="s">
        <v>1651</v>
      </c>
      <c r="H99" s="298" t="s">
        <v>183</v>
      </c>
      <c r="I99" s="297" t="s">
        <v>157</v>
      </c>
      <c r="J99" s="297" t="s">
        <v>287</v>
      </c>
      <c r="K99" s="297" t="str" cm="1">
        <f t="array" aca="1" ref="K99" ca="1">INDIRECT("'"&amp;I99&amp;"'!"&amp;J99)</f>
        <v>Figur 2: Procentfordeling af CO₂e-udledning (scope 1+2+3) fordelt på hovedkategorier</v>
      </c>
      <c r="L99" s="298" t="s">
        <v>183</v>
      </c>
      <c r="M99" s="297" t="str">
        <f t="shared" ca="1" si="5"/>
        <v>OK</v>
      </c>
    </row>
    <row r="100" spans="1:13" x14ac:dyDescent="0.2">
      <c r="A100" s="297" t="s">
        <v>371</v>
      </c>
      <c r="B100" s="298" t="s">
        <v>183</v>
      </c>
      <c r="C100" s="297" t="str">
        <f>IF(Forside!$D$12="Dansk",Tekstnøgler!E100,Tekstnøgler!G100)</f>
        <v>Figur 3: CO₂e-udledning i ton (udenfor scopes) fordelt på hovedkategorier</v>
      </c>
      <c r="D100" s="298" t="s">
        <v>183</v>
      </c>
      <c r="E100" s="299" t="s">
        <v>1652</v>
      </c>
      <c r="F100" s="298" t="s">
        <v>183</v>
      </c>
      <c r="G100" s="300" t="s">
        <v>1653</v>
      </c>
      <c r="H100" s="298" t="s">
        <v>183</v>
      </c>
      <c r="I100" s="297" t="s">
        <v>157</v>
      </c>
      <c r="J100" s="297" t="s">
        <v>372</v>
      </c>
      <c r="K100" s="297" t="str" cm="1">
        <f t="array" aca="1" ref="K100" ca="1">INDIRECT("'"&amp;I100&amp;"'!"&amp;J100)</f>
        <v>Figur 3: CO₂e-udledning i ton (udenfor scopes) fordelt på hovedkategorier</v>
      </c>
      <c r="L100" s="298" t="s">
        <v>183</v>
      </c>
      <c r="M100" s="297" t="str">
        <f t="shared" ca="1" si="5"/>
        <v>OK</v>
      </c>
    </row>
    <row r="101" spans="1:13" x14ac:dyDescent="0.2">
      <c r="A101" s="297" t="s">
        <v>373</v>
      </c>
      <c r="B101" s="298" t="s">
        <v>183</v>
      </c>
      <c r="C101" s="297" t="str">
        <f>IF(Forside!$D$12="Dansk",Tekstnøgler!E101,Tekstnøgler!G101)</f>
        <v>Figur 4: Procentfordeling af CO₂e-udledning (scope 1+2+3 og udenfor scopes) fordelt på hovedkategorier</v>
      </c>
      <c r="D101" s="298" t="s">
        <v>183</v>
      </c>
      <c r="E101" s="299" t="s">
        <v>1654</v>
      </c>
      <c r="F101" s="298" t="s">
        <v>183</v>
      </c>
      <c r="G101" s="300" t="s">
        <v>1655</v>
      </c>
      <c r="H101" s="298" t="s">
        <v>183</v>
      </c>
      <c r="I101" s="297" t="s">
        <v>157</v>
      </c>
      <c r="K101" s="297" t="e" cm="1">
        <f t="array" aca="1" ref="K101" ca="1">INDIRECT("'"&amp;I101&amp;"'!"&amp;J101)</f>
        <v>#REF!</v>
      </c>
      <c r="L101" s="298" t="s">
        <v>183</v>
      </c>
      <c r="M101" s="297" t="e">
        <f t="shared" ca="1" si="5"/>
        <v>#REF!</v>
      </c>
    </row>
    <row r="102" spans="1:13" x14ac:dyDescent="0.2">
      <c r="A102" s="297" t="s">
        <v>293</v>
      </c>
      <c r="B102" s="298" t="s">
        <v>183</v>
      </c>
      <c r="C102" s="297" t="str">
        <f>IF(Forside!$D$12="Dansk",Tekstnøgler!E102,Tekstnøgler!G102)</f>
        <v>Nøgletal</v>
      </c>
      <c r="D102" s="298" t="s">
        <v>183</v>
      </c>
      <c r="E102" s="299" t="s">
        <v>294</v>
      </c>
      <c r="F102" s="298" t="s">
        <v>183</v>
      </c>
      <c r="G102" s="300" t="s">
        <v>1607</v>
      </c>
      <c r="H102" s="298" t="s">
        <v>183</v>
      </c>
      <c r="I102" s="297" t="s">
        <v>157</v>
      </c>
      <c r="J102" s="297" t="s">
        <v>374</v>
      </c>
      <c r="K102" s="297" t="str" cm="1">
        <f t="array" aca="1" ref="K102" ca="1">INDIRECT("'"&amp;I102&amp;"'!"&amp;J102)</f>
        <v>Nøgletal</v>
      </c>
      <c r="L102" s="298" t="s">
        <v>183</v>
      </c>
      <c r="M102" s="297" t="str">
        <f t="shared" ca="1" si="5"/>
        <v>OK</v>
      </c>
    </row>
    <row r="103" spans="1:13" x14ac:dyDescent="0.2">
      <c r="A103" s="297" t="s">
        <v>375</v>
      </c>
      <c r="B103" s="298" t="s">
        <v>183</v>
      </c>
      <c r="C103" s="297" t="str">
        <f>IF(Forside!$D$12="Dansk",Tekstnøgler!E103,Tekstnøgler!G103)</f>
        <v>Denne tabel viser beregninger af nøgletal i tilfælde af, at der under Stamdata er indtastet data for hhv. antal fuldtidsansatte i virksomheden, nettoomsætning og areal.</v>
      </c>
      <c r="D103" s="298" t="s">
        <v>183</v>
      </c>
      <c r="E103" s="299" t="s">
        <v>1136</v>
      </c>
      <c r="F103" s="298" t="s">
        <v>183</v>
      </c>
      <c r="G103" s="300" t="s">
        <v>1656</v>
      </c>
      <c r="H103" s="298" t="s">
        <v>183</v>
      </c>
      <c r="I103" s="297" t="s">
        <v>157</v>
      </c>
      <c r="J103" s="297" t="s">
        <v>376</v>
      </c>
      <c r="K103" s="297" t="str" cm="1">
        <f t="array" aca="1" ref="K103" ca="1">INDIRECT("'"&amp;I103&amp;"'!"&amp;J103)</f>
        <v>Denne tabel viser beregninger af nøgletal i tilfælde af, at der under Stamdata er indtastet data for hhv. antal fuldtidsansatte i virksomheden, nettoomsætning og areal.</v>
      </c>
      <c r="L103" s="298" t="s">
        <v>183</v>
      </c>
      <c r="M103" s="297" t="str">
        <f t="shared" ca="1" si="5"/>
        <v>OK</v>
      </c>
    </row>
    <row r="104" spans="1:13" x14ac:dyDescent="0.2">
      <c r="A104" s="297" t="s">
        <v>377</v>
      </c>
      <c r="B104" s="298" t="s">
        <v>183</v>
      </c>
      <c r="C104" s="297" t="str">
        <f>IF(Forside!$D$12="Dansk",Tekstnøgler!E104,Tekstnøgler!G104)</f>
        <v>Nøgletalsberegninger</v>
      </c>
      <c r="D104" s="298" t="s">
        <v>183</v>
      </c>
      <c r="E104" s="299" t="s">
        <v>378</v>
      </c>
      <c r="F104" s="298" t="s">
        <v>183</v>
      </c>
      <c r="G104" s="300" t="s">
        <v>379</v>
      </c>
      <c r="H104" s="298" t="s">
        <v>183</v>
      </c>
      <c r="I104" s="297" t="s">
        <v>157</v>
      </c>
      <c r="J104" s="297" t="s">
        <v>380</v>
      </c>
      <c r="K104" s="297" t="str" cm="1">
        <f t="array" aca="1" ref="K104" ca="1">INDIRECT("'"&amp;I104&amp;"'!"&amp;J104)</f>
        <v>Nøgletalsberegninger</v>
      </c>
      <c r="L104" s="298" t="s">
        <v>183</v>
      </c>
      <c r="M104" s="297" t="str">
        <f t="shared" ca="1" si="5"/>
        <v>OK</v>
      </c>
    </row>
    <row r="105" spans="1:13" x14ac:dyDescent="0.2">
      <c r="A105" s="297" t="s">
        <v>381</v>
      </c>
      <c r="B105" s="298" t="s">
        <v>183</v>
      </c>
      <c r="C105" s="297" t="str">
        <f>IF(Forside!$D$12="Dansk",Tekstnøgler!E105,Tekstnøgler!G105)</f>
        <v>Ton CO₂e</v>
      </c>
      <c r="D105" s="298" t="s">
        <v>183</v>
      </c>
      <c r="E105" s="299" t="s">
        <v>1657</v>
      </c>
      <c r="F105" s="298" t="s">
        <v>183</v>
      </c>
      <c r="G105" s="300" t="s">
        <v>1657</v>
      </c>
      <c r="H105" s="298" t="s">
        <v>183</v>
      </c>
      <c r="I105" s="297" t="s">
        <v>157</v>
      </c>
      <c r="J105" s="297" t="s">
        <v>382</v>
      </c>
      <c r="K105" s="297" t="str" cm="1">
        <f t="array" aca="1" ref="K105" ca="1">INDIRECT("'"&amp;I105&amp;"'!"&amp;J105)</f>
        <v>Ton CO₂e</v>
      </c>
      <c r="M105" s="297" t="str">
        <f t="shared" ca="1" si="5"/>
        <v>OK</v>
      </c>
    </row>
    <row r="106" spans="1:13" x14ac:dyDescent="0.2">
      <c r="A106" s="297" t="s">
        <v>383</v>
      </c>
      <c r="B106" s="298" t="s">
        <v>183</v>
      </c>
      <c r="C106" s="297" t="str">
        <f>IF(Forside!$D$12="Dansk",Tekstnøgler!E106,Tekstnøgler!G106)</f>
        <v>CO₂e pr. ansat</v>
      </c>
      <c r="D106" s="298" t="s">
        <v>183</v>
      </c>
      <c r="E106" s="299" t="s">
        <v>1658</v>
      </c>
      <c r="F106" s="298" t="s">
        <v>183</v>
      </c>
      <c r="G106" s="300" t="s">
        <v>1659</v>
      </c>
      <c r="H106" s="298" t="s">
        <v>183</v>
      </c>
      <c r="I106" s="297" t="s">
        <v>157</v>
      </c>
      <c r="J106" s="297" t="s">
        <v>384</v>
      </c>
      <c r="K106" s="297" t="str" cm="1">
        <f t="array" aca="1" ref="K106" ca="1">INDIRECT("'"&amp;I106&amp;"'!"&amp;J106)</f>
        <v>CO₂e pr. ansat</v>
      </c>
      <c r="M106" s="297" t="str">
        <f t="shared" ca="1" si="5"/>
        <v>OK</v>
      </c>
    </row>
    <row r="107" spans="1:13" x14ac:dyDescent="0.2">
      <c r="A107" s="297" t="s">
        <v>385</v>
      </c>
      <c r="B107" s="298" t="s">
        <v>183</v>
      </c>
      <c r="C107" s="297" t="str">
        <f>IF(Forside!$D$12="Dansk",Tekstnøgler!E107,Tekstnøgler!G107)</f>
        <v>CO₂e pr. mio. kr. nettoomsætning</v>
      </c>
      <c r="D107" s="298" t="s">
        <v>183</v>
      </c>
      <c r="E107" s="299" t="s">
        <v>1660</v>
      </c>
      <c r="F107" s="298" t="s">
        <v>183</v>
      </c>
      <c r="G107" s="300" t="s">
        <v>1661</v>
      </c>
      <c r="H107" s="298" t="s">
        <v>183</v>
      </c>
      <c r="I107" s="297" t="s">
        <v>157</v>
      </c>
      <c r="J107" s="297" t="s">
        <v>386</v>
      </c>
      <c r="K107" s="297" t="str" cm="1">
        <f t="array" aca="1" ref="K107" ca="1">INDIRECT("'"&amp;I107&amp;"'!"&amp;J107)</f>
        <v>CO₂e pr. mio. kr. nettoomsætning</v>
      </c>
      <c r="L107" s="298" t="s">
        <v>183</v>
      </c>
      <c r="M107" s="297" t="str">
        <f t="shared" ca="1" si="5"/>
        <v>OK</v>
      </c>
    </row>
    <row r="108" spans="1:13" x14ac:dyDescent="0.2">
      <c r="A108" s="297" t="s">
        <v>387</v>
      </c>
      <c r="B108" s="298" t="s">
        <v>183</v>
      </c>
      <c r="C108" s="297" t="str">
        <f>IF(Forside!$D$12="Dansk",Tekstnøgler!E108,Tekstnøgler!G108)</f>
        <v>CO₂e pr. m2</v>
      </c>
      <c r="D108" s="298" t="s">
        <v>183</v>
      </c>
      <c r="E108" s="299" t="s">
        <v>1662</v>
      </c>
      <c r="F108" s="298" t="s">
        <v>183</v>
      </c>
      <c r="G108" s="300" t="s">
        <v>1663</v>
      </c>
      <c r="H108" s="298" t="s">
        <v>183</v>
      </c>
      <c r="I108" s="297" t="s">
        <v>157</v>
      </c>
      <c r="J108" s="297" t="s">
        <v>388</v>
      </c>
      <c r="K108" s="297" t="str" cm="1">
        <f t="array" aca="1" ref="K108" ca="1">INDIRECT("'"&amp;I108&amp;"'!"&amp;J108)</f>
        <v>CO₂e pr. m2</v>
      </c>
      <c r="L108" s="298" t="s">
        <v>183</v>
      </c>
      <c r="M108" s="297" t="str">
        <f t="shared" ca="1" si="5"/>
        <v>OK</v>
      </c>
    </row>
    <row r="109" spans="1:13" x14ac:dyDescent="0.2">
      <c r="A109" s="297" t="s">
        <v>389</v>
      </c>
      <c r="B109" s="298" t="s">
        <v>183</v>
      </c>
      <c r="C109" s="297" t="str">
        <f>IF(Forside!$D$12="Dansk",Tekstnøgler!E109,Tekstnøgler!G109)</f>
        <v>Egne bemærkninger</v>
      </c>
      <c r="D109" s="298" t="s">
        <v>183</v>
      </c>
      <c r="E109" s="299" t="s">
        <v>390</v>
      </c>
      <c r="F109" s="298" t="s">
        <v>183</v>
      </c>
      <c r="G109" s="300" t="s">
        <v>1664</v>
      </c>
      <c r="H109" s="298" t="s">
        <v>183</v>
      </c>
      <c r="I109" s="297" t="s">
        <v>157</v>
      </c>
      <c r="J109" s="297" t="s">
        <v>391</v>
      </c>
      <c r="K109" s="297" t="str" cm="1">
        <f t="array" aca="1" ref="K109" ca="1">INDIRECT("'"&amp;I109&amp;"'!"&amp;J109)</f>
        <v>Egne bemærkninger</v>
      </c>
      <c r="L109" s="298" t="s">
        <v>183</v>
      </c>
      <c r="M109" s="297" t="str">
        <f t="shared" ca="1" si="5"/>
        <v>OK</v>
      </c>
    </row>
    <row r="110" spans="1:13" ht="30" x14ac:dyDescent="0.2">
      <c r="A110" s="297" t="s">
        <v>1187</v>
      </c>
      <c r="B110" s="298" t="s">
        <v>183</v>
      </c>
      <c r="C110" s="297" t="str">
        <f>IF(Forside!$D$12="Dansk",Tekstnøgler!E110,Tekstnøgler!G110)</f>
        <v>Udledning i ton CO₂e
(udenfor scopes)</v>
      </c>
      <c r="D110" s="298" t="s">
        <v>183</v>
      </c>
      <c r="E110" s="373" t="s">
        <v>1188</v>
      </c>
      <c r="F110" s="298" t="s">
        <v>183</v>
      </c>
      <c r="G110" s="305" t="s">
        <v>1665</v>
      </c>
      <c r="H110" s="298" t="s">
        <v>183</v>
      </c>
      <c r="L110" s="298" t="s">
        <v>183</v>
      </c>
    </row>
    <row r="111" spans="1:13" x14ac:dyDescent="0.2">
      <c r="B111" s="298" t="s">
        <v>183</v>
      </c>
      <c r="C111" s="297">
        <f>IF(Forside!$D$12="Dansk",Tekstnøgler!E111,Tekstnøgler!G111)</f>
        <v>0</v>
      </c>
      <c r="D111" s="298" t="s">
        <v>183</v>
      </c>
      <c r="F111" s="298" t="s">
        <v>183</v>
      </c>
      <c r="H111" s="298" t="s">
        <v>183</v>
      </c>
      <c r="L111" s="298" t="s">
        <v>183</v>
      </c>
    </row>
    <row r="112" spans="1:13" x14ac:dyDescent="0.2">
      <c r="A112" s="297" t="s">
        <v>392</v>
      </c>
      <c r="B112" s="298" t="s">
        <v>183</v>
      </c>
      <c r="C112" s="297" t="str">
        <f>IF(Forside!$D$12="Dansk",Tekstnøgler!E112,Tekstnøgler!G112)</f>
        <v>Delresultater</v>
      </c>
      <c r="D112" s="298" t="s">
        <v>183</v>
      </c>
      <c r="E112" s="299" t="s">
        <v>161</v>
      </c>
      <c r="F112" s="298" t="s">
        <v>183</v>
      </c>
      <c r="G112" s="300" t="s">
        <v>1666</v>
      </c>
      <c r="H112" s="298" t="s">
        <v>183</v>
      </c>
      <c r="I112" s="297" t="s">
        <v>161</v>
      </c>
      <c r="J112" s="297" t="s">
        <v>339</v>
      </c>
      <c r="K112" s="297" t="str" cm="1">
        <f t="array" aca="1" ref="K112" ca="1">INDIRECT("'"&amp;I112&amp;"'!"&amp;J112)</f>
        <v>Delresultater</v>
      </c>
      <c r="L112" s="298" t="s">
        <v>183</v>
      </c>
      <c r="M112" s="297" t="str">
        <f t="shared" ref="M112:M165" ca="1" si="6">IF(C112=K112,"OK","Reference fejl")</f>
        <v>OK</v>
      </c>
    </row>
    <row r="113" spans="1:13" x14ac:dyDescent="0.2">
      <c r="A113" s="297" t="s">
        <v>393</v>
      </c>
      <c r="B113" s="298" t="s">
        <v>183</v>
      </c>
      <c r="C113" s="297" t="str">
        <f>IF(Forside!$D$12="Dansk",Tekstnøgler!E113,Tekstnøgler!G113)</f>
        <v>Her ses en mere detaljeret resultatvisning. Tabellen viser alle underkategorierne, der kan angives data for, den tilhørende udledning i ton CO₂e og underkategoriens samlede andel af de totale udledninger.</v>
      </c>
      <c r="D113" s="298" t="s">
        <v>183</v>
      </c>
      <c r="E113" s="299" t="s">
        <v>1667</v>
      </c>
      <c r="F113" s="298" t="s">
        <v>183</v>
      </c>
      <c r="G113" s="300" t="s">
        <v>1668</v>
      </c>
      <c r="H113" s="298" t="s">
        <v>183</v>
      </c>
      <c r="I113" s="297" t="s">
        <v>161</v>
      </c>
      <c r="J113" s="297" t="s">
        <v>203</v>
      </c>
      <c r="K113" s="297" t="str" cm="1">
        <f t="array" aca="1" ref="K113" ca="1">INDIRECT("'"&amp;I113&amp;"'!"&amp;J113)</f>
        <v>Her ses en mere detaljeret resultatvisning. Tabellen viser alle underkategorierne, der kan angives data for, den tilhørende udledning i ton CO₂e og underkategoriens samlede andel af de totale udledninger.</v>
      </c>
      <c r="L113" s="298" t="s">
        <v>183</v>
      </c>
      <c r="M113" s="297" t="str">
        <f t="shared" ca="1" si="6"/>
        <v>OK</v>
      </c>
    </row>
    <row r="114" spans="1:13" x14ac:dyDescent="0.2">
      <c r="A114" s="297" t="s">
        <v>394</v>
      </c>
      <c r="B114" s="298" t="s">
        <v>183</v>
      </c>
      <c r="C114" s="297" t="str">
        <f>IF(Forside!$D$12="Dansk",Tekstnøgler!E114,Tekstnøgler!G114)</f>
        <v>Oversigt over CO₂e-udledningen fordelt på hoved- og underkategorier</v>
      </c>
      <c r="D114" s="298" t="s">
        <v>183</v>
      </c>
      <c r="E114" s="299" t="s">
        <v>1669</v>
      </c>
      <c r="F114" s="298" t="s">
        <v>183</v>
      </c>
      <c r="G114" s="300" t="s">
        <v>1670</v>
      </c>
      <c r="H114" s="298" t="s">
        <v>183</v>
      </c>
      <c r="I114" s="297" t="s">
        <v>161</v>
      </c>
      <c r="J114" s="297" t="s">
        <v>342</v>
      </c>
      <c r="K114" s="297" t="str" cm="1">
        <f t="array" aca="1" ref="K114" ca="1">INDIRECT("'"&amp;I114&amp;"'!"&amp;J114)</f>
        <v>Oversigt over CO₂e-udledningen fordelt på hoved- og underkategorier</v>
      </c>
      <c r="L114" s="298" t="s">
        <v>183</v>
      </c>
      <c r="M114" s="297" t="str">
        <f t="shared" ca="1" si="6"/>
        <v>OK</v>
      </c>
    </row>
    <row r="115" spans="1:13" x14ac:dyDescent="0.2">
      <c r="A115" s="297" t="s">
        <v>343</v>
      </c>
      <c r="B115" s="298" t="s">
        <v>183</v>
      </c>
      <c r="C115" s="297" t="str">
        <f>IF(Forside!$D$12="Dansk",Tekstnøgler!E115,Tekstnøgler!G115)</f>
        <v>Hovedkategori</v>
      </c>
      <c r="D115" s="298" t="s">
        <v>183</v>
      </c>
      <c r="E115" s="299" t="s">
        <v>344</v>
      </c>
      <c r="F115" s="298" t="s">
        <v>183</v>
      </c>
      <c r="G115" s="300" t="s">
        <v>345</v>
      </c>
      <c r="H115" s="298" t="s">
        <v>183</v>
      </c>
      <c r="I115" s="297" t="s">
        <v>161</v>
      </c>
      <c r="J115" s="297" t="s">
        <v>346</v>
      </c>
      <c r="K115" s="297" t="str" cm="1">
        <f t="array" aca="1" ref="K115" ca="1">INDIRECT("'"&amp;I115&amp;"'!"&amp;J115)</f>
        <v>Hovedkategori</v>
      </c>
      <c r="L115" s="298" t="s">
        <v>183</v>
      </c>
      <c r="M115" s="297" t="str">
        <f t="shared" ca="1" si="6"/>
        <v>OK</v>
      </c>
    </row>
    <row r="116" spans="1:13" x14ac:dyDescent="0.2">
      <c r="A116" s="297" t="s">
        <v>347</v>
      </c>
      <c r="B116" s="298" t="s">
        <v>183</v>
      </c>
      <c r="C116" s="297" t="str">
        <f>IF(Forside!$D$12="Dansk",Tekstnøgler!E116,Tekstnøgler!G116)</f>
        <v>Udledning i ton CO₂e
(scope 1+2+3)</v>
      </c>
      <c r="D116" s="298" t="s">
        <v>183</v>
      </c>
      <c r="E116" s="299" t="s">
        <v>1632</v>
      </c>
      <c r="F116" s="298" t="s">
        <v>183</v>
      </c>
      <c r="G116" s="300" t="s">
        <v>1633</v>
      </c>
      <c r="H116" s="298" t="s">
        <v>183</v>
      </c>
      <c r="I116" s="297" t="s">
        <v>161</v>
      </c>
      <c r="J116" s="297" t="s">
        <v>348</v>
      </c>
      <c r="K116" s="297" t="str" cm="1">
        <f t="array" aca="1" ref="K116" ca="1">INDIRECT("'"&amp;I116&amp;"'!"&amp;J116)</f>
        <v>Udledning i ton CO₂e
(scope 1+2+3)</v>
      </c>
      <c r="L116" s="298" t="s">
        <v>183</v>
      </c>
      <c r="M116" s="297" t="str">
        <f t="shared" ca="1" si="6"/>
        <v>OK</v>
      </c>
    </row>
    <row r="117" spans="1:13" x14ac:dyDescent="0.2">
      <c r="A117" s="298" t="s">
        <v>349</v>
      </c>
      <c r="B117" s="298" t="s">
        <v>183</v>
      </c>
      <c r="C117" s="297" t="str">
        <f>IF(Forside!$D$12="Dansk",Tekstnøgler!E117,Tekstnøgler!G117)</f>
        <v>Andel af udledning
(scope 1+2+3)</v>
      </c>
      <c r="D117" s="298" t="s">
        <v>183</v>
      </c>
      <c r="E117" s="299" t="s">
        <v>1634</v>
      </c>
      <c r="F117" s="298" t="s">
        <v>183</v>
      </c>
      <c r="G117" s="300" t="s">
        <v>1635</v>
      </c>
      <c r="H117" s="298" t="s">
        <v>183</v>
      </c>
      <c r="I117" s="297" t="s">
        <v>161</v>
      </c>
      <c r="J117" s="297" t="s">
        <v>350</v>
      </c>
      <c r="K117" s="297" t="str" cm="1">
        <f t="array" aca="1" ref="K117" ca="1">INDIRECT("'"&amp;I117&amp;"'!"&amp;J117)</f>
        <v>Andel af udledning
(scope 1+2+3)</v>
      </c>
      <c r="L117" s="298" t="s">
        <v>183</v>
      </c>
      <c r="M117" s="297" t="str">
        <f t="shared" ca="1" si="6"/>
        <v>OK</v>
      </c>
    </row>
    <row r="118" spans="1:13" x14ac:dyDescent="0.2">
      <c r="A118" s="297" t="s">
        <v>351</v>
      </c>
      <c r="B118" s="298" t="s">
        <v>183</v>
      </c>
      <c r="C118" s="297" t="str">
        <f>IF(Forside!$D$12="Dansk",Tekstnøgler!E118,Tekstnøgler!G118)</f>
        <v>Udledning i ton CO₂e (udenfor scopes)</v>
      </c>
      <c r="D118" s="298" t="s">
        <v>183</v>
      </c>
      <c r="E118" s="299" t="s">
        <v>1636</v>
      </c>
      <c r="F118" s="298" t="s">
        <v>183</v>
      </c>
      <c r="G118" s="300" t="s">
        <v>1637</v>
      </c>
      <c r="H118" s="298" t="s">
        <v>183</v>
      </c>
      <c r="I118" s="297" t="s">
        <v>161</v>
      </c>
      <c r="J118" s="297" t="s">
        <v>352</v>
      </c>
      <c r="K118" s="297" t="str" cm="1">
        <f t="array" aca="1" ref="K118" ca="1">INDIRECT("'"&amp;I118&amp;"'!"&amp;J118)</f>
        <v>Udledning i ton CO₂e (udenfor scopes)</v>
      </c>
      <c r="L118" s="298" t="s">
        <v>183</v>
      </c>
      <c r="M118" s="297" t="str">
        <f t="shared" ca="1" si="6"/>
        <v>OK</v>
      </c>
    </row>
    <row r="119" spans="1:13" ht="15" x14ac:dyDescent="0.2">
      <c r="A119" s="298" t="s">
        <v>353</v>
      </c>
      <c r="B119" s="298" t="s">
        <v>183</v>
      </c>
      <c r="C119" s="297" t="str">
        <f>IF(Forside!$D$12="Dansk",Tekstnøgler!E119,Tekstnøgler!G119)</f>
        <v>Udledning i ton CO₂e  &lt;br /&gt; (scope 1+2+3 + udenfor scopes)</v>
      </c>
      <c r="D119" s="298" t="s">
        <v>183</v>
      </c>
      <c r="E119" s="299" t="s">
        <v>1638</v>
      </c>
      <c r="F119" s="298" t="s">
        <v>183</v>
      </c>
      <c r="G119" t="s">
        <v>1639</v>
      </c>
      <c r="H119" s="298" t="s">
        <v>183</v>
      </c>
      <c r="I119" s="297" t="s">
        <v>161</v>
      </c>
      <c r="K119" s="297" t="e" cm="1">
        <f t="array" aca="1" ref="K119" ca="1">INDIRECT("'"&amp;I119&amp;"'!"&amp;J119)</f>
        <v>#REF!</v>
      </c>
      <c r="L119" s="298" t="s">
        <v>183</v>
      </c>
      <c r="M119" s="297" t="e">
        <f t="shared" ca="1" si="6"/>
        <v>#REF!</v>
      </c>
    </row>
    <row r="120" spans="1:13" x14ac:dyDescent="0.2">
      <c r="A120" s="297" t="s">
        <v>355</v>
      </c>
      <c r="B120" s="298" t="s">
        <v>183</v>
      </c>
      <c r="C120" s="297" t="str">
        <f>IF(Forside!$D$12="Dansk",Tekstnøgler!E120,Tekstnøgler!G120)</f>
        <v>Energi og processer</v>
      </c>
      <c r="D120" s="298" t="s">
        <v>183</v>
      </c>
      <c r="E120" s="299" t="s">
        <v>40</v>
      </c>
      <c r="F120" s="298" t="s">
        <v>183</v>
      </c>
      <c r="G120" s="300" t="s">
        <v>1642</v>
      </c>
      <c r="H120" s="298" t="s">
        <v>183</v>
      </c>
      <c r="I120" s="297" t="s">
        <v>161</v>
      </c>
      <c r="J120" s="297" t="s">
        <v>210</v>
      </c>
      <c r="K120" s="297" t="str" cm="1">
        <f t="array" aca="1" ref="K120" ca="1">INDIRECT("'"&amp;I120&amp;"'!"&amp;J120)</f>
        <v>Energi og processer</v>
      </c>
      <c r="L120" s="298" t="s">
        <v>183</v>
      </c>
      <c r="M120" s="297" t="str">
        <f t="shared" ca="1" si="6"/>
        <v>OK</v>
      </c>
    </row>
    <row r="121" spans="1:13" x14ac:dyDescent="0.2">
      <c r="A121" s="297" t="s">
        <v>396</v>
      </c>
      <c r="B121" s="298" t="s">
        <v>183</v>
      </c>
      <c r="C121" s="297" t="str">
        <f>IF(Forside!$D$12="Dansk",Tekstnøgler!E121,Tekstnøgler!G121)</f>
        <v>Elektricitet</v>
      </c>
      <c r="D121" s="298" t="s">
        <v>183</v>
      </c>
      <c r="E121" s="299" t="s">
        <v>41</v>
      </c>
      <c r="F121" s="298" t="s">
        <v>183</v>
      </c>
      <c r="G121" s="300" t="s">
        <v>397</v>
      </c>
      <c r="H121" s="298" t="s">
        <v>183</v>
      </c>
      <c r="I121" s="297" t="s">
        <v>161</v>
      </c>
      <c r="J121" s="297" t="s">
        <v>212</v>
      </c>
      <c r="K121" s="297" t="str" cm="1">
        <f t="array" aca="1" ref="K121" ca="1">INDIRECT("'"&amp;I121&amp;"'!"&amp;J121)</f>
        <v>Elektricitet</v>
      </c>
      <c r="L121" s="298" t="s">
        <v>183</v>
      </c>
      <c r="M121" s="297" t="str">
        <f t="shared" ca="1" si="6"/>
        <v>OK</v>
      </c>
    </row>
    <row r="122" spans="1:13" x14ac:dyDescent="0.2">
      <c r="A122" s="297" t="s">
        <v>398</v>
      </c>
      <c r="B122" s="298" t="s">
        <v>183</v>
      </c>
      <c r="C122" s="297" t="str">
        <f>IF(Forside!$D$12="Dansk",Tekstnøgler!E122,Tekstnøgler!G122)</f>
        <v>Forbrug af elektricitet</v>
      </c>
      <c r="D122" s="298" t="s">
        <v>183</v>
      </c>
      <c r="E122" s="299" t="s">
        <v>42</v>
      </c>
      <c r="F122" s="298" t="s">
        <v>183</v>
      </c>
      <c r="G122" s="300" t="s">
        <v>1671</v>
      </c>
      <c r="H122" s="298" t="s">
        <v>183</v>
      </c>
      <c r="I122" s="297" t="s">
        <v>161</v>
      </c>
      <c r="J122" s="297" t="s">
        <v>214</v>
      </c>
      <c r="K122" s="297" t="str" cm="1">
        <f t="array" aca="1" ref="K122" ca="1">INDIRECT("'"&amp;I122&amp;"'!"&amp;J122)</f>
        <v>Forbrug af elektricitet</v>
      </c>
      <c r="L122" s="298" t="s">
        <v>183</v>
      </c>
      <c r="M122" s="297" t="str">
        <f t="shared" ca="1" si="6"/>
        <v>OK</v>
      </c>
    </row>
    <row r="123" spans="1:13" x14ac:dyDescent="0.2">
      <c r="A123" s="297" t="s">
        <v>399</v>
      </c>
      <c r="B123" s="298" t="s">
        <v>183</v>
      </c>
      <c r="C123" s="297" t="str">
        <f>IF(Forside!$D$12="Dansk",Tekstnøgler!E123,Tekstnøgler!G123)</f>
        <v>Forbrug af elektricitet med egne emissionsfaktorer</v>
      </c>
      <c r="D123" s="298" t="s">
        <v>183</v>
      </c>
      <c r="E123" s="299" t="s">
        <v>1672</v>
      </c>
      <c r="F123" s="298" t="s">
        <v>183</v>
      </c>
      <c r="G123" s="300" t="s">
        <v>1673</v>
      </c>
      <c r="H123" s="298" t="s">
        <v>183</v>
      </c>
      <c r="I123" s="297" t="s">
        <v>161</v>
      </c>
      <c r="J123" s="297" t="s">
        <v>216</v>
      </c>
      <c r="K123" s="297" t="str" cm="1">
        <f t="array" aca="1" ref="K123" ca="1">INDIRECT("'"&amp;I123&amp;"'!"&amp;J123)</f>
        <v>Forbrug af elektricitet med egne emissionsfaktorer</v>
      </c>
      <c r="L123" s="298" t="s">
        <v>183</v>
      </c>
      <c r="M123" s="297" t="str">
        <f t="shared" ca="1" si="6"/>
        <v>OK</v>
      </c>
    </row>
    <row r="124" spans="1:13" x14ac:dyDescent="0.2">
      <c r="A124" s="297" t="s">
        <v>400</v>
      </c>
      <c r="B124" s="298" t="s">
        <v>183</v>
      </c>
      <c r="C124" s="297" t="str">
        <f>IF(Forside!$D$12="Dansk",Tekstnøgler!E124,Tekstnøgler!G124)</f>
        <v>Varme og procesenergi</v>
      </c>
      <c r="D124" s="298" t="s">
        <v>183</v>
      </c>
      <c r="E124" s="299" t="s">
        <v>49</v>
      </c>
      <c r="F124" s="298" t="s">
        <v>183</v>
      </c>
      <c r="G124" s="300" t="s">
        <v>401</v>
      </c>
      <c r="H124" s="298" t="s">
        <v>183</v>
      </c>
      <c r="I124" s="297" t="s">
        <v>161</v>
      </c>
      <c r="J124" s="297" t="s">
        <v>218</v>
      </c>
      <c r="K124" s="297" t="str" cm="1">
        <f t="array" aca="1" ref="K124" ca="1">INDIRECT("'"&amp;I124&amp;"'!"&amp;J124)</f>
        <v>Varme og procesenergi</v>
      </c>
      <c r="L124" s="298" t="s">
        <v>183</v>
      </c>
      <c r="M124" s="297" t="str">
        <f t="shared" ca="1" si="6"/>
        <v>OK</v>
      </c>
    </row>
    <row r="125" spans="1:13" x14ac:dyDescent="0.2">
      <c r="A125" s="297" t="s">
        <v>402</v>
      </c>
      <c r="B125" s="298" t="s">
        <v>183</v>
      </c>
      <c r="C125" s="297" t="str">
        <f>IF(Forside!$D$12="Dansk",Tekstnøgler!E125,Tekstnøgler!G125)</f>
        <v>Fjernvarme</v>
      </c>
      <c r="D125" s="298" t="s">
        <v>183</v>
      </c>
      <c r="E125" s="299" t="s">
        <v>50</v>
      </c>
      <c r="F125" s="298" t="s">
        <v>183</v>
      </c>
      <c r="G125" s="300" t="s">
        <v>1271</v>
      </c>
      <c r="H125" s="298" t="s">
        <v>183</v>
      </c>
      <c r="I125" s="297" t="s">
        <v>161</v>
      </c>
      <c r="J125" s="297" t="s">
        <v>220</v>
      </c>
      <c r="K125" s="297" t="str" cm="1">
        <f t="array" aca="1" ref="K125" ca="1">INDIRECT("'"&amp;I125&amp;"'!"&amp;J125)</f>
        <v>Fjernvarme</v>
      </c>
      <c r="L125" s="298" t="s">
        <v>183</v>
      </c>
      <c r="M125" s="297" t="str">
        <f t="shared" ca="1" si="6"/>
        <v>OK</v>
      </c>
    </row>
    <row r="126" spans="1:13" x14ac:dyDescent="0.2">
      <c r="A126" s="297" t="s">
        <v>1145</v>
      </c>
      <c r="B126" s="298" t="s">
        <v>183</v>
      </c>
      <c r="C126" s="297" t="str">
        <f>IF(Forside!$D$12="Dansk",Tekstnøgler!E126,Tekstnøgler!G126)</f>
        <v>Brændsler</v>
      </c>
      <c r="D126" s="298" t="s">
        <v>183</v>
      </c>
      <c r="E126" s="299" t="s">
        <v>1268</v>
      </c>
      <c r="F126" s="298" t="s">
        <v>183</v>
      </c>
      <c r="G126" s="300" t="s">
        <v>1674</v>
      </c>
      <c r="H126" s="298" t="s">
        <v>183</v>
      </c>
      <c r="I126" s="297" t="s">
        <v>161</v>
      </c>
      <c r="J126" s="297" t="s">
        <v>403</v>
      </c>
      <c r="K126" s="297" t="str" cm="1">
        <f t="array" aca="1" ref="K126" ca="1">INDIRECT("'"&amp;I126&amp;"'!"&amp;J126)</f>
        <v>Brændsler</v>
      </c>
      <c r="L126" s="298" t="s">
        <v>183</v>
      </c>
      <c r="M126" s="297" t="str">
        <f t="shared" ca="1" si="6"/>
        <v>OK</v>
      </c>
    </row>
    <row r="127" spans="1:13" x14ac:dyDescent="0.2">
      <c r="A127" s="297" t="s">
        <v>404</v>
      </c>
      <c r="B127" s="298" t="s">
        <v>183</v>
      </c>
      <c r="C127" s="297" t="str">
        <f>IF(Forside!$D$12="Dansk",Tekstnøgler!E127,Tekstnøgler!G127)</f>
        <v>Varme og procesenergi med egne emissionsfaktorer</v>
      </c>
      <c r="D127" s="298" t="s">
        <v>183</v>
      </c>
      <c r="E127" s="299" t="s">
        <v>1675</v>
      </c>
      <c r="F127" s="298" t="s">
        <v>183</v>
      </c>
      <c r="G127" s="300" t="s">
        <v>1676</v>
      </c>
      <c r="H127" s="298" t="s">
        <v>183</v>
      </c>
      <c r="I127" s="297" t="s">
        <v>161</v>
      </c>
      <c r="J127" s="297" t="s">
        <v>405</v>
      </c>
      <c r="K127" s="297" t="str" cm="1">
        <f t="array" aca="1" ref="K127" ca="1">INDIRECT("'"&amp;I127&amp;"'!"&amp;J127)</f>
        <v>Varme og procesenergi med egne emissionsfaktorer</v>
      </c>
      <c r="L127" s="298" t="s">
        <v>183</v>
      </c>
      <c r="M127" s="297" t="str">
        <f t="shared" ca="1" si="6"/>
        <v>OK</v>
      </c>
    </row>
    <row r="128" spans="1:13" x14ac:dyDescent="0.2">
      <c r="A128" s="297" t="s">
        <v>406</v>
      </c>
      <c r="B128" s="298" t="s">
        <v>183</v>
      </c>
      <c r="C128" s="297" t="str">
        <f>IF(Forside!$D$12="Dansk",Tekstnøgler!E128,Tekstnøgler!G128)</f>
        <v>Procesudledning</v>
      </c>
      <c r="D128" s="298" t="s">
        <v>183</v>
      </c>
      <c r="E128" s="299" t="s">
        <v>407</v>
      </c>
      <c r="F128" s="298" t="s">
        <v>183</v>
      </c>
      <c r="G128" s="300" t="s">
        <v>1677</v>
      </c>
      <c r="H128" s="298" t="s">
        <v>183</v>
      </c>
      <c r="I128" s="297" t="s">
        <v>161</v>
      </c>
      <c r="J128" s="297" t="s">
        <v>222</v>
      </c>
      <c r="K128" s="297" t="str" cm="1">
        <f t="array" aca="1" ref="K128" ca="1">INDIRECT("'"&amp;I128&amp;"'!"&amp;J128)</f>
        <v>Procesudledning</v>
      </c>
      <c r="L128" s="298" t="s">
        <v>183</v>
      </c>
      <c r="M128" s="297" t="str">
        <f t="shared" ca="1" si="6"/>
        <v>OK</v>
      </c>
    </row>
    <row r="129" spans="1:13" x14ac:dyDescent="0.2">
      <c r="A129" s="297" t="s">
        <v>408</v>
      </c>
      <c r="B129" s="298" t="s">
        <v>183</v>
      </c>
      <c r="C129" s="297" t="str">
        <f>IF(Forside!$D$12="Dansk",Tekstnøgler!E129,Tekstnøgler!G129)</f>
        <v>Procesudledning</v>
      </c>
      <c r="D129" s="298" t="s">
        <v>183</v>
      </c>
      <c r="E129" s="299" t="s">
        <v>407</v>
      </c>
      <c r="F129" s="298" t="s">
        <v>183</v>
      </c>
      <c r="G129" s="300" t="s">
        <v>1677</v>
      </c>
      <c r="H129" s="298" t="s">
        <v>183</v>
      </c>
      <c r="I129" s="297" t="s">
        <v>161</v>
      </c>
      <c r="J129" s="297" t="s">
        <v>223</v>
      </c>
      <c r="K129" s="297" t="str" cm="1">
        <f t="array" aca="1" ref="K129" ca="1">INDIRECT("'"&amp;I129&amp;"'!"&amp;J129)</f>
        <v>Procesudledning</v>
      </c>
      <c r="L129" s="298" t="s">
        <v>183</v>
      </c>
      <c r="M129" s="297" t="str">
        <f t="shared" ca="1" si="6"/>
        <v>OK</v>
      </c>
    </row>
    <row r="130" spans="1:13" x14ac:dyDescent="0.2">
      <c r="A130" s="297" t="s">
        <v>409</v>
      </c>
      <c r="B130" s="298" t="s">
        <v>183</v>
      </c>
      <c r="C130" s="297" t="str">
        <f>IF(Forside!$D$12="Dansk",Tekstnøgler!E130,Tekstnøgler!G130)</f>
        <v>Procesudledning med egne emissionsfaktorer</v>
      </c>
      <c r="D130" s="298" t="s">
        <v>183</v>
      </c>
      <c r="E130" s="299" t="s">
        <v>1678</v>
      </c>
      <c r="F130" s="298" t="s">
        <v>183</v>
      </c>
      <c r="G130" s="300" t="s">
        <v>1679</v>
      </c>
      <c r="H130" s="298" t="s">
        <v>183</v>
      </c>
      <c r="I130" s="297" t="s">
        <v>161</v>
      </c>
      <c r="J130" s="297" t="s">
        <v>224</v>
      </c>
      <c r="K130" s="297" t="str" cm="1">
        <f t="array" aca="1" ref="K130" ca="1">INDIRECT("'"&amp;I130&amp;"'!"&amp;J130)</f>
        <v>Procesudledning med egne emissionsfaktorer</v>
      </c>
      <c r="L130" s="298" t="s">
        <v>183</v>
      </c>
      <c r="M130" s="297" t="str">
        <f t="shared" ca="1" si="6"/>
        <v>OK</v>
      </c>
    </row>
    <row r="131" spans="1:13" x14ac:dyDescent="0.2">
      <c r="A131" s="297" t="s">
        <v>410</v>
      </c>
      <c r="B131" s="298" t="s">
        <v>183</v>
      </c>
      <c r="C131" s="297" t="str">
        <f>IF(Forside!$D$12="Dansk",Tekstnøgler!E131,Tekstnøgler!G131)</f>
        <v>Andet udledning ved energi og processer</v>
      </c>
      <c r="D131" s="298" t="s">
        <v>183</v>
      </c>
      <c r="E131" s="299" t="s">
        <v>411</v>
      </c>
      <c r="F131" s="298" t="s">
        <v>183</v>
      </c>
      <c r="G131" s="300" t="s">
        <v>412</v>
      </c>
      <c r="H131" s="298" t="s">
        <v>183</v>
      </c>
      <c r="I131" s="297" t="s">
        <v>161</v>
      </c>
      <c r="J131" s="297" t="s">
        <v>413</v>
      </c>
      <c r="K131" s="297" t="str" cm="1">
        <f t="array" aca="1" ref="K131" ca="1">INDIRECT("'"&amp;I131&amp;"'!"&amp;J131)</f>
        <v>Andet udledning ved energi og processer</v>
      </c>
      <c r="L131" s="298" t="s">
        <v>183</v>
      </c>
      <c r="M131" s="297" t="str">
        <f t="shared" ca="1" si="6"/>
        <v>OK</v>
      </c>
    </row>
    <row r="132" spans="1:13" x14ac:dyDescent="0.2">
      <c r="A132" s="297" t="s">
        <v>356</v>
      </c>
      <c r="B132" s="298" t="s">
        <v>183</v>
      </c>
      <c r="C132" s="297" t="str">
        <f>IF(Forside!$D$12="Dansk",Tekstnøgler!E132,Tekstnøgler!G132)</f>
        <v>Indkøb</v>
      </c>
      <c r="D132" s="298" t="s">
        <v>183</v>
      </c>
      <c r="E132" s="299" t="s">
        <v>52</v>
      </c>
      <c r="F132" s="298" t="s">
        <v>183</v>
      </c>
      <c r="G132" s="300" t="s">
        <v>1643</v>
      </c>
      <c r="H132" s="298" t="s">
        <v>183</v>
      </c>
      <c r="I132" s="297" t="s">
        <v>161</v>
      </c>
      <c r="J132" s="297" t="s">
        <v>369</v>
      </c>
      <c r="K132" s="297" t="str" cm="1">
        <f t="array" aca="1" ref="K132" ca="1">INDIRECT("'"&amp;I132&amp;"'!"&amp;J132)</f>
        <v>Indkøb</v>
      </c>
      <c r="L132" s="298" t="s">
        <v>183</v>
      </c>
      <c r="M132" s="297" t="str">
        <f t="shared" ca="1" si="6"/>
        <v>OK</v>
      </c>
    </row>
    <row r="133" spans="1:13" x14ac:dyDescent="0.2">
      <c r="A133" s="297" t="s">
        <v>414</v>
      </c>
      <c r="B133" s="298" t="s">
        <v>183</v>
      </c>
      <c r="C133" s="297" t="str">
        <f>IF(Forside!$D$12="Dansk",Tekstnøgler!E133,Tekstnøgler!G133)</f>
        <v>Primære indkøb af råvarer til produktion</v>
      </c>
      <c r="D133" s="298" t="s">
        <v>183</v>
      </c>
      <c r="E133" s="299" t="s">
        <v>415</v>
      </c>
      <c r="F133" s="298" t="s">
        <v>183</v>
      </c>
      <c r="G133" s="300" t="s">
        <v>416</v>
      </c>
      <c r="H133" s="298" t="s">
        <v>183</v>
      </c>
      <c r="I133" s="297" t="s">
        <v>161</v>
      </c>
      <c r="J133" s="297" t="s">
        <v>226</v>
      </c>
      <c r="K133" s="297" t="str" cm="1">
        <f t="array" aca="1" ref="K133" ca="1">INDIRECT("'"&amp;I133&amp;"'!"&amp;J133)</f>
        <v>Primære indkøb af råvarer til produktion</v>
      </c>
      <c r="L133" s="298" t="s">
        <v>183</v>
      </c>
      <c r="M133" s="297" t="str">
        <f t="shared" ca="1" si="6"/>
        <v>OK</v>
      </c>
    </row>
    <row r="134" spans="1:13" x14ac:dyDescent="0.2">
      <c r="A134" s="297" t="s">
        <v>417</v>
      </c>
      <c r="B134" s="298" t="s">
        <v>183</v>
      </c>
      <c r="C134" s="297" t="str">
        <f>IF(Forside!$D$12="Dansk",Tekstnøgler!E134,Tekstnøgler!G134)</f>
        <v>Materialer (primære indkøb)</v>
      </c>
      <c r="D134" s="298" t="s">
        <v>183</v>
      </c>
      <c r="E134" s="299" t="s">
        <v>53</v>
      </c>
      <c r="F134" s="298" t="s">
        <v>183</v>
      </c>
      <c r="G134" s="300" t="s">
        <v>1680</v>
      </c>
      <c r="H134" s="298" t="s">
        <v>183</v>
      </c>
      <c r="I134" s="297" t="s">
        <v>161</v>
      </c>
      <c r="J134" s="297" t="s">
        <v>227</v>
      </c>
      <c r="K134" s="297" t="str" cm="1">
        <f t="array" aca="1" ref="K134" ca="1">INDIRECT("'"&amp;I134&amp;"'!"&amp;J134)</f>
        <v>Materialer (primære indkøb)</v>
      </c>
      <c r="L134" s="298" t="s">
        <v>183</v>
      </c>
      <c r="M134" s="297" t="str">
        <f t="shared" ca="1" si="6"/>
        <v>OK</v>
      </c>
    </row>
    <row r="135" spans="1:13" x14ac:dyDescent="0.2">
      <c r="A135" s="297" t="s">
        <v>418</v>
      </c>
      <c r="B135" s="298" t="s">
        <v>183</v>
      </c>
      <c r="C135" s="297" t="str">
        <f>IF(Forside!$D$12="Dansk",Tekstnøgler!E135,Tekstnøgler!G135)</f>
        <v>Indkøb af materialer i fysiske enheder</v>
      </c>
      <c r="D135" s="298" t="s">
        <v>183</v>
      </c>
      <c r="E135" s="299" t="s">
        <v>54</v>
      </c>
      <c r="F135" s="298" t="s">
        <v>183</v>
      </c>
      <c r="G135" s="300" t="s">
        <v>1681</v>
      </c>
      <c r="H135" s="298" t="s">
        <v>183</v>
      </c>
      <c r="I135" s="297" t="s">
        <v>161</v>
      </c>
      <c r="J135" s="297" t="s">
        <v>228</v>
      </c>
      <c r="K135" s="297" t="str" cm="1">
        <f t="array" aca="1" ref="K135" ca="1">INDIRECT("'"&amp;I135&amp;"'!"&amp;J135)</f>
        <v>Indkøb af materialer i fysiske enheder</v>
      </c>
      <c r="L135" s="298" t="s">
        <v>183</v>
      </c>
      <c r="M135" s="297" t="str">
        <f t="shared" ca="1" si="6"/>
        <v>OK</v>
      </c>
    </row>
    <row r="136" spans="1:13" x14ac:dyDescent="0.2">
      <c r="A136" s="297" t="s">
        <v>419</v>
      </c>
      <c r="B136" s="298" t="s">
        <v>183</v>
      </c>
      <c r="C136" s="297" t="str">
        <f>IF(Forside!$D$12="Dansk",Tekstnøgler!E136,Tekstnøgler!G136)</f>
        <v>Indkøb af materialer i monetære enheder (beløb i DKK)</v>
      </c>
      <c r="D136" s="298" t="s">
        <v>183</v>
      </c>
      <c r="E136" s="299" t="s">
        <v>1682</v>
      </c>
      <c r="F136" s="298" t="s">
        <v>183</v>
      </c>
      <c r="G136" s="300" t="s">
        <v>1683</v>
      </c>
      <c r="H136" s="298" t="s">
        <v>183</v>
      </c>
      <c r="I136" s="297" t="s">
        <v>161</v>
      </c>
      <c r="J136" s="297" t="s">
        <v>230</v>
      </c>
      <c r="K136" s="297" t="str" cm="1">
        <f t="array" aca="1" ref="K136" ca="1">INDIRECT("'"&amp;I136&amp;"'!"&amp;J136)</f>
        <v>Indkøb af materialer i monetære enheder (beløb i DKK)</v>
      </c>
      <c r="L136" s="298" t="s">
        <v>183</v>
      </c>
      <c r="M136" s="297" t="str">
        <f t="shared" ca="1" si="6"/>
        <v>OK</v>
      </c>
    </row>
    <row r="137" spans="1:13" x14ac:dyDescent="0.2">
      <c r="A137" s="297" t="s">
        <v>420</v>
      </c>
      <c r="B137" s="298" t="s">
        <v>183</v>
      </c>
      <c r="C137" s="297" t="str">
        <f>IF(Forside!$D$12="Dansk",Tekstnøgler!E137,Tekstnøgler!G137)</f>
        <v>Fysiske enheder med egne emissionsfaktorer</v>
      </c>
      <c r="D137" s="298" t="s">
        <v>183</v>
      </c>
      <c r="E137" s="299" t="s">
        <v>1684</v>
      </c>
      <c r="F137" s="298" t="s">
        <v>183</v>
      </c>
      <c r="G137" s="300" t="s">
        <v>1685</v>
      </c>
      <c r="H137" s="298" t="s">
        <v>183</v>
      </c>
      <c r="I137" s="297" t="s">
        <v>161</v>
      </c>
      <c r="J137" s="297" t="s">
        <v>231</v>
      </c>
      <c r="K137" s="297" t="str" cm="1">
        <f t="array" aca="1" ref="K137" ca="1">INDIRECT("'"&amp;I137&amp;"'!"&amp;J137)</f>
        <v>Fysiske enheder med egne emissionsfaktorer</v>
      </c>
      <c r="L137" s="298" t="s">
        <v>183</v>
      </c>
      <c r="M137" s="297" t="str">
        <f t="shared" ca="1" si="6"/>
        <v>OK</v>
      </c>
    </row>
    <row r="138" spans="1:13" x14ac:dyDescent="0.2">
      <c r="A138" s="297" t="s">
        <v>421</v>
      </c>
      <c r="B138" s="298" t="s">
        <v>183</v>
      </c>
      <c r="C138" s="297" t="str">
        <f>IF(Forside!$D$12="Dansk",Tekstnøgler!E138,Tekstnøgler!G138)</f>
        <v>Monetære enheder (beløb i DKK) med egne emissionsfaktorer</v>
      </c>
      <c r="D138" s="298" t="s">
        <v>183</v>
      </c>
      <c r="E138" s="299" t="s">
        <v>1686</v>
      </c>
      <c r="F138" s="298" t="s">
        <v>183</v>
      </c>
      <c r="G138" s="300" t="s">
        <v>1687</v>
      </c>
      <c r="H138" s="298" t="s">
        <v>183</v>
      </c>
      <c r="I138" s="297" t="s">
        <v>161</v>
      </c>
      <c r="J138" s="297" t="s">
        <v>422</v>
      </c>
      <c r="K138" s="297" t="str" cm="1">
        <f t="array" aca="1" ref="K138" ca="1">INDIRECT("'"&amp;I138&amp;"'!"&amp;J138)</f>
        <v>Monetære enheder (beløb i DKK) med egne emissionsfaktorer</v>
      </c>
      <c r="L138" s="298" t="s">
        <v>183</v>
      </c>
      <c r="M138" s="297" t="str">
        <f t="shared" ca="1" si="6"/>
        <v>OK</v>
      </c>
    </row>
    <row r="139" spans="1:13" x14ac:dyDescent="0.2">
      <c r="A139" s="297" t="s">
        <v>423</v>
      </c>
      <c r="B139" s="298" t="s">
        <v>183</v>
      </c>
      <c r="C139" s="297" t="str">
        <f>IF(Forside!$D$12="Dansk",Tekstnøgler!E139,Tekstnøgler!G139)</f>
        <v>Produkter og services (primære indkøb)</v>
      </c>
      <c r="D139" s="298" t="s">
        <v>183</v>
      </c>
      <c r="E139" s="299" t="s">
        <v>58</v>
      </c>
      <c r="F139" s="298" t="s">
        <v>183</v>
      </c>
      <c r="G139" s="300" t="s">
        <v>1688</v>
      </c>
      <c r="H139" s="298" t="s">
        <v>183</v>
      </c>
      <c r="I139" s="297" t="s">
        <v>161</v>
      </c>
      <c r="J139" s="297" t="s">
        <v>424</v>
      </c>
      <c r="K139" s="297" t="str" cm="1">
        <f t="array" aca="1" ref="K139" ca="1">INDIRECT("'"&amp;I139&amp;"'!"&amp;J139)</f>
        <v>Produkter og services (primære indkøb)</v>
      </c>
      <c r="L139" s="298" t="s">
        <v>183</v>
      </c>
      <c r="M139" s="297" t="str">
        <f t="shared" ca="1" si="6"/>
        <v>OK</v>
      </c>
    </row>
    <row r="140" spans="1:13" x14ac:dyDescent="0.2">
      <c r="A140" s="297" t="s">
        <v>425</v>
      </c>
      <c r="B140" s="298" t="s">
        <v>183</v>
      </c>
      <c r="C140" s="297" t="str">
        <f>IF(Forside!$D$12="Dansk",Tekstnøgler!E140,Tekstnøgler!G140)</f>
        <v>Indkøb af produkter i fysiske enheder</v>
      </c>
      <c r="D140" s="298" t="s">
        <v>183</v>
      </c>
      <c r="E140" s="299" t="s">
        <v>59</v>
      </c>
      <c r="F140" s="298" t="s">
        <v>183</v>
      </c>
      <c r="G140" s="300" t="s">
        <v>1689</v>
      </c>
      <c r="H140" s="298" t="s">
        <v>183</v>
      </c>
      <c r="I140" s="297" t="s">
        <v>161</v>
      </c>
      <c r="J140" s="297" t="s">
        <v>233</v>
      </c>
      <c r="K140" s="297" t="str" cm="1">
        <f t="array" aca="1" ref="K140" ca="1">INDIRECT("'"&amp;I140&amp;"'!"&amp;J140)</f>
        <v>Indkøb af produkter i fysiske enheder</v>
      </c>
      <c r="L140" s="298" t="s">
        <v>183</v>
      </c>
      <c r="M140" s="297" t="str">
        <f t="shared" ca="1" si="6"/>
        <v>OK</v>
      </c>
    </row>
    <row r="141" spans="1:13" x14ac:dyDescent="0.2">
      <c r="A141" s="297" t="s">
        <v>426</v>
      </c>
      <c r="B141" s="298" t="s">
        <v>183</v>
      </c>
      <c r="C141" s="297" t="str">
        <f>IF(Forside!$D$12="Dansk",Tekstnøgler!E141,Tekstnøgler!G141)</f>
        <v>Indkøb af produkter i monetære enheder (beløb i DKK)</v>
      </c>
      <c r="D141" s="298" t="s">
        <v>183</v>
      </c>
      <c r="E141" s="299" t="s">
        <v>1690</v>
      </c>
      <c r="F141" s="298" t="s">
        <v>183</v>
      </c>
      <c r="G141" s="300" t="s">
        <v>1691</v>
      </c>
      <c r="H141" s="298" t="s">
        <v>183</v>
      </c>
      <c r="I141" s="297" t="s">
        <v>161</v>
      </c>
      <c r="J141" s="297" t="s">
        <v>236</v>
      </c>
      <c r="K141" s="297" t="str" cm="1">
        <f t="array" aca="1" ref="K141" ca="1">INDIRECT("'"&amp;I141&amp;"'!"&amp;J141)</f>
        <v>Indkøb af produkter i monetære enheder (beløb i DKK)</v>
      </c>
      <c r="L141" s="298" t="s">
        <v>183</v>
      </c>
      <c r="M141" s="297" t="str">
        <f t="shared" ca="1" si="6"/>
        <v>OK</v>
      </c>
    </row>
    <row r="142" spans="1:13" x14ac:dyDescent="0.2">
      <c r="A142" s="297" t="s">
        <v>427</v>
      </c>
      <c r="B142" s="298" t="s">
        <v>183</v>
      </c>
      <c r="C142" s="297" t="str">
        <f>IF(Forside!$D$12="Dansk",Tekstnøgler!E142,Tekstnøgler!G142)</f>
        <v>Fysiske enheder med egne emissionsfaktorer</v>
      </c>
      <c r="D142" s="298" t="s">
        <v>183</v>
      </c>
      <c r="E142" s="299" t="s">
        <v>1684</v>
      </c>
      <c r="F142" s="298" t="s">
        <v>183</v>
      </c>
      <c r="G142" s="300" t="s">
        <v>1685</v>
      </c>
      <c r="H142" s="298" t="s">
        <v>183</v>
      </c>
      <c r="I142" s="297" t="s">
        <v>161</v>
      </c>
      <c r="J142" s="297" t="s">
        <v>428</v>
      </c>
      <c r="K142" s="297" t="str" cm="1">
        <f t="array" aca="1" ref="K142" ca="1">INDIRECT("'"&amp;I142&amp;"'!"&amp;J142)</f>
        <v>Fysiske enheder med egne emissionsfaktorer</v>
      </c>
      <c r="L142" s="298" t="s">
        <v>183</v>
      </c>
      <c r="M142" s="297" t="str">
        <f t="shared" ca="1" si="6"/>
        <v>OK</v>
      </c>
    </row>
    <row r="143" spans="1:13" x14ac:dyDescent="0.2">
      <c r="A143" s="297" t="s">
        <v>429</v>
      </c>
      <c r="B143" s="298" t="s">
        <v>183</v>
      </c>
      <c r="C143" s="297" t="str">
        <f>IF(Forside!$D$12="Dansk",Tekstnøgler!E143,Tekstnøgler!G143)</f>
        <v>Monetære enheder (beløb i DKK) med egne emissionsfaktorer</v>
      </c>
      <c r="D143" s="298" t="s">
        <v>183</v>
      </c>
      <c r="E143" s="299" t="s">
        <v>1686</v>
      </c>
      <c r="F143" s="298" t="s">
        <v>183</v>
      </c>
      <c r="G143" s="300" t="s">
        <v>1687</v>
      </c>
      <c r="H143" s="298" t="s">
        <v>183</v>
      </c>
      <c r="I143" s="297" t="s">
        <v>161</v>
      </c>
      <c r="J143" s="297" t="s">
        <v>430</v>
      </c>
      <c r="K143" s="297" t="str" cm="1">
        <f t="array" aca="1" ref="K143" ca="1">INDIRECT("'"&amp;I143&amp;"'!"&amp;J143)</f>
        <v>Monetære enheder (beløb i DKK) med egne emissionsfaktorer</v>
      </c>
      <c r="L143" s="298" t="s">
        <v>183</v>
      </c>
      <c r="M143" s="297" t="str">
        <f t="shared" ca="1" si="6"/>
        <v>OK</v>
      </c>
    </row>
    <row r="144" spans="1:13" x14ac:dyDescent="0.2">
      <c r="A144" s="297" t="s">
        <v>431</v>
      </c>
      <c r="B144" s="298" t="s">
        <v>183</v>
      </c>
      <c r="C144" s="297" t="str">
        <f>IF(Forside!$D$12="Dansk",Tekstnøgler!E144,Tekstnøgler!G144)</f>
        <v>Andet udledning ved primære indkøb</v>
      </c>
      <c r="D144" s="298" t="s">
        <v>183</v>
      </c>
      <c r="E144" s="299" t="s">
        <v>1692</v>
      </c>
      <c r="F144" s="298" t="s">
        <v>183</v>
      </c>
      <c r="G144" s="300" t="s">
        <v>1693</v>
      </c>
      <c r="H144" s="298" t="s">
        <v>183</v>
      </c>
      <c r="I144" s="297" t="s">
        <v>161</v>
      </c>
      <c r="J144" s="297" t="s">
        <v>432</v>
      </c>
      <c r="K144" s="297" t="str" cm="1">
        <f t="array" aca="1" ref="K144" ca="1">INDIRECT("'"&amp;I144&amp;"'!"&amp;J144)</f>
        <v>Andet udledning ved primære indkøb</v>
      </c>
      <c r="L144" s="298" t="s">
        <v>183</v>
      </c>
      <c r="M144" s="297" t="str">
        <f t="shared" ca="1" si="6"/>
        <v>OK</v>
      </c>
    </row>
    <row r="145" spans="1:13" x14ac:dyDescent="0.2">
      <c r="A145" s="297" t="s">
        <v>433</v>
      </c>
      <c r="B145" s="298" t="s">
        <v>183</v>
      </c>
      <c r="C145" s="297" t="str">
        <f>IF(Forside!$D$12="Dansk",Tekstnøgler!E145,Tekstnøgler!G145)</f>
        <v>Fysiske enheder med egne emissionsfaktorer</v>
      </c>
      <c r="D145" s="298" t="s">
        <v>183</v>
      </c>
      <c r="E145" s="299" t="s">
        <v>1684</v>
      </c>
      <c r="F145" s="298" t="s">
        <v>183</v>
      </c>
      <c r="G145" s="300" t="s">
        <v>1685</v>
      </c>
      <c r="H145" s="298" t="s">
        <v>183</v>
      </c>
      <c r="I145" s="297" t="s">
        <v>161</v>
      </c>
      <c r="J145" s="297" t="s">
        <v>434</v>
      </c>
      <c r="K145" s="297" t="str" cm="1">
        <f t="array" aca="1" ref="K145" ca="1">INDIRECT("'"&amp;I145&amp;"'!"&amp;J145)</f>
        <v>Fysiske enheder med egne emissionsfaktorer</v>
      </c>
      <c r="L145" s="298" t="s">
        <v>183</v>
      </c>
      <c r="M145" s="297" t="str">
        <f t="shared" ca="1" si="6"/>
        <v>OK</v>
      </c>
    </row>
    <row r="146" spans="1:13" x14ac:dyDescent="0.2">
      <c r="A146" s="297" t="s">
        <v>435</v>
      </c>
      <c r="B146" s="298" t="s">
        <v>183</v>
      </c>
      <c r="C146" s="297" t="str">
        <f>IF(Forside!$D$12="Dansk",Tekstnøgler!E146,Tekstnøgler!G146)</f>
        <v>Monetære enheder (beløb i DKK) med egne emissionsfaktorer</v>
      </c>
      <c r="D146" s="298" t="s">
        <v>183</v>
      </c>
      <c r="E146" s="299" t="s">
        <v>1686</v>
      </c>
      <c r="F146" s="298" t="s">
        <v>183</v>
      </c>
      <c r="G146" s="300" t="s">
        <v>1687</v>
      </c>
      <c r="H146" s="298" t="s">
        <v>183</v>
      </c>
      <c r="I146" s="297" t="s">
        <v>161</v>
      </c>
      <c r="J146" s="297" t="s">
        <v>436</v>
      </c>
      <c r="K146" s="297" t="str" cm="1">
        <f t="array" aca="1" ref="K146" ca="1">INDIRECT("'"&amp;I146&amp;"'!"&amp;J146)</f>
        <v>Monetære enheder (beløb i DKK) med egne emissionsfaktorer</v>
      </c>
      <c r="L146" s="298" t="s">
        <v>183</v>
      </c>
      <c r="M146" s="297" t="str">
        <f t="shared" ca="1" si="6"/>
        <v>OK</v>
      </c>
    </row>
    <row r="147" spans="1:13" x14ac:dyDescent="0.2">
      <c r="A147" s="297" t="s">
        <v>437</v>
      </c>
      <c r="B147" s="298" t="s">
        <v>183</v>
      </c>
      <c r="C147" s="297" t="str">
        <f>IF(Forside!$D$12="Dansk",Tekstnøgler!E147,Tekstnøgler!G147)</f>
        <v>Sekundære indkøb af hjælpematerialer og serviceydelser</v>
      </c>
      <c r="D147" s="298" t="s">
        <v>183</v>
      </c>
      <c r="E147" s="299" t="s">
        <v>438</v>
      </c>
      <c r="F147" s="298" t="s">
        <v>183</v>
      </c>
      <c r="G147" s="300" t="s">
        <v>439</v>
      </c>
      <c r="H147" s="298" t="s">
        <v>183</v>
      </c>
      <c r="I147" s="297" t="s">
        <v>161</v>
      </c>
      <c r="J147" s="297" t="s">
        <v>440</v>
      </c>
      <c r="K147" s="297" t="str" cm="1">
        <f t="array" aca="1" ref="K147" ca="1">INDIRECT("'"&amp;I147&amp;"'!"&amp;J147)</f>
        <v>Sekundære indkøb af hjælpematerialer og serviceydelser</v>
      </c>
      <c r="L147" s="298" t="s">
        <v>183</v>
      </c>
      <c r="M147" s="297" t="str">
        <f t="shared" ca="1" si="6"/>
        <v>OK</v>
      </c>
    </row>
    <row r="148" spans="1:13" x14ac:dyDescent="0.2">
      <c r="A148" s="297" t="s">
        <v>441</v>
      </c>
      <c r="B148" s="298" t="s">
        <v>183</v>
      </c>
      <c r="C148" s="297" t="str">
        <f>IF(Forside!$D$12="Dansk",Tekstnøgler!E148,Tekstnøgler!G148)</f>
        <v>Materialer (sekundære indkøb)</v>
      </c>
      <c r="D148" s="298" t="s">
        <v>183</v>
      </c>
      <c r="E148" s="299" t="s">
        <v>1694</v>
      </c>
      <c r="F148" s="298" t="s">
        <v>183</v>
      </c>
      <c r="G148" s="300" t="s">
        <v>1695</v>
      </c>
      <c r="H148" s="298" t="s">
        <v>183</v>
      </c>
      <c r="I148" s="297" t="s">
        <v>161</v>
      </c>
      <c r="J148" s="297" t="s">
        <v>442</v>
      </c>
      <c r="K148" s="297" t="str" cm="1">
        <f t="array" aca="1" ref="K148" ca="1">INDIRECT("'"&amp;I148&amp;"'!"&amp;J148)</f>
        <v>Materialer (sekundære indkøb)</v>
      </c>
      <c r="L148" s="298" t="s">
        <v>183</v>
      </c>
      <c r="M148" s="297" t="str">
        <f t="shared" ca="1" si="6"/>
        <v>OK</v>
      </c>
    </row>
    <row r="149" spans="1:13" x14ac:dyDescent="0.2">
      <c r="A149" s="297" t="s">
        <v>443</v>
      </c>
      <c r="B149" s="298" t="s">
        <v>183</v>
      </c>
      <c r="C149" s="297" t="str">
        <f>IF(Forside!$D$12="Dansk",Tekstnøgler!E149,Tekstnøgler!G149)</f>
        <v>Indkøb af materialer i fysiske enheder</v>
      </c>
      <c r="D149" s="298" t="s">
        <v>183</v>
      </c>
      <c r="E149" s="299" t="s">
        <v>54</v>
      </c>
      <c r="F149" s="298" t="s">
        <v>183</v>
      </c>
      <c r="G149" s="300" t="s">
        <v>1681</v>
      </c>
      <c r="H149" s="298" t="s">
        <v>183</v>
      </c>
      <c r="I149" s="297" t="s">
        <v>161</v>
      </c>
      <c r="J149" s="297" t="s">
        <v>444</v>
      </c>
      <c r="K149" s="297" t="str" cm="1">
        <f t="array" aca="1" ref="K149" ca="1">INDIRECT("'"&amp;I149&amp;"'!"&amp;J149)</f>
        <v>Indkøb af materialer i fysiske enheder</v>
      </c>
      <c r="L149" s="298" t="s">
        <v>183</v>
      </c>
      <c r="M149" s="297" t="str">
        <f t="shared" ca="1" si="6"/>
        <v>OK</v>
      </c>
    </row>
    <row r="150" spans="1:13" x14ac:dyDescent="0.2">
      <c r="A150" s="297" t="s">
        <v>445</v>
      </c>
      <c r="B150" s="298" t="s">
        <v>183</v>
      </c>
      <c r="C150" s="297" t="str">
        <f>IF(Forside!$D$12="Dansk",Tekstnøgler!E150,Tekstnøgler!G150)</f>
        <v>Indkøb af materialer i monetære enheder (beløb i DKK)</v>
      </c>
      <c r="D150" s="298" t="s">
        <v>183</v>
      </c>
      <c r="E150" s="299" t="s">
        <v>1682</v>
      </c>
      <c r="F150" s="298" t="s">
        <v>183</v>
      </c>
      <c r="G150" s="300" t="s">
        <v>1683</v>
      </c>
      <c r="H150" s="298" t="s">
        <v>183</v>
      </c>
      <c r="I150" s="297" t="s">
        <v>161</v>
      </c>
      <c r="J150" s="297" t="s">
        <v>446</v>
      </c>
      <c r="K150" s="297" t="str" cm="1">
        <f t="array" aca="1" ref="K150" ca="1">INDIRECT("'"&amp;I150&amp;"'!"&amp;J150)</f>
        <v>Indkøb af materialer i monetære enheder (beløb i DKK)</v>
      </c>
      <c r="L150" s="298" t="s">
        <v>183</v>
      </c>
      <c r="M150" s="297" t="str">
        <f t="shared" ca="1" si="6"/>
        <v>OK</v>
      </c>
    </row>
    <row r="151" spans="1:13" x14ac:dyDescent="0.2">
      <c r="A151" s="297" t="s">
        <v>447</v>
      </c>
      <c r="B151" s="298" t="s">
        <v>183</v>
      </c>
      <c r="C151" s="297" t="str">
        <f>IF(Forside!$D$12="Dansk",Tekstnøgler!E151,Tekstnøgler!G151)</f>
        <v>Fysiske enheder med egne emissionsfaktorer</v>
      </c>
      <c r="D151" s="298" t="s">
        <v>183</v>
      </c>
      <c r="E151" s="299" t="s">
        <v>1684</v>
      </c>
      <c r="F151" s="298" t="s">
        <v>183</v>
      </c>
      <c r="G151" s="300" t="s">
        <v>1685</v>
      </c>
      <c r="H151" s="298" t="s">
        <v>183</v>
      </c>
      <c r="I151" s="297" t="s">
        <v>161</v>
      </c>
      <c r="J151" s="297" t="s">
        <v>448</v>
      </c>
      <c r="K151" s="297" t="str" cm="1">
        <f t="array" aca="1" ref="K151" ca="1">INDIRECT("'"&amp;I151&amp;"'!"&amp;J151)</f>
        <v>Fysiske enheder med egne emissionsfaktorer</v>
      </c>
      <c r="L151" s="298" t="s">
        <v>183</v>
      </c>
      <c r="M151" s="297" t="str">
        <f t="shared" ca="1" si="6"/>
        <v>OK</v>
      </c>
    </row>
    <row r="152" spans="1:13" x14ac:dyDescent="0.2">
      <c r="A152" s="297" t="s">
        <v>449</v>
      </c>
      <c r="B152" s="298" t="s">
        <v>183</v>
      </c>
      <c r="C152" s="297" t="str">
        <f>IF(Forside!$D$12="Dansk",Tekstnøgler!E152,Tekstnøgler!G152)</f>
        <v>Monetære enheder (beløb i DKK) med egne emissionsfaktorer</v>
      </c>
      <c r="D152" s="298" t="s">
        <v>183</v>
      </c>
      <c r="E152" s="299" t="s">
        <v>1686</v>
      </c>
      <c r="F152" s="298" t="s">
        <v>183</v>
      </c>
      <c r="G152" s="300" t="s">
        <v>1687</v>
      </c>
      <c r="H152" s="298" t="s">
        <v>183</v>
      </c>
      <c r="I152" s="297" t="s">
        <v>161</v>
      </c>
      <c r="J152" s="297" t="s">
        <v>450</v>
      </c>
      <c r="K152" s="297" t="str" cm="1">
        <f t="array" aca="1" ref="K152" ca="1">INDIRECT("'"&amp;I152&amp;"'!"&amp;J152)</f>
        <v>Monetære enheder (beløb i DKK) med egne emissionsfaktorer</v>
      </c>
      <c r="L152" s="298" t="s">
        <v>183</v>
      </c>
      <c r="M152" s="297" t="str">
        <f t="shared" ca="1" si="6"/>
        <v>OK</v>
      </c>
    </row>
    <row r="153" spans="1:13" x14ac:dyDescent="0.2">
      <c r="A153" s="297" t="s">
        <v>451</v>
      </c>
      <c r="B153" s="298" t="s">
        <v>183</v>
      </c>
      <c r="C153" s="297" t="str">
        <f>IF(Forside!$D$12="Dansk",Tekstnøgler!E153,Tekstnøgler!G153)</f>
        <v>Produkter og services (sekundære indkøb)</v>
      </c>
      <c r="D153" s="298" t="s">
        <v>183</v>
      </c>
      <c r="E153" s="299" t="s">
        <v>1696</v>
      </c>
      <c r="F153" s="298" t="s">
        <v>183</v>
      </c>
      <c r="G153" s="300" t="s">
        <v>1697</v>
      </c>
      <c r="H153" s="298" t="s">
        <v>183</v>
      </c>
      <c r="I153" s="297" t="s">
        <v>161</v>
      </c>
      <c r="J153" s="297" t="s">
        <v>372</v>
      </c>
      <c r="K153" s="297" t="str" cm="1">
        <f t="array" aca="1" ref="K153" ca="1">INDIRECT("'"&amp;I153&amp;"'!"&amp;J153)</f>
        <v>Produkter og services (sekundære indkøb)</v>
      </c>
      <c r="L153" s="298" t="s">
        <v>183</v>
      </c>
      <c r="M153" s="297" t="str">
        <f t="shared" ca="1" si="6"/>
        <v>OK</v>
      </c>
    </row>
    <row r="154" spans="1:13" x14ac:dyDescent="0.2">
      <c r="A154" s="297" t="s">
        <v>452</v>
      </c>
      <c r="B154" s="298" t="s">
        <v>183</v>
      </c>
      <c r="C154" s="297" t="str">
        <f>IF(Forside!$D$12="Dansk",Tekstnøgler!E154,Tekstnøgler!G154)</f>
        <v>Indkøb af produkter i fysiske enheder</v>
      </c>
      <c r="D154" s="298" t="s">
        <v>183</v>
      </c>
      <c r="E154" s="299" t="s">
        <v>59</v>
      </c>
      <c r="F154" s="298" t="s">
        <v>183</v>
      </c>
      <c r="G154" s="300" t="s">
        <v>1689</v>
      </c>
      <c r="H154" s="298" t="s">
        <v>183</v>
      </c>
      <c r="I154" s="297" t="s">
        <v>161</v>
      </c>
      <c r="J154" s="297" t="s">
        <v>453</v>
      </c>
      <c r="K154" s="297" t="str" cm="1">
        <f t="array" aca="1" ref="K154" ca="1">INDIRECT("'"&amp;I154&amp;"'!"&amp;J154)</f>
        <v>Indkøb af produkter i fysiske enheder</v>
      </c>
      <c r="L154" s="298" t="s">
        <v>183</v>
      </c>
      <c r="M154" s="297" t="str">
        <f t="shared" ca="1" si="6"/>
        <v>OK</v>
      </c>
    </row>
    <row r="155" spans="1:13" x14ac:dyDescent="0.2">
      <c r="A155" s="297" t="s">
        <v>454</v>
      </c>
      <c r="B155" s="298" t="s">
        <v>183</v>
      </c>
      <c r="C155" s="297" t="str">
        <f>IF(Forside!$D$12="Dansk",Tekstnøgler!E155,Tekstnøgler!G155)</f>
        <v>Indkøb af produkter i monetære enheder (beløb i DKK)</v>
      </c>
      <c r="D155" s="298" t="s">
        <v>183</v>
      </c>
      <c r="E155" s="299" t="s">
        <v>1690</v>
      </c>
      <c r="F155" s="298" t="s">
        <v>183</v>
      </c>
      <c r="G155" s="300" t="s">
        <v>1691</v>
      </c>
      <c r="H155" s="298" t="s">
        <v>183</v>
      </c>
      <c r="I155" s="297" t="s">
        <v>161</v>
      </c>
      <c r="J155" s="297" t="s">
        <v>455</v>
      </c>
      <c r="K155" s="297" t="str" cm="1">
        <f t="array" aca="1" ref="K155" ca="1">INDIRECT("'"&amp;I155&amp;"'!"&amp;J155)</f>
        <v>Indkøb af produkter i monetære enheder (beløb i DKK)</v>
      </c>
      <c r="L155" s="298" t="s">
        <v>183</v>
      </c>
      <c r="M155" s="297" t="str">
        <f t="shared" ca="1" si="6"/>
        <v>OK</v>
      </c>
    </row>
    <row r="156" spans="1:13" x14ac:dyDescent="0.2">
      <c r="A156" s="297" t="s">
        <v>456</v>
      </c>
      <c r="B156" s="298" t="s">
        <v>183</v>
      </c>
      <c r="C156" s="297" t="str">
        <f>IF(Forside!$D$12="Dansk",Tekstnøgler!E156,Tekstnøgler!G156)</f>
        <v>Fysiske enheder med egne emissionsfaktorer</v>
      </c>
      <c r="D156" s="298" t="s">
        <v>183</v>
      </c>
      <c r="E156" s="299" t="s">
        <v>1684</v>
      </c>
      <c r="F156" s="298" t="s">
        <v>183</v>
      </c>
      <c r="G156" s="300" t="s">
        <v>1685</v>
      </c>
      <c r="H156" s="298" t="s">
        <v>183</v>
      </c>
      <c r="I156" s="297" t="s">
        <v>161</v>
      </c>
      <c r="J156" s="297" t="s">
        <v>457</v>
      </c>
      <c r="K156" s="297" t="str" cm="1">
        <f t="array" aca="1" ref="K156" ca="1">INDIRECT("'"&amp;I156&amp;"'!"&amp;J156)</f>
        <v>Fysiske enheder med egne emissionsfaktorer</v>
      </c>
      <c r="L156" s="298" t="s">
        <v>183</v>
      </c>
      <c r="M156" s="297" t="str">
        <f t="shared" ca="1" si="6"/>
        <v>OK</v>
      </c>
    </row>
    <row r="157" spans="1:13" x14ac:dyDescent="0.2">
      <c r="A157" s="297" t="s">
        <v>458</v>
      </c>
      <c r="B157" s="298" t="s">
        <v>183</v>
      </c>
      <c r="C157" s="297" t="str">
        <f>IF(Forside!$D$12="Dansk",Tekstnøgler!E157,Tekstnøgler!G157)</f>
        <v>Monetære enheder (beløb i DKK) med egne emissionsfaktorer</v>
      </c>
      <c r="D157" s="298" t="s">
        <v>183</v>
      </c>
      <c r="E157" s="299" t="s">
        <v>1686</v>
      </c>
      <c r="F157" s="298" t="s">
        <v>183</v>
      </c>
      <c r="G157" s="300" t="s">
        <v>1687</v>
      </c>
      <c r="H157" s="298" t="s">
        <v>183</v>
      </c>
      <c r="I157" s="297" t="s">
        <v>161</v>
      </c>
      <c r="J157" s="297" t="s">
        <v>459</v>
      </c>
      <c r="K157" s="297" t="str" cm="1">
        <f t="array" aca="1" ref="K157" ca="1">INDIRECT("'"&amp;I157&amp;"'!"&amp;J157)</f>
        <v>Monetære enheder (beløb i DKK) med egne emissionsfaktorer</v>
      </c>
      <c r="L157" s="298" t="s">
        <v>183</v>
      </c>
      <c r="M157" s="297" t="str">
        <f t="shared" ca="1" si="6"/>
        <v>OK</v>
      </c>
    </row>
    <row r="158" spans="1:13" x14ac:dyDescent="0.2">
      <c r="A158" s="297" t="s">
        <v>460</v>
      </c>
      <c r="B158" s="298" t="s">
        <v>183</v>
      </c>
      <c r="C158" s="297" t="str">
        <f>IF(Forside!$D$12="Dansk",Tekstnøgler!E158,Tekstnøgler!G158)</f>
        <v>Andet udledning ved sekundære indkøb</v>
      </c>
      <c r="D158" s="298" t="s">
        <v>183</v>
      </c>
      <c r="E158" s="299" t="s">
        <v>1698</v>
      </c>
      <c r="F158" s="298" t="s">
        <v>183</v>
      </c>
      <c r="G158" s="300" t="s">
        <v>1699</v>
      </c>
      <c r="H158" s="298" t="s">
        <v>183</v>
      </c>
      <c r="I158" s="297" t="s">
        <v>161</v>
      </c>
      <c r="J158" s="297" t="s">
        <v>461</v>
      </c>
      <c r="K158" s="297" t="str" cm="1">
        <f t="array" aca="1" ref="K158" ca="1">INDIRECT("'"&amp;I158&amp;"'!"&amp;J158)</f>
        <v>Andet udledning ved sekundære indkøb</v>
      </c>
      <c r="L158" s="298" t="s">
        <v>183</v>
      </c>
      <c r="M158" s="297" t="str">
        <f t="shared" ca="1" si="6"/>
        <v>OK</v>
      </c>
    </row>
    <row r="159" spans="1:13" x14ac:dyDescent="0.2">
      <c r="A159" s="297" t="s">
        <v>462</v>
      </c>
      <c r="B159" s="298" t="s">
        <v>183</v>
      </c>
      <c r="C159" s="297" t="str">
        <f>IF(Forside!$D$12="Dansk",Tekstnøgler!E159,Tekstnøgler!G159)</f>
        <v>Fysiske enheder med egne emissionsfaktorer</v>
      </c>
      <c r="D159" s="298" t="s">
        <v>183</v>
      </c>
      <c r="E159" s="299" t="s">
        <v>1684</v>
      </c>
      <c r="F159" s="298" t="s">
        <v>183</v>
      </c>
      <c r="G159" s="300" t="s">
        <v>1685</v>
      </c>
      <c r="H159" s="298" t="s">
        <v>183</v>
      </c>
      <c r="I159" s="297" t="s">
        <v>161</v>
      </c>
      <c r="J159" s="297" t="s">
        <v>463</v>
      </c>
      <c r="K159" s="297" t="str" cm="1">
        <f t="array" aca="1" ref="K159" ca="1">INDIRECT("'"&amp;I159&amp;"'!"&amp;J159)</f>
        <v>Fysiske enheder med egne emissionsfaktorer</v>
      </c>
      <c r="L159" s="298" t="s">
        <v>183</v>
      </c>
      <c r="M159" s="297" t="str">
        <f t="shared" ca="1" si="6"/>
        <v>OK</v>
      </c>
    </row>
    <row r="160" spans="1:13" x14ac:dyDescent="0.2">
      <c r="A160" s="297" t="s">
        <v>464</v>
      </c>
      <c r="B160" s="298" t="s">
        <v>183</v>
      </c>
      <c r="C160" s="297" t="str">
        <f>IF(Forside!$D$12="Dansk",Tekstnøgler!E160,Tekstnøgler!G160)</f>
        <v>Monetære enheder (beløb i DKK) med egne emissionsfaktorer</v>
      </c>
      <c r="D160" s="298" t="s">
        <v>183</v>
      </c>
      <c r="E160" s="299" t="s">
        <v>1686</v>
      </c>
      <c r="F160" s="298" t="s">
        <v>183</v>
      </c>
      <c r="G160" s="300" t="s">
        <v>1687</v>
      </c>
      <c r="H160" s="298" t="s">
        <v>183</v>
      </c>
      <c r="I160" s="297" t="s">
        <v>161</v>
      </c>
      <c r="J160" s="297" t="s">
        <v>465</v>
      </c>
      <c r="K160" s="297" t="str" cm="1">
        <f t="array" aca="1" ref="K160" ca="1">INDIRECT("'"&amp;I160&amp;"'!"&amp;J160)</f>
        <v>Monetære enheder (beløb i DKK) med egne emissionsfaktorer</v>
      </c>
      <c r="L160" s="298" t="s">
        <v>183</v>
      </c>
      <c r="M160" s="297" t="str">
        <f t="shared" ca="1" si="6"/>
        <v>OK</v>
      </c>
    </row>
    <row r="161" spans="1:13" x14ac:dyDescent="0.2">
      <c r="A161" s="297" t="s">
        <v>357</v>
      </c>
      <c r="B161" s="298" t="s">
        <v>183</v>
      </c>
      <c r="C161" s="297" t="str">
        <f>IF(Forside!$D$12="Dansk",Tekstnøgler!E161,Tekstnøgler!G161)</f>
        <v>Transport</v>
      </c>
      <c r="D161" s="298" t="s">
        <v>183</v>
      </c>
      <c r="E161" s="299" t="s">
        <v>65</v>
      </c>
      <c r="F161" s="298" t="s">
        <v>183</v>
      </c>
      <c r="G161" s="300" t="s">
        <v>65</v>
      </c>
      <c r="H161" s="298" t="s">
        <v>183</v>
      </c>
      <c r="I161" s="297" t="s">
        <v>161</v>
      </c>
      <c r="J161" s="297" t="s">
        <v>466</v>
      </c>
      <c r="K161" s="297" t="str" cm="1">
        <f t="array" aca="1" ref="K161" ca="1">INDIRECT("'"&amp;I161&amp;"'!"&amp;J161)</f>
        <v>Transport</v>
      </c>
      <c r="L161" s="298" t="s">
        <v>183</v>
      </c>
      <c r="M161" s="297" t="str">
        <f t="shared" ca="1" si="6"/>
        <v>OK</v>
      </c>
    </row>
    <row r="162" spans="1:13" x14ac:dyDescent="0.2">
      <c r="A162" s="297" t="s">
        <v>467</v>
      </c>
      <c r="B162" s="298" t="s">
        <v>183</v>
      </c>
      <c r="C162" s="297" t="str">
        <f>IF(Forside!$D$12="Dansk",Tekstnøgler!E162,Tekstnøgler!G162)</f>
        <v>Egne og leasede transportmidler</v>
      </c>
      <c r="D162" s="298" t="s">
        <v>183</v>
      </c>
      <c r="E162" s="299" t="s">
        <v>66</v>
      </c>
      <c r="F162" s="298" t="s">
        <v>183</v>
      </c>
      <c r="G162" s="300" t="s">
        <v>1700</v>
      </c>
      <c r="H162" s="298" t="s">
        <v>183</v>
      </c>
      <c r="I162" s="297" t="s">
        <v>161</v>
      </c>
      <c r="J162" s="297" t="s">
        <v>469</v>
      </c>
      <c r="K162" s="297" t="str" cm="1">
        <f t="array" aca="1" ref="K162" ca="1">INDIRECT("'"&amp;I162&amp;"'!"&amp;J162)</f>
        <v>Egne og leasede transportmidler</v>
      </c>
      <c r="L162" s="298" t="s">
        <v>183</v>
      </c>
      <c r="M162" s="297" t="str">
        <f t="shared" ca="1" si="6"/>
        <v>OK</v>
      </c>
    </row>
    <row r="163" spans="1:13" x14ac:dyDescent="0.2">
      <c r="A163" s="297" t="s">
        <v>470</v>
      </c>
      <c r="B163" s="298" t="s">
        <v>183</v>
      </c>
      <c r="C163" s="297" t="str">
        <f>IF(Forside!$D$12="Dansk",Tekstnøgler!E163,Tekstnøgler!G163)</f>
        <v>Egne og leasede transportmidler</v>
      </c>
      <c r="D163" s="298" t="s">
        <v>183</v>
      </c>
      <c r="E163" s="299" t="s">
        <v>66</v>
      </c>
      <c r="F163" s="298" t="s">
        <v>183</v>
      </c>
      <c r="G163" s="300" t="s">
        <v>468</v>
      </c>
      <c r="H163" s="298" t="s">
        <v>183</v>
      </c>
      <c r="I163" s="297" t="s">
        <v>161</v>
      </c>
      <c r="J163" s="297" t="s">
        <v>471</v>
      </c>
      <c r="K163" s="297" t="str" cm="1">
        <f t="array" aca="1" ref="K163" ca="1">INDIRECT("'"&amp;I163&amp;"'!"&amp;J163)</f>
        <v>Egne og leasede transportmidler</v>
      </c>
      <c r="L163" s="298" t="s">
        <v>183</v>
      </c>
      <c r="M163" s="297" t="str">
        <f t="shared" ca="1" si="6"/>
        <v>OK</v>
      </c>
    </row>
    <row r="164" spans="1:13" x14ac:dyDescent="0.2">
      <c r="A164" s="297" t="s">
        <v>472</v>
      </c>
      <c r="B164" s="298" t="s">
        <v>183</v>
      </c>
      <c r="C164" s="297" t="str">
        <f>IF(Forside!$D$12="Dansk",Tekstnøgler!E164,Tekstnøgler!G164)</f>
        <v>Fly og Skibe</v>
      </c>
      <c r="D164" s="298" t="s">
        <v>183</v>
      </c>
      <c r="E164" s="299" t="s">
        <v>1701</v>
      </c>
      <c r="F164" s="298" t="s">
        <v>183</v>
      </c>
      <c r="G164" s="300" t="s">
        <v>1702</v>
      </c>
      <c r="H164" s="298" t="s">
        <v>183</v>
      </c>
      <c r="I164" s="297" t="s">
        <v>161</v>
      </c>
      <c r="J164" s="297" t="s">
        <v>473</v>
      </c>
      <c r="K164" s="297" t="str" cm="1">
        <f t="array" aca="1" ref="K164" ca="1">INDIRECT("'"&amp;I164&amp;"'!"&amp;J164)</f>
        <v>Fly og Skibe</v>
      </c>
      <c r="L164" s="298" t="s">
        <v>183</v>
      </c>
      <c r="M164" s="297" t="str">
        <f t="shared" ca="1" si="6"/>
        <v>OK</v>
      </c>
    </row>
    <row r="165" spans="1:13" x14ac:dyDescent="0.2">
      <c r="A165" s="297" t="s">
        <v>474</v>
      </c>
      <c r="B165" s="298" t="s">
        <v>183</v>
      </c>
      <c r="C165" s="297" t="str">
        <f>IF(Forside!$D$12="Dansk",Tekstnøgler!E165,Tekstnøgler!G165)</f>
        <v>Egne og leasede transportmidler med egne emissionsfaktorer</v>
      </c>
      <c r="D165" s="298" t="s">
        <v>183</v>
      </c>
      <c r="E165" s="299" t="s">
        <v>1703</v>
      </c>
      <c r="F165" s="298" t="s">
        <v>183</v>
      </c>
      <c r="G165" s="300" t="s">
        <v>1704</v>
      </c>
      <c r="H165" s="298" t="s">
        <v>183</v>
      </c>
      <c r="I165" s="297" t="s">
        <v>161</v>
      </c>
      <c r="J165" s="297" t="s">
        <v>475</v>
      </c>
      <c r="K165" s="297" t="str" cm="1">
        <f t="array" aca="1" ref="K165" ca="1">INDIRECT("'"&amp;I165&amp;"'!"&amp;J165)</f>
        <v>Egne og leasede transportmidler med egne emissionsfaktorer</v>
      </c>
      <c r="L165" s="298" t="s">
        <v>183</v>
      </c>
      <c r="M165" s="297" t="str">
        <f t="shared" ca="1" si="6"/>
        <v>OK</v>
      </c>
    </row>
    <row r="166" spans="1:13" x14ac:dyDescent="0.2">
      <c r="A166" s="297" t="s">
        <v>476</v>
      </c>
      <c r="B166" s="298" t="s">
        <v>183</v>
      </c>
      <c r="C166" s="297" t="str">
        <f>IF(Forside!$D$12="Dansk",Tekstnøgler!E166,Tekstnøgler!G166)</f>
        <v>Medarbejdertransport</v>
      </c>
      <c r="D166" s="298" t="s">
        <v>183</v>
      </c>
      <c r="E166" s="299" t="s">
        <v>74</v>
      </c>
      <c r="F166" s="298" t="s">
        <v>183</v>
      </c>
      <c r="G166" s="300" t="s">
        <v>477</v>
      </c>
      <c r="H166" s="298" t="s">
        <v>183</v>
      </c>
      <c r="I166" s="297" t="s">
        <v>161</v>
      </c>
      <c r="J166" s="297" t="s">
        <v>478</v>
      </c>
      <c r="K166" s="297" t="str" cm="1">
        <f t="array" aca="1" ref="K166" ca="1">INDIRECT("'"&amp;I166&amp;"'!"&amp;J166)</f>
        <v>Medarbejdertransport</v>
      </c>
      <c r="L166" s="298" t="s">
        <v>183</v>
      </c>
      <c r="M166" s="297" t="str">
        <f t="shared" ref="M166:M192" ca="1" si="7">IF(C166=K166,"OK","Reference fejl")</f>
        <v>OK</v>
      </c>
    </row>
    <row r="167" spans="1:13" x14ac:dyDescent="0.2">
      <c r="A167" s="297" t="s">
        <v>479</v>
      </c>
      <c r="B167" s="298" t="s">
        <v>183</v>
      </c>
      <c r="C167" s="297" t="str">
        <f>IF(Forside!$D$12="Dansk",Tekstnøgler!E167,Tekstnøgler!G167)</f>
        <v>Pendling</v>
      </c>
      <c r="D167" s="298" t="s">
        <v>183</v>
      </c>
      <c r="E167" s="299" t="s">
        <v>75</v>
      </c>
      <c r="F167" s="298" t="s">
        <v>183</v>
      </c>
      <c r="G167" s="300" t="s">
        <v>75</v>
      </c>
      <c r="H167" s="298" t="s">
        <v>183</v>
      </c>
      <c r="I167" s="297" t="s">
        <v>161</v>
      </c>
      <c r="J167" s="297" t="s">
        <v>480</v>
      </c>
      <c r="K167" s="297" t="str" cm="1">
        <f t="array" aca="1" ref="K167" ca="1">INDIRECT("'"&amp;I167&amp;"'!"&amp;J167)</f>
        <v>Pendling</v>
      </c>
      <c r="L167" s="298" t="s">
        <v>183</v>
      </c>
      <c r="M167" s="297" t="str">
        <f t="shared" ca="1" si="7"/>
        <v>OK</v>
      </c>
    </row>
    <row r="168" spans="1:13" x14ac:dyDescent="0.2">
      <c r="A168" s="297" t="s">
        <v>481</v>
      </c>
      <c r="B168" s="298" t="s">
        <v>183</v>
      </c>
      <c r="C168" s="297" t="str">
        <f>IF(Forside!$D$12="Dansk",Tekstnøgler!E168,Tekstnøgler!G168)</f>
        <v>Rejser i forbindelse med arbejder - Fysiske enheder</v>
      </c>
      <c r="D168" s="298" t="s">
        <v>183</v>
      </c>
      <c r="E168" s="299" t="s">
        <v>1705</v>
      </c>
      <c r="F168" s="298" t="s">
        <v>183</v>
      </c>
      <c r="G168" s="300" t="s">
        <v>1706</v>
      </c>
      <c r="H168" s="298" t="s">
        <v>183</v>
      </c>
      <c r="I168" s="297" t="s">
        <v>161</v>
      </c>
      <c r="J168" s="297" t="s">
        <v>482</v>
      </c>
      <c r="K168" s="297" t="str" cm="1">
        <f t="array" aca="1" ref="K168" ca="1">INDIRECT("'"&amp;I168&amp;"'!"&amp;J168)</f>
        <v>Rejser i forbindelse med arbejder - Fysiske enheder</v>
      </c>
      <c r="L168" s="298" t="s">
        <v>183</v>
      </c>
      <c r="M168" s="297" t="str">
        <f t="shared" ca="1" si="7"/>
        <v>OK</v>
      </c>
    </row>
    <row r="169" spans="1:13" x14ac:dyDescent="0.2">
      <c r="A169" s="297" t="s">
        <v>483</v>
      </c>
      <c r="B169" s="298" t="s">
        <v>183</v>
      </c>
      <c r="C169" s="297" t="str">
        <f>IF(Forside!$D$12="Dansk",Tekstnøgler!E169,Tekstnøgler!G169)</f>
        <v>Rejser i forbindelse med arbejder - Monetære enheder (beløb i DKK)</v>
      </c>
      <c r="D169" s="298" t="s">
        <v>183</v>
      </c>
      <c r="E169" s="299" t="s">
        <v>1707</v>
      </c>
      <c r="F169" s="298" t="s">
        <v>183</v>
      </c>
      <c r="G169" s="300" t="s">
        <v>1708</v>
      </c>
      <c r="H169" s="298" t="s">
        <v>183</v>
      </c>
      <c r="I169" s="297" t="s">
        <v>161</v>
      </c>
      <c r="J169" s="297" t="s">
        <v>484</v>
      </c>
      <c r="K169" s="297" t="str" cm="1">
        <f t="array" aca="1" ref="K169" ca="1">INDIRECT("'"&amp;I169&amp;"'!"&amp;J169)</f>
        <v>Rejser i forbindelse med arbejder - Monetære enheder (beløb i DKK)</v>
      </c>
      <c r="L169" s="298" t="s">
        <v>183</v>
      </c>
      <c r="M169" s="297" t="str">
        <f t="shared" ca="1" si="7"/>
        <v>OK</v>
      </c>
    </row>
    <row r="170" spans="1:13" x14ac:dyDescent="0.2">
      <c r="A170" s="297" t="s">
        <v>485</v>
      </c>
      <c r="B170" s="298" t="s">
        <v>183</v>
      </c>
      <c r="C170" s="297" t="str">
        <f>IF(Forside!$D$12="Dansk",Tekstnøgler!E170,Tekstnøgler!G170)</f>
        <v>Medarbejdertransport med egne emissionsfaktorer</v>
      </c>
      <c r="D170" s="298" t="s">
        <v>183</v>
      </c>
      <c r="E170" s="299" t="s">
        <v>1709</v>
      </c>
      <c r="F170" s="298" t="s">
        <v>183</v>
      </c>
      <c r="G170" s="300" t="s">
        <v>1710</v>
      </c>
      <c r="H170" s="298" t="s">
        <v>183</v>
      </c>
      <c r="I170" s="297" t="s">
        <v>161</v>
      </c>
      <c r="J170" s="297" t="s">
        <v>486</v>
      </c>
      <c r="K170" s="297" t="str" cm="1">
        <f t="array" aca="1" ref="K170" ca="1">INDIRECT("'"&amp;I170&amp;"'!"&amp;J170)</f>
        <v>Medarbejdertransport med egne emissionsfaktorer</v>
      </c>
      <c r="L170" s="298" t="s">
        <v>183</v>
      </c>
      <c r="M170" s="297" t="str">
        <f t="shared" ca="1" si="7"/>
        <v>OK</v>
      </c>
    </row>
    <row r="171" spans="1:13" x14ac:dyDescent="0.2">
      <c r="A171" s="297" t="s">
        <v>487</v>
      </c>
      <c r="B171" s="298" t="s">
        <v>183</v>
      </c>
      <c r="C171" s="297" t="str">
        <f>IF(Forside!$D$12="Dansk",Tekstnøgler!E171,Tekstnøgler!G171)</f>
        <v>Varetransport til virksomhed</v>
      </c>
      <c r="D171" s="298" t="s">
        <v>183</v>
      </c>
      <c r="E171" s="299" t="s">
        <v>1711</v>
      </c>
      <c r="F171" s="298" t="s">
        <v>183</v>
      </c>
      <c r="G171" s="300" t="s">
        <v>488</v>
      </c>
      <c r="H171" s="298" t="s">
        <v>183</v>
      </c>
      <c r="I171" s="297" t="s">
        <v>161</v>
      </c>
      <c r="J171" s="297" t="s">
        <v>489</v>
      </c>
      <c r="K171" s="297" t="str" cm="1">
        <f t="array" aca="1" ref="K171" ca="1">INDIRECT("'"&amp;I171&amp;"'!"&amp;J171)</f>
        <v>Varetransport til virksomhed</v>
      </c>
      <c r="L171" s="298" t="s">
        <v>183</v>
      </c>
      <c r="M171" s="297" t="str">
        <f t="shared" ca="1" si="7"/>
        <v>OK</v>
      </c>
    </row>
    <row r="172" spans="1:13" x14ac:dyDescent="0.2">
      <c r="A172" s="297" t="s">
        <v>490</v>
      </c>
      <c r="B172" s="298" t="s">
        <v>183</v>
      </c>
      <c r="C172" s="297" t="str">
        <f>IF(Forside!$D$12="Dansk",Tekstnøgler!E172,Tekstnøgler!G172)</f>
        <v>Varetransport i fysiske enheder</v>
      </c>
      <c r="D172" s="298" t="s">
        <v>183</v>
      </c>
      <c r="E172" s="299" t="s">
        <v>1712</v>
      </c>
      <c r="F172" s="298" t="s">
        <v>183</v>
      </c>
      <c r="G172" s="300" t="s">
        <v>1713</v>
      </c>
      <c r="H172" s="298" t="s">
        <v>183</v>
      </c>
      <c r="I172" s="297" t="s">
        <v>161</v>
      </c>
      <c r="J172" s="297" t="s">
        <v>491</v>
      </c>
      <c r="K172" s="297" t="str" cm="1">
        <f t="array" aca="1" ref="K172" ca="1">INDIRECT("'"&amp;I172&amp;"'!"&amp;J172)</f>
        <v>Varetransport i fysiske enheder</v>
      </c>
      <c r="L172" s="298" t="s">
        <v>183</v>
      </c>
      <c r="M172" s="297" t="str">
        <f t="shared" ca="1" si="7"/>
        <v>OK</v>
      </c>
    </row>
    <row r="173" spans="1:13" x14ac:dyDescent="0.2">
      <c r="A173" s="297" t="s">
        <v>492</v>
      </c>
      <c r="B173" s="298" t="s">
        <v>183</v>
      </c>
      <c r="C173" s="297" t="str">
        <f>IF(Forside!$D$12="Dansk",Tekstnøgler!E173,Tekstnøgler!G173)</f>
        <v>Varetransport i monetære enheder (beløb i DKK)</v>
      </c>
      <c r="D173" s="298" t="s">
        <v>183</v>
      </c>
      <c r="E173" s="299" t="s">
        <v>1714</v>
      </c>
      <c r="F173" s="298" t="s">
        <v>183</v>
      </c>
      <c r="G173" s="300" t="s">
        <v>1715</v>
      </c>
      <c r="H173" s="298" t="s">
        <v>183</v>
      </c>
      <c r="I173" s="297" t="s">
        <v>161</v>
      </c>
      <c r="J173" s="297" t="s">
        <v>493</v>
      </c>
      <c r="K173" s="297" t="str" cm="1">
        <f t="array" aca="1" ref="K173" ca="1">INDIRECT("'"&amp;I173&amp;"'!"&amp;J173)</f>
        <v>Varetransport i monetære enheder (beløb i DKK)</v>
      </c>
      <c r="L173" s="298" t="s">
        <v>183</v>
      </c>
      <c r="M173" s="297" t="str">
        <f t="shared" ca="1" si="7"/>
        <v>OK</v>
      </c>
    </row>
    <row r="174" spans="1:13" x14ac:dyDescent="0.2">
      <c r="A174" s="297" t="s">
        <v>494</v>
      </c>
      <c r="B174" s="298" t="s">
        <v>183</v>
      </c>
      <c r="C174" s="297" t="str">
        <f>IF(Forside!$D$12="Dansk",Tekstnøgler!E174,Tekstnøgler!G174)</f>
        <v>Varetransport til virksomhed med egne emissionsfaktorer</v>
      </c>
      <c r="D174" s="298" t="s">
        <v>183</v>
      </c>
      <c r="E174" s="299" t="s">
        <v>1716</v>
      </c>
      <c r="F174" s="298" t="s">
        <v>183</v>
      </c>
      <c r="G174" s="300" t="s">
        <v>1717</v>
      </c>
      <c r="H174" s="298" t="s">
        <v>183</v>
      </c>
      <c r="I174" s="297" t="s">
        <v>161</v>
      </c>
      <c r="J174" s="297" t="s">
        <v>374</v>
      </c>
      <c r="K174" s="297" t="str" cm="1">
        <f t="array" aca="1" ref="K174" ca="1">INDIRECT("'"&amp;I174&amp;"'!"&amp;J174)</f>
        <v>Varetransport til virksomhed med egne emissionsfaktorer</v>
      </c>
      <c r="L174" s="298" t="s">
        <v>183</v>
      </c>
      <c r="M174" s="297" t="str">
        <f t="shared" ca="1" si="7"/>
        <v>OK</v>
      </c>
    </row>
    <row r="175" spans="1:13" x14ac:dyDescent="0.2">
      <c r="A175" s="297" t="s">
        <v>495</v>
      </c>
      <c r="B175" s="298" t="s">
        <v>183</v>
      </c>
      <c r="C175" s="297" t="str">
        <f>IF(Forside!$D$12="Dansk",Tekstnøgler!E175,Tekstnøgler!G175)</f>
        <v>Varetransport fra virksomhed til kunde</v>
      </c>
      <c r="D175" s="298" t="s">
        <v>183</v>
      </c>
      <c r="E175" s="299" t="s">
        <v>496</v>
      </c>
      <c r="F175" s="298" t="s">
        <v>183</v>
      </c>
      <c r="G175" s="300" t="s">
        <v>497</v>
      </c>
      <c r="H175" s="298" t="s">
        <v>183</v>
      </c>
      <c r="I175" s="297" t="s">
        <v>161</v>
      </c>
      <c r="J175" s="297" t="s">
        <v>498</v>
      </c>
      <c r="K175" s="297" t="str" cm="1">
        <f t="array" aca="1" ref="K175" ca="1">INDIRECT("'"&amp;I175&amp;"'!"&amp;J175)</f>
        <v>Varetransport fra virksomhed til kunde</v>
      </c>
      <c r="L175" s="298" t="s">
        <v>183</v>
      </c>
      <c r="M175" s="297" t="str">
        <f t="shared" ca="1" si="7"/>
        <v>OK</v>
      </c>
    </row>
    <row r="176" spans="1:13" x14ac:dyDescent="0.2">
      <c r="A176" s="297" t="s">
        <v>499</v>
      </c>
      <c r="B176" s="298" t="s">
        <v>183</v>
      </c>
      <c r="C176" s="297" t="str">
        <f>IF(Forside!$D$12="Dansk",Tekstnøgler!E176,Tekstnøgler!G176)</f>
        <v>Varetransport i fysiske enheder</v>
      </c>
      <c r="D176" s="298" t="s">
        <v>183</v>
      </c>
      <c r="E176" s="299" t="s">
        <v>1712</v>
      </c>
      <c r="F176" s="298" t="s">
        <v>183</v>
      </c>
      <c r="G176" s="300" t="s">
        <v>1713</v>
      </c>
      <c r="H176" s="298" t="s">
        <v>183</v>
      </c>
      <c r="I176" s="297" t="s">
        <v>161</v>
      </c>
      <c r="J176" s="297" t="s">
        <v>376</v>
      </c>
      <c r="K176" s="297" t="str" cm="1">
        <f t="array" aca="1" ref="K176" ca="1">INDIRECT("'"&amp;I176&amp;"'!"&amp;J176)</f>
        <v>Varetransport i fysiske enheder</v>
      </c>
      <c r="L176" s="298" t="s">
        <v>183</v>
      </c>
      <c r="M176" s="297" t="str">
        <f t="shared" ca="1" si="7"/>
        <v>OK</v>
      </c>
    </row>
    <row r="177" spans="1:13" x14ac:dyDescent="0.2">
      <c r="A177" s="297" t="s">
        <v>500</v>
      </c>
      <c r="B177" s="298" t="s">
        <v>183</v>
      </c>
      <c r="C177" s="297" t="str">
        <f>IF(Forside!$D$12="Dansk",Tekstnøgler!E177,Tekstnøgler!G177)</f>
        <v>Varetransport i monetære enheder (beløb i DKK)</v>
      </c>
      <c r="D177" s="298" t="s">
        <v>183</v>
      </c>
      <c r="E177" s="299" t="s">
        <v>1714</v>
      </c>
      <c r="F177" s="298" t="s">
        <v>183</v>
      </c>
      <c r="G177" s="300" t="s">
        <v>1715</v>
      </c>
      <c r="H177" s="298" t="s">
        <v>183</v>
      </c>
      <c r="I177" s="297" t="s">
        <v>161</v>
      </c>
      <c r="J177" s="297" t="s">
        <v>380</v>
      </c>
      <c r="K177" s="297" t="str" cm="1">
        <f t="array" aca="1" ref="K177" ca="1">INDIRECT("'"&amp;I177&amp;"'!"&amp;J177)</f>
        <v>Varetransport i monetære enheder (beløb i DKK)</v>
      </c>
      <c r="L177" s="298" t="s">
        <v>183</v>
      </c>
      <c r="M177" s="297" t="str">
        <f t="shared" ca="1" si="7"/>
        <v>OK</v>
      </c>
    </row>
    <row r="178" spans="1:13" x14ac:dyDescent="0.2">
      <c r="A178" s="297" t="s">
        <v>501</v>
      </c>
      <c r="B178" s="298" t="s">
        <v>183</v>
      </c>
      <c r="C178" s="297" t="str">
        <f>IF(Forside!$D$12="Dansk",Tekstnøgler!E178,Tekstnøgler!G178)</f>
        <v>Varetransport fra virksomhed til kunde med egne emissionsfaktorer</v>
      </c>
      <c r="D178" s="298" t="s">
        <v>183</v>
      </c>
      <c r="E178" s="299" t="s">
        <v>1718</v>
      </c>
      <c r="F178" s="298" t="s">
        <v>183</v>
      </c>
      <c r="G178" s="300" t="s">
        <v>1719</v>
      </c>
      <c r="H178" s="298" t="s">
        <v>183</v>
      </c>
      <c r="I178" s="297" t="s">
        <v>161</v>
      </c>
      <c r="J178" s="297" t="s">
        <v>384</v>
      </c>
      <c r="K178" s="297" t="str" cm="1">
        <f t="array" aca="1" ref="K178" ca="1">INDIRECT("'"&amp;I178&amp;"'!"&amp;J178)</f>
        <v>Varetransport fra virksomhed til kunde med egne emissionsfaktorer</v>
      </c>
      <c r="L178" s="298" t="s">
        <v>183</v>
      </c>
      <c r="M178" s="297" t="str">
        <f t="shared" ca="1" si="7"/>
        <v>OK</v>
      </c>
    </row>
    <row r="179" spans="1:13" x14ac:dyDescent="0.2">
      <c r="A179" s="297" t="s">
        <v>502</v>
      </c>
      <c r="B179" s="298" t="s">
        <v>183</v>
      </c>
      <c r="C179" s="297" t="str">
        <f>IF(Forside!$D$12="Dansk",Tekstnøgler!E179,Tekstnøgler!G179)</f>
        <v>Andet udledning ved transport</v>
      </c>
      <c r="D179" s="298" t="s">
        <v>183</v>
      </c>
      <c r="E179" s="299" t="s">
        <v>503</v>
      </c>
      <c r="F179" s="298" t="s">
        <v>183</v>
      </c>
      <c r="G179" s="300" t="s">
        <v>504</v>
      </c>
      <c r="H179" s="298" t="s">
        <v>183</v>
      </c>
      <c r="I179" s="297" t="s">
        <v>161</v>
      </c>
      <c r="J179" s="297" t="s">
        <v>386</v>
      </c>
      <c r="K179" s="297" t="str" cm="1">
        <f t="array" aca="1" ref="K179" ca="1">INDIRECT("'"&amp;I179&amp;"'!"&amp;J179)</f>
        <v>Andet udledning ved transport</v>
      </c>
      <c r="L179" s="298" t="s">
        <v>183</v>
      </c>
      <c r="M179" s="297" t="str">
        <f t="shared" ca="1" si="7"/>
        <v>OK</v>
      </c>
    </row>
    <row r="180" spans="1:13" x14ac:dyDescent="0.2">
      <c r="A180" s="297" t="s">
        <v>358</v>
      </c>
      <c r="B180" s="298" t="s">
        <v>183</v>
      </c>
      <c r="C180" s="297" t="str">
        <f>IF(Forside!$D$12="Dansk",Tekstnøgler!E180,Tekstnøgler!G180)</f>
        <v>Affald og genbrug</v>
      </c>
      <c r="D180" s="298" t="s">
        <v>183</v>
      </c>
      <c r="E180" s="299" t="s">
        <v>359</v>
      </c>
      <c r="F180" s="298" t="s">
        <v>183</v>
      </c>
      <c r="G180" s="300" t="s">
        <v>360</v>
      </c>
      <c r="H180" s="298" t="s">
        <v>183</v>
      </c>
      <c r="I180" s="297" t="s">
        <v>161</v>
      </c>
      <c r="J180" s="297" t="s">
        <v>388</v>
      </c>
      <c r="K180" s="297" t="str" cm="1">
        <f t="array" aca="1" ref="K180" ca="1">INDIRECT("'"&amp;I180&amp;"'!"&amp;J180)</f>
        <v>Affald og genbrug</v>
      </c>
      <c r="L180" s="298" t="s">
        <v>183</v>
      </c>
      <c r="M180" s="297" t="str">
        <f t="shared" ca="1" si="7"/>
        <v>OK</v>
      </c>
    </row>
    <row r="181" spans="1:13" x14ac:dyDescent="0.2">
      <c r="A181" s="297" t="s">
        <v>505</v>
      </c>
      <c r="B181" s="298" t="s">
        <v>183</v>
      </c>
      <c r="C181" s="297" t="str">
        <f>IF(Forside!$D$12="Dansk",Tekstnøgler!E181,Tekstnøgler!G181)</f>
        <v>Affald</v>
      </c>
      <c r="D181" s="298" t="s">
        <v>183</v>
      </c>
      <c r="E181" s="299" t="s">
        <v>506</v>
      </c>
      <c r="F181" s="298" t="s">
        <v>183</v>
      </c>
      <c r="G181" s="300" t="s">
        <v>1720</v>
      </c>
      <c r="H181" s="298" t="s">
        <v>183</v>
      </c>
      <c r="I181" s="297" t="s">
        <v>161</v>
      </c>
      <c r="J181" s="297" t="s">
        <v>507</v>
      </c>
      <c r="K181" s="297" t="str" cm="1">
        <f t="array" aca="1" ref="K181" ca="1">INDIRECT("'"&amp;I181&amp;"'!"&amp;J181)</f>
        <v>Affald</v>
      </c>
      <c r="L181" s="298" t="s">
        <v>183</v>
      </c>
      <c r="M181" s="297" t="str">
        <f t="shared" ca="1" si="7"/>
        <v>OK</v>
      </c>
    </row>
    <row r="182" spans="1:13" x14ac:dyDescent="0.2">
      <c r="A182" s="297" t="s">
        <v>508</v>
      </c>
      <c r="B182" s="298" t="s">
        <v>183</v>
      </c>
      <c r="C182" s="297" t="str">
        <f>IF(Forside!$D$12="Dansk",Tekstnøgler!E182,Tekstnøgler!G182)</f>
        <v>Affald</v>
      </c>
      <c r="D182" s="298" t="s">
        <v>183</v>
      </c>
      <c r="E182" s="299" t="s">
        <v>506</v>
      </c>
      <c r="F182" s="298" t="s">
        <v>183</v>
      </c>
      <c r="G182" s="300" t="s">
        <v>1720</v>
      </c>
      <c r="H182" s="298" t="s">
        <v>183</v>
      </c>
      <c r="I182" s="297" t="s">
        <v>161</v>
      </c>
      <c r="J182" s="297" t="s">
        <v>509</v>
      </c>
      <c r="K182" s="297" t="str" cm="1">
        <f t="array" aca="1" ref="K182" ca="1">INDIRECT("'"&amp;I182&amp;"'!"&amp;J182)</f>
        <v>Affald</v>
      </c>
      <c r="L182" s="298" t="s">
        <v>183</v>
      </c>
      <c r="M182" s="297" t="str">
        <f t="shared" ca="1" si="7"/>
        <v>OK</v>
      </c>
    </row>
    <row r="183" spans="1:13" x14ac:dyDescent="0.2">
      <c r="A183" s="297" t="s">
        <v>510</v>
      </c>
      <c r="B183" s="298" t="s">
        <v>183</v>
      </c>
      <c r="C183" s="297" t="str">
        <f>IF(Forside!$D$12="Dansk",Tekstnøgler!E183,Tekstnøgler!G183)</f>
        <v>Affald med egne emissionsfaktorer</v>
      </c>
      <c r="D183" s="298" t="s">
        <v>183</v>
      </c>
      <c r="E183" s="299" t="s">
        <v>1721</v>
      </c>
      <c r="F183" s="298" t="s">
        <v>183</v>
      </c>
      <c r="G183" s="300" t="s">
        <v>1722</v>
      </c>
      <c r="H183" s="298" t="s">
        <v>183</v>
      </c>
      <c r="I183" s="297" t="s">
        <v>161</v>
      </c>
      <c r="J183" s="297" t="s">
        <v>391</v>
      </c>
      <c r="K183" s="297" t="str" cm="1">
        <f t="array" aca="1" ref="K183" ca="1">INDIRECT("'"&amp;I183&amp;"'!"&amp;J183)</f>
        <v>Affald med egne emissionsfaktorer</v>
      </c>
      <c r="L183" s="298" t="s">
        <v>183</v>
      </c>
      <c r="M183" s="297" t="str">
        <f t="shared" ca="1" si="7"/>
        <v>OK</v>
      </c>
    </row>
    <row r="184" spans="1:13" x14ac:dyDescent="0.2">
      <c r="A184" s="297" t="s">
        <v>511</v>
      </c>
      <c r="B184" s="298" t="s">
        <v>183</v>
      </c>
      <c r="C184" s="297" t="str">
        <f>IF(Forside!$D$12="Dansk",Tekstnøgler!E184,Tekstnøgler!G184)</f>
        <v>Andet udledning ved affald</v>
      </c>
      <c r="D184" s="298" t="s">
        <v>183</v>
      </c>
      <c r="E184" s="299" t="s">
        <v>512</v>
      </c>
      <c r="F184" s="298" t="s">
        <v>183</v>
      </c>
      <c r="G184" s="300" t="s">
        <v>513</v>
      </c>
      <c r="H184" s="298" t="s">
        <v>183</v>
      </c>
      <c r="I184" s="297" t="s">
        <v>161</v>
      </c>
      <c r="J184" s="297" t="s">
        <v>514</v>
      </c>
      <c r="K184" s="297" t="str" cm="1">
        <f t="array" aca="1" ref="K184" ca="1">INDIRECT("'"&amp;I184&amp;"'!"&amp;J184)</f>
        <v>Andet udledning ved affald</v>
      </c>
      <c r="L184" s="298" t="s">
        <v>183</v>
      </c>
      <c r="M184" s="297" t="str">
        <f t="shared" ca="1" si="7"/>
        <v>OK</v>
      </c>
    </row>
    <row r="185" spans="1:13" x14ac:dyDescent="0.2">
      <c r="A185" s="297" t="s">
        <v>361</v>
      </c>
      <c r="B185" s="298" t="s">
        <v>183</v>
      </c>
      <c r="C185" s="297" t="str">
        <f>IF(Forside!$D$12="Dansk",Tekstnøgler!E185,Tekstnøgler!G185)</f>
        <v>Solgte produkter</v>
      </c>
      <c r="D185" s="298" t="s">
        <v>183</v>
      </c>
      <c r="E185" s="299" t="s">
        <v>362</v>
      </c>
      <c r="F185" s="298" t="s">
        <v>183</v>
      </c>
      <c r="G185" s="300" t="s">
        <v>363</v>
      </c>
      <c r="H185" s="298" t="s">
        <v>183</v>
      </c>
      <c r="I185" s="297" t="s">
        <v>161</v>
      </c>
      <c r="J185" s="297" t="s">
        <v>515</v>
      </c>
      <c r="K185" s="297" t="str" cm="1">
        <f t="array" aca="1" ref="K185" ca="1">INDIRECT("'"&amp;I185&amp;"'!"&amp;J185)</f>
        <v>Solgte produkter</v>
      </c>
      <c r="L185" s="298" t="s">
        <v>183</v>
      </c>
      <c r="M185" s="297" t="str">
        <f t="shared" ca="1" si="7"/>
        <v>OK</v>
      </c>
    </row>
    <row r="186" spans="1:13" x14ac:dyDescent="0.2">
      <c r="A186" s="297" t="s">
        <v>516</v>
      </c>
      <c r="B186" s="298" t="s">
        <v>183</v>
      </c>
      <c r="C186" s="297" t="str">
        <f>IF(Forside!$D$12="Dansk",Tekstnøgler!E186,Tekstnøgler!G186)</f>
        <v>Forarbejdning og processering af solgte produkter</v>
      </c>
      <c r="D186" s="298" t="s">
        <v>183</v>
      </c>
      <c r="E186" s="299" t="s">
        <v>517</v>
      </c>
      <c r="F186" s="298" t="s">
        <v>183</v>
      </c>
      <c r="G186" s="300" t="s">
        <v>518</v>
      </c>
      <c r="H186" s="298" t="s">
        <v>183</v>
      </c>
      <c r="I186" s="297" t="s">
        <v>161</v>
      </c>
      <c r="J186" s="297" t="s">
        <v>519</v>
      </c>
      <c r="K186" s="297" t="str" cm="1">
        <f t="array" aca="1" ref="K186" ca="1">INDIRECT("'"&amp;I186&amp;"'!"&amp;J186)</f>
        <v>Forarbejdning og processering af solgte produkter</v>
      </c>
      <c r="L186" s="298" t="s">
        <v>183</v>
      </c>
      <c r="M186" s="297" t="str">
        <f t="shared" ca="1" si="7"/>
        <v>OK</v>
      </c>
    </row>
    <row r="187" spans="1:13" x14ac:dyDescent="0.2">
      <c r="A187" s="297" t="s">
        <v>520</v>
      </c>
      <c r="B187" s="298" t="s">
        <v>183</v>
      </c>
      <c r="C187" s="297" t="str">
        <f>IF(Forside!$D$12="Dansk",Tekstnøgler!E187,Tekstnøgler!G187)</f>
        <v>Brug af solgte og udlejede produkter</v>
      </c>
      <c r="D187" s="298" t="s">
        <v>183</v>
      </c>
      <c r="E187" s="299" t="s">
        <v>521</v>
      </c>
      <c r="F187" s="298" t="s">
        <v>183</v>
      </c>
      <c r="G187" s="300" t="s">
        <v>522</v>
      </c>
      <c r="H187" s="298" t="s">
        <v>183</v>
      </c>
      <c r="I187" s="297" t="s">
        <v>161</v>
      </c>
      <c r="J187" s="297" t="s">
        <v>523</v>
      </c>
      <c r="K187" s="297" t="str" cm="1">
        <f t="array" aca="1" ref="K187" ca="1">INDIRECT("'"&amp;I187&amp;"'!"&amp;J187)</f>
        <v>Brug af solgte og udlejede produkter</v>
      </c>
      <c r="L187" s="298" t="s">
        <v>183</v>
      </c>
      <c r="M187" s="297" t="str">
        <f t="shared" ca="1" si="7"/>
        <v>OK</v>
      </c>
    </row>
    <row r="188" spans="1:13" x14ac:dyDescent="0.2">
      <c r="A188" s="297" t="s">
        <v>524</v>
      </c>
      <c r="B188" s="298" t="s">
        <v>183</v>
      </c>
      <c r="C188" s="297" t="str">
        <f>IF(Forside!$D$12="Dansk",Tekstnøgler!E188,Tekstnøgler!G188)</f>
        <v>Brug af solgte og udlejede produkter</v>
      </c>
      <c r="D188" s="298" t="s">
        <v>183</v>
      </c>
      <c r="E188" s="299" t="s">
        <v>521</v>
      </c>
      <c r="F188" s="298" t="s">
        <v>183</v>
      </c>
      <c r="G188" s="300" t="s">
        <v>522</v>
      </c>
      <c r="H188" s="298" t="s">
        <v>183</v>
      </c>
      <c r="I188" s="297" t="s">
        <v>161</v>
      </c>
      <c r="J188" s="297" t="s">
        <v>525</v>
      </c>
      <c r="K188" s="297" t="str" cm="1">
        <f t="array" aca="1" ref="K188" ca="1">INDIRECT("'"&amp;I188&amp;"'!"&amp;J188)</f>
        <v>Brug af solgte og udlejede produkter</v>
      </c>
      <c r="L188" s="298" t="s">
        <v>183</v>
      </c>
      <c r="M188" s="297" t="str">
        <f t="shared" ca="1" si="7"/>
        <v>OK</v>
      </c>
    </row>
    <row r="189" spans="1:13" x14ac:dyDescent="0.2">
      <c r="A189" s="297" t="s">
        <v>526</v>
      </c>
      <c r="B189" s="298" t="s">
        <v>183</v>
      </c>
      <c r="C189" s="297" t="str">
        <f>IF(Forside!$D$12="Dansk",Tekstnøgler!E189,Tekstnøgler!G189)</f>
        <v>Brug af solgte og udlejede produkter med egne emissionsfaktorer</v>
      </c>
      <c r="D189" s="298" t="s">
        <v>183</v>
      </c>
      <c r="E189" s="299" t="s">
        <v>1723</v>
      </c>
      <c r="F189" s="298" t="s">
        <v>183</v>
      </c>
      <c r="G189" s="300" t="s">
        <v>1724</v>
      </c>
      <c r="H189" s="298" t="s">
        <v>183</v>
      </c>
      <c r="I189" s="297" t="s">
        <v>161</v>
      </c>
      <c r="J189" s="297" t="s">
        <v>527</v>
      </c>
      <c r="K189" s="297" t="str" cm="1">
        <f t="array" aca="1" ref="K189" ca="1">INDIRECT("'"&amp;I189&amp;"'!"&amp;J189)</f>
        <v>Brug af solgte og udlejede produkter med egne emissionsfaktorer</v>
      </c>
      <c r="L189" s="298" t="s">
        <v>183</v>
      </c>
      <c r="M189" s="297" t="str">
        <f t="shared" ca="1" si="7"/>
        <v>OK</v>
      </c>
    </row>
    <row r="190" spans="1:13" x14ac:dyDescent="0.2">
      <c r="A190" s="298" t="s">
        <v>528</v>
      </c>
      <c r="B190" s="298" t="s">
        <v>183</v>
      </c>
      <c r="C190" s="297" t="str">
        <f>IF(Forside!$D$12="Dansk",Tekstnøgler!E190,Tekstnøgler!G190)</f>
        <v>End-of-life behandling</v>
      </c>
      <c r="D190" s="298" t="s">
        <v>183</v>
      </c>
      <c r="E190" s="299" t="s">
        <v>529</v>
      </c>
      <c r="F190" s="298" t="s">
        <v>183</v>
      </c>
      <c r="G190" s="300" t="s">
        <v>530</v>
      </c>
      <c r="H190" s="298" t="s">
        <v>183</v>
      </c>
      <c r="I190" s="297" t="s">
        <v>161</v>
      </c>
      <c r="J190" s="297" t="s">
        <v>531</v>
      </c>
      <c r="K190" s="297" t="str" cm="1">
        <f t="array" aca="1" ref="K190" ca="1">INDIRECT("'"&amp;I190&amp;"'!"&amp;J190)</f>
        <v>End-of-life behandling</v>
      </c>
      <c r="L190" s="298" t="s">
        <v>183</v>
      </c>
      <c r="M190" s="297" t="str">
        <f t="shared" ca="1" si="7"/>
        <v>OK</v>
      </c>
    </row>
    <row r="191" spans="1:13" x14ac:dyDescent="0.2">
      <c r="A191" s="297" t="s">
        <v>532</v>
      </c>
      <c r="B191" s="298" t="s">
        <v>183</v>
      </c>
      <c r="C191" s="297" t="str">
        <f>IF(Forside!$D$12="Dansk",Tekstnøgler!E191,Tekstnøgler!G191)</f>
        <v>Håndtering af affaldsprodukt</v>
      </c>
      <c r="D191" s="298" t="s">
        <v>183</v>
      </c>
      <c r="E191" s="299" t="s">
        <v>1725</v>
      </c>
      <c r="F191" s="298" t="s">
        <v>183</v>
      </c>
      <c r="G191" s="300" t="s">
        <v>1726</v>
      </c>
      <c r="H191" s="298" t="s">
        <v>183</v>
      </c>
      <c r="I191" s="297" t="s">
        <v>161</v>
      </c>
      <c r="J191" s="297" t="s">
        <v>533</v>
      </c>
      <c r="K191" s="297" t="str" cm="1">
        <f t="array" aca="1" ref="K191" ca="1">INDIRECT("'"&amp;I191&amp;"'!"&amp;J191)</f>
        <v>Håndtering af affaldsprodukt</v>
      </c>
      <c r="L191" s="298" t="s">
        <v>183</v>
      </c>
      <c r="M191" s="297" t="str">
        <f t="shared" ca="1" si="7"/>
        <v>OK</v>
      </c>
    </row>
    <row r="192" spans="1:13" x14ac:dyDescent="0.2">
      <c r="A192" s="297" t="s">
        <v>534</v>
      </c>
      <c r="B192" s="298" t="s">
        <v>183</v>
      </c>
      <c r="C192" s="297" t="str">
        <f>IF(Forside!$D$12="Dansk",Tekstnøgler!E192,Tekstnøgler!G192)</f>
        <v>Håndtering af affaldsprodukt med egne emissionsfaktorer</v>
      </c>
      <c r="D192" s="298" t="s">
        <v>183</v>
      </c>
      <c r="E192" s="299" t="s">
        <v>1727</v>
      </c>
      <c r="F192" s="298" t="s">
        <v>183</v>
      </c>
      <c r="G192" s="300" t="s">
        <v>1728</v>
      </c>
      <c r="H192" s="298" t="s">
        <v>183</v>
      </c>
      <c r="I192" s="297" t="s">
        <v>161</v>
      </c>
      <c r="J192" s="298" t="s">
        <v>535</v>
      </c>
      <c r="K192" s="297" t="str" cm="1">
        <f t="array" aca="1" ref="K192" ca="1">INDIRECT("'"&amp;I192&amp;"'!"&amp;J192)</f>
        <v>Håndtering af affaldsprodukt med egne emissionsfaktorer</v>
      </c>
      <c r="L192" s="298" t="s">
        <v>183</v>
      </c>
      <c r="M192" s="297" t="str">
        <f t="shared" ca="1" si="7"/>
        <v>OK</v>
      </c>
    </row>
    <row r="193" spans="1:13" x14ac:dyDescent="0.2">
      <c r="A193" s="297" t="s">
        <v>536</v>
      </c>
      <c r="B193" s="298" t="s">
        <v>183</v>
      </c>
      <c r="C193" s="297" t="str">
        <f>IF(Forside!$D$12="Dansk",Tekstnøgler!E193,Tekstnøgler!G193)</f>
        <v>Andet udledning ved solgte og udlejede produkter</v>
      </c>
      <c r="D193" s="298" t="s">
        <v>183</v>
      </c>
      <c r="E193" s="299" t="s">
        <v>1729</v>
      </c>
      <c r="F193" s="298" t="s">
        <v>183</v>
      </c>
      <c r="G193" s="300" t="s">
        <v>1730</v>
      </c>
      <c r="H193" s="298" t="s">
        <v>183</v>
      </c>
      <c r="I193" s="297" t="s">
        <v>161</v>
      </c>
      <c r="J193" s="298" t="s">
        <v>538</v>
      </c>
      <c r="K193" s="297" t="str" cm="1">
        <f t="array" aca="1" ref="K193" ca="1">INDIRECT("'"&amp;I193&amp;"'!"&amp;J193)</f>
        <v>Andet udledning ved solgte og udlejede produkter</v>
      </c>
      <c r="L193" s="298" t="s">
        <v>183</v>
      </c>
      <c r="M193" s="297" t="str">
        <f t="shared" ref="M193" ca="1" si="8">IF(C193=K193,"OK","Reference fejl")</f>
        <v>OK</v>
      </c>
    </row>
    <row r="194" spans="1:13" x14ac:dyDescent="0.2">
      <c r="B194" s="298" t="s">
        <v>183</v>
      </c>
      <c r="D194" s="298" t="s">
        <v>183</v>
      </c>
      <c r="F194" s="298" t="s">
        <v>183</v>
      </c>
      <c r="H194" s="298" t="s">
        <v>183</v>
      </c>
      <c r="J194" s="298"/>
      <c r="L194" s="298"/>
    </row>
    <row r="195" spans="1:13" x14ac:dyDescent="0.2">
      <c r="B195" s="298" t="s">
        <v>183</v>
      </c>
      <c r="D195" s="298" t="s">
        <v>183</v>
      </c>
      <c r="F195" s="298" t="s">
        <v>183</v>
      </c>
      <c r="H195" s="298" t="s">
        <v>183</v>
      </c>
      <c r="L195" s="298" t="s">
        <v>183</v>
      </c>
    </row>
    <row r="196" spans="1:13" x14ac:dyDescent="0.2">
      <c r="A196" s="297" t="s">
        <v>539</v>
      </c>
      <c r="B196" s="298" t="s">
        <v>183</v>
      </c>
      <c r="C196" s="297" t="str">
        <f>IF(Forside!$D$12="Dansk",Tekstnøgler!E196,Tekstnøgler!G196)</f>
        <v>Resultat (GHG)</v>
      </c>
      <c r="D196" s="298" t="s">
        <v>183</v>
      </c>
      <c r="E196" s="299" t="s">
        <v>540</v>
      </c>
      <c r="F196" s="298" t="s">
        <v>183</v>
      </c>
      <c r="G196" s="300" t="s">
        <v>541</v>
      </c>
      <c r="H196" s="298" t="s">
        <v>183</v>
      </c>
      <c r="I196" s="297" t="s">
        <v>162</v>
      </c>
      <c r="J196" s="297" t="s">
        <v>542</v>
      </c>
      <c r="K196" s="297" t="str" cm="1">
        <f t="array" aca="1" ref="K196" ca="1">INDIRECT("'"&amp;I196&amp;"'!"&amp;J196)</f>
        <v>Resultat (GHG)</v>
      </c>
      <c r="L196" s="298" t="s">
        <v>183</v>
      </c>
      <c r="M196" s="297" t="str">
        <f t="shared" ref="M196" ca="1" si="9">IF(C196=K196,"OK","Reference fejl")</f>
        <v>OK</v>
      </c>
    </row>
    <row r="197" spans="1:13" x14ac:dyDescent="0.2">
      <c r="A197" s="297" t="s">
        <v>543</v>
      </c>
      <c r="B197" s="298" t="s">
        <v>183</v>
      </c>
      <c r="C197" s="297" t="str">
        <f>IF(Forside!$D$12="Dansk",Tekstnøgler!E197,Tekstnøgler!G197)</f>
        <v>Hovedresultater (GHG)</v>
      </c>
      <c r="D197" s="298" t="s">
        <v>183</v>
      </c>
      <c r="E197" s="299" t="s">
        <v>162</v>
      </c>
      <c r="F197" s="298" t="s">
        <v>183</v>
      </c>
      <c r="G197" s="300" t="s">
        <v>211</v>
      </c>
      <c r="H197" s="298" t="s">
        <v>183</v>
      </c>
      <c r="I197" s="297" t="s">
        <v>162</v>
      </c>
      <c r="J197" s="297" t="s">
        <v>339</v>
      </c>
      <c r="K197" s="297" t="str" cm="1">
        <f t="array" aca="1" ref="K197" ca="1">INDIRECT("'"&amp;I197&amp;"'!"&amp;J197)</f>
        <v>Hovedresultater (GHG)</v>
      </c>
      <c r="L197" s="298" t="s">
        <v>183</v>
      </c>
      <c r="M197" s="297" t="str">
        <f t="shared" ref="M197:M206" ca="1" si="10">IF(C197=K197,"OK","Reference fejl")</f>
        <v>OK</v>
      </c>
    </row>
    <row r="198" spans="1:13" x14ac:dyDescent="0.2">
      <c r="A198" s="297" t="s">
        <v>544</v>
      </c>
      <c r="B198" s="298" t="s">
        <v>183</v>
      </c>
      <c r="C198" s="297" t="str">
        <f>IF(Forside!$D$12="Dansk",Tekstnøgler!E198,Tekstnøgler!G198)</f>
        <v>Virksomhedens samlede CO₂e-udledning er angivet i tabel 1. CO₂e-udledningen er angivet i ton CO₂-ækvivalenter, og tabellen viser udledningen fordelt på scope 1, 2 og 3 jf. GHG-protokollen. Udledningen udenfor scopes medregnes ikke jf. GHG-protokollen og indgår derfor ikke i totalen.</v>
      </c>
      <c r="D198" s="298" t="s">
        <v>183</v>
      </c>
      <c r="E198" s="299" t="s">
        <v>1731</v>
      </c>
      <c r="F198" s="298" t="s">
        <v>183</v>
      </c>
      <c r="G198" s="300" t="s">
        <v>1732</v>
      </c>
      <c r="H198" s="298" t="s">
        <v>183</v>
      </c>
      <c r="I198" s="297" t="s">
        <v>162</v>
      </c>
      <c r="J198" s="297" t="s">
        <v>203</v>
      </c>
      <c r="K198" s="297" t="str" cm="1">
        <f t="array" aca="1" ref="K198" ca="1">INDIRECT("'"&amp;I198&amp;"'!"&amp;J198)</f>
        <v>Virksomhedens samlede CO₂e-udledning er angivet i tabel 1. CO₂e-udledningen er angivet i ton CO₂-ækvivalenter, og tabellen viser udledningen fordelt på scope 1, 2 og 3 jf. GHG-protokollen. Udledningen udenfor scopes medregnes ikke jf. GHG-protokollen og indgår derfor ikke i totalen.</v>
      </c>
      <c r="L198" s="298" t="s">
        <v>183</v>
      </c>
      <c r="M198" s="297" t="str">
        <f t="shared" ca="1" si="10"/>
        <v>OK</v>
      </c>
    </row>
    <row r="199" spans="1:13" x14ac:dyDescent="0.2">
      <c r="A199" s="297" t="s">
        <v>545</v>
      </c>
      <c r="B199" s="298" t="s">
        <v>183</v>
      </c>
      <c r="C199" s="297" t="str">
        <f>IF(Forside!$D$12="Dansk",Tekstnøgler!E199,Tekstnøgler!G199)</f>
        <v>Tabel 1: Oversigt over virksomhedens samlede CO₂e-udledninger</v>
      </c>
      <c r="D199" s="298" t="s">
        <v>183</v>
      </c>
      <c r="E199" s="299" t="s">
        <v>1733</v>
      </c>
      <c r="F199" s="298" t="s">
        <v>183</v>
      </c>
      <c r="G199" s="300" t="s">
        <v>1734</v>
      </c>
      <c r="H199" s="298" t="s">
        <v>183</v>
      </c>
      <c r="I199" s="297" t="s">
        <v>162</v>
      </c>
      <c r="J199" s="297" t="s">
        <v>204</v>
      </c>
      <c r="K199" s="297" t="str" cm="1">
        <f t="array" aca="1" ref="K199" ca="1">INDIRECT("'"&amp;I199&amp;"'!"&amp;J199)</f>
        <v>Tabel 1: Oversigt over virksomhedens samlede CO₂e-udledninger</v>
      </c>
      <c r="L199" s="298" t="s">
        <v>183</v>
      </c>
      <c r="M199" s="297" t="str">
        <f t="shared" ca="1" si="10"/>
        <v>OK</v>
      </c>
    </row>
    <row r="200" spans="1:13" x14ac:dyDescent="0.2">
      <c r="A200" s="297" t="s">
        <v>546</v>
      </c>
      <c r="B200" s="298" t="s">
        <v>183</v>
      </c>
      <c r="C200" s="297" t="str">
        <f>IF(Forside!$D$12="Dansk",Tekstnøgler!E200,Tekstnøgler!G200)</f>
        <v>Scope</v>
      </c>
      <c r="D200" s="298" t="s">
        <v>183</v>
      </c>
      <c r="E200" s="299" t="s">
        <v>547</v>
      </c>
      <c r="F200" s="298" t="s">
        <v>183</v>
      </c>
      <c r="G200" s="300" t="s">
        <v>547</v>
      </c>
      <c r="H200" s="298" t="s">
        <v>183</v>
      </c>
      <c r="I200" s="297" t="s">
        <v>162</v>
      </c>
      <c r="J200" s="297" t="s">
        <v>342</v>
      </c>
      <c r="K200" s="297" t="str" cm="1">
        <f t="array" aca="1" ref="K200" ca="1">INDIRECT("'"&amp;I200&amp;"'!"&amp;J200)</f>
        <v>Scope</v>
      </c>
      <c r="L200" s="298" t="s">
        <v>183</v>
      </c>
      <c r="M200" s="297" t="str">
        <f t="shared" ca="1" si="10"/>
        <v>OK</v>
      </c>
    </row>
    <row r="201" spans="1:13" x14ac:dyDescent="0.2">
      <c r="A201" s="298" t="s">
        <v>548</v>
      </c>
      <c r="B201" s="298" t="s">
        <v>183</v>
      </c>
      <c r="C201" s="297" t="str">
        <f>IF(Forside!$D$12="Dansk",Tekstnøgler!E201,Tekstnøgler!G201)</f>
        <v>Ton CO₂e</v>
      </c>
      <c r="D201" s="298" t="s">
        <v>183</v>
      </c>
      <c r="E201" s="299" t="s">
        <v>1657</v>
      </c>
      <c r="F201" s="298" t="s">
        <v>183</v>
      </c>
      <c r="G201" s="300" t="s">
        <v>1657</v>
      </c>
      <c r="H201" s="298" t="s">
        <v>183</v>
      </c>
      <c r="I201" s="297" t="s">
        <v>162</v>
      </c>
      <c r="J201" s="297" t="s">
        <v>549</v>
      </c>
      <c r="K201" s="297" t="str" cm="1">
        <f t="array" aca="1" ref="K201" ca="1">INDIRECT("'"&amp;I201&amp;"'!"&amp;J201)</f>
        <v>Ton CO₂e</v>
      </c>
      <c r="L201" s="298" t="s">
        <v>183</v>
      </c>
      <c r="M201" s="297" t="str">
        <f t="shared" ca="1" si="10"/>
        <v>OK</v>
      </c>
    </row>
    <row r="202" spans="1:13" x14ac:dyDescent="0.2">
      <c r="A202" s="297" t="s">
        <v>550</v>
      </c>
      <c r="B202" s="298" t="s">
        <v>183</v>
      </c>
      <c r="C202" s="297" t="str">
        <f>IF(Forside!$D$12="Dansk",Tekstnøgler!E202,Tekstnøgler!G202)</f>
        <v>Andel af udledning</v>
      </c>
      <c r="D202" s="298" t="s">
        <v>183</v>
      </c>
      <c r="E202" s="299" t="s">
        <v>551</v>
      </c>
      <c r="F202" s="298" t="s">
        <v>183</v>
      </c>
      <c r="G202" s="300" t="s">
        <v>1735</v>
      </c>
      <c r="H202" s="298" t="s">
        <v>183</v>
      </c>
      <c r="I202" s="297" t="s">
        <v>162</v>
      </c>
      <c r="J202" s="297" t="s">
        <v>552</v>
      </c>
      <c r="K202" s="297" t="str" cm="1">
        <f t="array" aca="1" ref="K202" ca="1">INDIRECT("'"&amp;I202&amp;"'!"&amp;J202)</f>
        <v>Andel af udledning</v>
      </c>
      <c r="L202" s="298" t="s">
        <v>183</v>
      </c>
      <c r="M202" s="297" t="str">
        <f t="shared" ca="1" si="10"/>
        <v>OK</v>
      </c>
    </row>
    <row r="203" spans="1:13" x14ac:dyDescent="0.2">
      <c r="A203" s="297" t="s">
        <v>553</v>
      </c>
      <c r="B203" s="298" t="s">
        <v>183</v>
      </c>
      <c r="C203" s="297" t="str">
        <f>IF(Forside!$D$12="Dansk",Tekstnøgler!E203,Tekstnøgler!G203)</f>
        <v>Scope 1</v>
      </c>
      <c r="D203" s="298" t="s">
        <v>183</v>
      </c>
      <c r="E203" s="299" t="s">
        <v>554</v>
      </c>
      <c r="F203" s="298" t="s">
        <v>183</v>
      </c>
      <c r="G203" s="300" t="s">
        <v>554</v>
      </c>
      <c r="H203" s="298" t="s">
        <v>183</v>
      </c>
      <c r="I203" s="297" t="s">
        <v>162</v>
      </c>
      <c r="J203" s="297" t="s">
        <v>346</v>
      </c>
      <c r="K203" s="297" t="str" cm="1">
        <f t="array" aca="1" ref="K203" ca="1">INDIRECT("'"&amp;I203&amp;"'!"&amp;J203)</f>
        <v>Scope 1</v>
      </c>
      <c r="L203" s="298" t="s">
        <v>183</v>
      </c>
      <c r="M203" s="297" t="str">
        <f t="shared" ca="1" si="10"/>
        <v>OK</v>
      </c>
    </row>
    <row r="204" spans="1:13" x14ac:dyDescent="0.2">
      <c r="A204" s="297" t="s">
        <v>555</v>
      </c>
      <c r="B204" s="298" t="s">
        <v>183</v>
      </c>
      <c r="C204" s="297" t="str">
        <f>IF(Forside!$D$12="Dansk",Tekstnøgler!E204,Tekstnøgler!G204)</f>
        <v>Scope 2</v>
      </c>
      <c r="D204" s="298" t="s">
        <v>183</v>
      </c>
      <c r="E204" s="299" t="s">
        <v>556</v>
      </c>
      <c r="F204" s="298" t="s">
        <v>183</v>
      </c>
      <c r="G204" s="300" t="s">
        <v>556</v>
      </c>
      <c r="H204" s="298" t="s">
        <v>183</v>
      </c>
      <c r="I204" s="297" t="s">
        <v>162</v>
      </c>
      <c r="J204" s="297" t="s">
        <v>208</v>
      </c>
      <c r="K204" s="297" t="str" cm="1">
        <f t="array" aca="1" ref="K204" ca="1">INDIRECT("'"&amp;I204&amp;"'!"&amp;J204)</f>
        <v>Scope 2</v>
      </c>
      <c r="L204" s="298" t="s">
        <v>183</v>
      </c>
      <c r="M204" s="297" t="str">
        <f t="shared" ca="1" si="10"/>
        <v>OK</v>
      </c>
    </row>
    <row r="205" spans="1:13" x14ac:dyDescent="0.2">
      <c r="A205" s="297" t="s">
        <v>557</v>
      </c>
      <c r="B205" s="298" t="s">
        <v>183</v>
      </c>
      <c r="C205" s="297" t="str">
        <f>IF(Forside!$D$12="Dansk",Tekstnøgler!E205,Tekstnøgler!G205)</f>
        <v>Scope 3</v>
      </c>
      <c r="D205" s="298" t="s">
        <v>183</v>
      </c>
      <c r="E205" s="299" t="s">
        <v>558</v>
      </c>
      <c r="F205" s="298" t="s">
        <v>183</v>
      </c>
      <c r="G205" s="300" t="s">
        <v>558</v>
      </c>
      <c r="H205" s="298" t="s">
        <v>183</v>
      </c>
      <c r="I205" s="297" t="s">
        <v>162</v>
      </c>
      <c r="J205" s="297" t="s">
        <v>210</v>
      </c>
      <c r="K205" s="297" t="str" cm="1">
        <f t="array" aca="1" ref="K205" ca="1">INDIRECT("'"&amp;I205&amp;"'!"&amp;J205)</f>
        <v>Scope 3</v>
      </c>
      <c r="L205" s="298" t="s">
        <v>183</v>
      </c>
      <c r="M205" s="297" t="str">
        <f t="shared" ca="1" si="10"/>
        <v>OK</v>
      </c>
    </row>
    <row r="206" spans="1:13" x14ac:dyDescent="0.2">
      <c r="A206" s="297" t="s">
        <v>364</v>
      </c>
      <c r="B206" s="298" t="s">
        <v>183</v>
      </c>
      <c r="C206" s="297" t="str">
        <f>IF(Forside!$D$12="Dansk",Tekstnøgler!E206,Tekstnøgler!G206)</f>
        <v>Total</v>
      </c>
      <c r="D206" s="298" t="s">
        <v>183</v>
      </c>
      <c r="E206" s="299" t="s">
        <v>761</v>
      </c>
      <c r="F206" s="298" t="s">
        <v>183</v>
      </c>
      <c r="G206" s="300" t="s">
        <v>761</v>
      </c>
      <c r="H206" s="298" t="s">
        <v>183</v>
      </c>
      <c r="I206" s="297" t="s">
        <v>162</v>
      </c>
      <c r="J206" s="297" t="s">
        <v>212</v>
      </c>
      <c r="K206" s="297" t="str" cm="1">
        <f t="array" aca="1" ref="K206" ca="1">INDIRECT("'"&amp;I206&amp;"'!"&amp;J206)</f>
        <v>Total</v>
      </c>
      <c r="L206" s="298" t="s">
        <v>183</v>
      </c>
      <c r="M206" s="297" t="str">
        <f t="shared" ca="1" si="10"/>
        <v>OK</v>
      </c>
    </row>
    <row r="207" spans="1:13" x14ac:dyDescent="0.2">
      <c r="A207" s="297" t="s">
        <v>559</v>
      </c>
      <c r="B207" s="298" t="s">
        <v>183</v>
      </c>
      <c r="C207" s="297" t="str">
        <f>IF(Forside!$D$12="Dansk",Tekstnøgler!E207,Tekstnøgler!G207)</f>
        <v>Opsummering af virksomhedens beregnede CO2e-udledning</v>
      </c>
      <c r="D207" s="298" t="s">
        <v>183</v>
      </c>
      <c r="E207" s="299" t="s">
        <v>366</v>
      </c>
      <c r="F207" s="298" t="s">
        <v>183</v>
      </c>
      <c r="G207" s="300" t="s">
        <v>1736</v>
      </c>
      <c r="H207" s="298" t="s">
        <v>183</v>
      </c>
      <c r="I207" s="297" t="s">
        <v>162</v>
      </c>
      <c r="J207" s="297" t="s">
        <v>218</v>
      </c>
      <c r="K207" s="297" t="str" cm="1">
        <f t="array" aca="1" ref="K207" ca="1">INDIRECT("'"&amp;I207&amp;"'!"&amp;J207)</f>
        <v>Opsummering af virksomhedens beregnede CO2e-udledning</v>
      </c>
      <c r="L207" s="298" t="s">
        <v>183</v>
      </c>
      <c r="M207" s="297" t="str">
        <f t="shared" ref="M207:M224" ca="1" si="11">IF(C207=K207,"OK","Reference fejl")</f>
        <v>OK</v>
      </c>
    </row>
    <row r="208" spans="1:13" x14ac:dyDescent="0.2">
      <c r="A208" s="297" t="s">
        <v>560</v>
      </c>
      <c r="B208" s="298" t="s">
        <v>183</v>
      </c>
      <c r="C208" s="297" t="str">
        <f>IF(Forside!$D$12="Dansk",Tekstnøgler!E208,Tekstnøgler!G208)</f>
        <v xml:space="preserve">Nedenstående figurer viser grafiske fremstillinger af virksomhedens beregnede CO₂e-udledning. Figur 1 angiver virksomhedens absolutte udledning i ton CO₂-ækvivalenter fordelt på scope 1, 2, og 3. Figur 2 viser den procentuelle fordeling af CO₂e-udledningen fordelt på scope 1, 2 og 3. 			</v>
      </c>
      <c r="D208" s="298" t="s">
        <v>183</v>
      </c>
      <c r="E208" s="299" t="s">
        <v>1737</v>
      </c>
      <c r="F208" s="298" t="s">
        <v>183</v>
      </c>
      <c r="G208" s="300" t="s">
        <v>1738</v>
      </c>
      <c r="H208" s="298" t="s">
        <v>183</v>
      </c>
      <c r="I208" s="297" t="s">
        <v>162</v>
      </c>
      <c r="J208" s="297" t="s">
        <v>403</v>
      </c>
      <c r="K208" s="297" t="str" cm="1">
        <f t="array" aca="1" ref="K208" ca="1">INDIRECT("'"&amp;I208&amp;"'!"&amp;J208)</f>
        <v xml:space="preserve">Nedenstående figurer viser grafiske fremstillinger af virksomhedens beregnede CO₂e-udledning. Figur 1 angiver virksomhedens absolutte udledning i ton CO₂-ækvivalenter fordelt på scope 1, 2, og 3. Figur 2 viser den procentuelle fordeling af CO₂e-udledningen fordelt på scope 1, 2 og 3. 			</v>
      </c>
      <c r="L208" s="298" t="s">
        <v>183</v>
      </c>
      <c r="M208" s="297" t="str">
        <f t="shared" ca="1" si="11"/>
        <v>OK</v>
      </c>
    </row>
    <row r="209" spans="1:13" x14ac:dyDescent="0.2">
      <c r="A209" s="297" t="s">
        <v>561</v>
      </c>
      <c r="B209" s="298" t="s">
        <v>183</v>
      </c>
      <c r="C209" s="297" t="str">
        <f>IF(Forside!$D$12="Dansk",Tekstnøgler!E209,Tekstnøgler!G209)</f>
        <v>Figur 1: Virksomhedens samlede CO₂e-udledning i ton fordelt på scopes</v>
      </c>
      <c r="D209" s="298" t="s">
        <v>183</v>
      </c>
      <c r="E209" s="299" t="s">
        <v>1739</v>
      </c>
      <c r="F209" s="298" t="s">
        <v>183</v>
      </c>
      <c r="G209" s="300" t="s">
        <v>1740</v>
      </c>
      <c r="H209" s="298" t="s">
        <v>183</v>
      </c>
      <c r="I209" s="297" t="s">
        <v>162</v>
      </c>
      <c r="J209" s="297" t="s">
        <v>405</v>
      </c>
      <c r="K209" s="297" t="str" cm="1">
        <f t="array" aca="1" ref="K209" ca="1">INDIRECT("'"&amp;I209&amp;"'!"&amp;J209)</f>
        <v>Figur 1: Virksomhedens samlede CO₂e-udledning i ton fordelt på scopes</v>
      </c>
      <c r="L209" s="298" t="s">
        <v>183</v>
      </c>
      <c r="M209" s="297" t="str">
        <f t="shared" ca="1" si="11"/>
        <v>OK</v>
      </c>
    </row>
    <row r="210" spans="1:13" x14ac:dyDescent="0.2">
      <c r="A210" s="297" t="s">
        <v>562</v>
      </c>
      <c r="B210" s="298" t="s">
        <v>183</v>
      </c>
      <c r="C210" s="297" t="str">
        <f>IF(Forside!$D$12="Dansk",Tekstnøgler!E210,Tekstnøgler!G210)</f>
        <v>Figur 2: Procentfordeling af CO₂e-udledning fordelt på scopes</v>
      </c>
      <c r="D210" s="298" t="s">
        <v>183</v>
      </c>
      <c r="E210" s="299" t="s">
        <v>1741</v>
      </c>
      <c r="F210" s="298" t="s">
        <v>183</v>
      </c>
      <c r="G210" s="300" t="s">
        <v>1742</v>
      </c>
      <c r="H210" s="298" t="s">
        <v>183</v>
      </c>
      <c r="I210" s="297" t="s">
        <v>162</v>
      </c>
      <c r="J210" s="297" t="s">
        <v>563</v>
      </c>
      <c r="K210" s="297" t="str" cm="1">
        <f t="array" aca="1" ref="K210" ca="1">INDIRECT("'"&amp;I210&amp;"'!"&amp;J210)</f>
        <v>Figur 2: Procentfordeling af CO₂e-udledning fordelt på scopes</v>
      </c>
      <c r="L210" s="298" t="s">
        <v>183</v>
      </c>
      <c r="M210" s="297" t="str">
        <f t="shared" ca="1" si="11"/>
        <v>OK</v>
      </c>
    </row>
    <row r="211" spans="1:13" x14ac:dyDescent="0.2">
      <c r="A211" s="297" t="s">
        <v>293</v>
      </c>
      <c r="B211" s="298" t="s">
        <v>183</v>
      </c>
      <c r="C211" s="297" t="str">
        <f>IF(Forside!$D$12="Dansk",Tekstnøgler!E211,Tekstnøgler!G211)</f>
        <v>Nøgletal</v>
      </c>
      <c r="D211" s="298" t="s">
        <v>183</v>
      </c>
      <c r="E211" s="299" t="s">
        <v>294</v>
      </c>
      <c r="F211" s="298" t="s">
        <v>183</v>
      </c>
      <c r="G211" s="300" t="s">
        <v>1607</v>
      </c>
      <c r="H211" s="298" t="s">
        <v>183</v>
      </c>
      <c r="I211" s="297" t="s">
        <v>162</v>
      </c>
      <c r="J211" s="297" t="s">
        <v>436</v>
      </c>
      <c r="K211" s="297" t="str" cm="1">
        <f t="array" aca="1" ref="K211" ca="1">INDIRECT("'"&amp;I211&amp;"'!"&amp;J211)</f>
        <v>Nøgletal</v>
      </c>
      <c r="L211" s="298" t="s">
        <v>183</v>
      </c>
      <c r="M211" s="297" t="str">
        <f t="shared" ca="1" si="11"/>
        <v>OK</v>
      </c>
    </row>
    <row r="212" spans="1:13" x14ac:dyDescent="0.2">
      <c r="A212" s="297" t="s">
        <v>375</v>
      </c>
      <c r="B212" s="298" t="s">
        <v>183</v>
      </c>
      <c r="C212" s="297" t="str">
        <f>IF(Forside!$D$12="Dansk",Tekstnøgler!E212,Tekstnøgler!G212)</f>
        <v>Denne tabel viser beregninger af nøgletal i tilfælde af, at der under Stamdata er indtastet data for hhv. antal fuldtidsansatte i virksomheden, nettoomsætning og areal.</v>
      </c>
      <c r="D212" s="298" t="s">
        <v>183</v>
      </c>
      <c r="E212" s="299" t="s">
        <v>1136</v>
      </c>
      <c r="F212" s="298" t="s">
        <v>183</v>
      </c>
      <c r="G212" s="300" t="s">
        <v>1656</v>
      </c>
      <c r="H212" s="298" t="s">
        <v>183</v>
      </c>
      <c r="I212" s="297" t="s">
        <v>162</v>
      </c>
      <c r="J212" s="297" t="s">
        <v>442</v>
      </c>
      <c r="K212" s="297" t="str" cm="1">
        <f t="array" aca="1" ref="K212" ca="1">INDIRECT("'"&amp;I212&amp;"'!"&amp;J212)</f>
        <v>Denne tabel viser beregninger af nøgletal i tilfælde af, at der under Stamdata er indtastet data for hhv. antal fuldtidsansatte i virksomheden, nettoomsætning og areal.</v>
      </c>
      <c r="L212" s="298" t="s">
        <v>183</v>
      </c>
      <c r="M212" s="297" t="str">
        <f t="shared" ca="1" si="11"/>
        <v>OK</v>
      </c>
    </row>
    <row r="213" spans="1:13" x14ac:dyDescent="0.2">
      <c r="A213" s="297" t="s">
        <v>377</v>
      </c>
      <c r="B213" s="298" t="s">
        <v>183</v>
      </c>
      <c r="C213" s="297" t="str">
        <f>IF(Forside!$D$12="Dansk",Tekstnøgler!E213,Tekstnøgler!G213)</f>
        <v>Nøgletalsberegninger</v>
      </c>
      <c r="D213" s="298" t="s">
        <v>183</v>
      </c>
      <c r="E213" s="299" t="s">
        <v>378</v>
      </c>
      <c r="F213" s="298" t="s">
        <v>183</v>
      </c>
      <c r="G213" s="300" t="s">
        <v>379</v>
      </c>
      <c r="H213" s="298" t="s">
        <v>183</v>
      </c>
      <c r="I213" s="297" t="s">
        <v>162</v>
      </c>
      <c r="J213" s="297" t="s">
        <v>446</v>
      </c>
      <c r="K213" s="297" t="str" cm="1">
        <f t="array" aca="1" ref="K213" ca="1">INDIRECT("'"&amp;I213&amp;"'!"&amp;J213)</f>
        <v>Nøgletalsberegninger</v>
      </c>
      <c r="L213" s="298" t="s">
        <v>183</v>
      </c>
      <c r="M213" s="297" t="str">
        <f t="shared" ca="1" si="11"/>
        <v>OK</v>
      </c>
    </row>
    <row r="214" spans="1:13" x14ac:dyDescent="0.2">
      <c r="A214" s="297" t="s">
        <v>564</v>
      </c>
      <c r="B214" s="298" t="s">
        <v>183</v>
      </c>
      <c r="C214" s="297" t="str">
        <f>IF(Forside!$D$12="Dansk",Tekstnøgler!E214,Tekstnøgler!G214)</f>
        <v>Ton CO₂e</v>
      </c>
      <c r="D214" s="298" t="s">
        <v>183</v>
      </c>
      <c r="E214" s="299" t="s">
        <v>1657</v>
      </c>
      <c r="F214" s="298" t="s">
        <v>183</v>
      </c>
      <c r="G214" s="300" t="s">
        <v>1657</v>
      </c>
      <c r="H214" s="298" t="s">
        <v>183</v>
      </c>
      <c r="I214" s="297" t="s">
        <v>162</v>
      </c>
      <c r="J214" s="297" t="s">
        <v>565</v>
      </c>
      <c r="K214" s="297" t="str" cm="1">
        <f t="array" aca="1" ref="K214" ca="1">INDIRECT("'"&amp;I214&amp;"'!"&amp;J214)</f>
        <v>Ton CO₂e</v>
      </c>
      <c r="L214" s="298" t="s">
        <v>183</v>
      </c>
      <c r="M214" s="297" t="str">
        <f t="shared" ca="1" si="11"/>
        <v>OK</v>
      </c>
    </row>
    <row r="215" spans="1:13" x14ac:dyDescent="0.2">
      <c r="A215" s="297" t="s">
        <v>566</v>
      </c>
      <c r="B215" s="298" t="s">
        <v>183</v>
      </c>
      <c r="C215" s="297" t="str">
        <f>IF(Forside!$D$12="Dansk",Tekstnøgler!E215,Tekstnøgler!G215)</f>
        <v>CO₂e pr. ansat</v>
      </c>
      <c r="D215" s="298" t="s">
        <v>183</v>
      </c>
      <c r="E215" s="299" t="s">
        <v>1658</v>
      </c>
      <c r="F215" s="298" t="s">
        <v>183</v>
      </c>
      <c r="G215" s="300" t="s">
        <v>1743</v>
      </c>
      <c r="H215" s="298" t="s">
        <v>183</v>
      </c>
      <c r="I215" s="297" t="s">
        <v>162</v>
      </c>
      <c r="J215" s="297" t="s">
        <v>448</v>
      </c>
      <c r="K215" s="297" t="str" cm="1">
        <f t="array" aca="1" ref="K215" ca="1">INDIRECT("'"&amp;I215&amp;"'!"&amp;J215)</f>
        <v>CO₂e pr. ansat</v>
      </c>
      <c r="L215" s="298" t="s">
        <v>183</v>
      </c>
      <c r="M215" s="297" t="str">
        <f t="shared" ca="1" si="11"/>
        <v>OK</v>
      </c>
    </row>
    <row r="216" spans="1:13" x14ac:dyDescent="0.2">
      <c r="A216" s="297" t="s">
        <v>567</v>
      </c>
      <c r="B216" s="298" t="s">
        <v>183</v>
      </c>
      <c r="C216" s="297" t="str">
        <f>IF(Forside!$D$12="Dansk",Tekstnøgler!E216,Tekstnøgler!G216)</f>
        <v>CO₂e pr. mio. kr. nettoomsætning</v>
      </c>
      <c r="D216" s="298" t="s">
        <v>183</v>
      </c>
      <c r="E216" s="299" t="s">
        <v>1660</v>
      </c>
      <c r="F216" s="298" t="s">
        <v>183</v>
      </c>
      <c r="G216" s="300" t="s">
        <v>1744</v>
      </c>
      <c r="H216" s="298" t="s">
        <v>183</v>
      </c>
      <c r="I216" s="297" t="s">
        <v>162</v>
      </c>
      <c r="J216" s="297" t="s">
        <v>450</v>
      </c>
      <c r="K216" s="297" t="str" cm="1">
        <f t="array" aca="1" ref="K216" ca="1">INDIRECT("'"&amp;I216&amp;"'!"&amp;J216)</f>
        <v>CO₂e pr. mio. kr. nettoomsætning</v>
      </c>
      <c r="L216" s="298" t="s">
        <v>183</v>
      </c>
      <c r="M216" s="297" t="str">
        <f t="shared" ca="1" si="11"/>
        <v>OK</v>
      </c>
    </row>
    <row r="217" spans="1:13" x14ac:dyDescent="0.2">
      <c r="A217" s="297" t="s">
        <v>568</v>
      </c>
      <c r="B217" s="298" t="s">
        <v>183</v>
      </c>
      <c r="C217" s="297" t="str">
        <f>IF(Forside!$D$12="Dansk",Tekstnøgler!E217,Tekstnøgler!G217)</f>
        <v>CO₂e pr. m2</v>
      </c>
      <c r="D217" s="298" t="s">
        <v>183</v>
      </c>
      <c r="E217" s="299" t="s">
        <v>1662</v>
      </c>
      <c r="F217" s="298" t="s">
        <v>183</v>
      </c>
      <c r="G217" s="300" t="s">
        <v>1663</v>
      </c>
      <c r="H217" s="298" t="s">
        <v>183</v>
      </c>
      <c r="I217" s="297" t="s">
        <v>162</v>
      </c>
      <c r="J217" s="297" t="s">
        <v>372</v>
      </c>
      <c r="K217" s="297" t="str" cm="1">
        <f t="array" aca="1" ref="K217" ca="1">INDIRECT("'"&amp;I217&amp;"'!"&amp;J217)</f>
        <v>CO₂e pr. m2</v>
      </c>
      <c r="L217" s="298" t="s">
        <v>183</v>
      </c>
      <c r="M217" s="297" t="str">
        <f t="shared" ca="1" si="11"/>
        <v>OK</v>
      </c>
    </row>
    <row r="218" spans="1:13" x14ac:dyDescent="0.2">
      <c r="A218" s="297" t="s">
        <v>569</v>
      </c>
      <c r="B218" s="298" t="s">
        <v>183</v>
      </c>
      <c r="C218" s="297" t="str">
        <f>IF(Forside!$D$12="Dansk",Tekstnøgler!E218,Tekstnøgler!G218)</f>
        <v>Udenfor scopes resultater</v>
      </c>
      <c r="D218" s="298" t="s">
        <v>183</v>
      </c>
      <c r="E218" s="299" t="s">
        <v>570</v>
      </c>
      <c r="F218" s="298" t="s">
        <v>183</v>
      </c>
      <c r="G218" s="300" t="s">
        <v>1745</v>
      </c>
      <c r="H218" s="298" t="s">
        <v>183</v>
      </c>
      <c r="I218" s="297" t="s">
        <v>162</v>
      </c>
      <c r="J218" s="297" t="s">
        <v>457</v>
      </c>
      <c r="K218" s="297" t="str" cm="1">
        <f t="array" aca="1" ref="K218" ca="1">INDIRECT("'"&amp;I218&amp;"'!"&amp;J218)</f>
        <v>Udenfor scopes resultater</v>
      </c>
      <c r="L218" s="298" t="s">
        <v>183</v>
      </c>
      <c r="M218" s="297" t="str">
        <f t="shared" ca="1" si="11"/>
        <v>OK</v>
      </c>
    </row>
    <row r="219" spans="1:13" x14ac:dyDescent="0.2">
      <c r="A219" s="297" t="s">
        <v>571</v>
      </c>
      <c r="B219" s="298" t="s">
        <v>183</v>
      </c>
      <c r="C219" s="297" t="str">
        <f>IF(Forside!$D$12="Dansk",Tekstnøgler!E219,Tekstnøgler!G219)</f>
        <v xml:space="preserve">I en række tilfælde vil Klimakompasset vise nogle resultater i 'udenfor scope'. Dette gælder fx biogen CO₂e-udledning fra forbrænding af biobrændsel. Dette gælder også evt. undgåede udledninger som fx undgået produktion af nye materialer ved at sende affald til genanvendelse. Jf. GHG-protokollen medregnes disse udledninger ikke under scope 1, 2 og 3 og indgår derfor ikke i totalen. </v>
      </c>
      <c r="D219" s="298" t="s">
        <v>183</v>
      </c>
      <c r="E219" s="299" t="s">
        <v>1746</v>
      </c>
      <c r="F219" s="298" t="s">
        <v>183</v>
      </c>
      <c r="G219" s="300" t="s">
        <v>1747</v>
      </c>
      <c r="H219" s="298" t="s">
        <v>183</v>
      </c>
      <c r="I219" s="297" t="s">
        <v>162</v>
      </c>
      <c r="J219" s="297" t="s">
        <v>461</v>
      </c>
      <c r="K219" s="297" t="str" cm="1">
        <f t="array" aca="1" ref="K219" ca="1">INDIRECT("'"&amp;I219&amp;"'!"&amp;J219)</f>
        <v xml:space="preserve">I en række tilfælde vil Klimakompasset vise nogle resultater i 'udenfor scope'. Dette gælder fx biogen CO₂e-udledning fra forbrænding af biobrændsel. Dette gælder også evt. undgåede udledninger som fx undgået produktion af nye materialer ved at sende affald til genanvendelse. Jf. GHG-protokollen medregnes disse udledninger ikke under scope 1, 2 og 3 og indgår derfor ikke i totalen. </v>
      </c>
      <c r="L219" s="298" t="s">
        <v>183</v>
      </c>
      <c r="M219" s="297" t="str">
        <f t="shared" ca="1" si="11"/>
        <v>OK</v>
      </c>
    </row>
    <row r="220" spans="1:13" x14ac:dyDescent="0.2">
      <c r="A220" s="297" t="s">
        <v>572</v>
      </c>
      <c r="B220" s="298" t="s">
        <v>183</v>
      </c>
      <c r="C220" s="297" t="str">
        <f>IF(Forside!$D$12="Dansk",Tekstnøgler!E220,Tekstnøgler!G220)</f>
        <v>Udenfor scopes resultater</v>
      </c>
      <c r="D220" s="298" t="s">
        <v>183</v>
      </c>
      <c r="E220" s="299" t="s">
        <v>570</v>
      </c>
      <c r="F220" s="298" t="s">
        <v>183</v>
      </c>
      <c r="G220" s="300" t="s">
        <v>1745</v>
      </c>
      <c r="H220" s="298" t="s">
        <v>183</v>
      </c>
      <c r="I220" s="297" t="s">
        <v>162</v>
      </c>
      <c r="J220" s="297" t="s">
        <v>465</v>
      </c>
      <c r="K220" s="297" t="str" cm="1">
        <f t="array" aca="1" ref="K220" ca="1">INDIRECT("'"&amp;I220&amp;"'!"&amp;J220)</f>
        <v>Udenfor scopes resultater</v>
      </c>
      <c r="L220" s="298" t="s">
        <v>183</v>
      </c>
      <c r="M220" s="297" t="str">
        <f t="shared" ca="1" si="11"/>
        <v>OK</v>
      </c>
    </row>
    <row r="221" spans="1:13" x14ac:dyDescent="0.2">
      <c r="A221" s="297" t="s">
        <v>546</v>
      </c>
      <c r="B221" s="298" t="s">
        <v>183</v>
      </c>
      <c r="C221" s="297" t="str">
        <f>IF(Forside!$D$12="Dansk",Tekstnøgler!E221,Tekstnøgler!G221)</f>
        <v>Scope</v>
      </c>
      <c r="D221" s="298" t="s">
        <v>183</v>
      </c>
      <c r="E221" s="299" t="s">
        <v>547</v>
      </c>
      <c r="F221" s="298" t="s">
        <v>183</v>
      </c>
      <c r="G221" s="300" t="s">
        <v>547</v>
      </c>
      <c r="H221" s="298" t="s">
        <v>183</v>
      </c>
      <c r="I221" s="297" t="s">
        <v>162</v>
      </c>
      <c r="J221" s="297" t="s">
        <v>466</v>
      </c>
      <c r="K221" s="297" t="str" cm="1">
        <f t="array" aca="1" ref="K221" ca="1">INDIRECT("'"&amp;I221&amp;"'!"&amp;J221)</f>
        <v>Scope</v>
      </c>
      <c r="L221" s="298" t="s">
        <v>183</v>
      </c>
      <c r="M221" s="297" t="str">
        <f t="shared" ca="1" si="11"/>
        <v>OK</v>
      </c>
    </row>
    <row r="222" spans="1:13" x14ac:dyDescent="0.2">
      <c r="A222" s="298" t="s">
        <v>548</v>
      </c>
      <c r="B222" s="298" t="s">
        <v>183</v>
      </c>
      <c r="C222" s="297" t="str">
        <f>IF(Forside!$D$12="Dansk",Tekstnøgler!E222,Tekstnøgler!G222)</f>
        <v>Ton CO₂e</v>
      </c>
      <c r="D222" s="298" t="s">
        <v>183</v>
      </c>
      <c r="E222" s="299" t="s">
        <v>1657</v>
      </c>
      <c r="F222" s="298" t="s">
        <v>183</v>
      </c>
      <c r="G222" s="300" t="s">
        <v>1657</v>
      </c>
      <c r="H222" s="298" t="s">
        <v>183</v>
      </c>
      <c r="I222" s="297" t="s">
        <v>162</v>
      </c>
      <c r="J222" s="297" t="s">
        <v>573</v>
      </c>
      <c r="K222" s="297" t="str" cm="1">
        <f t="array" aca="1" ref="K222" ca="1">INDIRECT("'"&amp;I222&amp;"'!"&amp;J222)</f>
        <v>Ton CO₂e</v>
      </c>
      <c r="L222" s="298" t="s">
        <v>183</v>
      </c>
      <c r="M222" s="297" t="str">
        <f t="shared" ca="1" si="11"/>
        <v>OK</v>
      </c>
    </row>
    <row r="223" spans="1:13" x14ac:dyDescent="0.2">
      <c r="A223" s="297" t="s">
        <v>550</v>
      </c>
      <c r="B223" s="298" t="s">
        <v>183</v>
      </c>
      <c r="C223" s="297" t="str">
        <f>IF(Forside!$D$12="Dansk",Tekstnøgler!E223,Tekstnøgler!G223)</f>
        <v>Andel af udledning</v>
      </c>
      <c r="D223" s="298" t="s">
        <v>183</v>
      </c>
      <c r="E223" s="299" t="s">
        <v>551</v>
      </c>
      <c r="F223" s="298" t="s">
        <v>183</v>
      </c>
      <c r="G223" s="300" t="s">
        <v>1735</v>
      </c>
      <c r="H223" s="298" t="s">
        <v>183</v>
      </c>
      <c r="I223" s="297" t="s">
        <v>162</v>
      </c>
      <c r="J223" s="297" t="s">
        <v>574</v>
      </c>
      <c r="K223" s="297" t="str" cm="1">
        <f t="array" aca="1" ref="K223" ca="1">INDIRECT("'"&amp;I223&amp;"'!"&amp;J223)</f>
        <v>Andel af udledning</v>
      </c>
      <c r="L223" s="298" t="s">
        <v>183</v>
      </c>
      <c r="M223" s="297" t="str">
        <f t="shared" ca="1" si="11"/>
        <v>OK</v>
      </c>
    </row>
    <row r="224" spans="1:13" x14ac:dyDescent="0.2">
      <c r="A224" s="297" t="s">
        <v>575</v>
      </c>
      <c r="B224" s="298" t="s">
        <v>183</v>
      </c>
      <c r="C224" s="297" t="str">
        <f>IF(Forside!$D$12="Dansk",Tekstnøgler!E224,Tekstnøgler!G224)</f>
        <v>Udenfor scope</v>
      </c>
      <c r="D224" s="298" t="s">
        <v>183</v>
      </c>
      <c r="E224" s="299" t="s">
        <v>587</v>
      </c>
      <c r="F224" s="298" t="s">
        <v>183</v>
      </c>
      <c r="G224" s="300" t="s">
        <v>1748</v>
      </c>
      <c r="H224" s="298" t="s">
        <v>183</v>
      </c>
      <c r="I224" s="297" t="s">
        <v>162</v>
      </c>
      <c r="J224" s="297" t="s">
        <v>469</v>
      </c>
      <c r="K224" s="297" t="str" cm="1">
        <f t="array" aca="1" ref="K224" ca="1">INDIRECT("'"&amp;I224&amp;"'!"&amp;J224)</f>
        <v>Udenfor scope</v>
      </c>
      <c r="L224" s="298" t="s">
        <v>183</v>
      </c>
      <c r="M224" s="297" t="str">
        <f t="shared" ca="1" si="11"/>
        <v>OK</v>
      </c>
    </row>
    <row r="225" spans="1:13" x14ac:dyDescent="0.2">
      <c r="B225" s="298" t="s">
        <v>183</v>
      </c>
      <c r="D225" s="298" t="s">
        <v>183</v>
      </c>
      <c r="F225" s="298" t="s">
        <v>183</v>
      </c>
      <c r="H225" s="298" t="s">
        <v>183</v>
      </c>
      <c r="L225" s="298" t="s">
        <v>183</v>
      </c>
    </row>
    <row r="226" spans="1:13" ht="14.5" customHeight="1" x14ac:dyDescent="0.2">
      <c r="A226" s="297" t="s">
        <v>1161</v>
      </c>
      <c r="B226" s="298" t="s">
        <v>183</v>
      </c>
      <c r="C226" s="297" t="str">
        <f>IF(Forside!$D$12="Dansk",Tekstnøgler!E226,Tekstnøgler!G226)</f>
        <v>Oversigt over CO₂e-udledningen fordelt på hoved- og underkategorier</v>
      </c>
      <c r="D226" s="298" t="s">
        <v>183</v>
      </c>
      <c r="E226" s="299" t="s">
        <v>1669</v>
      </c>
      <c r="F226" s="298" t="s">
        <v>183</v>
      </c>
      <c r="G226" s="305" t="s">
        <v>1749</v>
      </c>
      <c r="H226" s="298" t="s">
        <v>183</v>
      </c>
      <c r="I226" s="297" t="s">
        <v>163</v>
      </c>
      <c r="J226" s="297" t="s">
        <v>342</v>
      </c>
      <c r="K226" s="297" t="s">
        <v>395</v>
      </c>
      <c r="L226" s="298" t="s">
        <v>183</v>
      </c>
    </row>
    <row r="227" spans="1:13" x14ac:dyDescent="0.2">
      <c r="A227" s="297" t="s">
        <v>577</v>
      </c>
      <c r="B227" s="298" t="s">
        <v>183</v>
      </c>
      <c r="C227" s="297" t="str">
        <f>IF(Forside!$D$12="Dansk",Tekstnøgler!E227,Tekstnøgler!G227)</f>
        <v>Delresultater (GHG)</v>
      </c>
      <c r="D227" s="298" t="s">
        <v>183</v>
      </c>
      <c r="E227" s="299" t="s">
        <v>163</v>
      </c>
      <c r="F227" s="298" t="s">
        <v>183</v>
      </c>
      <c r="G227" s="300" t="s">
        <v>1750</v>
      </c>
      <c r="H227" s="298" t="s">
        <v>183</v>
      </c>
      <c r="I227" s="297" t="s">
        <v>163</v>
      </c>
      <c r="J227" s="297" t="s">
        <v>339</v>
      </c>
      <c r="K227" s="297" t="str" cm="1">
        <f t="array" aca="1" ref="K227" ca="1">INDIRECT("'"&amp;I227&amp;"'!"&amp;J227)</f>
        <v>Delresultater (GHG)</v>
      </c>
      <c r="L227" s="298" t="s">
        <v>183</v>
      </c>
      <c r="M227" s="297" t="str">
        <f t="shared" ref="M227:M230" ca="1" si="12">IF(C227=K227,"OK","Reference fejl")</f>
        <v>OK</v>
      </c>
    </row>
    <row r="228" spans="1:13" x14ac:dyDescent="0.2">
      <c r="A228" s="297" t="s">
        <v>393</v>
      </c>
      <c r="B228" s="298" t="s">
        <v>183</v>
      </c>
      <c r="C228" s="297" t="str">
        <f>IF(Forside!$D$12="Dansk",Tekstnøgler!E228,Tekstnøgler!G228)</f>
        <v>Her ses en mere detaljeret resultatvisning. Tabellen viser alle underkategorierne, der kan angives data for, den tilhørende udledning i ton CO₂e og underkategoriens samlede andel af de totale udledninger.</v>
      </c>
      <c r="D228" s="298" t="s">
        <v>183</v>
      </c>
      <c r="E228" s="299" t="s">
        <v>1667</v>
      </c>
      <c r="F228" s="298" t="s">
        <v>183</v>
      </c>
      <c r="G228" s="300" t="s">
        <v>1668</v>
      </c>
      <c r="H228" s="298" t="s">
        <v>183</v>
      </c>
      <c r="I228" s="297" t="s">
        <v>163</v>
      </c>
      <c r="J228" s="297" t="s">
        <v>203</v>
      </c>
      <c r="K228" s="297" t="str" cm="1">
        <f t="array" aca="1" ref="K228" ca="1">INDIRECT("'"&amp;I228&amp;"'!"&amp;J228)</f>
        <v>Her ses en mere detaljeret resultatvisning. Tabellen viser alle underkategorierne, der kan angives data for, den tilhørende udledning i ton CO₂e og underkategoriens samlede andel af de totale udledninger.</v>
      </c>
      <c r="L228" s="298" t="s">
        <v>183</v>
      </c>
      <c r="M228" s="297" t="str">
        <f t="shared" ca="1" si="12"/>
        <v>OK</v>
      </c>
    </row>
    <row r="229" spans="1:13" x14ac:dyDescent="0.2">
      <c r="A229" s="297" t="s">
        <v>1022</v>
      </c>
      <c r="B229" s="298" t="s">
        <v>183</v>
      </c>
      <c r="C229" s="297" t="str">
        <f>IF(Forside!$D$12="Dansk",Tekstnøgler!E229,Tekstnøgler!G229)</f>
        <v>(ton CO₂e)</v>
      </c>
      <c r="D229" s="298" t="s">
        <v>183</v>
      </c>
      <c r="E229" s="299" t="s">
        <v>1751</v>
      </c>
      <c r="F229" s="298" t="s">
        <v>183</v>
      </c>
      <c r="G229" s="300" t="s">
        <v>1751</v>
      </c>
      <c r="H229" s="298" t="s">
        <v>183</v>
      </c>
      <c r="I229" s="297" t="s">
        <v>163</v>
      </c>
      <c r="J229" s="297" t="s">
        <v>578</v>
      </c>
      <c r="K229" s="297" t="str" cm="1">
        <f t="array" aca="1" ref="K229" ca="1">INDIRECT("'"&amp;I229&amp;"'!"&amp;J229)</f>
        <v>(ton CO₂e)</v>
      </c>
      <c r="L229" s="298" t="s">
        <v>183</v>
      </c>
      <c r="M229" s="297" t="str">
        <f t="shared" ca="1" si="12"/>
        <v>OK</v>
      </c>
    </row>
    <row r="230" spans="1:13" ht="30" x14ac:dyDescent="0.2">
      <c r="A230" s="297" t="s">
        <v>579</v>
      </c>
      <c r="B230" s="298" t="s">
        <v>183</v>
      </c>
      <c r="C230" s="297" t="str">
        <f>IF(Forside!$D$12="Dansk",Tekstnøgler!E230,Tekstnøgler!G230)</f>
        <v>Samlede CO₂e udledning i ton (scope 1+2+3)</v>
      </c>
      <c r="D230" s="298" t="s">
        <v>183</v>
      </c>
      <c r="E230" s="299" t="s">
        <v>1752</v>
      </c>
      <c r="F230" s="298" t="s">
        <v>183</v>
      </c>
      <c r="G230" s="305" t="s">
        <v>1753</v>
      </c>
      <c r="H230" s="298" t="s">
        <v>183</v>
      </c>
      <c r="I230" s="297" t="s">
        <v>163</v>
      </c>
      <c r="J230" s="297" t="s">
        <v>580</v>
      </c>
      <c r="K230" s="297" t="str" cm="1">
        <f t="array" aca="1" ref="K230" ca="1">INDIRECT("'"&amp;I230&amp;"'!"&amp;J230)</f>
        <v>Samlede CO₂e udledning i ton (scope 1+2+3)</v>
      </c>
      <c r="L230" s="298" t="s">
        <v>183</v>
      </c>
      <c r="M230" s="297" t="str">
        <f t="shared" ca="1" si="12"/>
        <v>OK</v>
      </c>
    </row>
    <row r="231" spans="1:13" x14ac:dyDescent="0.2">
      <c r="A231" s="297" t="s">
        <v>572</v>
      </c>
      <c r="B231" s="298" t="s">
        <v>183</v>
      </c>
      <c r="C231" s="297" t="str">
        <f>IF(Forside!$D$12="Dansk",Tekstnøgler!E231,Tekstnøgler!G231)</f>
        <v>Udenfor scopes resultater</v>
      </c>
      <c r="D231" s="298" t="s">
        <v>183</v>
      </c>
      <c r="E231" s="299" t="s">
        <v>570</v>
      </c>
      <c r="F231" s="298" t="s">
        <v>183</v>
      </c>
      <c r="G231" s="300" t="s">
        <v>1745</v>
      </c>
      <c r="H231" s="298" t="s">
        <v>183</v>
      </c>
      <c r="I231" s="297" t="s">
        <v>163</v>
      </c>
      <c r="J231" s="297" t="s">
        <v>581</v>
      </c>
      <c r="K231" s="297" t="str" cm="1">
        <f t="array" aca="1" ref="K231" ca="1">INDIRECT("'"&amp;I231&amp;"'!"&amp;J231)</f>
        <v>Udenfor scopes resultater</v>
      </c>
      <c r="L231" s="298" t="s">
        <v>183</v>
      </c>
      <c r="M231" s="297" t="str">
        <f t="shared" ref="M231:M234" ca="1" si="13">IF(C231=K231,"OK","Reference fejl")</f>
        <v>OK</v>
      </c>
    </row>
    <row r="232" spans="1:13" x14ac:dyDescent="0.2">
      <c r="A232" s="297" t="s">
        <v>582</v>
      </c>
      <c r="B232" s="298" t="s">
        <v>183</v>
      </c>
      <c r="C232" s="297" t="str">
        <f>IF(Forside!$D$12="Dansk",Tekstnøgler!E232,Tekstnøgler!G232)</f>
        <v xml:space="preserve">Her ses en mere detaljeret resultatvisning for udenfor scopes. Tabellen viser den tilhørende udledning for alle underkategorierne, der er indtastet data for. Bemærk at udenfor scopes ikke medregnes i totalen jf. GHG-protokollen.  </v>
      </c>
      <c r="D232" s="298" t="s">
        <v>183</v>
      </c>
      <c r="E232" s="299" t="s">
        <v>1754</v>
      </c>
      <c r="F232" s="298" t="s">
        <v>183</v>
      </c>
      <c r="G232" s="300" t="s">
        <v>1755</v>
      </c>
      <c r="H232" s="298" t="s">
        <v>183</v>
      </c>
      <c r="I232" s="297" t="s">
        <v>163</v>
      </c>
      <c r="J232" s="297" t="s">
        <v>583</v>
      </c>
      <c r="K232" s="297" t="str" cm="1">
        <f t="array" aca="1" ref="K232" ca="1">INDIRECT("'"&amp;I232&amp;"'!"&amp;J232)</f>
        <v xml:space="preserve">Her ses en mere detaljeret resultatvisning for udenfor scopes. Tabellen viser den tilhørende udledning for alle underkategorierne, der er indtastet data for. Bemærk at udenfor scopes ikke medregnes i totalen jf. GHG-protokollen.  </v>
      </c>
      <c r="L232" s="298" t="s">
        <v>183</v>
      </c>
      <c r="M232" s="297" t="str">
        <f t="shared" ca="1" si="13"/>
        <v>OK</v>
      </c>
    </row>
    <row r="233" spans="1:13" x14ac:dyDescent="0.2">
      <c r="A233" s="297" t="s">
        <v>584</v>
      </c>
      <c r="B233" s="298" t="s">
        <v>183</v>
      </c>
      <c r="C233" s="297" t="str">
        <f>IF(Forside!$D$12="Dansk",Tekstnøgler!E233,Tekstnøgler!G233)</f>
        <v>Oversigt af 'udenfor scopes' resultater over CO₂e-udledningen fordelt på hoved- og underkategorier</v>
      </c>
      <c r="D233" s="298" t="s">
        <v>183</v>
      </c>
      <c r="E233" s="299" t="s">
        <v>1756</v>
      </c>
      <c r="F233" s="298" t="s">
        <v>183</v>
      </c>
      <c r="G233" s="300" t="s">
        <v>1757</v>
      </c>
      <c r="H233" s="298" t="s">
        <v>183</v>
      </c>
      <c r="I233" s="297" t="s">
        <v>163</v>
      </c>
      <c r="J233" s="297" t="s">
        <v>585</v>
      </c>
      <c r="K233" s="297" t="str" cm="1">
        <f t="array" aca="1" ref="K233" ca="1">INDIRECT("'"&amp;I233&amp;"'!"&amp;J233)</f>
        <v>Oversigt af 'udenfor scopes' resultater over CO₂e-udledningen fordelt på hoved- og underkategorier</v>
      </c>
      <c r="L233" s="298" t="s">
        <v>183</v>
      </c>
      <c r="M233" s="297" t="str">
        <f t="shared" ca="1" si="13"/>
        <v>OK</v>
      </c>
    </row>
    <row r="234" spans="1:13" x14ac:dyDescent="0.2">
      <c r="A234" s="297" t="s">
        <v>586</v>
      </c>
      <c r="B234" s="298" t="s">
        <v>183</v>
      </c>
      <c r="C234" s="297" t="str">
        <f>IF(Forside!$D$12="Dansk",Tekstnøgler!E234,Tekstnøgler!G234)</f>
        <v>Udenfor scopes i ton CO2e</v>
      </c>
      <c r="D234" s="298" t="s">
        <v>183</v>
      </c>
      <c r="E234" s="299" t="s">
        <v>1758</v>
      </c>
      <c r="F234" s="298" t="s">
        <v>183</v>
      </c>
      <c r="G234" s="300" t="s">
        <v>1759</v>
      </c>
      <c r="H234" s="298" t="s">
        <v>183</v>
      </c>
      <c r="I234" s="297" t="s">
        <v>163</v>
      </c>
      <c r="J234" s="297" t="s">
        <v>588</v>
      </c>
      <c r="K234" s="297" t="str" cm="1">
        <f t="array" aca="1" ref="K234" ca="1">INDIRECT("'"&amp;I234&amp;"'!"&amp;J234)</f>
        <v>Udenfor scopes i ton CO2e</v>
      </c>
      <c r="L234" s="298" t="s">
        <v>183</v>
      </c>
      <c r="M234" s="297" t="str">
        <f t="shared" ca="1" si="13"/>
        <v>OK</v>
      </c>
    </row>
    <row r="235" spans="1:13" x14ac:dyDescent="0.2">
      <c r="A235" s="297" t="s">
        <v>1023</v>
      </c>
      <c r="B235" s="298" t="s">
        <v>183</v>
      </c>
      <c r="C235" s="297" t="str">
        <f>IF(Forside!$D$12="Dansk",Tekstnøgler!E235,Tekstnøgler!G235)</f>
        <v>Total (ton CO₂e)</v>
      </c>
      <c r="D235" s="298" t="s">
        <v>183</v>
      </c>
      <c r="E235" s="299" t="s">
        <v>1760</v>
      </c>
      <c r="F235" s="298" t="s">
        <v>183</v>
      </c>
      <c r="G235" s="300" t="s">
        <v>1760</v>
      </c>
      <c r="H235" s="298" t="s">
        <v>183</v>
      </c>
      <c r="I235" s="297" t="s">
        <v>163</v>
      </c>
      <c r="J235" s="297" t="s">
        <v>589</v>
      </c>
      <c r="K235" s="297" t="str" cm="1">
        <f t="array" aca="1" ref="K235" ca="1">INDIRECT("'"&amp;I235&amp;"'!"&amp;J235)</f>
        <v>Total (ton CO₂e)</v>
      </c>
      <c r="L235" s="298" t="s">
        <v>183</v>
      </c>
      <c r="M235" s="297" t="str">
        <f t="shared" ref="M235" ca="1" si="14">IF(C235=K235,"OK","Reference fejl")</f>
        <v>OK</v>
      </c>
    </row>
    <row r="236" spans="1:13" x14ac:dyDescent="0.2">
      <c r="A236" s="365"/>
      <c r="B236" s="298" t="s">
        <v>183</v>
      </c>
      <c r="D236" s="298" t="s">
        <v>183</v>
      </c>
      <c r="F236" s="298" t="s">
        <v>183</v>
      </c>
      <c r="H236" s="298" t="s">
        <v>183</v>
      </c>
      <c r="L236" s="298" t="s">
        <v>183</v>
      </c>
    </row>
    <row r="237" spans="1:13" x14ac:dyDescent="0.2">
      <c r="B237" s="298" t="s">
        <v>183</v>
      </c>
      <c r="D237" s="298" t="s">
        <v>183</v>
      </c>
      <c r="F237" s="298" t="s">
        <v>183</v>
      </c>
      <c r="H237" s="298" t="s">
        <v>183</v>
      </c>
      <c r="L237" s="298" t="s">
        <v>183</v>
      </c>
    </row>
    <row r="238" spans="1:13" x14ac:dyDescent="0.2">
      <c r="A238" s="297" t="s">
        <v>590</v>
      </c>
      <c r="B238" s="298" t="s">
        <v>183</v>
      </c>
      <c r="C238" s="297" t="str">
        <f>IF(Forside!$D$12="Dansk",Tekstnøgler!E238,Tekstnøgler!G238)</f>
        <v xml:space="preserve">E-nøgletal (ESG) </v>
      </c>
      <c r="D238" s="298" t="s">
        <v>183</v>
      </c>
      <c r="E238" s="299" t="s">
        <v>1761</v>
      </c>
      <c r="F238" s="298" t="s">
        <v>183</v>
      </c>
      <c r="G238" s="300" t="s">
        <v>1762</v>
      </c>
      <c r="H238" s="298" t="s">
        <v>183</v>
      </c>
      <c r="I238" s="297" t="s">
        <v>165</v>
      </c>
      <c r="J238" s="297" t="s">
        <v>339</v>
      </c>
      <c r="K238" s="297" t="str" cm="1">
        <f t="array" aca="1" ref="K238" ca="1">INDIRECT("'"&amp;I238&amp;"'!"&amp;J238)</f>
        <v xml:space="preserve">E-nøgletal (ESG) </v>
      </c>
      <c r="L238" s="298" t="s">
        <v>183</v>
      </c>
      <c r="M238" s="297" t="str">
        <f t="shared" ref="M238:M240" ca="1" si="15">IF(C238=K238,"OK","Reference fejl")</f>
        <v>OK</v>
      </c>
    </row>
    <row r="239" spans="1:13" x14ac:dyDescent="0.2">
      <c r="A239" s="297" t="s">
        <v>1274</v>
      </c>
      <c r="B239" s="298"/>
      <c r="C239" s="297" t="str">
        <f>IF(Forside!$D$12="Dansk",Tekstnøgler!E239,Tekstnøgler!G239)</f>
        <v>E-nøgletal</v>
      </c>
      <c r="D239" s="298"/>
      <c r="E239" s="299" t="s">
        <v>1763</v>
      </c>
      <c r="F239" s="298"/>
      <c r="G239" s="300" t="s">
        <v>1764</v>
      </c>
      <c r="H239" s="298"/>
      <c r="I239" s="297" t="s">
        <v>165</v>
      </c>
      <c r="J239" s="297" t="s">
        <v>342</v>
      </c>
      <c r="K239" s="297" t="str" cm="1">
        <f t="array" aca="1" ref="K239" ca="1">INDIRECT("'"&amp;I239&amp;"'!"&amp;J239)</f>
        <v>E-nøgletal</v>
      </c>
      <c r="L239" s="298"/>
      <c r="M239" s="297" t="str">
        <f t="shared" ca="1" si="15"/>
        <v>OK</v>
      </c>
    </row>
    <row r="240" spans="1:13" x14ac:dyDescent="0.2">
      <c r="A240" s="297" t="s">
        <v>1275</v>
      </c>
      <c r="B240" s="298"/>
      <c r="C240" s="297" t="str">
        <f>IF(Forside!$D$12="Dansk",Tekstnøgler!E240,Tekstnøgler!G240)</f>
        <v>Andre nøgletal</v>
      </c>
      <c r="D240" s="298"/>
      <c r="E240" s="299" t="s">
        <v>1276</v>
      </c>
      <c r="F240" s="298"/>
      <c r="G240" s="300" t="s">
        <v>1277</v>
      </c>
      <c r="H240" s="298"/>
      <c r="I240" s="297" t="s">
        <v>165</v>
      </c>
      <c r="J240" s="297" t="s">
        <v>231</v>
      </c>
      <c r="K240" s="297" t="str" cm="1">
        <f t="array" aca="1" ref="K240" ca="1">INDIRECT("'"&amp;I240&amp;"'!"&amp;J240)</f>
        <v>Andre nøgletal</v>
      </c>
      <c r="L240" s="298"/>
      <c r="M240" s="297" t="str">
        <f t="shared" ca="1" si="15"/>
        <v>OK</v>
      </c>
    </row>
    <row r="241" spans="1:13" x14ac:dyDescent="0.2">
      <c r="A241" s="297" t="s">
        <v>591</v>
      </c>
      <c r="B241" s="298" t="s">
        <v>183</v>
      </c>
      <c r="C241" s="297" t="str">
        <f>IF(Forside!$D$12="Dansk",Tekstnøgler!E241,Tekstnøgler!G241)</f>
        <v xml:space="preserve">ESG står for Environment, Social og Governance og dækker over ikke-finansielle nøgletal, som kan indgå i din virksomheds opgørelse, dokumentation og rapportering af bæredygtighed ift. miljø- og klimamæssige forhold, sociale forhold samt god selskabsledelse. En række vejledende nøgletal under "E" kan beregnes med Klimakompasset, når du udarbejder dit klimaaftryk. Nøgletallene er kun vejledende og kan ikke bruges til at verificere din ESG-rapport. Læs mere om ESG på Virksomhedsguiden.
</v>
      </c>
      <c r="D241" s="298" t="s">
        <v>183</v>
      </c>
      <c r="E241" s="299" t="s">
        <v>1765</v>
      </c>
      <c r="F241" s="298" t="s">
        <v>183</v>
      </c>
      <c r="G241" s="300" t="s">
        <v>1766</v>
      </c>
      <c r="H241" s="298" t="s">
        <v>183</v>
      </c>
      <c r="I241" s="297" t="s">
        <v>165</v>
      </c>
      <c r="J241" s="297" t="s">
        <v>203</v>
      </c>
      <c r="K241" s="297" t="str" cm="1">
        <f t="array" aca="1" ref="K241" ca="1">INDIRECT("'"&amp;I241&amp;"'!"&amp;J241)</f>
        <v xml:space="preserve">ESG står for Environment, Social og Governance og dækker over ikke-finansielle nøgletal, som kan indgå i din virksomheds opgørelse, dokumentation og rapportering af bæredygtighed ift. miljø- og klimamæssige forhold, sociale forhold samt god selskabsledelse. En række vejledende nøgletal under "E" kan beregnes med Klimakompasset, når du udarbejder dit klimaaftryk. Nøgletallene er kun vejledende og kan ikke bruges til at verificere din ESG-rapport. Læs mere om ESG på Virksomhedsguiden.
</v>
      </c>
      <c r="L241" s="298" t="s">
        <v>183</v>
      </c>
      <c r="M241" s="297" t="str">
        <f t="shared" ref="M241:M280" ca="1" si="16">IF(C241=K241,"OK","Reference fejl")</f>
        <v>OK</v>
      </c>
    </row>
    <row r="242" spans="1:13" x14ac:dyDescent="0.2">
      <c r="A242" s="297" t="s">
        <v>592</v>
      </c>
      <c r="B242" s="298" t="s">
        <v>183</v>
      </c>
      <c r="C242" s="297" t="str">
        <f>IF(Forside!$D$12="Dansk",Tekstnøgler!E242,Tekstnøgler!G242)</f>
        <v>CO₂e-udledning</v>
      </c>
      <c r="D242" s="298" t="s">
        <v>183</v>
      </c>
      <c r="E242" s="299" t="s">
        <v>1202</v>
      </c>
      <c r="F242" s="298" t="s">
        <v>183</v>
      </c>
      <c r="G242" s="300" t="s">
        <v>1767</v>
      </c>
      <c r="H242" s="298" t="s">
        <v>183</v>
      </c>
      <c r="I242" s="297" t="s">
        <v>165</v>
      </c>
      <c r="J242" s="297" t="s">
        <v>342</v>
      </c>
      <c r="K242" s="297" t="str" cm="1">
        <f t="array" aca="1" ref="K242" ca="1">INDIRECT("'"&amp;I242&amp;"'!"&amp;J242)</f>
        <v>E-nøgletal</v>
      </c>
      <c r="L242" s="298" t="s">
        <v>183</v>
      </c>
      <c r="M242" s="297" t="str">
        <f t="shared" ca="1" si="16"/>
        <v>Reference fejl</v>
      </c>
    </row>
    <row r="243" spans="1:13" x14ac:dyDescent="0.2">
      <c r="A243" s="297" t="s">
        <v>593</v>
      </c>
      <c r="B243" s="298" t="s">
        <v>183</v>
      </c>
      <c r="C243" s="297" t="str">
        <f>IF(Forside!$D$12="Dansk",Tekstnøgler!E243,Tekstnøgler!G243)</f>
        <v>Titel</v>
      </c>
      <c r="D243" s="298" t="s">
        <v>183</v>
      </c>
      <c r="E243" s="299" t="s">
        <v>594</v>
      </c>
      <c r="F243" s="298" t="s">
        <v>183</v>
      </c>
      <c r="G243" s="300" t="s">
        <v>595</v>
      </c>
      <c r="H243" s="298" t="s">
        <v>183</v>
      </c>
      <c r="I243" s="297" t="s">
        <v>165</v>
      </c>
      <c r="J243" s="297" t="s">
        <v>346</v>
      </c>
      <c r="K243" s="297" cm="1">
        <f t="array" aca="1" ref="K243" ca="1">INDIRECT("'"&amp;I243&amp;"'!"&amp;J243)</f>
        <v>0</v>
      </c>
      <c r="L243" s="298" t="s">
        <v>183</v>
      </c>
      <c r="M243" s="297" t="str">
        <f t="shared" ca="1" si="16"/>
        <v>Reference fejl</v>
      </c>
    </row>
    <row r="244" spans="1:13" x14ac:dyDescent="0.2">
      <c r="A244" s="298" t="s">
        <v>596</v>
      </c>
      <c r="B244" s="298" t="s">
        <v>183</v>
      </c>
      <c r="C244" s="297" t="str">
        <f>IF(Forside!$D$12="Dansk",Tekstnøgler!E244,Tekstnøgler!G244)</f>
        <v>Enhed</v>
      </c>
      <c r="D244" s="298" t="s">
        <v>183</v>
      </c>
      <c r="E244" s="299" t="s">
        <v>597</v>
      </c>
      <c r="F244" s="298" t="s">
        <v>183</v>
      </c>
      <c r="G244" s="300" t="s">
        <v>598</v>
      </c>
      <c r="H244" s="298" t="s">
        <v>183</v>
      </c>
      <c r="I244" s="297" t="s">
        <v>165</v>
      </c>
      <c r="J244" s="297" t="s">
        <v>348</v>
      </c>
      <c r="K244" s="297" cm="1">
        <f t="array" aca="1" ref="K244" ca="1">INDIRECT("'"&amp;I244&amp;"'!"&amp;J244)</f>
        <v>0</v>
      </c>
      <c r="L244" s="298" t="s">
        <v>183</v>
      </c>
      <c r="M244" s="297" t="str">
        <f t="shared" ca="1" si="16"/>
        <v>Reference fejl</v>
      </c>
    </row>
    <row r="245" spans="1:13" x14ac:dyDescent="0.2">
      <c r="A245" s="297" t="s">
        <v>599</v>
      </c>
      <c r="B245" s="298" t="s">
        <v>183</v>
      </c>
      <c r="C245" s="297" t="str">
        <f>IF(Forside!$D$12="Dansk",Tekstnøgler!E245,Tekstnøgler!G245)</f>
        <v>Resultat</v>
      </c>
      <c r="D245" s="298" t="s">
        <v>183</v>
      </c>
      <c r="E245" s="299" t="s">
        <v>749</v>
      </c>
      <c r="F245" s="298" t="s">
        <v>183</v>
      </c>
      <c r="G245" s="300" t="s">
        <v>750</v>
      </c>
      <c r="H245" s="298" t="s">
        <v>183</v>
      </c>
      <c r="I245" s="297" t="s">
        <v>165</v>
      </c>
      <c r="J245" s="297" t="s">
        <v>350</v>
      </c>
      <c r="K245" s="297" cm="1">
        <f t="array" aca="1" ref="K245" ca="1">INDIRECT("'"&amp;I245&amp;"'!"&amp;J245)</f>
        <v>0</v>
      </c>
      <c r="L245" s="298" t="s">
        <v>183</v>
      </c>
      <c r="M245" s="297" t="str">
        <f t="shared" ca="1" si="16"/>
        <v>Reference fejl</v>
      </c>
    </row>
    <row r="246" spans="1:13" x14ac:dyDescent="0.2">
      <c r="A246" s="297" t="s">
        <v>1192</v>
      </c>
      <c r="B246" s="298"/>
      <c r="C246" s="297" t="str">
        <f>IF(Forside!$D$12="Dansk",Tekstnøgler!E246,Tekstnøgler!G246)</f>
        <v>Andel</v>
      </c>
      <c r="D246" s="298"/>
      <c r="E246" s="299" t="s">
        <v>1198</v>
      </c>
      <c r="F246" s="298"/>
      <c r="G246" s="300" t="s">
        <v>1197</v>
      </c>
      <c r="H246" s="298"/>
      <c r="L246" s="298"/>
    </row>
    <row r="247" spans="1:13" x14ac:dyDescent="0.2">
      <c r="A247" s="297" t="s">
        <v>600</v>
      </c>
      <c r="B247" s="298" t="s">
        <v>183</v>
      </c>
      <c r="C247" s="297" t="str">
        <f>IF(Forside!$D$12="Dansk",Tekstnøgler!E247,Tekstnøgler!G247)</f>
        <v>CO₂e-udledning inden for scope 1</v>
      </c>
      <c r="D247" s="298" t="s">
        <v>183</v>
      </c>
      <c r="E247" s="299" t="s">
        <v>1768</v>
      </c>
      <c r="F247" s="298" t="s">
        <v>183</v>
      </c>
      <c r="G247" s="300" t="s">
        <v>1769</v>
      </c>
      <c r="H247" s="298" t="s">
        <v>183</v>
      </c>
      <c r="I247" s="297" t="s">
        <v>165</v>
      </c>
      <c r="J247" s="297" t="s">
        <v>208</v>
      </c>
      <c r="K247" s="297" t="str" cm="1">
        <f t="array" aca="1" ref="K247" ca="1">INDIRECT("'"&amp;I247&amp;"'!"&amp;J247)</f>
        <v>CO₂e-udledning</v>
      </c>
      <c r="L247" s="298" t="s">
        <v>183</v>
      </c>
      <c r="M247" s="297" t="str">
        <f t="shared" ca="1" si="16"/>
        <v>Reference fejl</v>
      </c>
    </row>
    <row r="248" spans="1:13" x14ac:dyDescent="0.2">
      <c r="A248" s="297" t="s">
        <v>601</v>
      </c>
      <c r="B248" s="298" t="s">
        <v>183</v>
      </c>
      <c r="C248" s="297" t="str">
        <f>IF(Forside!$D$12="Dansk",Tekstnøgler!E248,Tekstnøgler!G248)</f>
        <v>CO₂e-udledning inden for scope 2</v>
      </c>
      <c r="D248" s="298" t="s">
        <v>183</v>
      </c>
      <c r="E248" s="299" t="s">
        <v>1770</v>
      </c>
      <c r="F248" s="298" t="s">
        <v>183</v>
      </c>
      <c r="G248" s="300" t="s">
        <v>1771</v>
      </c>
      <c r="H248" s="298" t="s">
        <v>183</v>
      </c>
      <c r="I248" s="297" t="s">
        <v>165</v>
      </c>
      <c r="J248" s="297" t="s">
        <v>210</v>
      </c>
      <c r="K248" s="297" t="str" cm="1">
        <f t="array" aca="1" ref="K248" ca="1">INDIRECT("'"&amp;I248&amp;"'!"&amp;J248)</f>
        <v>CO₂e-udledning inden for scope 1</v>
      </c>
      <c r="L248" s="298" t="s">
        <v>183</v>
      </c>
      <c r="M248" s="297" t="str">
        <f t="shared" ca="1" si="16"/>
        <v>Reference fejl</v>
      </c>
    </row>
    <row r="249" spans="1:13" x14ac:dyDescent="0.2">
      <c r="A249" s="297" t="s">
        <v>602</v>
      </c>
      <c r="B249" s="298" t="s">
        <v>183</v>
      </c>
      <c r="C249" s="297" t="str">
        <f>IF(Forside!$D$12="Dansk",Tekstnøgler!E249,Tekstnøgler!G249)</f>
        <v>CO₂e-udledning inden for scope 3</v>
      </c>
      <c r="D249" s="298" t="s">
        <v>183</v>
      </c>
      <c r="E249" s="299" t="s">
        <v>1772</v>
      </c>
      <c r="F249" s="298" t="s">
        <v>183</v>
      </c>
      <c r="G249" s="300" t="s">
        <v>1773</v>
      </c>
      <c r="H249" s="298" t="s">
        <v>183</v>
      </c>
      <c r="I249" s="297" t="s">
        <v>165</v>
      </c>
      <c r="J249" s="297" t="s">
        <v>216</v>
      </c>
      <c r="K249" s="297" t="str" cm="1">
        <f t="array" aca="1" ref="K249" ca="1">INDIRECT("'"&amp;I249&amp;"'!"&amp;J249)</f>
        <v>CO₂ intensitet (CO₂e-udledning for scope 1 og 2 ift. nettoomsætning)</v>
      </c>
      <c r="L249" s="298" t="s">
        <v>183</v>
      </c>
      <c r="M249" s="297" t="str">
        <f t="shared" ca="1" si="16"/>
        <v>Reference fejl</v>
      </c>
    </row>
    <row r="250" spans="1:13" x14ac:dyDescent="0.2">
      <c r="A250" s="297" t="s">
        <v>1272</v>
      </c>
      <c r="B250" s="298" t="s">
        <v>183</v>
      </c>
      <c r="C250" s="297" t="str">
        <f>IF(Forside!$D$12="Dansk",Tekstnøgler!E250,Tekstnøgler!G250)</f>
        <v>Samlet CO₂e-udledning (Scope 1 og 2)</v>
      </c>
      <c r="D250" s="298" t="s">
        <v>183</v>
      </c>
      <c r="E250" s="299" t="s">
        <v>1774</v>
      </c>
      <c r="F250" s="298" t="s">
        <v>183</v>
      </c>
      <c r="G250" s="300" t="s">
        <v>1775</v>
      </c>
      <c r="H250" s="298" t="s">
        <v>183</v>
      </c>
      <c r="I250" s="297" t="s">
        <v>165</v>
      </c>
      <c r="J250" s="297" t="s">
        <v>212</v>
      </c>
      <c r="K250" s="297" t="str" cm="1">
        <f t="array" aca="1" ref="K250" ca="1">INDIRECT("'"&amp;I250&amp;"'!"&amp;J250)</f>
        <v>CO₂e-udledning inden for scope 2</v>
      </c>
      <c r="L250" s="298"/>
      <c r="M250" s="297" t="str">
        <f t="shared" ca="1" si="16"/>
        <v>Reference fejl</v>
      </c>
    </row>
    <row r="251" spans="1:13" x14ac:dyDescent="0.2">
      <c r="A251" s="297" t="s">
        <v>603</v>
      </c>
      <c r="B251" s="298" t="s">
        <v>183</v>
      </c>
      <c r="C251" s="297" t="str">
        <f>IF(Forside!$D$12="Dansk",Tekstnøgler!E251,Tekstnøgler!G251)</f>
        <v>Samlet CO₂e-udledning (Scope 1, 2 og 3)</v>
      </c>
      <c r="D251" s="298" t="s">
        <v>183</v>
      </c>
      <c r="E251" s="299" t="s">
        <v>1776</v>
      </c>
      <c r="F251" s="298" t="s">
        <v>183</v>
      </c>
      <c r="G251" s="300" t="s">
        <v>1777</v>
      </c>
      <c r="H251" s="298" t="s">
        <v>183</v>
      </c>
      <c r="I251" s="297" t="s">
        <v>165</v>
      </c>
      <c r="J251" s="297" t="s">
        <v>218</v>
      </c>
      <c r="K251" s="297" t="str" cm="1">
        <f t="array" aca="1" ref="K251" ca="1">INDIRECT("'"&amp;I251&amp;"'!"&amp;J251)</f>
        <v>CO₂e-udledning inden for scope 3</v>
      </c>
      <c r="L251" s="298" t="s">
        <v>183</v>
      </c>
      <c r="M251" s="297" t="str">
        <f t="shared" ca="1" si="16"/>
        <v>Reference fejl</v>
      </c>
    </row>
    <row r="252" spans="1:13" x14ac:dyDescent="0.2">
      <c r="A252" s="297" t="s">
        <v>604</v>
      </c>
      <c r="B252" s="298" t="s">
        <v>183</v>
      </c>
      <c r="C252" s="297" t="str">
        <f>IF(Forside!$D$12="Dansk",Tekstnøgler!E252,Tekstnøgler!G252)</f>
        <v>CO₂ intensitet (Samlet CO₂e-udledning ift. nettoomsætning)</v>
      </c>
      <c r="D252" s="298" t="s">
        <v>183</v>
      </c>
      <c r="E252" s="299" t="s">
        <v>1778</v>
      </c>
      <c r="F252" s="298" t="s">
        <v>183</v>
      </c>
      <c r="G252" s="300" t="s">
        <v>1779</v>
      </c>
      <c r="H252" s="298" t="s">
        <v>183</v>
      </c>
      <c r="I252" s="297" t="s">
        <v>165</v>
      </c>
      <c r="J252" s="297" t="s">
        <v>220</v>
      </c>
      <c r="K252" s="297" t="str" cm="1">
        <f t="array" aca="1" ref="K252" ca="1">INDIRECT("'"&amp;I252&amp;"'!"&amp;J252)</f>
        <v>Samlet CO₂e-udledning (Scope 1, 2 og 3)</v>
      </c>
      <c r="L252" s="298" t="s">
        <v>183</v>
      </c>
      <c r="M252" s="297" t="str">
        <f t="shared" ca="1" si="16"/>
        <v>Reference fejl</v>
      </c>
    </row>
    <row r="253" spans="1:13" x14ac:dyDescent="0.2">
      <c r="A253" s="297" t="s">
        <v>1273</v>
      </c>
      <c r="B253" s="298" t="s">
        <v>183</v>
      </c>
      <c r="C253" s="297" t="str">
        <f>IF(Forside!$D$12="Dansk",Tekstnøgler!E253,Tekstnøgler!G253)</f>
        <v>CO₂ intensitet (CO₂e-udledning for scope 1 og 2 ift. nettoomsætning)</v>
      </c>
      <c r="D253" s="298" t="s">
        <v>183</v>
      </c>
      <c r="E253" s="299" t="s">
        <v>1780</v>
      </c>
      <c r="F253" s="298" t="s">
        <v>183</v>
      </c>
      <c r="G253" s="300" t="s">
        <v>1781</v>
      </c>
      <c r="H253" s="298" t="s">
        <v>183</v>
      </c>
      <c r="I253" s="297" t="s">
        <v>165</v>
      </c>
      <c r="J253" s="297" t="s">
        <v>214</v>
      </c>
      <c r="K253" s="297" t="str" cm="1">
        <f t="array" aca="1" ref="K253" ca="1">INDIRECT("'"&amp;I253&amp;"'!"&amp;J253)</f>
        <v>Samlet CO₂e-udledning (Scope 1 og 2)</v>
      </c>
      <c r="L253" s="298" t="s">
        <v>183</v>
      </c>
      <c r="M253" s="297" t="str">
        <f t="shared" ref="M253" ca="1" si="17">IF(C253=K253,"OK","Reference fejl")</f>
        <v>Reference fejl</v>
      </c>
    </row>
    <row r="254" spans="1:13" x14ac:dyDescent="0.2">
      <c r="A254" s="297" t="s">
        <v>1193</v>
      </c>
      <c r="B254" s="298"/>
      <c r="C254" s="297" t="str">
        <f>IF(Forside!$D$12="Dansk",Tekstnøgler!E254,Tekstnøgler!G254)</f>
        <v>Energiforbrug: Fossile kilder</v>
      </c>
      <c r="D254" s="298"/>
      <c r="E254" s="299" t="s">
        <v>1195</v>
      </c>
      <c r="F254" s="298"/>
      <c r="G254" s="300" t="s">
        <v>1196</v>
      </c>
      <c r="H254" s="298"/>
      <c r="L254" s="298"/>
    </row>
    <row r="255" spans="1:13" x14ac:dyDescent="0.2">
      <c r="A255" s="297" t="s">
        <v>1194</v>
      </c>
      <c r="B255" s="298"/>
      <c r="C255" s="297" t="str">
        <f>IF(Forside!$D$12="Dansk",Tekstnøgler!E255,Tekstnøgler!G255)</f>
        <v>Energiforbrug: Nukleare kilder</v>
      </c>
      <c r="D255" s="298"/>
      <c r="E255" s="299" t="s">
        <v>1199</v>
      </c>
      <c r="F255" s="298"/>
      <c r="G255" s="300" t="s">
        <v>1200</v>
      </c>
      <c r="H255" s="298"/>
      <c r="L255" s="298"/>
    </row>
    <row r="256" spans="1:13" x14ac:dyDescent="0.2">
      <c r="A256" s="297" t="s">
        <v>1258</v>
      </c>
      <c r="B256" s="298"/>
      <c r="C256" s="297" t="str">
        <f>IF(Forside!$D$12="Dansk",Tekstnøgler!E256,Tekstnøgler!G256)</f>
        <v>Energiforbrug: Vedvarende kilder</v>
      </c>
      <c r="D256" s="298"/>
      <c r="E256" s="299" t="s">
        <v>1782</v>
      </c>
      <c r="F256" s="298"/>
      <c r="G256" s="300" t="s">
        <v>1783</v>
      </c>
      <c r="H256" s="298"/>
      <c r="L256" s="298"/>
    </row>
    <row r="257" spans="1:13" x14ac:dyDescent="0.2">
      <c r="A257" s="297" t="s">
        <v>605</v>
      </c>
      <c r="B257" s="298" t="s">
        <v>183</v>
      </c>
      <c r="C257" s="297" t="str">
        <f>IF(Forside!$D$12="Dansk",Tekstnøgler!E257,Tekstnøgler!G257)</f>
        <v>Samlet energiforbrug</v>
      </c>
      <c r="D257" s="298" t="s">
        <v>183</v>
      </c>
      <c r="E257" s="299" t="s">
        <v>83</v>
      </c>
      <c r="F257" s="298" t="s">
        <v>183</v>
      </c>
      <c r="G257" s="300" t="s">
        <v>1784</v>
      </c>
      <c r="H257" s="298" t="s">
        <v>183</v>
      </c>
      <c r="I257" s="297" t="s">
        <v>165</v>
      </c>
      <c r="J257" s="297" t="s">
        <v>218</v>
      </c>
      <c r="K257" s="297" t="str" cm="1">
        <f t="array" aca="1" ref="K257" ca="1">INDIRECT("'"&amp;I257&amp;"'!"&amp;J257)</f>
        <v>CO₂e-udledning inden for scope 3</v>
      </c>
      <c r="L257" s="298" t="s">
        <v>183</v>
      </c>
      <c r="M257" s="297" t="str">
        <f t="shared" ca="1" si="16"/>
        <v>Reference fejl</v>
      </c>
    </row>
    <row r="258" spans="1:13" x14ac:dyDescent="0.2">
      <c r="A258" s="297" t="s">
        <v>606</v>
      </c>
      <c r="B258" s="298" t="s">
        <v>183</v>
      </c>
      <c r="C258" s="297" t="str">
        <f>IF(Forside!$D$12="Dansk",Tekstnøgler!E258,Tekstnøgler!G258)</f>
        <v>Energi intensitet (Samlet energiforbrug ift. nettoomsætning)</v>
      </c>
      <c r="D258" s="298" t="s">
        <v>183</v>
      </c>
      <c r="E258" s="299" t="s">
        <v>1785</v>
      </c>
      <c r="F258" s="298" t="s">
        <v>183</v>
      </c>
      <c r="G258" s="300" t="s">
        <v>1786</v>
      </c>
      <c r="H258" s="298" t="s">
        <v>183</v>
      </c>
      <c r="I258" s="297" t="s">
        <v>165</v>
      </c>
      <c r="J258" s="297" t="s">
        <v>220</v>
      </c>
      <c r="K258" s="297" t="str" cm="1">
        <f t="array" aca="1" ref="K258" ca="1">INDIRECT("'"&amp;I258&amp;"'!"&amp;J258)</f>
        <v>Samlet CO₂e-udledning (Scope 1, 2 og 3)</v>
      </c>
      <c r="L258" s="298" t="s">
        <v>183</v>
      </c>
      <c r="M258" s="297" t="str">
        <f t="shared" ca="1" si="16"/>
        <v>Reference fejl</v>
      </c>
    </row>
    <row r="259" spans="1:13" x14ac:dyDescent="0.2">
      <c r="A259" s="297" t="s">
        <v>607</v>
      </c>
      <c r="B259" s="298" t="s">
        <v>183</v>
      </c>
      <c r="C259" s="297" t="str">
        <f>IF(Forside!$D$12="Dansk",Tekstnøgler!E259,Tekstnøgler!G259)</f>
        <v>Vedvarende energiandel (Vedvarende energiforbrug ift. samlet energiforbrug)</v>
      </c>
      <c r="D259" s="298" t="s">
        <v>183</v>
      </c>
      <c r="E259" s="299" t="s">
        <v>86</v>
      </c>
      <c r="F259" s="298" t="s">
        <v>183</v>
      </c>
      <c r="G259" s="300" t="s">
        <v>1787</v>
      </c>
      <c r="H259" s="298" t="s">
        <v>183</v>
      </c>
      <c r="I259" s="297" t="s">
        <v>165</v>
      </c>
      <c r="J259" s="297" t="s">
        <v>403</v>
      </c>
      <c r="K259" s="297" t="str" cm="1">
        <f t="array" aca="1" ref="K259" ca="1">INDIRECT("'"&amp;I259&amp;"'!"&amp;J259)</f>
        <v>CO₂ intensitet (Samlet CO₂e-udledning ift. nettoomsætning)</v>
      </c>
      <c r="L259" s="298" t="s">
        <v>183</v>
      </c>
      <c r="M259" s="297" t="str">
        <f t="shared" ca="1" si="16"/>
        <v>Reference fejl</v>
      </c>
    </row>
    <row r="260" spans="1:13" x14ac:dyDescent="0.2">
      <c r="A260" s="297" t="s">
        <v>608</v>
      </c>
      <c r="B260" s="298" t="s">
        <v>183</v>
      </c>
      <c r="C260" s="297" t="str">
        <f>IF(Forside!$D$12="Dansk",Tekstnøgler!E260,Tekstnøgler!G260)</f>
        <v>Samlet vandforbrug</v>
      </c>
      <c r="D260" s="298" t="s">
        <v>183</v>
      </c>
      <c r="E260" s="299" t="s">
        <v>1788</v>
      </c>
      <c r="F260" s="298" t="s">
        <v>183</v>
      </c>
      <c r="G260" s="300" t="s">
        <v>1789</v>
      </c>
      <c r="H260" s="298" t="s">
        <v>183</v>
      </c>
      <c r="I260" s="297" t="s">
        <v>165</v>
      </c>
      <c r="J260" s="297" t="s">
        <v>405</v>
      </c>
      <c r="K260" s="297" cm="1">
        <f t="array" aca="1" ref="K260" ca="1">INDIRECT("'"&amp;I260&amp;"'!"&amp;J260)</f>
        <v>0</v>
      </c>
      <c r="L260" s="298" t="s">
        <v>183</v>
      </c>
      <c r="M260" s="297" t="str">
        <f t="shared" ca="1" si="16"/>
        <v>Reference fejl</v>
      </c>
    </row>
    <row r="261" spans="1:13" x14ac:dyDescent="0.2">
      <c r="A261" s="297" t="s">
        <v>610</v>
      </c>
      <c r="B261" s="298" t="s">
        <v>183</v>
      </c>
      <c r="C261" s="297" t="str">
        <f>IF(Forside!$D$12="Dansk",Tekstnøgler!E261,Tekstnøgler!G261)</f>
        <v>Andel af farligt affald (Mængde af farligt affald ift. total mængde affald)</v>
      </c>
      <c r="D261" s="298" t="s">
        <v>183</v>
      </c>
      <c r="E261" s="299" t="s">
        <v>90</v>
      </c>
      <c r="F261" s="298" t="s">
        <v>183</v>
      </c>
      <c r="G261" s="300" t="s">
        <v>1790</v>
      </c>
      <c r="H261" s="298" t="s">
        <v>183</v>
      </c>
      <c r="I261" s="297" t="s">
        <v>165</v>
      </c>
      <c r="J261" s="297" t="s">
        <v>222</v>
      </c>
      <c r="K261" s="297" t="str" cm="1">
        <f t="array" aca="1" ref="K261" ca="1">INDIRECT("'"&amp;I261&amp;"'!"&amp;J261)</f>
        <v>Her ses din virksomheds samlede forbrug af elektricitet, og heraf hvad som kommer fra vedvarende energikilder. Bemærk, at den nukleare energiandel er medregnet under vedvarende elektricitet. Det skyldes, at den nukleare andel ikke udleder CO₂e.</v>
      </c>
      <c r="L261" s="298" t="s">
        <v>183</v>
      </c>
      <c r="M261" s="297" t="str">
        <f t="shared" ca="1" si="16"/>
        <v>Reference fejl</v>
      </c>
    </row>
    <row r="262" spans="1:13" x14ac:dyDescent="0.2">
      <c r="A262" s="297" t="s">
        <v>611</v>
      </c>
      <c r="B262" s="298" t="s">
        <v>183</v>
      </c>
      <c r="C262" s="297" t="str">
        <f>IF(Forside!$D$12="Dansk",Tekstnøgler!E262,Tekstnøgler!G262)</f>
        <v>Andel affald sendt til genanvendelse og genbrug (Mængde af genanvendt affald ift. total mængde affald)</v>
      </c>
      <c r="D262" s="298" t="s">
        <v>183</v>
      </c>
      <c r="E262" s="299" t="s">
        <v>1791</v>
      </c>
      <c r="F262" s="298" t="s">
        <v>183</v>
      </c>
      <c r="G262" s="300" t="s">
        <v>1792</v>
      </c>
      <c r="H262" s="298" t="s">
        <v>183</v>
      </c>
      <c r="I262" s="297" t="s">
        <v>165</v>
      </c>
      <c r="J262" s="297" t="s">
        <v>223</v>
      </c>
      <c r="K262" s="297" cm="1">
        <f t="array" aca="1" ref="K262" ca="1">INDIRECT("'"&amp;I262&amp;"'!"&amp;J262)</f>
        <v>0</v>
      </c>
      <c r="L262" s="298" t="s">
        <v>183</v>
      </c>
      <c r="M262" s="297" t="str">
        <f t="shared" ca="1" si="16"/>
        <v>Reference fejl</v>
      </c>
    </row>
    <row r="263" spans="1:13" x14ac:dyDescent="0.2">
      <c r="A263" s="297" t="s">
        <v>612</v>
      </c>
      <c r="B263" s="298" t="s">
        <v>183</v>
      </c>
      <c r="C263" s="297" t="str">
        <f>IF(Forside!$D$12="Dansk",Tekstnøgler!E263,Tekstnøgler!G263)</f>
        <v>Ton CO₂e</v>
      </c>
      <c r="D263" s="298" t="s">
        <v>183</v>
      </c>
      <c r="E263" s="299" t="s">
        <v>1657</v>
      </c>
      <c r="F263" s="298" t="s">
        <v>183</v>
      </c>
      <c r="G263" s="300" t="s">
        <v>1657</v>
      </c>
      <c r="H263" s="298" t="s">
        <v>183</v>
      </c>
      <c r="I263" s="297" t="s">
        <v>165</v>
      </c>
      <c r="J263" s="297" t="s">
        <v>578</v>
      </c>
      <c r="K263" s="297" cm="1">
        <f t="array" aca="1" ref="K263" ca="1">INDIRECT("'"&amp;I263&amp;"'!"&amp;J263)</f>
        <v>0</v>
      </c>
      <c r="L263" s="298" t="s">
        <v>183</v>
      </c>
      <c r="M263" s="297" t="str">
        <f t="shared" ca="1" si="16"/>
        <v>Reference fejl</v>
      </c>
    </row>
    <row r="264" spans="1:13" x14ac:dyDescent="0.2">
      <c r="A264" s="297" t="s">
        <v>613</v>
      </c>
      <c r="B264" s="298" t="s">
        <v>183</v>
      </c>
      <c r="C264" s="297" t="str">
        <f>IF(Forside!$D$12="Dansk",Tekstnøgler!E264,Tekstnøgler!G264)</f>
        <v>Ton CO₂e / mio. DKK</v>
      </c>
      <c r="D264" s="298" t="s">
        <v>183</v>
      </c>
      <c r="E264" s="299" t="s">
        <v>1793</v>
      </c>
      <c r="F264" s="298" t="s">
        <v>183</v>
      </c>
      <c r="G264" s="300" t="s">
        <v>1794</v>
      </c>
      <c r="H264" s="298" t="s">
        <v>183</v>
      </c>
      <c r="I264" s="297" t="s">
        <v>165</v>
      </c>
      <c r="J264" s="297" t="s">
        <v>614</v>
      </c>
      <c r="K264" s="297" cm="1">
        <f t="array" aca="1" ref="K264" ca="1">INDIRECT("'"&amp;I264&amp;"'!"&amp;J264)</f>
        <v>0</v>
      </c>
      <c r="L264" s="298" t="s">
        <v>183</v>
      </c>
      <c r="M264" s="297" t="str">
        <f t="shared" ca="1" si="16"/>
        <v>Reference fejl</v>
      </c>
    </row>
    <row r="265" spans="1:13" x14ac:dyDescent="0.2">
      <c r="A265" s="297" t="s">
        <v>615</v>
      </c>
      <c r="B265" s="298" t="s">
        <v>183</v>
      </c>
      <c r="C265" s="297" t="str">
        <f>IF(Forside!$D$12="Dansk",Tekstnøgler!E265,Tekstnøgler!G265)</f>
        <v>GJ</v>
      </c>
      <c r="D265" s="298" t="s">
        <v>183</v>
      </c>
      <c r="E265" s="299" t="s">
        <v>84</v>
      </c>
      <c r="F265" s="298" t="s">
        <v>183</v>
      </c>
      <c r="G265" s="300" t="s">
        <v>84</v>
      </c>
      <c r="H265" s="298" t="s">
        <v>183</v>
      </c>
      <c r="I265" s="297" t="s">
        <v>165</v>
      </c>
      <c r="J265" s="297" t="s">
        <v>616</v>
      </c>
      <c r="K265" s="297" cm="1">
        <f t="array" aca="1" ref="K265" ca="1">INDIRECT("'"&amp;I265&amp;"'!"&amp;J265)</f>
        <v>0</v>
      </c>
      <c r="L265" s="298" t="s">
        <v>183</v>
      </c>
      <c r="M265" s="297" t="str">
        <f t="shared" ca="1" si="16"/>
        <v>Reference fejl</v>
      </c>
    </row>
    <row r="266" spans="1:13" x14ac:dyDescent="0.2">
      <c r="A266" s="297" t="s">
        <v>617</v>
      </c>
      <c r="B266" s="298" t="s">
        <v>183</v>
      </c>
      <c r="C266" s="297" t="str">
        <f>IF(Forside!$D$12="Dansk",Tekstnøgler!E266,Tekstnøgler!G266)</f>
        <v>GJ / mio. DKK</v>
      </c>
      <c r="D266" s="298" t="s">
        <v>183</v>
      </c>
      <c r="E266" s="299" t="s">
        <v>85</v>
      </c>
      <c r="F266" s="298" t="s">
        <v>183</v>
      </c>
      <c r="G266" s="300" t="s">
        <v>1795</v>
      </c>
      <c r="H266" s="298" t="s">
        <v>183</v>
      </c>
      <c r="I266" s="297" t="s">
        <v>165</v>
      </c>
      <c r="J266" s="297" t="s">
        <v>618</v>
      </c>
      <c r="K266" s="297" cm="1">
        <f t="array" aca="1" ref="K266" ca="1">INDIRECT("'"&amp;I266&amp;"'!"&amp;J266)</f>
        <v>0</v>
      </c>
      <c r="L266" s="298" t="s">
        <v>183</v>
      </c>
      <c r="M266" s="297" t="str">
        <f t="shared" ca="1" si="16"/>
        <v>Reference fejl</v>
      </c>
    </row>
    <row r="267" spans="1:13" x14ac:dyDescent="0.2">
      <c r="A267" s="297" t="s">
        <v>619</v>
      </c>
      <c r="B267" s="298" t="s">
        <v>183</v>
      </c>
      <c r="C267" s="297" t="str">
        <f>IF(Forside!$D$12="Dansk",Tekstnøgler!E267,Tekstnøgler!G267)</f>
        <v>Pct. (%)</v>
      </c>
      <c r="D267" s="298" t="s">
        <v>183</v>
      </c>
      <c r="E267" s="299" t="s">
        <v>87</v>
      </c>
      <c r="F267" s="298" t="s">
        <v>183</v>
      </c>
      <c r="G267" s="300" t="s">
        <v>87</v>
      </c>
      <c r="H267" s="298" t="s">
        <v>183</v>
      </c>
      <c r="I267" s="297" t="s">
        <v>165</v>
      </c>
      <c r="J267" s="297" t="s">
        <v>620</v>
      </c>
      <c r="K267" s="297" cm="1">
        <f t="array" aca="1" ref="K267" ca="1">INDIRECT("'"&amp;I267&amp;"'!"&amp;J267)</f>
        <v>0</v>
      </c>
      <c r="L267" s="298" t="s">
        <v>183</v>
      </c>
      <c r="M267" s="297" t="str">
        <f t="shared" ca="1" si="16"/>
        <v>Reference fejl</v>
      </c>
    </row>
    <row r="268" spans="1:13" x14ac:dyDescent="0.2">
      <c r="A268" s="297" t="s">
        <v>621</v>
      </c>
      <c r="B268" s="298" t="s">
        <v>183</v>
      </c>
      <c r="C268" s="297" t="str">
        <f>IF(Forside!$D$12="Dansk",Tekstnøgler!E268,Tekstnøgler!G268)</f>
        <v>Liter</v>
      </c>
      <c r="D268" s="298" t="s">
        <v>183</v>
      </c>
      <c r="E268" s="299" t="s">
        <v>89</v>
      </c>
      <c r="F268" s="298" t="s">
        <v>183</v>
      </c>
      <c r="G268" s="300" t="s">
        <v>1796</v>
      </c>
      <c r="H268" s="298" t="s">
        <v>183</v>
      </c>
      <c r="I268" s="297" t="s">
        <v>165</v>
      </c>
      <c r="J268" s="297" t="s">
        <v>622</v>
      </c>
      <c r="K268" s="297" cm="1">
        <f t="array" aca="1" ref="K268" ca="1">INDIRECT("'"&amp;I268&amp;"'!"&amp;J268)</f>
        <v>0</v>
      </c>
      <c r="L268" s="298" t="s">
        <v>183</v>
      </c>
      <c r="M268" s="297" t="str">
        <f t="shared" ca="1" si="16"/>
        <v>Reference fejl</v>
      </c>
    </row>
    <row r="269" spans="1:13" x14ac:dyDescent="0.2">
      <c r="A269" s="297" t="s">
        <v>623</v>
      </c>
      <c r="B269" s="298" t="s">
        <v>183</v>
      </c>
      <c r="C269" s="297" t="str">
        <f>IF(Forside!$D$12="Dansk",Tekstnøgler!E269,Tekstnøgler!G269)</f>
        <v>(ikke angivet)</v>
      </c>
      <c r="D269" s="298" t="s">
        <v>183</v>
      </c>
      <c r="E269" s="299" t="s">
        <v>624</v>
      </c>
      <c r="F269" s="298" t="s">
        <v>183</v>
      </c>
      <c r="G269" s="300" t="s">
        <v>1797</v>
      </c>
      <c r="H269" s="298" t="s">
        <v>183</v>
      </c>
      <c r="I269" s="297" t="s">
        <v>165</v>
      </c>
      <c r="K269" s="297" t="e" cm="1">
        <f t="array" aca="1" ref="K269" ca="1">INDIRECT("'"&amp;I269&amp;"'!"&amp;J269)</f>
        <v>#REF!</v>
      </c>
      <c r="L269" s="298" t="s">
        <v>183</v>
      </c>
      <c r="M269" s="297" t="e">
        <f t="shared" ca="1" si="16"/>
        <v>#REF!</v>
      </c>
    </row>
    <row r="270" spans="1:13" x14ac:dyDescent="0.2">
      <c r="A270" s="297" t="s">
        <v>625</v>
      </c>
      <c r="B270" s="298" t="s">
        <v>183</v>
      </c>
      <c r="C270" s="297" t="str">
        <f>IF(Forside!$D$12="Dansk",Tekstnøgler!E270,Tekstnøgler!G270)</f>
        <v>Anvendte værdier i beregning af E-nøgletal (ESG)</v>
      </c>
      <c r="D270" s="298" t="s">
        <v>183</v>
      </c>
      <c r="E270" s="299" t="s">
        <v>626</v>
      </c>
      <c r="F270" s="298" t="s">
        <v>183</v>
      </c>
      <c r="G270" s="300" t="s">
        <v>1798</v>
      </c>
      <c r="H270" s="298" t="s">
        <v>183</v>
      </c>
      <c r="I270" s="297" t="s">
        <v>165</v>
      </c>
      <c r="J270" s="297" t="s">
        <v>413</v>
      </c>
      <c r="K270" s="297" t="str" cm="1">
        <f t="array" aca="1" ref="K270" ca="1">INDIRECT("'"&amp;I270&amp;"'!"&amp;J270)</f>
        <v>Elektricitet</v>
      </c>
      <c r="L270" s="298" t="s">
        <v>183</v>
      </c>
      <c r="M270" s="297" t="str">
        <f t="shared" ca="1" si="16"/>
        <v>Reference fejl</v>
      </c>
    </row>
    <row r="271" spans="1:13" x14ac:dyDescent="0.2">
      <c r="A271" s="297" t="s">
        <v>627</v>
      </c>
      <c r="B271" s="298" t="s">
        <v>183</v>
      </c>
      <c r="C271" s="297" t="str">
        <f>IF(Forside!$D$12="Dansk",Tekstnøgler!E271,Tekstnøgler!G271)</f>
        <v>I følgende tabel kan du se de værdier, der er anvendt i beregningen af E-nøgletallene præsenteret i tabellen ovenfor</v>
      </c>
      <c r="D271" s="298" t="s">
        <v>183</v>
      </c>
      <c r="E271" s="299" t="s">
        <v>1799</v>
      </c>
      <c r="F271" s="298" t="s">
        <v>183</v>
      </c>
      <c r="G271" s="300" t="s">
        <v>1800</v>
      </c>
      <c r="H271" s="298" t="s">
        <v>183</v>
      </c>
      <c r="I271" s="297" t="s">
        <v>165</v>
      </c>
      <c r="J271" s="297" t="s">
        <v>226</v>
      </c>
      <c r="K271" s="297" t="str" cm="1">
        <f t="array" aca="1" ref="K271" ca="1">INDIRECT("'"&amp;I271&amp;"'!"&amp;J271)</f>
        <v>Fjernvarme</v>
      </c>
      <c r="L271" s="298" t="s">
        <v>183</v>
      </c>
      <c r="M271" s="297" t="str">
        <f t="shared" ca="1" si="16"/>
        <v>Reference fejl</v>
      </c>
    </row>
    <row r="272" spans="1:13" x14ac:dyDescent="0.2">
      <c r="A272" s="297" t="s">
        <v>628</v>
      </c>
      <c r="B272" s="298" t="s">
        <v>183</v>
      </c>
      <c r="C272" s="297" t="str">
        <f>IF(Forside!$D$12="Dansk",Tekstnøgler!E272,Tekstnøgler!G272)</f>
        <v>PARAMETRE BRUGT TIL BEREGNING AF E-NØGLETAL</v>
      </c>
      <c r="D272" s="298" t="s">
        <v>183</v>
      </c>
      <c r="E272" s="299" t="s">
        <v>1801</v>
      </c>
      <c r="F272" s="298" t="s">
        <v>183</v>
      </c>
      <c r="G272" s="300" t="s">
        <v>1802</v>
      </c>
      <c r="H272" s="298" t="s">
        <v>183</v>
      </c>
      <c r="I272" s="297" t="s">
        <v>165</v>
      </c>
      <c r="J272" s="297" t="s">
        <v>228</v>
      </c>
      <c r="K272" s="297" cm="1">
        <f t="array" aca="1" ref="K272" ca="1">INDIRECT("'"&amp;I272&amp;"'!"&amp;J272)</f>
        <v>0</v>
      </c>
      <c r="L272" s="298" t="s">
        <v>183</v>
      </c>
      <c r="M272" s="297" t="str">
        <f t="shared" ca="1" si="16"/>
        <v>Reference fejl</v>
      </c>
    </row>
    <row r="273" spans="1:13" x14ac:dyDescent="0.2">
      <c r="A273" s="297" t="s">
        <v>629</v>
      </c>
      <c r="B273" s="298" t="s">
        <v>183</v>
      </c>
      <c r="C273" s="297" t="str">
        <f>IF(Forside!$D$12="Dansk",Tekstnøgler!E273,Tekstnøgler!G273)</f>
        <v>Nettoomsætning</v>
      </c>
      <c r="D273" s="298" t="s">
        <v>183</v>
      </c>
      <c r="E273" s="299" t="s">
        <v>1803</v>
      </c>
      <c r="F273" s="298" t="s">
        <v>183</v>
      </c>
      <c r="G273" s="300" t="s">
        <v>1804</v>
      </c>
      <c r="H273" s="298" t="s">
        <v>183</v>
      </c>
      <c r="I273" s="297" t="s">
        <v>165</v>
      </c>
      <c r="J273" s="297" t="s">
        <v>231</v>
      </c>
      <c r="K273" s="297" t="str" cm="1">
        <f t="array" aca="1" ref="K273" ca="1">INDIRECT("'"&amp;I273&amp;"'!"&amp;J273)</f>
        <v>Andre nøgletal</v>
      </c>
      <c r="L273" s="298" t="s">
        <v>183</v>
      </c>
      <c r="M273" s="297" t="str">
        <f t="shared" ca="1" si="16"/>
        <v>Reference fejl</v>
      </c>
    </row>
    <row r="274" spans="1:13" x14ac:dyDescent="0.2">
      <c r="A274" s="297" t="s">
        <v>630</v>
      </c>
      <c r="B274" s="298" t="s">
        <v>183</v>
      </c>
      <c r="C274" s="297" t="str">
        <f>IF(Forside!$D$12="Dansk",Tekstnøgler!E274,Tekstnøgler!G274)</f>
        <v>Vedvarende energiforbrug</v>
      </c>
      <c r="D274" s="298" t="s">
        <v>183</v>
      </c>
      <c r="E274" s="299" t="s">
        <v>94</v>
      </c>
      <c r="F274" s="298" t="s">
        <v>183</v>
      </c>
      <c r="G274" s="300" t="s">
        <v>1805</v>
      </c>
      <c r="H274" s="298" t="s">
        <v>183</v>
      </c>
      <c r="I274" s="297" t="s">
        <v>165</v>
      </c>
      <c r="J274" s="297" t="s">
        <v>422</v>
      </c>
      <c r="K274" s="297" cm="1">
        <f t="array" aca="1" ref="K274" ca="1">INDIRECT("'"&amp;I274&amp;"'!"&amp;J274)</f>
        <v>0</v>
      </c>
      <c r="L274" s="298" t="s">
        <v>183</v>
      </c>
      <c r="M274" s="297" t="str">
        <f t="shared" ca="1" si="16"/>
        <v>Reference fejl</v>
      </c>
    </row>
    <row r="275" spans="1:13" x14ac:dyDescent="0.2">
      <c r="A275" s="297" t="s">
        <v>631</v>
      </c>
      <c r="B275" s="298" t="s">
        <v>183</v>
      </c>
      <c r="C275" s="297" t="str">
        <f>IF(Forside!$D$12="Dansk",Tekstnøgler!E275,Tekstnøgler!G275)</f>
        <v>Total mængde af affald</v>
      </c>
      <c r="D275" s="298" t="s">
        <v>183</v>
      </c>
      <c r="E275" s="299" t="s">
        <v>95</v>
      </c>
      <c r="F275" s="298" t="s">
        <v>183</v>
      </c>
      <c r="G275" s="300" t="s">
        <v>1806</v>
      </c>
      <c r="H275" s="298" t="s">
        <v>183</v>
      </c>
      <c r="I275" s="297" t="s">
        <v>165</v>
      </c>
      <c r="J275" s="297" t="s">
        <v>424</v>
      </c>
      <c r="K275" s="297" t="str" cm="1">
        <f t="array" aca="1" ref="K275" ca="1">INDIRECT("'"&amp;I275&amp;"'!"&amp;J275)</f>
        <v>Her ses din virksomheds samlede energiforbrug, samt hvor stor andel af energiforbruget der kommer fra hhv. fossile kilder (såsom olie og gas), nukleare kilder (atomkraft) og vedvarende kilder (fx solcelle-energi).</v>
      </c>
      <c r="L275" s="298" t="s">
        <v>183</v>
      </c>
      <c r="M275" s="297" t="str">
        <f t="shared" ca="1" si="16"/>
        <v>Reference fejl</v>
      </c>
    </row>
    <row r="276" spans="1:13" x14ac:dyDescent="0.2">
      <c r="A276" s="297" t="s">
        <v>633</v>
      </c>
      <c r="B276" s="298" t="s">
        <v>183</v>
      </c>
      <c r="C276" s="297" t="str">
        <f>IF(Forside!$D$12="Dansk",Tekstnøgler!E276,Tekstnøgler!G276)</f>
        <v>Mængde af farligt affald</v>
      </c>
      <c r="D276" s="298" t="s">
        <v>183</v>
      </c>
      <c r="E276" s="299" t="s">
        <v>97</v>
      </c>
      <c r="F276" s="298" t="s">
        <v>183</v>
      </c>
      <c r="G276" s="300" t="s">
        <v>1807</v>
      </c>
      <c r="H276" s="298" t="s">
        <v>183</v>
      </c>
      <c r="I276" s="297" t="s">
        <v>165</v>
      </c>
      <c r="J276" s="297" t="s">
        <v>233</v>
      </c>
      <c r="K276" s="297" cm="1">
        <f t="array" aca="1" ref="K276" ca="1">INDIRECT("'"&amp;I276&amp;"'!"&amp;J276)</f>
        <v>0</v>
      </c>
      <c r="L276" s="298" t="s">
        <v>183</v>
      </c>
      <c r="M276" s="297" t="str">
        <f t="shared" ca="1" si="16"/>
        <v>Reference fejl</v>
      </c>
    </row>
    <row r="277" spans="1:13" x14ac:dyDescent="0.2">
      <c r="A277" s="297" t="s">
        <v>634</v>
      </c>
      <c r="B277" s="298" t="s">
        <v>183</v>
      </c>
      <c r="C277" s="297" t="str">
        <f>IF(Forside!$D$12="Dansk",Tekstnøgler!E277,Tekstnøgler!G277)</f>
        <v>Mængde af genanvendt affald</v>
      </c>
      <c r="D277" s="298" t="s">
        <v>183</v>
      </c>
      <c r="E277" s="299" t="s">
        <v>98</v>
      </c>
      <c r="F277" s="298" t="s">
        <v>183</v>
      </c>
      <c r="G277" s="300" t="s">
        <v>1806</v>
      </c>
      <c r="H277" s="298" t="s">
        <v>183</v>
      </c>
      <c r="I277" s="297" t="s">
        <v>165</v>
      </c>
      <c r="J277" s="297" t="s">
        <v>236</v>
      </c>
      <c r="K277" s="297" t="str" cm="1">
        <f t="array" aca="1" ref="K277" ca="1">INDIRECT("'"&amp;I277&amp;"'!"&amp;J277)</f>
        <v>Energiforbrug fordelt på kilder</v>
      </c>
      <c r="L277" s="298" t="s">
        <v>183</v>
      </c>
      <c r="M277" s="297" t="str">
        <f t="shared" ca="1" si="16"/>
        <v>Reference fejl</v>
      </c>
    </row>
    <row r="278" spans="1:13" x14ac:dyDescent="0.2">
      <c r="A278" s="297" t="s">
        <v>635</v>
      </c>
      <c r="B278" s="298" t="s">
        <v>183</v>
      </c>
      <c r="C278" s="297" t="str">
        <f>IF(Forside!$D$12="Dansk",Tekstnøgler!E278,Tekstnøgler!G278)</f>
        <v>mio. DKK</v>
      </c>
      <c r="D278" s="298" t="s">
        <v>183</v>
      </c>
      <c r="E278" s="299" t="s">
        <v>1808</v>
      </c>
      <c r="F278" s="298" t="s">
        <v>183</v>
      </c>
      <c r="G278" s="300" t="s">
        <v>93</v>
      </c>
      <c r="H278" s="298" t="s">
        <v>183</v>
      </c>
      <c r="I278" s="297" t="s">
        <v>165</v>
      </c>
      <c r="J278" s="297" t="s">
        <v>636</v>
      </c>
      <c r="K278" s="297" cm="1">
        <f t="array" aca="1" ref="K278" ca="1">INDIRECT("'"&amp;I278&amp;"'!"&amp;J278)</f>
        <v>0</v>
      </c>
      <c r="L278" s="298" t="s">
        <v>183</v>
      </c>
      <c r="M278" s="297" t="str">
        <f t="shared" ca="1" si="16"/>
        <v>Reference fejl</v>
      </c>
    </row>
    <row r="279" spans="1:13" x14ac:dyDescent="0.2">
      <c r="A279" s="297" t="s">
        <v>615</v>
      </c>
      <c r="B279" s="298" t="s">
        <v>183</v>
      </c>
      <c r="C279" s="297" t="str">
        <f>IF(Forside!$D$12="Dansk",Tekstnøgler!E279,Tekstnøgler!G279)</f>
        <v>GJ</v>
      </c>
      <c r="D279" s="298" t="s">
        <v>183</v>
      </c>
      <c r="E279" s="299" t="s">
        <v>84</v>
      </c>
      <c r="F279" s="298" t="s">
        <v>183</v>
      </c>
      <c r="G279" s="300" t="s">
        <v>84</v>
      </c>
      <c r="H279" s="298" t="s">
        <v>183</v>
      </c>
      <c r="I279" s="297" t="s">
        <v>165</v>
      </c>
      <c r="J279" s="297" t="s">
        <v>637</v>
      </c>
      <c r="K279" s="297" cm="1">
        <f t="array" aca="1" ref="K279" ca="1">INDIRECT("'"&amp;I279&amp;"'!"&amp;J279)</f>
        <v>0</v>
      </c>
      <c r="L279" s="298" t="s">
        <v>183</v>
      </c>
      <c r="M279" s="297" t="str">
        <f t="shared" ca="1" si="16"/>
        <v>Reference fejl</v>
      </c>
    </row>
    <row r="280" spans="1:13" x14ac:dyDescent="0.2">
      <c r="A280" s="297" t="s">
        <v>638</v>
      </c>
      <c r="B280" s="298" t="s">
        <v>183</v>
      </c>
      <c r="C280" s="297" t="str">
        <f>IF(Forside!$D$12="Dansk",Tekstnøgler!E280,Tekstnøgler!G280)</f>
        <v>Ton</v>
      </c>
      <c r="D280" s="298" t="s">
        <v>183</v>
      </c>
      <c r="E280" s="299" t="s">
        <v>96</v>
      </c>
      <c r="F280" s="298" t="s">
        <v>183</v>
      </c>
      <c r="G280" s="300" t="s">
        <v>96</v>
      </c>
      <c r="H280" s="298" t="s">
        <v>183</v>
      </c>
      <c r="I280" s="297" t="s">
        <v>165</v>
      </c>
      <c r="J280" s="297" t="s">
        <v>639</v>
      </c>
      <c r="K280" s="297" cm="1">
        <f t="array" aca="1" ref="K280" ca="1">INDIRECT("'"&amp;I280&amp;"'!"&amp;J280)</f>
        <v>0</v>
      </c>
      <c r="L280" s="298" t="s">
        <v>183</v>
      </c>
      <c r="M280" s="297" t="str">
        <f t="shared" ca="1" si="16"/>
        <v>Reference fejl</v>
      </c>
    </row>
    <row r="281" spans="1:13" x14ac:dyDescent="0.2">
      <c r="A281" s="297" t="s">
        <v>1189</v>
      </c>
      <c r="B281" s="298"/>
      <c r="C281" s="297" t="str">
        <f>IF(Forside!$D$12="Dansk",Tekstnøgler!E281,Tekstnøgler!G281)</f>
        <v>CO₂e-udledning</v>
      </c>
      <c r="D281" s="298"/>
      <c r="E281" s="299" t="s">
        <v>1202</v>
      </c>
      <c r="F281" s="298"/>
      <c r="G281" s="300" t="s">
        <v>1201</v>
      </c>
      <c r="H281" s="298"/>
      <c r="L281" s="298"/>
    </row>
    <row r="282" spans="1:13" x14ac:dyDescent="0.2">
      <c r="A282" s="297" t="s">
        <v>1190</v>
      </c>
      <c r="B282" s="298"/>
      <c r="C282" s="297" t="str">
        <f>IF(Forside!$D$12="Dansk",Tekstnøgler!E282,Tekstnøgler!G282)</f>
        <v>Energiforbrug fordelt på kilder</v>
      </c>
      <c r="D282" s="298"/>
      <c r="E282" s="299" t="s">
        <v>1204</v>
      </c>
      <c r="F282" s="298"/>
      <c r="G282" s="300" t="s">
        <v>1203</v>
      </c>
      <c r="H282" s="298"/>
      <c r="L282" s="298"/>
    </row>
    <row r="283" spans="1:13" x14ac:dyDescent="0.2">
      <c r="A283" s="297" t="s">
        <v>1191</v>
      </c>
      <c r="B283" s="298"/>
      <c r="C283" s="297" t="str">
        <f>IF(Forside!$D$12="Dansk",Tekstnøgler!E283,Tekstnøgler!G283)</f>
        <v>Vand og affald</v>
      </c>
      <c r="D283" s="298"/>
      <c r="E283" s="299" t="s">
        <v>1206</v>
      </c>
      <c r="F283" s="298"/>
      <c r="G283" s="300" t="s">
        <v>1205</v>
      </c>
      <c r="H283" s="298"/>
      <c r="L283" s="298"/>
    </row>
    <row r="284" spans="1:13" x14ac:dyDescent="0.2">
      <c r="A284" s="297" t="s">
        <v>1259</v>
      </c>
      <c r="B284" s="298"/>
      <c r="C284" s="297" t="str">
        <f>IF(Forside!$D$12="Dansk",Tekstnøgler!E284,Tekstnøgler!G284)</f>
        <v>Energiforbrug</v>
      </c>
      <c r="D284" s="298"/>
      <c r="E284" s="299" t="s">
        <v>1809</v>
      </c>
      <c r="F284" s="298"/>
      <c r="G284" s="300" t="s">
        <v>1810</v>
      </c>
      <c r="H284" s="298"/>
      <c r="I284" s="297" t="s">
        <v>165</v>
      </c>
      <c r="L284" s="298"/>
    </row>
    <row r="285" spans="1:13" x14ac:dyDescent="0.2">
      <c r="A285" s="297" t="s">
        <v>1260</v>
      </c>
      <c r="B285" s="298"/>
      <c r="C285" s="297" t="str">
        <f>IF(Forside!$D$12="Dansk",Tekstnøgler!E285,Tekstnøgler!G285)</f>
        <v>Vedvarende</v>
      </c>
      <c r="D285" s="298"/>
      <c r="E285" s="299" t="s">
        <v>1261</v>
      </c>
      <c r="F285" s="298"/>
      <c r="G285" s="300" t="s">
        <v>1262</v>
      </c>
      <c r="H285" s="298"/>
      <c r="I285" s="297" t="s">
        <v>165</v>
      </c>
      <c r="L285" s="298"/>
    </row>
    <row r="286" spans="1:13" x14ac:dyDescent="0.2">
      <c r="A286" s="297" t="s">
        <v>1264</v>
      </c>
      <c r="B286" s="298"/>
      <c r="C286" s="297" t="str">
        <f>IF(Forside!$D$12="Dansk",Tekstnøgler!E286,Tekstnøgler!G286)</f>
        <v>Ikke vedvarende</v>
      </c>
      <c r="D286" s="298"/>
      <c r="E286" s="299" t="s">
        <v>1811</v>
      </c>
      <c r="F286" s="298"/>
      <c r="G286" s="300" t="s">
        <v>1263</v>
      </c>
      <c r="H286" s="298"/>
      <c r="I286" s="297" t="s">
        <v>165</v>
      </c>
      <c r="L286" s="298"/>
    </row>
    <row r="287" spans="1:13" x14ac:dyDescent="0.2">
      <c r="A287" s="297" t="s">
        <v>1265</v>
      </c>
      <c r="B287" s="298"/>
      <c r="C287" s="297" t="str">
        <f>IF(Forside!$D$12="Dansk",Tekstnøgler!E287,Tekstnøgler!G287)</f>
        <v>Total</v>
      </c>
      <c r="D287" s="298"/>
      <c r="E287" s="299" t="s">
        <v>761</v>
      </c>
      <c r="F287" s="298"/>
      <c r="G287" s="300" t="s">
        <v>761</v>
      </c>
      <c r="H287" s="298"/>
      <c r="I287" s="297" t="s">
        <v>165</v>
      </c>
      <c r="L287" s="298"/>
    </row>
    <row r="288" spans="1:13" x14ac:dyDescent="0.2">
      <c r="A288" s="297" t="s">
        <v>1207</v>
      </c>
      <c r="B288" s="298"/>
      <c r="C288" s="297" t="str">
        <f>IF(Forside!$D$12="Dansk",Tekstnøgler!E288,Tekstnøgler!G288)</f>
        <v>m3 / mio. DKK</v>
      </c>
      <c r="D288" s="298"/>
      <c r="E288" s="299" t="s">
        <v>1211</v>
      </c>
      <c r="F288" s="298"/>
      <c r="G288" s="300" t="s">
        <v>1210</v>
      </c>
      <c r="H288" s="298"/>
      <c r="L288" s="298"/>
    </row>
    <row r="289" spans="1:13" x14ac:dyDescent="0.2">
      <c r="A289" s="297" t="s">
        <v>1208</v>
      </c>
      <c r="B289" s="298"/>
      <c r="C289" s="297" t="str">
        <f>IF(Forside!$D$12="Dansk",Tekstnøgler!E289,Tekstnøgler!G289)</f>
        <v>MWh</v>
      </c>
      <c r="D289" s="298"/>
      <c r="E289" s="299" t="s">
        <v>45</v>
      </c>
      <c r="F289" s="298"/>
      <c r="G289" s="300" t="s">
        <v>45</v>
      </c>
      <c r="H289" s="298"/>
      <c r="L289" s="298"/>
    </row>
    <row r="290" spans="1:13" x14ac:dyDescent="0.2">
      <c r="A290" s="297" t="s">
        <v>1209</v>
      </c>
      <c r="B290" s="298"/>
      <c r="C290" s="297" t="str">
        <f>IF(Forside!$D$12="Dansk",Tekstnøgler!E290,Tekstnøgler!G290)</f>
        <v>m3</v>
      </c>
      <c r="D290" s="298"/>
      <c r="E290" s="299" t="s">
        <v>1212</v>
      </c>
      <c r="F290" s="298"/>
      <c r="G290" s="300" t="s">
        <v>1212</v>
      </c>
      <c r="H290" s="298"/>
      <c r="L290" s="298"/>
    </row>
    <row r="291" spans="1:13" x14ac:dyDescent="0.2">
      <c r="A291" s="297" t="s">
        <v>1213</v>
      </c>
      <c r="B291" s="298" t="s">
        <v>183</v>
      </c>
      <c r="C291" s="297" t="str">
        <f>IF(Forside!$D$12="Dansk",Tekstnøgler!E291,Tekstnøgler!G291)</f>
        <v>Vandintensitet (Samlet vandforbrug ift. nettoomsætning)</v>
      </c>
      <c r="D291" s="298" t="s">
        <v>183</v>
      </c>
      <c r="E291" s="299" t="s">
        <v>1216</v>
      </c>
      <c r="F291" s="298" t="s">
        <v>183</v>
      </c>
      <c r="G291" s="300" t="s">
        <v>1215</v>
      </c>
      <c r="H291" s="298" t="s">
        <v>183</v>
      </c>
      <c r="L291" s="298" t="s">
        <v>183</v>
      </c>
    </row>
    <row r="292" spans="1:13" x14ac:dyDescent="0.2">
      <c r="A292" s="297" t="s">
        <v>1214</v>
      </c>
      <c r="B292" s="298"/>
      <c r="C292" s="297" t="str">
        <f>IF(Forside!$D$12="Dansk",Tekstnøgler!E292,Tekstnøgler!G292)</f>
        <v>Samlet mængde affald</v>
      </c>
      <c r="D292" s="298"/>
      <c r="E292" s="299" t="s">
        <v>1217</v>
      </c>
      <c r="F292" s="298"/>
      <c r="G292" s="300" t="s">
        <v>632</v>
      </c>
      <c r="H292" s="298"/>
      <c r="L292" s="298"/>
    </row>
    <row r="293" spans="1:13" x14ac:dyDescent="0.2">
      <c r="A293" s="297" t="s">
        <v>1266</v>
      </c>
      <c r="B293" s="298"/>
      <c r="C293" s="297" t="str">
        <f>IF(Forside!$D$12="Dansk",Tekstnøgler!E293,Tekstnøgler!G293)</f>
        <v>Elektricitet</v>
      </c>
      <c r="D293" s="298"/>
      <c r="E293" s="299" t="s">
        <v>41</v>
      </c>
      <c r="F293" s="298"/>
      <c r="G293" s="300" t="s">
        <v>397</v>
      </c>
      <c r="H293" s="298"/>
      <c r="L293" s="298"/>
    </row>
    <row r="294" spans="1:13" x14ac:dyDescent="0.2">
      <c r="A294" s="297" t="s">
        <v>1267</v>
      </c>
      <c r="B294" s="298"/>
      <c r="C294" s="297" t="str">
        <f>IF(Forside!$D$12="Dansk",Tekstnøgler!E294,Tekstnøgler!G294)</f>
        <v>Brændsler</v>
      </c>
      <c r="D294" s="298"/>
      <c r="E294" s="299" t="s">
        <v>1268</v>
      </c>
      <c r="F294" s="298"/>
      <c r="G294" s="300" t="s">
        <v>1269</v>
      </c>
      <c r="H294" s="298"/>
      <c r="L294" s="298"/>
    </row>
    <row r="295" spans="1:13" x14ac:dyDescent="0.2">
      <c r="A295" s="297" t="s">
        <v>1270</v>
      </c>
      <c r="B295" s="298"/>
      <c r="C295" s="297" t="str">
        <f>IF(Forside!$D$12="Dansk",Tekstnøgler!E295,Tekstnøgler!G295)</f>
        <v>Fjernvarme</v>
      </c>
      <c r="D295" s="298"/>
      <c r="E295" s="299" t="s">
        <v>50</v>
      </c>
      <c r="F295" s="298"/>
      <c r="G295" s="300" t="s">
        <v>1271</v>
      </c>
      <c r="H295" s="298"/>
      <c r="L295" s="298"/>
    </row>
    <row r="296" spans="1:13" x14ac:dyDescent="0.2">
      <c r="A296" s="297" t="s">
        <v>1218</v>
      </c>
      <c r="B296" s="298"/>
      <c r="C296" s="297" t="str">
        <f>IF(Forside!$D$12="Dansk",Tekstnøgler!E296,Tekstnøgler!G296)</f>
        <v>Samlet elektricitetsforbrug</v>
      </c>
      <c r="D296" s="298"/>
      <c r="E296" s="299" t="s">
        <v>1220</v>
      </c>
      <c r="F296" s="298"/>
      <c r="G296" s="300" t="s">
        <v>1219</v>
      </c>
      <c r="H296" s="298"/>
      <c r="L296" s="298"/>
    </row>
    <row r="297" spans="1:13" x14ac:dyDescent="0.2">
      <c r="B297" s="298"/>
      <c r="C297" s="297">
        <f>IF(Forside!$D$12="Dansk",Tekstnøgler!E297,Tekstnøgler!G297)</f>
        <v>0</v>
      </c>
      <c r="D297" s="298"/>
      <c r="F297" s="298"/>
      <c r="H297" s="298"/>
      <c r="L297" s="298"/>
    </row>
    <row r="298" spans="1:13" x14ac:dyDescent="0.2">
      <c r="B298" s="298" t="s">
        <v>183</v>
      </c>
      <c r="C298" s="297">
        <f>IF(Forside!$D$12="Dansk",Tekstnøgler!E298,Tekstnøgler!G298)</f>
        <v>0</v>
      </c>
      <c r="D298" s="298" t="s">
        <v>183</v>
      </c>
      <c r="F298" s="298" t="s">
        <v>183</v>
      </c>
      <c r="H298" s="298" t="s">
        <v>183</v>
      </c>
      <c r="L298" s="298" t="s">
        <v>183</v>
      </c>
    </row>
    <row r="299" spans="1:13" x14ac:dyDescent="0.2">
      <c r="A299" s="297" t="s">
        <v>640</v>
      </c>
      <c r="B299" s="298" t="s">
        <v>183</v>
      </c>
      <c r="C299" s="297" t="str">
        <f>IF(Forside!$D$12="Dansk",Tekstnøgler!E299,Tekstnøgler!G299)</f>
        <v>Scope 3 kategorier</v>
      </c>
      <c r="D299" s="298" t="s">
        <v>183</v>
      </c>
      <c r="E299" s="299" t="s">
        <v>166</v>
      </c>
      <c r="F299" s="298" t="s">
        <v>183</v>
      </c>
      <c r="G299" s="300" t="s">
        <v>217</v>
      </c>
      <c r="H299" s="298" t="s">
        <v>183</v>
      </c>
      <c r="I299" s="297" t="s">
        <v>166</v>
      </c>
      <c r="J299" s="297" t="s">
        <v>339</v>
      </c>
      <c r="K299" s="297" t="str" cm="1">
        <f t="array" aca="1" ref="K299" ca="1">INDIRECT("'"&amp;I299&amp;"'!"&amp;J299)</f>
        <v>Scope 3 kategorier</v>
      </c>
      <c r="L299" s="298" t="s">
        <v>183</v>
      </c>
      <c r="M299" s="297" t="str">
        <f t="shared" ref="M299:M322" ca="1" si="18">IF(C299=K299,"OK","Reference fejl")</f>
        <v>OK</v>
      </c>
    </row>
    <row r="300" spans="1:13" x14ac:dyDescent="0.2">
      <c r="A300" s="297" t="s">
        <v>641</v>
      </c>
      <c r="B300" s="298" t="s">
        <v>183</v>
      </c>
      <c r="C300" s="297" t="str">
        <f>IF(Forside!$D$12="Dansk",Tekstnøgler!E300,Tekstnøgler!G300)</f>
        <v xml:space="preserve">GHG protokollen opdeler scope 3 udledning i 15 kategorier for hhv. opstrømsudledninger, der opstår tidligere i virksomhedens værdikæde (fx indkøb af varer og services eller fragt til virksomheden) og for nedstrømsudledninger, der opstår senere i virksomhedens værdikæde (fx brug og bortskaffelse af virksomhedens produkter). Bemærk, at kategori 14 (franchises) og kategori 15 (investeringer) ikke er medtaget her, da de ligger udover Klimakompassets anvendelse. 
Vær opmærksom på, at der i visningen af dine scope 3 udledninger er mulighed for at vise dit forbrug af elektricitet opgjort enten ved brug af metoderne ”eldeklaration” eller ”miljødeklaration”. GHG-protokollen anbefaler, at du laver to ens opgørelser, hvor den eneste forskel er, hvilken deklaration der klikkes af i Klimakompasset.
Virksomhedens CO₂e-udledninger inden for de forskellige scope 3 kategorier er vist i diagrammet samt i tabellen nedenfor.
</v>
      </c>
      <c r="D300" s="298" t="s">
        <v>183</v>
      </c>
      <c r="E300" s="299" t="s">
        <v>1812</v>
      </c>
      <c r="F300" s="298" t="s">
        <v>183</v>
      </c>
      <c r="G300" s="300" t="s">
        <v>1813</v>
      </c>
      <c r="H300" s="298" t="s">
        <v>183</v>
      </c>
      <c r="I300" s="297" t="s">
        <v>166</v>
      </c>
      <c r="J300" s="297" t="s">
        <v>203</v>
      </c>
      <c r="K300" s="297" t="str" cm="1">
        <f t="array" aca="1" ref="K300" ca="1">INDIRECT("'"&amp;I300&amp;"'!"&amp;J300)</f>
        <v xml:space="preserve">GHG protokollen opdeler scope 3 udledning i 15 kategorier for hhv. opstrømsudledninger, der opstår tidligere i virksomhedens værdikæde (fx indkøb af varer og services eller fragt til virksomheden) og for nedstrømsudledninger, der opstår senere i virksomhedens værdikæde (fx brug og bortskaffelse af virksomhedens produkter). Bemærk, at kategori 14 (franchises) og kategori 15 (investeringer) ikke er medtaget her, da de ligger udover Klimakompassets anvendelse. 
Vær opmærksom på, at der i visningen af dine scope 3 udledninger er mulighed for at vise dit forbrug af elektricitet opgjort enten ved brug af metoderne ”eldeklaration” eller ”miljødeklaration”. GHG-protokollen anbefaler, at du laver to ens opgørelser, hvor den eneste forskel er, hvilken deklaration der klikkes af i Klimakompasset.
Virksomhedens CO₂e-udledninger inden for de forskellige scope 3 kategorier er vist i diagrammet samt i tabellen nedenfor.
</v>
      </c>
      <c r="L300" s="298" t="s">
        <v>183</v>
      </c>
      <c r="M300" s="297" t="str">
        <f t="shared" ca="1" si="18"/>
        <v>OK</v>
      </c>
    </row>
    <row r="301" spans="1:13" x14ac:dyDescent="0.2">
      <c r="A301" s="297" t="s">
        <v>642</v>
      </c>
      <c r="B301" s="298" t="s">
        <v>183</v>
      </c>
      <c r="C301" s="297" t="str">
        <f>IF(Forside!$D$12="Dansk",Tekstnøgler!E301,Tekstnøgler!G301)</f>
        <v>SCOPE 3 KATEGORIER I TON CO₂e</v>
      </c>
      <c r="D301" s="298" t="s">
        <v>183</v>
      </c>
      <c r="E301" s="299" t="s">
        <v>1814</v>
      </c>
      <c r="F301" s="298" t="s">
        <v>183</v>
      </c>
      <c r="G301" s="300" t="s">
        <v>1815</v>
      </c>
      <c r="H301" s="298" t="s">
        <v>183</v>
      </c>
      <c r="I301" s="297" t="s">
        <v>166</v>
      </c>
      <c r="J301" s="297" t="s">
        <v>342</v>
      </c>
      <c r="K301" s="297" t="str" cm="1">
        <f t="array" aca="1" ref="K301" ca="1">INDIRECT("'"&amp;I301&amp;"'!"&amp;J301)</f>
        <v>SCOPE 3 KATEGORIER I TON CO₂e</v>
      </c>
      <c r="L301" s="298" t="s">
        <v>183</v>
      </c>
      <c r="M301" s="297" t="str">
        <f t="shared" ca="1" si="18"/>
        <v>OK</v>
      </c>
    </row>
    <row r="302" spans="1:13" x14ac:dyDescent="0.2">
      <c r="A302" s="297" t="s">
        <v>643</v>
      </c>
      <c r="B302" s="298" t="s">
        <v>183</v>
      </c>
      <c r="C302" s="297" t="str">
        <f>IF(Forside!$D$12="Dansk",Tekstnøgler!E302,Tekstnøgler!G302)</f>
        <v>Kategori</v>
      </c>
      <c r="D302" s="298" t="s">
        <v>183</v>
      </c>
      <c r="E302" s="299" t="s">
        <v>644</v>
      </c>
      <c r="F302" s="298" t="s">
        <v>183</v>
      </c>
      <c r="G302" s="300" t="s">
        <v>645</v>
      </c>
      <c r="H302" s="298" t="s">
        <v>183</v>
      </c>
      <c r="I302" s="297" t="s">
        <v>166</v>
      </c>
      <c r="J302" s="297" t="s">
        <v>346</v>
      </c>
      <c r="K302" s="297" t="str" cm="1">
        <f t="array" aca="1" ref="K302" ca="1">INDIRECT("'"&amp;I302&amp;"'!"&amp;J302)</f>
        <v>Kategori</v>
      </c>
      <c r="L302" s="298" t="s">
        <v>183</v>
      </c>
      <c r="M302" s="297" t="str">
        <f t="shared" ca="1" si="18"/>
        <v>OK</v>
      </c>
    </row>
    <row r="303" spans="1:13" x14ac:dyDescent="0.2">
      <c r="A303" s="298" t="s">
        <v>646</v>
      </c>
      <c r="B303" s="298" t="s">
        <v>183</v>
      </c>
      <c r="C303" s="297" t="str">
        <f>IF(Forside!$D$12="Dansk",Tekstnøgler!E303,Tekstnøgler!G303)</f>
        <v>Opstrøms</v>
      </c>
      <c r="D303" s="298" t="s">
        <v>183</v>
      </c>
      <c r="E303" s="299" t="s">
        <v>647</v>
      </c>
      <c r="F303" s="298" t="s">
        <v>183</v>
      </c>
      <c r="G303" s="300" t="s">
        <v>648</v>
      </c>
      <c r="H303" s="298" t="s">
        <v>183</v>
      </c>
      <c r="I303" s="297" t="s">
        <v>166</v>
      </c>
      <c r="J303" s="297" t="s">
        <v>348</v>
      </c>
      <c r="K303" s="297" t="str" cm="1">
        <f t="array" aca="1" ref="K303" ca="1">INDIRECT("'"&amp;I303&amp;"'!"&amp;J303)</f>
        <v>Opstrøms</v>
      </c>
      <c r="L303" s="298" t="s">
        <v>183</v>
      </c>
      <c r="M303" s="297" t="str">
        <f t="shared" ca="1" si="18"/>
        <v>OK</v>
      </c>
    </row>
    <row r="304" spans="1:13" x14ac:dyDescent="0.2">
      <c r="A304" s="297" t="s">
        <v>649</v>
      </c>
      <c r="B304" s="298" t="s">
        <v>183</v>
      </c>
      <c r="C304" s="297" t="str">
        <f>IF(Forside!$D$12="Dansk",Tekstnøgler!E304,Tekstnøgler!G304)</f>
        <v>Nedstrøms</v>
      </c>
      <c r="D304" s="298" t="s">
        <v>183</v>
      </c>
      <c r="E304" s="299" t="s">
        <v>650</v>
      </c>
      <c r="F304" s="298" t="s">
        <v>183</v>
      </c>
      <c r="G304" s="300" t="s">
        <v>651</v>
      </c>
      <c r="H304" s="298" t="s">
        <v>183</v>
      </c>
      <c r="I304" s="297" t="s">
        <v>166</v>
      </c>
      <c r="J304" s="297" t="s">
        <v>350</v>
      </c>
      <c r="K304" s="297" t="str" cm="1">
        <f t="array" aca="1" ref="K304" ca="1">INDIRECT("'"&amp;I304&amp;"'!"&amp;J304)</f>
        <v>Nedstrøms</v>
      </c>
      <c r="L304" s="298" t="s">
        <v>183</v>
      </c>
      <c r="M304" s="297" t="str">
        <f t="shared" ca="1" si="18"/>
        <v>OK</v>
      </c>
    </row>
    <row r="305" spans="1:13" x14ac:dyDescent="0.2">
      <c r="A305" s="297" t="s">
        <v>652</v>
      </c>
      <c r="B305" s="298" t="s">
        <v>183</v>
      </c>
      <c r="C305" s="297" t="str">
        <f>IF(Forside!$D$12="Dansk",Tekstnøgler!E305,Tekstnøgler!G305)</f>
        <v>1. Indkøb af varer og tjenesteydelser</v>
      </c>
      <c r="D305" s="298" t="s">
        <v>183</v>
      </c>
      <c r="E305" s="299" t="s">
        <v>1816</v>
      </c>
      <c r="F305" s="298" t="s">
        <v>183</v>
      </c>
      <c r="G305" s="300" t="s">
        <v>653</v>
      </c>
      <c r="H305" s="298" t="s">
        <v>183</v>
      </c>
      <c r="I305" s="297" t="s">
        <v>166</v>
      </c>
      <c r="J305" s="297" t="s">
        <v>208</v>
      </c>
      <c r="K305" s="297" t="str" cm="1">
        <f t="array" aca="1" ref="K305" ca="1">INDIRECT("'"&amp;I305&amp;"'!"&amp;J305)</f>
        <v>1. Indkøb af varer og tjenesteydelser</v>
      </c>
      <c r="L305" s="298" t="s">
        <v>183</v>
      </c>
      <c r="M305" s="297" t="str">
        <f t="shared" ca="1" si="18"/>
        <v>OK</v>
      </c>
    </row>
    <row r="306" spans="1:13" x14ac:dyDescent="0.2">
      <c r="A306" s="297" t="s">
        <v>654</v>
      </c>
      <c r="B306" s="298" t="s">
        <v>183</v>
      </c>
      <c r="C306" s="297" t="str">
        <f>IF(Forside!$D$12="Dansk",Tekstnøgler!E306,Tekstnøgler!G306)</f>
        <v>2. Anlægsaktiver</v>
      </c>
      <c r="D306" s="298" t="s">
        <v>183</v>
      </c>
      <c r="E306" s="299" t="s">
        <v>1817</v>
      </c>
      <c r="F306" s="298" t="s">
        <v>183</v>
      </c>
      <c r="G306" s="300" t="s">
        <v>1818</v>
      </c>
      <c r="H306" s="298" t="s">
        <v>183</v>
      </c>
      <c r="I306" s="297" t="s">
        <v>166</v>
      </c>
      <c r="J306" s="297" t="s">
        <v>210</v>
      </c>
      <c r="K306" s="297" t="str" cm="1">
        <f t="array" aca="1" ref="K306" ca="1">INDIRECT("'"&amp;I306&amp;"'!"&amp;J306)</f>
        <v>2. Anlægsaktiver</v>
      </c>
      <c r="L306" s="298" t="s">
        <v>183</v>
      </c>
      <c r="M306" s="297" t="str">
        <f t="shared" ca="1" si="18"/>
        <v>OK</v>
      </c>
    </row>
    <row r="307" spans="1:13" x14ac:dyDescent="0.2">
      <c r="A307" s="297" t="s">
        <v>655</v>
      </c>
      <c r="B307" s="298" t="s">
        <v>183</v>
      </c>
      <c r="C307" s="297" t="str">
        <f>IF(Forside!$D$12="Dansk",Tekstnøgler!E307,Tekstnøgler!G307)</f>
        <v>3. Brændsels- og energirelaterede aktiviteter</v>
      </c>
      <c r="D307" s="298" t="s">
        <v>183</v>
      </c>
      <c r="E307" s="299" t="s">
        <v>1819</v>
      </c>
      <c r="F307" s="298" t="s">
        <v>183</v>
      </c>
      <c r="G307" s="300" t="s">
        <v>1820</v>
      </c>
      <c r="H307" s="298" t="s">
        <v>183</v>
      </c>
      <c r="I307" s="297" t="s">
        <v>166</v>
      </c>
      <c r="J307" s="297" t="s">
        <v>212</v>
      </c>
      <c r="K307" s="297" t="str" cm="1">
        <f t="array" aca="1" ref="K307" ca="1">INDIRECT("'"&amp;I307&amp;"'!"&amp;J307)</f>
        <v>3. Brændsels- og energirelaterede aktiviteter</v>
      </c>
      <c r="L307" s="298" t="s">
        <v>183</v>
      </c>
      <c r="M307" s="297" t="str">
        <f t="shared" ca="1" si="18"/>
        <v>OK</v>
      </c>
    </row>
    <row r="308" spans="1:13" x14ac:dyDescent="0.2">
      <c r="A308" s="297" t="s">
        <v>656</v>
      </c>
      <c r="B308" s="298" t="s">
        <v>183</v>
      </c>
      <c r="C308" s="297" t="str">
        <f>IF(Forside!$D$12="Dansk",Tekstnøgler!E308,Tekstnøgler!G308)</f>
        <v>4. Opstrømstransport og distribution</v>
      </c>
      <c r="D308" s="298" t="s">
        <v>183</v>
      </c>
      <c r="E308" s="299" t="s">
        <v>1821</v>
      </c>
      <c r="F308" s="298" t="s">
        <v>183</v>
      </c>
      <c r="G308" s="300" t="s">
        <v>1822</v>
      </c>
      <c r="H308" s="298" t="s">
        <v>183</v>
      </c>
      <c r="I308" s="297" t="s">
        <v>166</v>
      </c>
      <c r="J308" s="297" t="s">
        <v>214</v>
      </c>
      <c r="K308" s="297" t="str" cm="1">
        <f t="array" aca="1" ref="K308" ca="1">INDIRECT("'"&amp;I308&amp;"'!"&amp;J308)</f>
        <v>4. Opstrømstransport og distribution</v>
      </c>
      <c r="L308" s="298" t="s">
        <v>183</v>
      </c>
      <c r="M308" s="297" t="str">
        <f t="shared" ca="1" si="18"/>
        <v>OK</v>
      </c>
    </row>
    <row r="309" spans="1:13" x14ac:dyDescent="0.2">
      <c r="A309" s="297" t="s">
        <v>657</v>
      </c>
      <c r="B309" s="298" t="s">
        <v>183</v>
      </c>
      <c r="C309" s="297" t="str">
        <f>IF(Forside!$D$12="Dansk",Tekstnøgler!E309,Tekstnøgler!G309)</f>
        <v>5. Affald fra drift</v>
      </c>
      <c r="D309" s="298" t="s">
        <v>183</v>
      </c>
      <c r="E309" s="299" t="s">
        <v>1823</v>
      </c>
      <c r="F309" s="298" t="s">
        <v>183</v>
      </c>
      <c r="G309" s="300" t="s">
        <v>1824</v>
      </c>
      <c r="H309" s="298" t="s">
        <v>183</v>
      </c>
      <c r="I309" s="297" t="s">
        <v>166</v>
      </c>
      <c r="J309" s="297" t="s">
        <v>216</v>
      </c>
      <c r="K309" s="297" t="str" cm="1">
        <f t="array" aca="1" ref="K309" ca="1">INDIRECT("'"&amp;I309&amp;"'!"&amp;J309)</f>
        <v>5. Affald fra drift</v>
      </c>
      <c r="L309" s="298" t="s">
        <v>183</v>
      </c>
      <c r="M309" s="297" t="str">
        <f t="shared" ca="1" si="18"/>
        <v>OK</v>
      </c>
    </row>
    <row r="310" spans="1:13" x14ac:dyDescent="0.2">
      <c r="A310" s="297" t="s">
        <v>658</v>
      </c>
      <c r="B310" s="298" t="s">
        <v>183</v>
      </c>
      <c r="C310" s="297" t="str">
        <f>IF(Forside!$D$12="Dansk",Tekstnøgler!E310,Tekstnøgler!G310)</f>
        <v>6. Forretningsrejser</v>
      </c>
      <c r="D310" s="298" t="s">
        <v>183</v>
      </c>
      <c r="E310" s="299" t="s">
        <v>659</v>
      </c>
      <c r="F310" s="298" t="s">
        <v>183</v>
      </c>
      <c r="G310" s="300" t="s">
        <v>1825</v>
      </c>
      <c r="H310" s="298" t="s">
        <v>183</v>
      </c>
      <c r="I310" s="297" t="s">
        <v>166</v>
      </c>
      <c r="J310" s="297" t="s">
        <v>218</v>
      </c>
      <c r="K310" s="297" t="str" cm="1">
        <f t="array" aca="1" ref="K310" ca="1">INDIRECT("'"&amp;I310&amp;"'!"&amp;J310)</f>
        <v>6. Forretningsrejser</v>
      </c>
      <c r="L310" s="298" t="s">
        <v>183</v>
      </c>
      <c r="M310" s="297" t="str">
        <f t="shared" ca="1" si="18"/>
        <v>OK</v>
      </c>
    </row>
    <row r="311" spans="1:13" x14ac:dyDescent="0.2">
      <c r="A311" s="297" t="s">
        <v>660</v>
      </c>
      <c r="B311" s="298" t="s">
        <v>183</v>
      </c>
      <c r="C311" s="297" t="str">
        <f>IF(Forside!$D$12="Dansk",Tekstnøgler!E311,Tekstnøgler!G311)</f>
        <v>7. Medarbejderpendling</v>
      </c>
      <c r="D311" s="298" t="s">
        <v>183</v>
      </c>
      <c r="E311" s="299" t="s">
        <v>1826</v>
      </c>
      <c r="F311" s="298" t="s">
        <v>183</v>
      </c>
      <c r="G311" s="300" t="s">
        <v>1827</v>
      </c>
      <c r="H311" s="298" t="s">
        <v>183</v>
      </c>
      <c r="I311" s="297" t="s">
        <v>166</v>
      </c>
      <c r="J311" s="297" t="s">
        <v>220</v>
      </c>
      <c r="K311" s="297" t="str" cm="1">
        <f t="array" aca="1" ref="K311" ca="1">INDIRECT("'"&amp;I311&amp;"'!"&amp;J311)</f>
        <v>7. Medarbejderpendling</v>
      </c>
      <c r="L311" s="298" t="s">
        <v>183</v>
      </c>
      <c r="M311" s="297" t="str">
        <f t="shared" ca="1" si="18"/>
        <v>OK</v>
      </c>
    </row>
    <row r="312" spans="1:13" x14ac:dyDescent="0.2">
      <c r="A312" s="297" t="s">
        <v>661</v>
      </c>
      <c r="B312" s="298" t="s">
        <v>183</v>
      </c>
      <c r="C312" s="297" t="str">
        <f>IF(Forside!$D$12="Dansk",Tekstnøgler!E312,Tekstnøgler!G312)</f>
        <v>8. Opstrøms leasede aktiver</v>
      </c>
      <c r="D312" s="298" t="s">
        <v>183</v>
      </c>
      <c r="E312" s="299" t="s">
        <v>1828</v>
      </c>
      <c r="F312" s="298" t="s">
        <v>183</v>
      </c>
      <c r="G312" s="300" t="s">
        <v>1829</v>
      </c>
      <c r="H312" s="298" t="s">
        <v>183</v>
      </c>
      <c r="I312" s="297" t="s">
        <v>166</v>
      </c>
      <c r="J312" s="297" t="s">
        <v>403</v>
      </c>
      <c r="K312" s="297" t="str" cm="1">
        <f t="array" aca="1" ref="K312" ca="1">INDIRECT("'"&amp;I312&amp;"'!"&amp;J312)</f>
        <v>8. Opstrøms leasede aktiver</v>
      </c>
      <c r="L312" s="298" t="s">
        <v>183</v>
      </c>
      <c r="M312" s="297" t="str">
        <f t="shared" ca="1" si="18"/>
        <v>OK</v>
      </c>
    </row>
    <row r="313" spans="1:13" x14ac:dyDescent="0.2">
      <c r="A313" s="297" t="s">
        <v>662</v>
      </c>
      <c r="B313" s="298" t="s">
        <v>183</v>
      </c>
      <c r="C313" s="297" t="str">
        <f>IF(Forside!$D$12="Dansk",Tekstnøgler!E313,Tekstnøgler!G313)</f>
        <v>9. Nedstrømstransport og distribution</v>
      </c>
      <c r="D313" s="298" t="s">
        <v>183</v>
      </c>
      <c r="E313" s="299" t="s">
        <v>1830</v>
      </c>
      <c r="F313" s="298" t="s">
        <v>183</v>
      </c>
      <c r="G313" s="300" t="s">
        <v>1831</v>
      </c>
      <c r="H313" s="298" t="s">
        <v>183</v>
      </c>
      <c r="I313" s="297" t="s">
        <v>166</v>
      </c>
      <c r="J313" s="297" t="s">
        <v>405</v>
      </c>
      <c r="K313" s="297" t="str" cm="1">
        <f t="array" aca="1" ref="K313" ca="1">INDIRECT("'"&amp;I313&amp;"'!"&amp;J313)</f>
        <v>9. Nedstrømstransport og distribution</v>
      </c>
      <c r="L313" s="298" t="s">
        <v>183</v>
      </c>
      <c r="M313" s="297" t="str">
        <f t="shared" ca="1" si="18"/>
        <v>OK</v>
      </c>
    </row>
    <row r="314" spans="1:13" x14ac:dyDescent="0.2">
      <c r="A314" s="297" t="s">
        <v>663</v>
      </c>
      <c r="B314" s="298" t="s">
        <v>183</v>
      </c>
      <c r="C314" s="297" t="str">
        <f>IF(Forside!$D$12="Dansk",Tekstnøgler!E314,Tekstnøgler!G314)</f>
        <v>10. Forarbejdning af solgte produkter</v>
      </c>
      <c r="D314" s="298" t="s">
        <v>183</v>
      </c>
      <c r="E314" s="299" t="s">
        <v>664</v>
      </c>
      <c r="F314" s="298" t="s">
        <v>183</v>
      </c>
      <c r="G314" s="300" t="s">
        <v>665</v>
      </c>
      <c r="H314" s="298" t="s">
        <v>183</v>
      </c>
      <c r="I314" s="297" t="s">
        <v>166</v>
      </c>
      <c r="J314" s="297" t="s">
        <v>222</v>
      </c>
      <c r="K314" s="297" t="str" cm="1">
        <f t="array" aca="1" ref="K314" ca="1">INDIRECT("'"&amp;I314&amp;"'!"&amp;J314)</f>
        <v>10. Forarbejdning af solgte produkter</v>
      </c>
      <c r="L314" s="298" t="s">
        <v>183</v>
      </c>
      <c r="M314" s="297" t="str">
        <f t="shared" ca="1" si="18"/>
        <v>OK</v>
      </c>
    </row>
    <row r="315" spans="1:13" x14ac:dyDescent="0.2">
      <c r="A315" s="297" t="s">
        <v>666</v>
      </c>
      <c r="B315" s="298" t="s">
        <v>183</v>
      </c>
      <c r="C315" s="297" t="str">
        <f>IF(Forside!$D$12="Dansk",Tekstnøgler!E315,Tekstnøgler!G315)</f>
        <v>11. Brug af solgte produkter</v>
      </c>
      <c r="D315" s="298" t="s">
        <v>183</v>
      </c>
      <c r="E315" s="299" t="s">
        <v>667</v>
      </c>
      <c r="F315" s="298" t="s">
        <v>183</v>
      </c>
      <c r="G315" s="300" t="s">
        <v>1832</v>
      </c>
      <c r="H315" s="298" t="s">
        <v>183</v>
      </c>
      <c r="I315" s="297" t="s">
        <v>166</v>
      </c>
      <c r="J315" s="297" t="s">
        <v>223</v>
      </c>
      <c r="K315" s="297" t="str" cm="1">
        <f t="array" aca="1" ref="K315" ca="1">INDIRECT("'"&amp;I315&amp;"'!"&amp;J315)</f>
        <v>11. Brug af solgte produkter</v>
      </c>
      <c r="L315" s="298" t="s">
        <v>183</v>
      </c>
      <c r="M315" s="297" t="str">
        <f t="shared" ca="1" si="18"/>
        <v>OK</v>
      </c>
    </row>
    <row r="316" spans="1:13" x14ac:dyDescent="0.2">
      <c r="A316" s="297" t="s">
        <v>668</v>
      </c>
      <c r="B316" s="298" t="s">
        <v>183</v>
      </c>
      <c r="C316" s="297" t="str">
        <f>IF(Forside!$D$12="Dansk",Tekstnøgler!E316,Tekstnøgler!G316)</f>
        <v>12. Behandling af solgte produkter efter endt levetid</v>
      </c>
      <c r="D316" s="298" t="s">
        <v>183</v>
      </c>
      <c r="E316" s="299" t="s">
        <v>1833</v>
      </c>
      <c r="F316" s="298" t="s">
        <v>183</v>
      </c>
      <c r="G316" s="300" t="s">
        <v>1834</v>
      </c>
      <c r="H316" s="298" t="s">
        <v>183</v>
      </c>
      <c r="I316" s="297" t="s">
        <v>166</v>
      </c>
      <c r="J316" s="297" t="s">
        <v>224</v>
      </c>
      <c r="K316" s="297" t="str" cm="1">
        <f t="array" aca="1" ref="K316" ca="1">INDIRECT("'"&amp;I316&amp;"'!"&amp;J316)</f>
        <v>12. Behandling af solgte produkter efter endt levetid</v>
      </c>
      <c r="L316" s="298" t="s">
        <v>183</v>
      </c>
      <c r="M316" s="297" t="str">
        <f t="shared" ca="1" si="18"/>
        <v>OK</v>
      </c>
    </row>
    <row r="317" spans="1:13" x14ac:dyDescent="0.2">
      <c r="A317" s="297" t="s">
        <v>669</v>
      </c>
      <c r="B317" s="298" t="s">
        <v>183</v>
      </c>
      <c r="C317" s="297" t="str">
        <f>IF(Forside!$D$12="Dansk",Tekstnøgler!E317,Tekstnøgler!G317)</f>
        <v>13. Nedstrøms leasede aktiver</v>
      </c>
      <c r="D317" s="298" t="s">
        <v>183</v>
      </c>
      <c r="E317" s="299" t="s">
        <v>1835</v>
      </c>
      <c r="F317" s="298" t="s">
        <v>183</v>
      </c>
      <c r="G317" s="300" t="s">
        <v>1836</v>
      </c>
      <c r="H317" s="298" t="s">
        <v>183</v>
      </c>
      <c r="I317" s="297" t="s">
        <v>166</v>
      </c>
      <c r="J317" s="297" t="s">
        <v>413</v>
      </c>
      <c r="K317" s="297" t="str" cm="1">
        <f t="array" aca="1" ref="K317" ca="1">INDIRECT("'"&amp;I317&amp;"'!"&amp;J317)</f>
        <v>13. Nedstrøms leasede aktiver</v>
      </c>
      <c r="L317" s="298" t="s">
        <v>183</v>
      </c>
      <c r="M317" s="297" t="str">
        <f t="shared" ca="1" si="18"/>
        <v>OK</v>
      </c>
    </row>
    <row r="318" spans="1:13" x14ac:dyDescent="0.2">
      <c r="A318" s="297" t="s">
        <v>670</v>
      </c>
      <c r="B318" s="298" t="s">
        <v>183</v>
      </c>
      <c r="C318" s="297" t="str">
        <f>IF(Forside!$D$12="Dansk",Tekstnøgler!E318,Tekstnøgler!G318)</f>
        <v>Samlede CO₂e udledninger fordelt på opstrøm og nedstrøm (ton)</v>
      </c>
      <c r="D318" s="298" t="s">
        <v>183</v>
      </c>
      <c r="E318" s="299" t="s">
        <v>1837</v>
      </c>
      <c r="F318" s="298" t="s">
        <v>183</v>
      </c>
      <c r="G318" s="300" t="s">
        <v>1838</v>
      </c>
      <c r="H318" s="298" t="s">
        <v>183</v>
      </c>
      <c r="I318" s="297" t="s">
        <v>166</v>
      </c>
      <c r="J318" s="297" t="s">
        <v>369</v>
      </c>
      <c r="K318" s="297" t="str" cm="1">
        <f t="array" aca="1" ref="K318" ca="1">INDIRECT("'"&amp;I318&amp;"'!"&amp;J318)</f>
        <v>Samlede CO₂e udledninger fordelt på opstrøm og nedstrøm (ton)</v>
      </c>
      <c r="L318" s="298" t="s">
        <v>183</v>
      </c>
      <c r="M318" s="297" t="str">
        <f t="shared" ca="1" si="18"/>
        <v>OK</v>
      </c>
    </row>
    <row r="319" spans="1:13" x14ac:dyDescent="0.2">
      <c r="A319" s="297" t="s">
        <v>671</v>
      </c>
      <c r="B319" s="298" t="s">
        <v>183</v>
      </c>
      <c r="C319" s="297" t="str">
        <f>IF(Forside!$D$12="Dansk",Tekstnøgler!E319,Tekstnøgler!G319)</f>
        <v>Samlet CO₂e udledning i alt (ton)</v>
      </c>
      <c r="D319" s="298" t="s">
        <v>183</v>
      </c>
      <c r="E319" s="299" t="s">
        <v>1839</v>
      </c>
      <c r="F319" s="298" t="s">
        <v>183</v>
      </c>
      <c r="G319" s="300" t="s">
        <v>1840</v>
      </c>
      <c r="H319" s="298" t="s">
        <v>183</v>
      </c>
      <c r="I319" s="297" t="s">
        <v>166</v>
      </c>
      <c r="J319" s="297" t="s">
        <v>226</v>
      </c>
      <c r="K319" s="297" t="str" cm="1">
        <f t="array" aca="1" ref="K319" ca="1">INDIRECT("'"&amp;I319&amp;"'!"&amp;J319)</f>
        <v>Samlet CO₂e udledning i alt (ton)</v>
      </c>
      <c r="L319" s="298" t="s">
        <v>183</v>
      </c>
      <c r="M319" s="297" t="str">
        <f t="shared" ca="1" si="18"/>
        <v>OK</v>
      </c>
    </row>
    <row r="320" spans="1:13" x14ac:dyDescent="0.2">
      <c r="A320" s="297" t="s">
        <v>365</v>
      </c>
      <c r="B320" s="298" t="s">
        <v>183</v>
      </c>
      <c r="C320" s="297" t="str">
        <f>IF(Forside!$D$12="Dansk",Tekstnøgler!E320,Tekstnøgler!G320)</f>
        <v xml:space="preserve">Opsummering af virksomhedens beregnede CO₂e-udledning </v>
      </c>
      <c r="D320" s="298" t="s">
        <v>183</v>
      </c>
      <c r="E320" s="299" t="s">
        <v>1644</v>
      </c>
      <c r="F320" s="298" t="s">
        <v>183</v>
      </c>
      <c r="G320" s="300" t="s">
        <v>1645</v>
      </c>
      <c r="H320" s="298" t="s">
        <v>183</v>
      </c>
      <c r="I320" s="297" t="s">
        <v>166</v>
      </c>
      <c r="J320" s="297" t="s">
        <v>228</v>
      </c>
      <c r="K320" s="297" t="str" cm="1">
        <f t="array" aca="1" ref="K320" ca="1">INDIRECT("'"&amp;I320&amp;"'!"&amp;J320)</f>
        <v xml:space="preserve">Opsummering af virksomhedens beregnede CO₂e-udledning </v>
      </c>
      <c r="L320" s="298" t="s">
        <v>183</v>
      </c>
      <c r="M320" s="297" t="str">
        <f t="shared" ca="1" si="18"/>
        <v>OK</v>
      </c>
    </row>
    <row r="321" spans="1:13" x14ac:dyDescent="0.2">
      <c r="A321" s="297" t="s">
        <v>672</v>
      </c>
      <c r="B321" s="298" t="s">
        <v>183</v>
      </c>
      <c r="C321" s="297" t="str">
        <f>IF(Forside!$D$12="Dansk",Tekstnøgler!E321,Tekstnøgler!G321)</f>
        <v>Nedenstående figur angiver virksomhedens opgjorte udledning i ton CO₂-ækvivalenter fordelt på scope 3 kategorier.</v>
      </c>
      <c r="D321" s="298" t="s">
        <v>183</v>
      </c>
      <c r="E321" s="299" t="s">
        <v>1841</v>
      </c>
      <c r="F321" s="298" t="s">
        <v>183</v>
      </c>
      <c r="G321" s="300" t="s">
        <v>1842</v>
      </c>
      <c r="H321" s="298" t="s">
        <v>183</v>
      </c>
      <c r="I321" s="297" t="s">
        <v>166</v>
      </c>
      <c r="J321" s="297" t="s">
        <v>231</v>
      </c>
      <c r="K321" s="297" t="str" cm="1">
        <f t="array" aca="1" ref="K321" ca="1">INDIRECT("'"&amp;I321&amp;"'!"&amp;J321)</f>
        <v>Nedenstående figur angiver virksomhedens opgjorte udledning i ton CO₂-ækvivalenter fordelt på scope 3 kategorier.</v>
      </c>
      <c r="L321" s="298" t="s">
        <v>183</v>
      </c>
      <c r="M321" s="297" t="str">
        <f t="shared" ca="1" si="18"/>
        <v>OK</v>
      </c>
    </row>
    <row r="322" spans="1:13" x14ac:dyDescent="0.2">
      <c r="A322" s="297" t="s">
        <v>673</v>
      </c>
      <c r="B322" s="298" t="s">
        <v>183</v>
      </c>
      <c r="C322" s="297" t="str">
        <f>IF(Forside!$D$12="Dansk",Tekstnøgler!E322,Tekstnøgler!G322)</f>
        <v>Figur 1: CO₂e udledning fordelt på scope 3 kategorier (ton)</v>
      </c>
      <c r="D322" s="298" t="s">
        <v>183</v>
      </c>
      <c r="E322" s="299" t="s">
        <v>1843</v>
      </c>
      <c r="F322" s="298" t="s">
        <v>183</v>
      </c>
      <c r="G322" s="300" t="s">
        <v>1844</v>
      </c>
      <c r="H322" s="298" t="s">
        <v>183</v>
      </c>
      <c r="I322" s="297" t="s">
        <v>166</v>
      </c>
      <c r="J322" s="297" t="s">
        <v>422</v>
      </c>
      <c r="K322" s="297" t="str" cm="1">
        <f t="array" aca="1" ref="K322" ca="1">INDIRECT("'"&amp;I322&amp;"'!"&amp;J322)</f>
        <v>Figur 1: CO₂e udledning fordelt på scope 3 kategorier (ton)</v>
      </c>
      <c r="L322" s="298" t="s">
        <v>183</v>
      </c>
      <c r="M322" s="297" t="str">
        <f t="shared" ca="1" si="18"/>
        <v>OK</v>
      </c>
    </row>
    <row r="323" spans="1:13" ht="26.25" customHeight="1" x14ac:dyDescent="0.2">
      <c r="B323" s="298" t="s">
        <v>183</v>
      </c>
      <c r="D323" s="298" t="s">
        <v>183</v>
      </c>
      <c r="F323" s="298" t="s">
        <v>183</v>
      </c>
      <c r="H323" s="298" t="s">
        <v>183</v>
      </c>
      <c r="L323" s="298" t="s">
        <v>183</v>
      </c>
    </row>
    <row r="324" spans="1:13" x14ac:dyDescent="0.2">
      <c r="B324" s="298" t="s">
        <v>183</v>
      </c>
      <c r="D324" s="298" t="s">
        <v>183</v>
      </c>
      <c r="F324" s="298" t="s">
        <v>183</v>
      </c>
      <c r="H324" s="298" t="s">
        <v>183</v>
      </c>
      <c r="L324" s="298" t="s">
        <v>183</v>
      </c>
    </row>
    <row r="325" spans="1:13" x14ac:dyDescent="0.2">
      <c r="A325" s="297" t="s">
        <v>674</v>
      </c>
      <c r="B325" s="298" t="s">
        <v>183</v>
      </c>
      <c r="C325" s="297" t="str">
        <f>IF(Forside!$D$12="Dansk",Tekstnøgler!E325,Tekstnøgler!G325)</f>
        <v>Største CO₂e-udledning</v>
      </c>
      <c r="D325" s="298" t="s">
        <v>183</v>
      </c>
      <c r="E325" s="299" t="s">
        <v>1845</v>
      </c>
      <c r="F325" s="298" t="s">
        <v>183</v>
      </c>
      <c r="G325" s="300" t="s">
        <v>1846</v>
      </c>
      <c r="H325" s="298" t="s">
        <v>183</v>
      </c>
      <c r="I325" s="297" t="s">
        <v>219</v>
      </c>
      <c r="J325" s="297" t="s">
        <v>339</v>
      </c>
      <c r="K325" s="297" t="e" cm="1">
        <f t="array" aca="1" ref="K325" ca="1">INDIRECT("'"&amp;I325&amp;"'!"&amp;J325)</f>
        <v>#REF!</v>
      </c>
      <c r="L325" s="298" t="s">
        <v>183</v>
      </c>
      <c r="M325" s="297" t="e">
        <f t="shared" ref="M325:M330" ca="1" si="19">IF(C325=K325,"OK","Reference fejl")</f>
        <v>#REF!</v>
      </c>
    </row>
    <row r="326" spans="1:13" s="308" customFormat="1" ht="17.25" customHeight="1" x14ac:dyDescent="0.2">
      <c r="A326" s="308" t="s">
        <v>675</v>
      </c>
      <c r="B326" s="298" t="s">
        <v>183</v>
      </c>
      <c r="C326" s="310" t="str">
        <f>IF(Forside!$D$12="Dansk",Tekstnøgler!E326,Tekstnøgler!G326)</f>
        <v>Scope</v>
      </c>
      <c r="D326" s="298" t="s">
        <v>183</v>
      </c>
      <c r="E326" s="311" t="s">
        <v>547</v>
      </c>
      <c r="F326" s="298" t="s">
        <v>183</v>
      </c>
      <c r="G326" s="312" t="s">
        <v>547</v>
      </c>
      <c r="H326" s="298" t="s">
        <v>183</v>
      </c>
      <c r="I326" s="308" t="s">
        <v>219</v>
      </c>
      <c r="J326" s="308" t="s">
        <v>203</v>
      </c>
      <c r="K326" s="308" t="e" cm="1">
        <f t="array" aca="1" ref="K326" ca="1">INDIRECT("'"&amp;I326&amp;"'!"&amp;J326)</f>
        <v>#REF!</v>
      </c>
      <c r="L326" s="309" t="s">
        <v>183</v>
      </c>
      <c r="M326" s="308" t="e">
        <f t="shared" ca="1" si="19"/>
        <v>#REF!</v>
      </c>
    </row>
    <row r="327" spans="1:13" x14ac:dyDescent="0.2">
      <c r="A327" s="297" t="s">
        <v>678</v>
      </c>
      <c r="B327" s="298" t="s">
        <v>183</v>
      </c>
      <c r="C327" s="297" t="str">
        <f>IF(Forside!$D$12="Dansk",Tekstnøgler!E327,Tekstnøgler!G327)</f>
        <v>Figur 1: CO₂e-udledning i ton #SelectedScopes# fordelt på poster</v>
      </c>
      <c r="D327" s="298" t="s">
        <v>183</v>
      </c>
      <c r="E327" s="299" t="s">
        <v>1847</v>
      </c>
      <c r="F327" s="298" t="s">
        <v>183</v>
      </c>
      <c r="G327" s="300" t="s">
        <v>1848</v>
      </c>
      <c r="H327" s="298" t="s">
        <v>183</v>
      </c>
      <c r="I327" s="297" t="s">
        <v>219</v>
      </c>
      <c r="J327" s="297" t="s">
        <v>342</v>
      </c>
      <c r="K327" s="297" t="e" cm="1">
        <f t="array" aca="1" ref="K327" ca="1">INDIRECT("'"&amp;I327&amp;"'!"&amp;J327)</f>
        <v>#REF!</v>
      </c>
      <c r="L327" s="298" t="s">
        <v>183</v>
      </c>
      <c r="M327" s="297" t="e">
        <f t="shared" ca="1" si="19"/>
        <v>#REF!</v>
      </c>
    </row>
    <row r="328" spans="1:13" x14ac:dyDescent="0.2">
      <c r="A328" s="297" t="s">
        <v>679</v>
      </c>
      <c r="B328" s="298" t="s">
        <v>183</v>
      </c>
      <c r="C328" s="297" t="str">
        <f>IF(Forside!$D$12="Dansk",Tekstnøgler!E328,Tekstnøgler!G328)</f>
        <v>OVERSIGT OVER UDLEDNINGEN I TON CO₂-E FORDELT PÅ POSTER</v>
      </c>
      <c r="D328" s="298" t="s">
        <v>183</v>
      </c>
      <c r="E328" s="299" t="s">
        <v>1849</v>
      </c>
      <c r="F328" s="298" t="s">
        <v>183</v>
      </c>
      <c r="G328" s="300" t="s">
        <v>1850</v>
      </c>
      <c r="H328" s="298" t="s">
        <v>183</v>
      </c>
      <c r="I328" s="297" t="s">
        <v>219</v>
      </c>
      <c r="J328" s="297" t="s">
        <v>228</v>
      </c>
      <c r="K328" s="297" t="e" cm="1">
        <f t="array" aca="1" ref="K328" ca="1">INDIRECT("'"&amp;I328&amp;"'!"&amp;J328)</f>
        <v>#REF!</v>
      </c>
      <c r="L328" s="298" t="s">
        <v>183</v>
      </c>
      <c r="M328" s="297" t="e">
        <f t="shared" ca="1" si="19"/>
        <v>#REF!</v>
      </c>
    </row>
    <row r="329" spans="1:13" x14ac:dyDescent="0.2">
      <c r="A329" s="297" t="s">
        <v>680</v>
      </c>
      <c r="B329" s="298" t="s">
        <v>183</v>
      </c>
      <c r="C329" s="297" t="str">
        <f>IF(Forside!$D$12="Dansk",Tekstnøgler!E329,Tekstnøgler!G329)</f>
        <v>Beskrivelse</v>
      </c>
      <c r="D329" s="298" t="s">
        <v>183</v>
      </c>
      <c r="E329" s="299" t="s">
        <v>684</v>
      </c>
      <c r="F329" s="298" t="s">
        <v>183</v>
      </c>
      <c r="G329" s="300" t="s">
        <v>685</v>
      </c>
      <c r="H329" s="298" t="s">
        <v>183</v>
      </c>
      <c r="I329" s="297" t="s">
        <v>219</v>
      </c>
      <c r="J329" s="297" t="s">
        <v>230</v>
      </c>
      <c r="K329" s="297" t="e" cm="1">
        <f t="array" aca="1" ref="K329" ca="1">INDIRECT("'"&amp;I329&amp;"'!"&amp;J329)</f>
        <v>#REF!</v>
      </c>
      <c r="L329" s="298" t="s">
        <v>183</v>
      </c>
      <c r="M329" s="297" t="e">
        <f t="shared" ca="1" si="19"/>
        <v>#REF!</v>
      </c>
    </row>
    <row r="330" spans="1:13" x14ac:dyDescent="0.2">
      <c r="A330" s="298" t="s">
        <v>683</v>
      </c>
      <c r="B330" s="298" t="s">
        <v>183</v>
      </c>
      <c r="C330" s="297" t="str">
        <f>IF(Forside!$D$12="Dansk",Tekstnøgler!E330,Tekstnøgler!G330)</f>
        <v>Placering</v>
      </c>
      <c r="D330" s="298" t="s">
        <v>183</v>
      </c>
      <c r="E330" s="299" t="s">
        <v>681</v>
      </c>
      <c r="F330" s="298" t="s">
        <v>183</v>
      </c>
      <c r="G330" s="300" t="s">
        <v>682</v>
      </c>
      <c r="H330" s="298" t="s">
        <v>183</v>
      </c>
      <c r="I330" s="297" t="s">
        <v>219</v>
      </c>
      <c r="J330" s="297" t="s">
        <v>686</v>
      </c>
      <c r="K330" s="297" t="e" cm="1">
        <f t="array" aca="1" ref="K330" ca="1">INDIRECT("'"&amp;I330&amp;"'!"&amp;J330)</f>
        <v>#REF!</v>
      </c>
      <c r="L330" s="298" t="s">
        <v>183</v>
      </c>
      <c r="M330" s="297" t="e">
        <f t="shared" ca="1" si="19"/>
        <v>#REF!</v>
      </c>
    </row>
    <row r="331" spans="1:13" x14ac:dyDescent="0.2">
      <c r="A331" s="297" t="s">
        <v>687</v>
      </c>
      <c r="B331" s="298" t="s">
        <v>183</v>
      </c>
      <c r="C331" s="297" t="str">
        <f>IF(Forside!$D$12="Dansk",Tekstnøgler!E331,Tekstnøgler!G331)</f>
        <v>#SelectedScopes# udledning (ton CO₂e)</v>
      </c>
      <c r="D331" s="298" t="s">
        <v>183</v>
      </c>
      <c r="E331" s="299" t="s">
        <v>1851</v>
      </c>
      <c r="F331" s="298" t="s">
        <v>183</v>
      </c>
      <c r="G331" s="300" t="s">
        <v>1852</v>
      </c>
      <c r="H331" s="298" t="s">
        <v>183</v>
      </c>
      <c r="I331" s="297" t="s">
        <v>219</v>
      </c>
      <c r="J331" s="297" t="s">
        <v>689</v>
      </c>
      <c r="K331" s="297" t="e" cm="1">
        <f t="array" aca="1" ref="K331" ca="1">INDIRECT("'"&amp;I331&amp;"'!"&amp;J331)</f>
        <v>#REF!</v>
      </c>
      <c r="L331" s="298" t="s">
        <v>183</v>
      </c>
      <c r="M331" s="297" t="e">
        <f t="shared" ref="M331:M332" ca="1" si="20">IF(C331=K331,"OK","Reference fejl")</f>
        <v>#REF!</v>
      </c>
    </row>
    <row r="332" spans="1:13" x14ac:dyDescent="0.2">
      <c r="A332" s="298" t="s">
        <v>690</v>
      </c>
      <c r="B332" s="298" t="s">
        <v>183</v>
      </c>
      <c r="C332" s="297" t="str">
        <f>IF(Forside!$D$12="Dansk",Tekstnøgler!E332,Tekstnøgler!G332)</f>
        <v>(%) del af udledning for #SelectedScopes#</v>
      </c>
      <c r="D332" s="298" t="s">
        <v>183</v>
      </c>
      <c r="E332" s="299" t="s">
        <v>1853</v>
      </c>
      <c r="F332" s="298" t="s">
        <v>183</v>
      </c>
      <c r="G332" s="300" t="s">
        <v>1854</v>
      </c>
      <c r="H332" s="298" t="s">
        <v>183</v>
      </c>
      <c r="I332" s="297" t="s">
        <v>219</v>
      </c>
      <c r="J332" s="297" t="s">
        <v>693</v>
      </c>
      <c r="K332" s="297" t="e" cm="1">
        <f t="array" aca="1" ref="K332" ca="1">INDIRECT("'"&amp;I332&amp;"'!"&amp;J332)</f>
        <v>#REF!</v>
      </c>
      <c r="L332" s="298" t="s">
        <v>183</v>
      </c>
      <c r="M332" s="297" t="e">
        <f t="shared" ca="1" si="20"/>
        <v>#REF!</v>
      </c>
    </row>
    <row r="333" spans="1:13" x14ac:dyDescent="0.2">
      <c r="B333" s="298" t="s">
        <v>183</v>
      </c>
      <c r="D333" s="298" t="s">
        <v>183</v>
      </c>
      <c r="F333" s="298" t="s">
        <v>183</v>
      </c>
      <c r="H333" s="298" t="s">
        <v>183</v>
      </c>
      <c r="L333" s="298" t="s">
        <v>183</v>
      </c>
    </row>
    <row r="334" spans="1:13" x14ac:dyDescent="0.2">
      <c r="B334" s="298" t="s">
        <v>183</v>
      </c>
      <c r="D334" s="298" t="s">
        <v>183</v>
      </c>
      <c r="F334" s="298" t="s">
        <v>183</v>
      </c>
      <c r="H334" s="298" t="s">
        <v>183</v>
      </c>
      <c r="L334" s="298" t="s">
        <v>183</v>
      </c>
    </row>
    <row r="335" spans="1:13" x14ac:dyDescent="0.2">
      <c r="A335" s="297" t="s">
        <v>694</v>
      </c>
      <c r="B335" s="298" t="s">
        <v>183</v>
      </c>
      <c r="C335" s="297" t="str">
        <f>IF(Forside!$D$12="Dansk",Tekstnøgler!E335,Tekstnøgler!G335)</f>
        <v>Resultater for fremskrivning</v>
      </c>
      <c r="D335" s="298" t="s">
        <v>183</v>
      </c>
      <c r="E335" s="299" t="s">
        <v>695</v>
      </c>
      <c r="F335" s="298" t="s">
        <v>183</v>
      </c>
      <c r="G335" s="300" t="s">
        <v>1855</v>
      </c>
      <c r="H335" s="298" t="s">
        <v>183</v>
      </c>
      <c r="I335" s="297" t="s">
        <v>130</v>
      </c>
      <c r="J335" s="297" t="s">
        <v>542</v>
      </c>
      <c r="K335" s="297" t="str" cm="1">
        <f t="array" aca="1" ref="K335" ca="1">INDIRECT("'"&amp;I335&amp;"'!"&amp;J335)</f>
        <v>Resultater for fremskrivning</v>
      </c>
      <c r="L335" s="298" t="s">
        <v>183</v>
      </c>
      <c r="M335" s="297" t="str">
        <f t="shared" ref="M335:M383" ca="1" si="21">IF(C335=K335,"OK","Reference fejl")</f>
        <v>OK</v>
      </c>
    </row>
    <row r="336" spans="1:13" x14ac:dyDescent="0.2">
      <c r="A336" s="297" t="s">
        <v>696</v>
      </c>
      <c r="B336" s="298" t="s">
        <v>183</v>
      </c>
      <c r="C336" s="297" t="str">
        <f>IF(Forside!$D$12="Dansk",Tekstnøgler!E336,Tekstnøgler!G336)</f>
        <v>Fremskrivning for</v>
      </c>
      <c r="D336" s="298" t="s">
        <v>183</v>
      </c>
      <c r="E336" s="299" t="s">
        <v>1856</v>
      </c>
      <c r="F336" s="298" t="s">
        <v>183</v>
      </c>
      <c r="G336" s="300" t="s">
        <v>1857</v>
      </c>
      <c r="H336" s="298" t="s">
        <v>183</v>
      </c>
      <c r="I336" s="297" t="s">
        <v>130</v>
      </c>
      <c r="J336" s="297" t="s">
        <v>697</v>
      </c>
      <c r="K336" s="297" t="str" cm="1">
        <f t="array" aca="1" ref="K336" ca="1">INDIRECT("'"&amp;I336&amp;"'!"&amp;J336)</f>
        <v>Fremskrivning for</v>
      </c>
      <c r="L336" s="298" t="s">
        <v>183</v>
      </c>
      <c r="M336" s="297" t="str">
        <f t="shared" ca="1" si="21"/>
        <v>OK</v>
      </c>
    </row>
    <row r="337" spans="1:13" x14ac:dyDescent="0.2">
      <c r="A337" s="297" t="s">
        <v>701</v>
      </c>
      <c r="B337" s="298" t="s">
        <v>183</v>
      </c>
      <c r="C337" s="297" t="str">
        <f>IF(Forside!$D$12="Dansk",Tekstnøgler!E337,Tekstnøgler!G337)</f>
        <v>Basisberegning</v>
      </c>
      <c r="D337" s="298" t="s">
        <v>183</v>
      </c>
      <c r="E337" s="299" t="s">
        <v>699</v>
      </c>
      <c r="F337" s="298" t="s">
        <v>183</v>
      </c>
      <c r="G337" s="300" t="s">
        <v>1858</v>
      </c>
      <c r="H337" s="298" t="s">
        <v>183</v>
      </c>
      <c r="I337" s="297" t="s">
        <v>130</v>
      </c>
      <c r="J337" s="297" t="s">
        <v>700</v>
      </c>
      <c r="K337" s="297" t="str" cm="1">
        <f t="array" aca="1" ref="K337" ca="1">INDIRECT("'"&amp;I337&amp;"'!"&amp;J337)</f>
        <v>Basisberegning</v>
      </c>
      <c r="L337" s="298" t="s">
        <v>183</v>
      </c>
      <c r="M337" s="297" t="str">
        <f t="shared" ca="1" si="21"/>
        <v>OK</v>
      </c>
    </row>
    <row r="338" spans="1:13" x14ac:dyDescent="0.2">
      <c r="A338" s="297" t="s">
        <v>698</v>
      </c>
      <c r="B338" s="298" t="s">
        <v>183</v>
      </c>
      <c r="D338" s="298" t="s">
        <v>183</v>
      </c>
      <c r="E338" s="299" t="s">
        <v>1859</v>
      </c>
      <c r="F338" s="298" t="s">
        <v>183</v>
      </c>
      <c r="G338" s="300" t="s">
        <v>1860</v>
      </c>
      <c r="H338" s="298" t="s">
        <v>183</v>
      </c>
      <c r="I338" s="297" t="s">
        <v>130</v>
      </c>
      <c r="J338" s="297" t="s">
        <v>322</v>
      </c>
      <c r="K338" s="297" t="str" cm="1">
        <f t="array" aca="1" ref="K338" ca="1">INDIRECT("'"&amp;I338&amp;"'!"&amp;J338)</f>
        <v>[TITEL]</v>
      </c>
      <c r="L338" s="298" t="s">
        <v>183</v>
      </c>
      <c r="M338" s="297" t="str">
        <f t="shared" ca="1" si="21"/>
        <v>Reference fejl</v>
      </c>
    </row>
    <row r="339" spans="1:13" x14ac:dyDescent="0.2">
      <c r="A339" s="297" t="s">
        <v>702</v>
      </c>
      <c r="B339" s="298" t="s">
        <v>183</v>
      </c>
      <c r="C339" s="297" t="str">
        <f>IF(Forside!$D$12="Dansk",Tekstnøgler!E339,Tekstnøgler!G339)</f>
        <v>Basisår</v>
      </c>
      <c r="D339" s="298" t="s">
        <v>183</v>
      </c>
      <c r="E339" s="299" t="s">
        <v>703</v>
      </c>
      <c r="F339" s="298" t="s">
        <v>183</v>
      </c>
      <c r="G339" s="300" t="s">
        <v>704</v>
      </c>
      <c r="H339" s="298" t="s">
        <v>183</v>
      </c>
      <c r="I339" s="297" t="s">
        <v>130</v>
      </c>
      <c r="J339" s="297" t="s">
        <v>324</v>
      </c>
      <c r="K339" s="297" t="str" cm="1">
        <f t="array" aca="1" ref="K339" ca="1">INDIRECT("'"&amp;I339&amp;"'!"&amp;J339)</f>
        <v>Basisår</v>
      </c>
      <c r="L339" s="298" t="s">
        <v>183</v>
      </c>
      <c r="M339" s="297" t="str">
        <f t="shared" ca="1" si="21"/>
        <v>OK</v>
      </c>
    </row>
    <row r="340" spans="1:13" x14ac:dyDescent="0.2">
      <c r="A340" s="298" t="s">
        <v>705</v>
      </c>
      <c r="B340" s="298" t="s">
        <v>183</v>
      </c>
      <c r="C340" s="297" t="str">
        <f>IF(Forside!$D$12="Dansk",Tekstnøgler!E340,Tekstnøgler!G340)</f>
        <v>Slutår</v>
      </c>
      <c r="D340" s="298" t="s">
        <v>183</v>
      </c>
      <c r="E340" s="299" t="s">
        <v>706</v>
      </c>
      <c r="F340" s="298" t="s">
        <v>183</v>
      </c>
      <c r="G340" s="300" t="s">
        <v>1861</v>
      </c>
      <c r="H340" s="298" t="s">
        <v>183</v>
      </c>
      <c r="I340" s="297" t="s">
        <v>130</v>
      </c>
      <c r="J340" s="297" t="s">
        <v>707</v>
      </c>
      <c r="K340" s="297" t="str" cm="1">
        <f t="array" aca="1" ref="K340" ca="1">INDIRECT("'"&amp;I340&amp;"'!"&amp;J340)</f>
        <v>Slutår</v>
      </c>
      <c r="L340" s="298" t="s">
        <v>183</v>
      </c>
      <c r="M340" s="297" t="str">
        <f t="shared" ca="1" si="21"/>
        <v>OK</v>
      </c>
    </row>
    <row r="341" spans="1:13" x14ac:dyDescent="0.2">
      <c r="A341" s="297" t="s">
        <v>708</v>
      </c>
      <c r="B341" s="298" t="s">
        <v>183</v>
      </c>
      <c r="C341" s="297" t="str">
        <f>IF(Forside!$D$12="Dansk",Tekstnøgler!E341,Tekstnøgler!G341)</f>
        <v>Valg af årlig vækst</v>
      </c>
      <c r="D341" s="298" t="s">
        <v>183</v>
      </c>
      <c r="E341" s="299" t="s">
        <v>709</v>
      </c>
      <c r="F341" s="298" t="s">
        <v>183</v>
      </c>
      <c r="G341" s="300" t="s">
        <v>1862</v>
      </c>
      <c r="H341" s="298" t="s">
        <v>183</v>
      </c>
      <c r="I341" s="297" t="s">
        <v>130</v>
      </c>
      <c r="J341" s="297" t="s">
        <v>331</v>
      </c>
      <c r="K341" s="297" t="str" cm="1">
        <f t="array" aca="1" ref="K341" ca="1">INDIRECT("'"&amp;I341&amp;"'!"&amp;J341)</f>
        <v>Valg af årlig vækst</v>
      </c>
      <c r="L341" s="298" t="s">
        <v>183</v>
      </c>
      <c r="M341" s="297" t="str">
        <f t="shared" ca="1" si="21"/>
        <v>OK</v>
      </c>
    </row>
    <row r="342" spans="1:13" x14ac:dyDescent="0.2">
      <c r="A342" s="297" t="s">
        <v>710</v>
      </c>
      <c r="B342" s="298" t="s">
        <v>183</v>
      </c>
      <c r="C342" s="297" t="str">
        <f>IF(Forside!$D$12="Dansk",Tekstnøgler!E342,Tekstnøgler!G342)</f>
        <v>Årlig vækstrate</v>
      </c>
      <c r="D342" s="298" t="s">
        <v>183</v>
      </c>
      <c r="E342" s="299" t="s">
        <v>1863</v>
      </c>
      <c r="F342" s="298" t="s">
        <v>183</v>
      </c>
      <c r="G342" s="300" t="s">
        <v>1864</v>
      </c>
      <c r="H342" s="298" t="s">
        <v>183</v>
      </c>
      <c r="I342" s="297" t="s">
        <v>130</v>
      </c>
      <c r="J342" s="297" t="s">
        <v>334</v>
      </c>
      <c r="K342" s="297" t="str" cm="1">
        <f t="array" aca="1" ref="K342" ca="1">INDIRECT("'"&amp;I342&amp;"'!"&amp;J342)</f>
        <v>Årlig vækstrate</v>
      </c>
      <c r="L342" s="298" t="s">
        <v>183</v>
      </c>
      <c r="M342" s="297" t="str">
        <f t="shared" ca="1" si="21"/>
        <v>OK</v>
      </c>
    </row>
    <row r="343" spans="1:13" x14ac:dyDescent="0.2">
      <c r="A343" s="297" t="s">
        <v>711</v>
      </c>
      <c r="B343" s="298" t="s">
        <v>183</v>
      </c>
      <c r="C343" s="297" t="str">
        <f>IF(Forside!$D$12="Dansk",Tekstnøgler!E343,Tekstnøgler!G343)</f>
        <v>Type af vækstrate</v>
      </c>
      <c r="D343" s="298" t="s">
        <v>183</v>
      </c>
      <c r="E343" s="299" t="s">
        <v>1865</v>
      </c>
      <c r="F343" s="298" t="s">
        <v>183</v>
      </c>
      <c r="G343" s="300" t="s">
        <v>1866</v>
      </c>
      <c r="H343" s="298" t="s">
        <v>183</v>
      </c>
      <c r="I343" s="297" t="s">
        <v>130</v>
      </c>
      <c r="J343" s="297" t="s">
        <v>712</v>
      </c>
      <c r="K343" s="297" t="str" cm="1">
        <f t="array" aca="1" ref="K343" ca="1">INDIRECT("'"&amp;I343&amp;"'!"&amp;J343)</f>
        <v>Type af vækstrate</v>
      </c>
      <c r="L343" s="298" t="s">
        <v>183</v>
      </c>
      <c r="M343" s="297" t="str">
        <f t="shared" ca="1" si="21"/>
        <v>OK</v>
      </c>
    </row>
    <row r="344" spans="1:13" x14ac:dyDescent="0.2">
      <c r="A344" s="297" t="s">
        <v>713</v>
      </c>
      <c r="B344" s="298" t="s">
        <v>183</v>
      </c>
      <c r="C344" s="297" t="str">
        <f>IF(Forside!$D$12="Dansk",Tekstnøgler!E344,Tekstnøgler!G344)</f>
        <v>Hovedresultater</v>
      </c>
      <c r="D344" s="298" t="s">
        <v>183</v>
      </c>
      <c r="E344" s="299" t="s">
        <v>157</v>
      </c>
      <c r="F344" s="298" t="s">
        <v>183</v>
      </c>
      <c r="G344" s="300" t="s">
        <v>1867</v>
      </c>
      <c r="H344" s="298" t="s">
        <v>183</v>
      </c>
      <c r="I344" s="297" t="s">
        <v>130</v>
      </c>
      <c r="J344" s="297" t="s">
        <v>201</v>
      </c>
      <c r="K344" s="297" t="str" cm="1">
        <f t="array" aca="1" ref="K344" ca="1">INDIRECT("'"&amp;I344&amp;"'!"&amp;J344)</f>
        <v>Hovedresultater</v>
      </c>
      <c r="L344" s="298" t="s">
        <v>183</v>
      </c>
      <c r="M344" s="297" t="str">
        <f t="shared" ca="1" si="21"/>
        <v>OK</v>
      </c>
    </row>
    <row r="345" spans="1:13" x14ac:dyDescent="0.2">
      <c r="A345" s="297" t="s">
        <v>1024</v>
      </c>
      <c r="B345" s="298" t="s">
        <v>183</v>
      </c>
      <c r="C345" s="297" t="str">
        <f>IF(Forside!$D$12="Dansk",Tekstnøgler!E345,Tekstnøgler!G345)</f>
        <v>Din virksomheds CO₂e-udledning fremskrives med:</v>
      </c>
      <c r="D345" s="298" t="s">
        <v>183</v>
      </c>
      <c r="E345" s="299" t="s">
        <v>1868</v>
      </c>
      <c r="F345" s="298" t="s">
        <v>183</v>
      </c>
      <c r="G345" s="300" t="s">
        <v>1869</v>
      </c>
      <c r="H345" s="298" t="s">
        <v>183</v>
      </c>
      <c r="I345" s="297" t="s">
        <v>130</v>
      </c>
      <c r="J345" s="297" t="s">
        <v>204</v>
      </c>
      <c r="K345" s="297" t="str" cm="1">
        <f t="array" aca="1" ref="K345" ca="1">INDIRECT("'"&amp;I345&amp;"'!"&amp;J345)</f>
        <v>Med en årlig vækst på 3% (Ekspotentiel) estimeres det, at din virksomheds CO₂e-udledninger vil falde med -50% frem mod år2030.</v>
      </c>
      <c r="L345" s="298" t="s">
        <v>183</v>
      </c>
      <c r="M345" s="297" t="str">
        <f t="shared" ref="M345:M348" ca="1" si="22">IF(C345=K345,"OK","Reference fejl")</f>
        <v>Reference fejl</v>
      </c>
    </row>
    <row r="346" spans="1:13" x14ac:dyDescent="0.2">
      <c r="A346" s="297" t="s">
        <v>714</v>
      </c>
      <c r="B346" s="298" t="s">
        <v>183</v>
      </c>
      <c r="C346" s="297" t="str">
        <f>IF(Forside!$D$12="Dansk",Tekstnøgler!E346,Tekstnøgler!G346)</f>
        <v>Tabel 1: Oversigt over virksomhedens CO₂e-udledninger fordelt på scopes</v>
      </c>
      <c r="D346" s="298" t="s">
        <v>183</v>
      </c>
      <c r="E346" s="299" t="s">
        <v>1870</v>
      </c>
      <c r="F346" s="298" t="s">
        <v>183</v>
      </c>
      <c r="G346" s="300" t="s">
        <v>1871</v>
      </c>
      <c r="H346" s="298" t="s">
        <v>183</v>
      </c>
      <c r="I346" s="297" t="s">
        <v>130</v>
      </c>
      <c r="J346" s="297" t="s">
        <v>346</v>
      </c>
      <c r="K346" s="297" t="str" cm="1">
        <f t="array" aca="1" ref="K346" ca="1">INDIRECT("'"&amp;I346&amp;"'!"&amp;J346)</f>
        <v>Tabel 1: Oversigt over virksomhedens CO₂e-udledninger fordelt på scopes</v>
      </c>
      <c r="L346" s="298" t="s">
        <v>183</v>
      </c>
      <c r="M346" s="297" t="str">
        <f t="shared" ca="1" si="22"/>
        <v>OK</v>
      </c>
    </row>
    <row r="347" spans="1:13" x14ac:dyDescent="0.2">
      <c r="A347" s="297" t="s">
        <v>715</v>
      </c>
      <c r="B347" s="298" t="s">
        <v>183</v>
      </c>
      <c r="C347" s="297" t="str">
        <f>IF(Forside!$D$12="Dansk",Tekstnøgler!E347,Tekstnøgler!G347)</f>
        <v>Titel</v>
      </c>
      <c r="D347" s="298" t="s">
        <v>183</v>
      </c>
      <c r="E347" s="299" t="s">
        <v>594</v>
      </c>
      <c r="F347" s="298" t="s">
        <v>183</v>
      </c>
      <c r="G347" s="300" t="s">
        <v>595</v>
      </c>
      <c r="H347" s="298" t="s">
        <v>183</v>
      </c>
      <c r="I347" s="297" t="s">
        <v>130</v>
      </c>
      <c r="J347" s="297" t="s">
        <v>208</v>
      </c>
      <c r="K347" s="297" t="str" cm="1">
        <f t="array" aca="1" ref="K347" ca="1">INDIRECT("'"&amp;I347&amp;"'!"&amp;J347)</f>
        <v>Titel</v>
      </c>
      <c r="L347" s="298" t="s">
        <v>183</v>
      </c>
      <c r="M347" s="297" t="str">
        <f t="shared" ca="1" si="22"/>
        <v>OK</v>
      </c>
    </row>
    <row r="348" spans="1:13" x14ac:dyDescent="0.2">
      <c r="A348" s="298" t="s">
        <v>716</v>
      </c>
      <c r="B348" s="298" t="s">
        <v>183</v>
      </c>
      <c r="C348" s="297" t="str">
        <f>IF(Forside!$D$12="Dansk",Tekstnøgler!E348,Tekstnøgler!G348)</f>
        <v>Ton CO₂e</v>
      </c>
      <c r="D348" s="298" t="s">
        <v>183</v>
      </c>
      <c r="E348" s="299" t="s">
        <v>1657</v>
      </c>
      <c r="F348" s="298" t="s">
        <v>183</v>
      </c>
      <c r="G348" s="300" t="s">
        <v>1657</v>
      </c>
      <c r="H348" s="298" t="s">
        <v>183</v>
      </c>
      <c r="I348" s="297" t="s">
        <v>130</v>
      </c>
      <c r="J348" s="297" t="s">
        <v>578</v>
      </c>
      <c r="K348" s="297" t="str" cm="1">
        <f t="array" aca="1" ref="K348" ca="1">INDIRECT("'"&amp;I348&amp;"'!"&amp;J348)</f>
        <v>Ton CO₂e</v>
      </c>
      <c r="L348" s="298" t="s">
        <v>183</v>
      </c>
      <c r="M348" s="297" t="str">
        <f t="shared" ca="1" si="22"/>
        <v>OK</v>
      </c>
    </row>
    <row r="349" spans="1:13" x14ac:dyDescent="0.2">
      <c r="A349" s="298" t="s">
        <v>717</v>
      </c>
      <c r="B349" s="298" t="s">
        <v>183</v>
      </c>
      <c r="C349" s="297" t="str">
        <f>IF(Forside!$D$12="Dansk",Tekstnøgler!E349,Tekstnøgler!G349)</f>
        <v>Fordeling i %</v>
      </c>
      <c r="D349" s="298" t="s">
        <v>183</v>
      </c>
      <c r="E349" s="299" t="s">
        <v>718</v>
      </c>
      <c r="F349" s="298" t="s">
        <v>183</v>
      </c>
      <c r="G349" s="300" t="s">
        <v>719</v>
      </c>
      <c r="H349" s="298" t="s">
        <v>183</v>
      </c>
      <c r="I349" s="297" t="s">
        <v>130</v>
      </c>
      <c r="J349" s="297" t="s">
        <v>720</v>
      </c>
      <c r="K349" s="297" t="str" cm="1">
        <f t="array" aca="1" ref="K349" ca="1">INDIRECT("'"&amp;I349&amp;"'!"&amp;J349)</f>
        <v>Fordeling i %</v>
      </c>
      <c r="L349" s="298" t="s">
        <v>183</v>
      </c>
      <c r="M349" s="297" t="str">
        <f t="shared" ca="1" si="21"/>
        <v>OK</v>
      </c>
    </row>
    <row r="350" spans="1:13" ht="30" x14ac:dyDescent="0.2">
      <c r="A350" s="298" t="s">
        <v>1025</v>
      </c>
      <c r="B350" s="298" t="s">
        <v>183</v>
      </c>
      <c r="C350" s="297" t="str">
        <f>IF(Forside!$D$12="Dansk",Tekstnøgler!E350,Tekstnøgler!G350)</f>
        <v>Forskel fra basisår til slutår i %</v>
      </c>
      <c r="D350" s="298" t="s">
        <v>183</v>
      </c>
      <c r="E350" s="299" t="s">
        <v>1872</v>
      </c>
      <c r="F350" s="298" t="s">
        <v>183</v>
      </c>
      <c r="G350" s="305" t="s">
        <v>1873</v>
      </c>
      <c r="H350" s="298" t="s">
        <v>183</v>
      </c>
      <c r="I350" s="297" t="s">
        <v>130</v>
      </c>
      <c r="J350" s="297" t="s">
        <v>721</v>
      </c>
      <c r="K350" s="297" cm="1">
        <f t="array" aca="1" ref="K350" ca="1">INDIRECT("'"&amp;I350&amp;"'!"&amp;J350)</f>
        <v>0</v>
      </c>
      <c r="L350" s="298"/>
      <c r="M350" s="297" t="str">
        <f ca="1">IF(C350=K350,"OK","Reference fejl")</f>
        <v>Reference fejl</v>
      </c>
    </row>
    <row r="351" spans="1:13" x14ac:dyDescent="0.2">
      <c r="A351" s="297" t="s">
        <v>722</v>
      </c>
      <c r="B351" s="298" t="s">
        <v>183</v>
      </c>
      <c r="C351" s="297" t="str">
        <f>IF(Forside!$D$12="Dansk",Tekstnøgler!E351,Tekstnøgler!G351)</f>
        <v>Scope 1</v>
      </c>
      <c r="D351" s="298" t="s">
        <v>183</v>
      </c>
      <c r="E351" s="299" t="s">
        <v>554</v>
      </c>
      <c r="F351" s="298" t="s">
        <v>183</v>
      </c>
      <c r="G351" s="300" t="s">
        <v>554</v>
      </c>
      <c r="H351" s="298" t="s">
        <v>183</v>
      </c>
      <c r="I351" s="297" t="s">
        <v>130</v>
      </c>
      <c r="J351" s="297" t="s">
        <v>212</v>
      </c>
      <c r="K351" s="297" t="str" cm="1">
        <f t="array" aca="1" ref="K351" ca="1">INDIRECT("'"&amp;I351&amp;"'!"&amp;J351)</f>
        <v>Scope 1</v>
      </c>
      <c r="L351" s="298" t="s">
        <v>183</v>
      </c>
      <c r="M351" s="297" t="str">
        <f ca="1">IF(C351=K351,"OK","Reference fejl")</f>
        <v>OK</v>
      </c>
    </row>
    <row r="352" spans="1:13" x14ac:dyDescent="0.2">
      <c r="A352" s="297" t="s">
        <v>723</v>
      </c>
      <c r="B352" s="298" t="s">
        <v>183</v>
      </c>
      <c r="C352" s="297" t="str">
        <f>IF(Forside!$D$12="Dansk",Tekstnøgler!E352,Tekstnøgler!G352)</f>
        <v>Scope 2</v>
      </c>
      <c r="D352" s="298" t="s">
        <v>183</v>
      </c>
      <c r="E352" s="299" t="s">
        <v>556</v>
      </c>
      <c r="F352" s="298" t="s">
        <v>183</v>
      </c>
      <c r="G352" s="300" t="s">
        <v>556</v>
      </c>
      <c r="H352" s="298" t="s">
        <v>183</v>
      </c>
      <c r="I352" s="297" t="s">
        <v>130</v>
      </c>
      <c r="J352" s="297" t="s">
        <v>214</v>
      </c>
      <c r="K352" s="297" t="str" cm="1">
        <f t="array" aca="1" ref="K352" ca="1">INDIRECT("'"&amp;I352&amp;"'!"&amp;J352)</f>
        <v>Scope 2</v>
      </c>
      <c r="L352" s="298" t="s">
        <v>183</v>
      </c>
      <c r="M352" s="297" t="str">
        <f t="shared" ca="1" si="21"/>
        <v>OK</v>
      </c>
    </row>
    <row r="353" spans="1:14" x14ac:dyDescent="0.2">
      <c r="A353" s="297" t="s">
        <v>724</v>
      </c>
      <c r="B353" s="298" t="s">
        <v>183</v>
      </c>
      <c r="C353" s="297" t="str">
        <f>IF(Forside!$D$12="Dansk",Tekstnøgler!E353,Tekstnøgler!G353)</f>
        <v>Scope 3</v>
      </c>
      <c r="D353" s="298" t="s">
        <v>183</v>
      </c>
      <c r="E353" s="299" t="s">
        <v>558</v>
      </c>
      <c r="F353" s="298" t="s">
        <v>183</v>
      </c>
      <c r="G353" s="300" t="s">
        <v>558</v>
      </c>
      <c r="H353" s="298" t="s">
        <v>183</v>
      </c>
      <c r="I353" s="297" t="s">
        <v>130</v>
      </c>
      <c r="J353" s="297" t="s">
        <v>216</v>
      </c>
      <c r="K353" s="297" t="str" cm="1">
        <f t="array" aca="1" ref="K353" ca="1">INDIRECT("'"&amp;I353&amp;"'!"&amp;J353)</f>
        <v>Scope 3</v>
      </c>
      <c r="L353" s="298" t="s">
        <v>183</v>
      </c>
      <c r="M353" s="297" t="str">
        <f t="shared" ca="1" si="21"/>
        <v>OK</v>
      </c>
    </row>
    <row r="354" spans="1:14" x14ac:dyDescent="0.2">
      <c r="A354" s="297" t="s">
        <v>725</v>
      </c>
      <c r="B354" s="298" t="s">
        <v>183</v>
      </c>
      <c r="C354" s="297" t="str">
        <f>IF(Forside!$D$12="Dansk",Tekstnøgler!E354,Tekstnøgler!G354)</f>
        <v>Total</v>
      </c>
      <c r="D354" s="298" t="s">
        <v>183</v>
      </c>
      <c r="E354" s="299" t="s">
        <v>761</v>
      </c>
      <c r="F354" s="298" t="s">
        <v>183</v>
      </c>
      <c r="G354" s="300" t="s">
        <v>761</v>
      </c>
      <c r="H354" s="298" t="s">
        <v>183</v>
      </c>
      <c r="I354" s="297" t="s">
        <v>130</v>
      </c>
      <c r="J354" s="297" t="s">
        <v>218</v>
      </c>
      <c r="K354" s="297" t="str" cm="1">
        <f t="array" aca="1" ref="K354" ca="1">INDIRECT("'"&amp;I354&amp;"'!"&amp;J354)</f>
        <v>Total</v>
      </c>
      <c r="L354" s="298" t="s">
        <v>183</v>
      </c>
      <c r="M354" s="297" t="str">
        <f t="shared" ca="1" si="21"/>
        <v>OK</v>
      </c>
    </row>
    <row r="355" spans="1:14" x14ac:dyDescent="0.2">
      <c r="A355" s="297" t="s">
        <v>726</v>
      </c>
      <c r="B355" s="298" t="s">
        <v>183</v>
      </c>
      <c r="C355" s="297" t="str">
        <f>IF(Forside!$D$12="Dansk",Tekstnøgler!E355,Tekstnøgler!G355)</f>
        <v>Udenfor scopes</v>
      </c>
      <c r="D355" s="298" t="s">
        <v>183</v>
      </c>
      <c r="E355" s="299" t="s">
        <v>576</v>
      </c>
      <c r="F355" s="298" t="s">
        <v>183</v>
      </c>
      <c r="G355" s="300" t="s">
        <v>1874</v>
      </c>
      <c r="H355" s="298" t="s">
        <v>183</v>
      </c>
      <c r="I355" s="297" t="s">
        <v>130</v>
      </c>
      <c r="J355" s="297" t="s">
        <v>220</v>
      </c>
      <c r="K355" s="297" t="str" cm="1">
        <f t="array" aca="1" ref="K355" ca="1">INDIRECT("'"&amp;I355&amp;"'!"&amp;J355)</f>
        <v>Udenfor scopes</v>
      </c>
      <c r="L355" s="298" t="s">
        <v>183</v>
      </c>
      <c r="M355" s="297" t="str">
        <f ca="1">IF(C355=K355,"OK","Reference fejl")</f>
        <v>OK</v>
      </c>
    </row>
    <row r="356" spans="1:14" x14ac:dyDescent="0.2">
      <c r="A356" s="297" t="s">
        <v>1026</v>
      </c>
      <c r="B356" s="298" t="s">
        <v>183</v>
      </c>
      <c r="C356" s="297" t="str">
        <f>IF(Forside!$D$12="Dansk",Tekstnøgler!E356,Tekstnøgler!G356)</f>
        <v>Reduktion opnået (scope 1)</v>
      </c>
      <c r="D356" s="298" t="s">
        <v>183</v>
      </c>
      <c r="E356" s="299" t="s">
        <v>727</v>
      </c>
      <c r="F356" s="298" t="s">
        <v>183</v>
      </c>
      <c r="G356" s="300" t="s">
        <v>728</v>
      </c>
      <c r="H356" s="298" t="s">
        <v>183</v>
      </c>
      <c r="I356" s="297" t="s">
        <v>130</v>
      </c>
      <c r="J356" s="297" t="s">
        <v>405</v>
      </c>
      <c r="K356" s="297" t="str" cm="1">
        <f t="array" aca="1" ref="K356" ca="1">INDIRECT("'"&amp;I356&amp;"'!"&amp;J356)</f>
        <v>Reduktion opnået (scope 1)</v>
      </c>
      <c r="L356" s="298" t="s">
        <v>183</v>
      </c>
      <c r="M356" s="297" t="str">
        <f ca="1">IF(C356=K356,"OK","Reference fejl")</f>
        <v>OK</v>
      </c>
      <c r="N356" s="297" t="str">
        <f ca="1">IF(AND(OR(M356="OK",M357="OK"),M356&lt;&gt;M357),"OK (one is enough)","fejl")</f>
        <v>OK (one is enough)</v>
      </c>
    </row>
    <row r="357" spans="1:14" x14ac:dyDescent="0.2">
      <c r="A357" s="297" t="s">
        <v>1027</v>
      </c>
      <c r="B357" s="298" t="s">
        <v>183</v>
      </c>
      <c r="C357" s="297" t="str">
        <f>IF(Forside!$D$12="Dansk",Tekstnøgler!E357,Tekstnøgler!G357)</f>
        <v>(ikke relevant)</v>
      </c>
      <c r="D357" s="298" t="s">
        <v>183</v>
      </c>
      <c r="E357" s="299" t="s">
        <v>729</v>
      </c>
      <c r="F357" s="298" t="s">
        <v>183</v>
      </c>
      <c r="G357" s="300" t="s">
        <v>730</v>
      </c>
      <c r="H357" s="298" t="s">
        <v>183</v>
      </c>
      <c r="I357" s="297" t="s">
        <v>130</v>
      </c>
      <c r="J357" s="297" t="s">
        <v>405</v>
      </c>
      <c r="K357" s="297" t="str" cm="1">
        <f t="array" aca="1" ref="K357" ca="1">INDIRECT("'"&amp;I357&amp;"'!"&amp;J357)</f>
        <v>Reduktion opnået (scope 1)</v>
      </c>
      <c r="L357" s="298" t="s">
        <v>183</v>
      </c>
      <c r="M357" s="297" t="str">
        <f t="shared" ref="M357" ca="1" si="23">IF(C357=K357,"OK","Reference fejl")</f>
        <v>Reference fejl</v>
      </c>
      <c r="N357" s="297" t="str">
        <f ca="1">IF(AND(OR(M356="OK",M357="OK"),M356&lt;&gt;M357),"OK (one is enough)","fejl")</f>
        <v>OK (one is enough)</v>
      </c>
    </row>
    <row r="358" spans="1:14" x14ac:dyDescent="0.2">
      <c r="A358" s="297" t="s">
        <v>1028</v>
      </c>
      <c r="B358" s="298" t="s">
        <v>183</v>
      </c>
      <c r="C358" s="297" t="str">
        <f>IF(Forside!$D$12="Dansk",Tekstnøgler!E358,Tekstnøgler!G358)</f>
        <v>Forskel til slutår (scope 1)</v>
      </c>
      <c r="D358" s="298" t="s">
        <v>183</v>
      </c>
      <c r="E358" s="299" t="s">
        <v>1875</v>
      </c>
      <c r="F358" s="298" t="s">
        <v>183</v>
      </c>
      <c r="G358" s="300" t="s">
        <v>1876</v>
      </c>
      <c r="H358" s="298" t="s">
        <v>183</v>
      </c>
      <c r="I358" s="297" t="s">
        <v>130</v>
      </c>
      <c r="J358" s="297" t="s">
        <v>222</v>
      </c>
      <c r="K358" s="297" t="str" cm="1">
        <f t="array" aca="1" ref="K358" ca="1">INDIRECT("'"&amp;I358&amp;"'!"&amp;J358)</f>
        <v>(ikke relevant)</v>
      </c>
      <c r="L358" s="298" t="s">
        <v>183</v>
      </c>
      <c r="M358" s="297" t="str">
        <f t="shared" ref="M358:M367" ca="1" si="24">IF(C358=K358,"OK","Reference fejl")</f>
        <v>Reference fejl</v>
      </c>
      <c r="N358" s="297" t="str">
        <f ca="1">IF(AND(OR(M358="OK",M359="OK"),M358&lt;&gt;M359),"OK (one is enough)","fejl")</f>
        <v>OK (one is enough)</v>
      </c>
    </row>
    <row r="359" spans="1:14" x14ac:dyDescent="0.2">
      <c r="A359" s="297" t="s">
        <v>1029</v>
      </c>
      <c r="B359" s="298" t="s">
        <v>183</v>
      </c>
      <c r="C359" s="297" t="str">
        <f>IF(Forside!$D$12="Dansk",Tekstnøgler!E359,Tekstnøgler!G359)</f>
        <v>(ikke relevant)</v>
      </c>
      <c r="D359" s="298" t="s">
        <v>183</v>
      </c>
      <c r="E359" s="299" t="s">
        <v>729</v>
      </c>
      <c r="F359" s="298" t="s">
        <v>183</v>
      </c>
      <c r="G359" s="300" t="s">
        <v>730</v>
      </c>
      <c r="H359" s="298" t="s">
        <v>183</v>
      </c>
      <c r="I359" s="297" t="s">
        <v>130</v>
      </c>
      <c r="J359" s="297" t="s">
        <v>222</v>
      </c>
      <c r="K359" s="297" t="str" cm="1">
        <f t="array" aca="1" ref="K359" ca="1">INDIRECT("'"&amp;I359&amp;"'!"&amp;J359)</f>
        <v>(ikke relevant)</v>
      </c>
      <c r="L359" s="298" t="s">
        <v>183</v>
      </c>
      <c r="M359" s="297" t="str">
        <f t="shared" ref="M359:M362" ca="1" si="25">IF(C359=K359,"OK","Reference fejl")</f>
        <v>OK</v>
      </c>
      <c r="N359" s="297" t="str">
        <f ca="1">IF(AND(OR(M358="OK",M359="OK"),M358&lt;&gt;M359),"OK (one is enough)","fejl")</f>
        <v>OK (one is enough)</v>
      </c>
    </row>
    <row r="360" spans="1:14" x14ac:dyDescent="0.2">
      <c r="A360" s="297" t="s">
        <v>1030</v>
      </c>
      <c r="B360" s="298" t="s">
        <v>183</v>
      </c>
      <c r="C360" s="297" t="str">
        <f>IF(Forside!$D$12="Dansk",Tekstnøgler!E360,Tekstnøgler!G360)</f>
        <v>Reduktion opnået (scope 2)</v>
      </c>
      <c r="D360" s="298" t="s">
        <v>183</v>
      </c>
      <c r="E360" s="299" t="s">
        <v>731</v>
      </c>
      <c r="F360" s="298" t="s">
        <v>183</v>
      </c>
      <c r="G360" s="300" t="s">
        <v>732</v>
      </c>
      <c r="H360" s="298" t="s">
        <v>183</v>
      </c>
      <c r="I360" s="297" t="s">
        <v>130</v>
      </c>
      <c r="J360" s="297" t="s">
        <v>422</v>
      </c>
      <c r="K360" s="297" t="str" cm="1">
        <f t="array" aca="1" ref="K360" ca="1">INDIRECT("'"&amp;I360&amp;"'!"&amp;J360)</f>
        <v>Reduktion opnået (scope 2)</v>
      </c>
      <c r="L360" s="298" t="s">
        <v>183</v>
      </c>
      <c r="M360" s="297" t="str">
        <f t="shared" ca="1" si="25"/>
        <v>OK</v>
      </c>
      <c r="N360" s="297" t="str">
        <f ca="1">IF(AND(OR(M360="OK",M361="OK"),M360&lt;&gt;M361),"OK (one is enough)","fejl")</f>
        <v>OK (one is enough)</v>
      </c>
    </row>
    <row r="361" spans="1:14" x14ac:dyDescent="0.2">
      <c r="A361" s="297" t="s">
        <v>1031</v>
      </c>
      <c r="B361" s="298" t="s">
        <v>183</v>
      </c>
      <c r="C361" s="297" t="str">
        <f>IF(Forside!$D$12="Dansk",Tekstnøgler!E361,Tekstnøgler!G361)</f>
        <v>(ikke relevant)</v>
      </c>
      <c r="D361" s="298" t="s">
        <v>183</v>
      </c>
      <c r="E361" s="299" t="s">
        <v>729</v>
      </c>
      <c r="F361" s="298" t="s">
        <v>183</v>
      </c>
      <c r="G361" s="300" t="s">
        <v>730</v>
      </c>
      <c r="H361" s="298" t="s">
        <v>183</v>
      </c>
      <c r="I361" s="297" t="s">
        <v>130</v>
      </c>
      <c r="J361" s="297" t="s">
        <v>422</v>
      </c>
      <c r="K361" s="297" t="str" cm="1">
        <f t="array" aca="1" ref="K361" ca="1">INDIRECT("'"&amp;I361&amp;"'!"&amp;J361)</f>
        <v>Reduktion opnået (scope 2)</v>
      </c>
      <c r="L361" s="298" t="s">
        <v>183</v>
      </c>
      <c r="M361" s="297" t="str">
        <f t="shared" ref="M361" ca="1" si="26">IF(C361=K361,"OK","Reference fejl")</f>
        <v>Reference fejl</v>
      </c>
      <c r="N361" s="297" t="str">
        <f ca="1">IF(AND(OR(M360="OK",M361="OK"),M360&lt;&gt;M361),"OK (one is enough)","fejl")</f>
        <v>OK (one is enough)</v>
      </c>
    </row>
    <row r="362" spans="1:14" x14ac:dyDescent="0.2">
      <c r="A362" s="297" t="s">
        <v>1032</v>
      </c>
      <c r="B362" s="298" t="s">
        <v>183</v>
      </c>
      <c r="C362" s="297" t="str">
        <f>IF(Forside!$D$12="Dansk",Tekstnøgler!E362,Tekstnøgler!G362)</f>
        <v>Forskel til slutår (scope 1)</v>
      </c>
      <c r="D362" s="298" t="s">
        <v>183</v>
      </c>
      <c r="E362" s="299" t="s">
        <v>1875</v>
      </c>
      <c r="F362" s="298" t="s">
        <v>183</v>
      </c>
      <c r="G362" s="300" t="s">
        <v>1876</v>
      </c>
      <c r="H362" s="298" t="s">
        <v>183</v>
      </c>
      <c r="I362" s="297" t="s">
        <v>130</v>
      </c>
      <c r="J362" s="297" t="s">
        <v>424</v>
      </c>
      <c r="K362" s="297" t="str" cm="1">
        <f t="array" aca="1" ref="K362" ca="1">INDIRECT("'"&amp;I362&amp;"'!"&amp;J362)</f>
        <v>(ikke relevant)</v>
      </c>
      <c r="L362" s="298" t="s">
        <v>183</v>
      </c>
      <c r="M362" s="297" t="str">
        <f t="shared" ca="1" si="25"/>
        <v>Reference fejl</v>
      </c>
      <c r="N362" s="297" t="str">
        <f ca="1">IF(AND(OR(M362="OK",M363="OK"),M362&lt;&gt;M363),"OK (one is enough)","fejl")</f>
        <v>OK (one is enough)</v>
      </c>
    </row>
    <row r="363" spans="1:14" x14ac:dyDescent="0.2">
      <c r="A363" s="297" t="s">
        <v>1033</v>
      </c>
      <c r="B363" s="298" t="s">
        <v>183</v>
      </c>
      <c r="C363" s="297" t="str">
        <f>IF(Forside!$D$12="Dansk",Tekstnøgler!E363,Tekstnøgler!G363)</f>
        <v>(ikke relevant)</v>
      </c>
      <c r="D363" s="298" t="s">
        <v>183</v>
      </c>
      <c r="E363" s="299" t="s">
        <v>729</v>
      </c>
      <c r="F363" s="298" t="s">
        <v>183</v>
      </c>
      <c r="G363" s="300" t="s">
        <v>730</v>
      </c>
      <c r="H363" s="298" t="s">
        <v>183</v>
      </c>
      <c r="I363" s="297" t="s">
        <v>130</v>
      </c>
      <c r="J363" s="297" t="s">
        <v>424</v>
      </c>
      <c r="K363" s="297" t="str" cm="1">
        <f t="array" aca="1" ref="K363" ca="1">INDIRECT("'"&amp;I363&amp;"'!"&amp;J363)</f>
        <v>(ikke relevant)</v>
      </c>
      <c r="L363" s="298" t="s">
        <v>183</v>
      </c>
      <c r="M363" s="297" t="str">
        <f t="shared" ca="1" si="24"/>
        <v>OK</v>
      </c>
      <c r="N363" s="297" t="str">
        <f ca="1">IF(AND(OR(M362="OK",M363="OK"),M362&lt;&gt;M363),"OK (one is enough)","fejl")</f>
        <v>OK (one is enough)</v>
      </c>
    </row>
    <row r="364" spans="1:14" x14ac:dyDescent="0.2">
      <c r="A364" s="297" t="s">
        <v>1034</v>
      </c>
      <c r="B364" s="298" t="s">
        <v>183</v>
      </c>
      <c r="C364" s="297" t="str">
        <f>IF(Forside!$D$12="Dansk",Tekstnøgler!E364,Tekstnøgler!G364)</f>
        <v>Reduktion opnået (scope 3)</v>
      </c>
      <c r="D364" s="298" t="s">
        <v>183</v>
      </c>
      <c r="E364" s="299" t="s">
        <v>733</v>
      </c>
      <c r="F364" s="298" t="s">
        <v>183</v>
      </c>
      <c r="G364" s="300" t="s">
        <v>734</v>
      </c>
      <c r="H364" s="298" t="s">
        <v>183</v>
      </c>
      <c r="I364" s="297" t="s">
        <v>130</v>
      </c>
      <c r="J364" s="297" t="s">
        <v>444</v>
      </c>
      <c r="K364" s="297" t="str" cm="1">
        <f t="array" aca="1" ref="K364" ca="1">INDIRECT("'"&amp;I364&amp;"'!"&amp;J364)</f>
        <v>Reduktion opnået (scope 3)</v>
      </c>
      <c r="L364" s="298" t="s">
        <v>183</v>
      </c>
      <c r="M364" s="297" t="str">
        <f t="shared" ref="M364:M366" ca="1" si="27">IF(C364=K364,"OK","Reference fejl")</f>
        <v>OK</v>
      </c>
      <c r="N364" s="297" t="str">
        <f ca="1">IF(AND(OR(M364="OK",M365="OK"),M364&lt;&gt;M365),"OK (one is enough)","fejl")</f>
        <v>OK (one is enough)</v>
      </c>
    </row>
    <row r="365" spans="1:14" x14ac:dyDescent="0.2">
      <c r="A365" s="297" t="s">
        <v>1035</v>
      </c>
      <c r="B365" s="298" t="s">
        <v>183</v>
      </c>
      <c r="C365" s="297" t="str">
        <f>IF(Forside!$D$12="Dansk",Tekstnøgler!E365,Tekstnøgler!G365)</f>
        <v>(ikke relevant)</v>
      </c>
      <c r="D365" s="298" t="s">
        <v>183</v>
      </c>
      <c r="E365" s="299" t="s">
        <v>729</v>
      </c>
      <c r="F365" s="298" t="s">
        <v>183</v>
      </c>
      <c r="G365" s="300" t="s">
        <v>730</v>
      </c>
      <c r="H365" s="298" t="s">
        <v>183</v>
      </c>
      <c r="I365" s="297" t="s">
        <v>130</v>
      </c>
      <c r="J365" s="297" t="s">
        <v>444</v>
      </c>
      <c r="K365" s="297" t="str" cm="1">
        <f t="array" aca="1" ref="K365" ca="1">INDIRECT("'"&amp;I365&amp;"'!"&amp;J365)</f>
        <v>Reduktion opnået (scope 3)</v>
      </c>
      <c r="L365" s="298" t="s">
        <v>183</v>
      </c>
      <c r="M365" s="297" t="str">
        <f t="shared" ca="1" si="27"/>
        <v>Reference fejl</v>
      </c>
      <c r="N365" s="297" t="str">
        <f ca="1">IF(AND(OR(M364="OK",M365="OK"),M364&lt;&gt;M365),"OK (one is enough)","fejl")</f>
        <v>OK (one is enough)</v>
      </c>
    </row>
    <row r="366" spans="1:14" x14ac:dyDescent="0.2">
      <c r="A366" s="297" t="s">
        <v>1036</v>
      </c>
      <c r="B366" s="298" t="s">
        <v>183</v>
      </c>
      <c r="C366" s="297" t="str">
        <f>IF(Forside!$D$12="Dansk",Tekstnøgler!E366,Tekstnøgler!G366)</f>
        <v>Forskel til slutår (scope 1)</v>
      </c>
      <c r="D366" s="298" t="s">
        <v>183</v>
      </c>
      <c r="E366" s="299" t="s">
        <v>1875</v>
      </c>
      <c r="F366" s="298" t="s">
        <v>183</v>
      </c>
      <c r="G366" s="300" t="s">
        <v>1876</v>
      </c>
      <c r="H366" s="298" t="s">
        <v>183</v>
      </c>
      <c r="I366" s="297" t="s">
        <v>130</v>
      </c>
      <c r="J366" s="297" t="s">
        <v>446</v>
      </c>
      <c r="K366" s="297" t="str" cm="1">
        <f t="array" aca="1" ref="K366" ca="1">INDIRECT("'"&amp;I366&amp;"'!"&amp;J366)</f>
        <v>(ikke relevant)</v>
      </c>
      <c r="L366" s="298" t="s">
        <v>183</v>
      </c>
      <c r="M366" s="297" t="str">
        <f t="shared" ca="1" si="27"/>
        <v>Reference fejl</v>
      </c>
      <c r="N366" s="297" t="str">
        <f ca="1">IF(AND(OR(M366="OK",M367="OK"),M366&lt;&gt;M367),"OK (one is enough)","fejl")</f>
        <v>OK (one is enough)</v>
      </c>
    </row>
    <row r="367" spans="1:14" x14ac:dyDescent="0.2">
      <c r="A367" s="297" t="s">
        <v>1037</v>
      </c>
      <c r="B367" s="298" t="s">
        <v>183</v>
      </c>
      <c r="C367" s="297" t="str">
        <f>IF(Forside!$D$12="Dansk",Tekstnøgler!E367,Tekstnøgler!G367)</f>
        <v>(ikke relevant)</v>
      </c>
      <c r="D367" s="298" t="s">
        <v>183</v>
      </c>
      <c r="E367" s="299" t="s">
        <v>729</v>
      </c>
      <c r="F367" s="298" t="s">
        <v>183</v>
      </c>
      <c r="G367" s="300" t="s">
        <v>730</v>
      </c>
      <c r="H367" s="298" t="s">
        <v>183</v>
      </c>
      <c r="I367" s="297" t="s">
        <v>130</v>
      </c>
      <c r="J367" s="297" t="s">
        <v>446</v>
      </c>
      <c r="K367" s="297" t="str" cm="1">
        <f t="array" aca="1" ref="K367" ca="1">INDIRECT("'"&amp;I367&amp;"'!"&amp;J367)</f>
        <v>(ikke relevant)</v>
      </c>
      <c r="L367" s="298" t="s">
        <v>183</v>
      </c>
      <c r="M367" s="297" t="str">
        <f t="shared" ca="1" si="24"/>
        <v>OK</v>
      </c>
      <c r="N367" s="297" t="str">
        <f ca="1">IF(AND(OR(M366="OK",M367="OK"),M366&lt;&gt;M367),"OK (one is enough)","fejl")</f>
        <v>OK (one is enough)</v>
      </c>
    </row>
    <row r="368" spans="1:14" x14ac:dyDescent="0.2">
      <c r="A368" s="297" t="s">
        <v>735</v>
      </c>
      <c r="B368" s="298" t="s">
        <v>183</v>
      </c>
      <c r="C368" s="297" t="str">
        <f>IF(Forside!$D$12="Dansk",Tekstnøgler!E368,Tekstnøgler!G368)</f>
        <v>Tabel 2: Oversigt over virksomhedens CO₂e-udledninger fordelt på hovedkategorier</v>
      </c>
      <c r="D368" s="298" t="s">
        <v>183</v>
      </c>
      <c r="E368" s="299" t="s">
        <v>1877</v>
      </c>
      <c r="F368" s="298" t="s">
        <v>183</v>
      </c>
      <c r="G368" s="300" t="s">
        <v>1878</v>
      </c>
      <c r="H368" s="298" t="s">
        <v>183</v>
      </c>
      <c r="I368" s="297" t="s">
        <v>130</v>
      </c>
      <c r="J368" s="297" t="s">
        <v>461</v>
      </c>
      <c r="K368" s="297" t="str" cm="1">
        <f t="array" aca="1" ref="K368" ca="1">INDIRECT("'"&amp;I368&amp;"'!"&amp;J368)</f>
        <v>Tabel 2: Oversigt over virksomhedens CO₂e-udledninger fordelt på hovedkategorier</v>
      </c>
      <c r="L368" s="298" t="s">
        <v>183</v>
      </c>
      <c r="M368" s="297" t="str">
        <f t="shared" ca="1" si="21"/>
        <v>OK</v>
      </c>
    </row>
    <row r="369" spans="1:13" ht="15" x14ac:dyDescent="0.2">
      <c r="A369" s="297" t="s">
        <v>715</v>
      </c>
      <c r="B369" s="298" t="s">
        <v>183</v>
      </c>
      <c r="D369" s="298" t="s">
        <v>183</v>
      </c>
      <c r="E369" s="299" t="s">
        <v>594</v>
      </c>
      <c r="F369" s="298" t="s">
        <v>183</v>
      </c>
      <c r="G369" t="s">
        <v>595</v>
      </c>
      <c r="H369" s="298" t="s">
        <v>183</v>
      </c>
      <c r="I369" s="297" t="s">
        <v>130</v>
      </c>
      <c r="K369" s="297" t="e" cm="1">
        <f t="array" aca="1" ref="K369" ca="1">INDIRECT("'"&amp;I369&amp;"'!"&amp;J369)</f>
        <v>#REF!</v>
      </c>
      <c r="L369" s="298" t="s">
        <v>183</v>
      </c>
      <c r="M369" s="297" t="e">
        <f t="shared" ca="1" si="21"/>
        <v>#REF!</v>
      </c>
    </row>
    <row r="370" spans="1:13" x14ac:dyDescent="0.2">
      <c r="A370" s="298" t="s">
        <v>716</v>
      </c>
      <c r="B370" s="298" t="s">
        <v>183</v>
      </c>
      <c r="C370" s="297" t="str">
        <f>IF(Forside!$D$12="Dansk",Tekstnøgler!E370,Tekstnøgler!G370)</f>
        <v>Ton CO₂e</v>
      </c>
      <c r="D370" s="298" t="s">
        <v>183</v>
      </c>
      <c r="E370" s="299" t="s">
        <v>1657</v>
      </c>
      <c r="F370" s="298" t="s">
        <v>183</v>
      </c>
      <c r="G370" s="300" t="s">
        <v>1657</v>
      </c>
      <c r="H370" s="298" t="s">
        <v>183</v>
      </c>
      <c r="I370" s="297" t="s">
        <v>130</v>
      </c>
      <c r="J370" s="297" t="s">
        <v>736</v>
      </c>
      <c r="K370" s="297" t="str" cm="1">
        <f t="array" aca="1" ref="K370" ca="1">INDIRECT("'"&amp;I370&amp;"'!"&amp;J370)</f>
        <v>Ton CO₂e</v>
      </c>
      <c r="L370" s="298" t="s">
        <v>183</v>
      </c>
      <c r="M370" s="297" t="str">
        <f t="shared" ca="1" si="21"/>
        <v>OK</v>
      </c>
    </row>
    <row r="371" spans="1:13" x14ac:dyDescent="0.2">
      <c r="A371" s="298" t="s">
        <v>717</v>
      </c>
      <c r="B371" s="298" t="s">
        <v>183</v>
      </c>
      <c r="C371" s="297" t="str">
        <f>IF(Forside!$D$12="Dansk",Tekstnøgler!E371,Tekstnøgler!G371)</f>
        <v>Fordeling i %</v>
      </c>
      <c r="D371" s="298" t="s">
        <v>183</v>
      </c>
      <c r="E371" s="299" t="s">
        <v>718</v>
      </c>
      <c r="F371" s="298" t="s">
        <v>183</v>
      </c>
      <c r="G371" s="300" t="s">
        <v>719</v>
      </c>
      <c r="H371" s="298" t="s">
        <v>183</v>
      </c>
      <c r="I371" s="297" t="s">
        <v>130</v>
      </c>
      <c r="J371" s="297" t="s">
        <v>737</v>
      </c>
      <c r="K371" s="297" t="str" cm="1">
        <f t="array" aca="1" ref="K371" ca="1">INDIRECT("'"&amp;I371&amp;"'!"&amp;J371)</f>
        <v>Fordeling i %</v>
      </c>
      <c r="L371" s="298" t="s">
        <v>183</v>
      </c>
      <c r="M371" s="297" t="str">
        <f t="shared" ca="1" si="21"/>
        <v>OK</v>
      </c>
    </row>
    <row r="372" spans="1:13" x14ac:dyDescent="0.2">
      <c r="A372" s="297" t="s">
        <v>738</v>
      </c>
      <c r="B372" s="298" t="s">
        <v>183</v>
      </c>
      <c r="C372" s="297" t="str">
        <f>IF(Forside!$D$12="Dansk",Tekstnøgler!E372,Tekstnøgler!G372)</f>
        <v>Hovedkategori</v>
      </c>
      <c r="D372" s="298" t="s">
        <v>183</v>
      </c>
      <c r="E372" s="299" t="s">
        <v>344</v>
      </c>
      <c r="F372" s="298" t="s">
        <v>183</v>
      </c>
      <c r="G372" s="300" t="s">
        <v>345</v>
      </c>
      <c r="H372" s="298" t="s">
        <v>183</v>
      </c>
      <c r="I372" s="297" t="s">
        <v>130</v>
      </c>
      <c r="J372" s="297" t="s">
        <v>465</v>
      </c>
      <c r="K372" s="297" t="str" cm="1">
        <f t="array" aca="1" ref="K372" ca="1">INDIRECT("'"&amp;I372&amp;"'!"&amp;J372)</f>
        <v>Hovedkategori</v>
      </c>
      <c r="L372" s="298" t="s">
        <v>183</v>
      </c>
      <c r="M372" s="297" t="str">
        <f t="shared" ca="1" si="21"/>
        <v>OK</v>
      </c>
    </row>
    <row r="373" spans="1:13" x14ac:dyDescent="0.2">
      <c r="A373" s="297" t="s">
        <v>355</v>
      </c>
      <c r="B373" s="298" t="s">
        <v>183</v>
      </c>
      <c r="C373" s="297" t="str">
        <f>IF(Forside!$D$12="Dansk",Tekstnøgler!E373,Tekstnøgler!G373)</f>
        <v>Energi og processer</v>
      </c>
      <c r="D373" s="298" t="s">
        <v>183</v>
      </c>
      <c r="E373" s="299" t="s">
        <v>40</v>
      </c>
      <c r="F373" s="298" t="s">
        <v>183</v>
      </c>
      <c r="G373" s="300" t="s">
        <v>1642</v>
      </c>
      <c r="H373" s="298" t="s">
        <v>183</v>
      </c>
      <c r="I373" s="297" t="s">
        <v>130</v>
      </c>
      <c r="J373" s="297" t="s">
        <v>466</v>
      </c>
      <c r="K373" s="297" t="str" cm="1">
        <f t="array" aca="1" ref="K373" ca="1">INDIRECT("'"&amp;I373&amp;"'!"&amp;J373)</f>
        <v>Energi og processer</v>
      </c>
      <c r="L373" s="298" t="s">
        <v>183</v>
      </c>
      <c r="M373" s="297" t="str">
        <f t="shared" ca="1" si="21"/>
        <v>OK</v>
      </c>
    </row>
    <row r="374" spans="1:13" x14ac:dyDescent="0.2">
      <c r="A374" s="297" t="s">
        <v>356</v>
      </c>
      <c r="B374" s="298" t="s">
        <v>183</v>
      </c>
      <c r="C374" s="297" t="str">
        <f>IF(Forside!$D$12="Dansk",Tekstnøgler!E374,Tekstnøgler!G374)</f>
        <v>Indkøb</v>
      </c>
      <c r="D374" s="298" t="s">
        <v>183</v>
      </c>
      <c r="E374" s="299" t="s">
        <v>52</v>
      </c>
      <c r="F374" s="298" t="s">
        <v>183</v>
      </c>
      <c r="G374" s="300" t="s">
        <v>1643</v>
      </c>
      <c r="H374" s="298" t="s">
        <v>183</v>
      </c>
      <c r="I374" s="297" t="s">
        <v>130</v>
      </c>
      <c r="J374" s="297" t="s">
        <v>469</v>
      </c>
      <c r="K374" s="297" t="str" cm="1">
        <f t="array" aca="1" ref="K374" ca="1">INDIRECT("'"&amp;I374&amp;"'!"&amp;J374)</f>
        <v>Indkøb</v>
      </c>
      <c r="L374" s="298" t="s">
        <v>183</v>
      </c>
      <c r="M374" s="297" t="str">
        <f t="shared" ca="1" si="21"/>
        <v>OK</v>
      </c>
    </row>
    <row r="375" spans="1:13" x14ac:dyDescent="0.2">
      <c r="A375" s="297" t="s">
        <v>357</v>
      </c>
      <c r="B375" s="298" t="s">
        <v>183</v>
      </c>
      <c r="C375" s="297" t="str">
        <f>IF(Forside!$D$12="Dansk",Tekstnøgler!E375,Tekstnøgler!G375)</f>
        <v>Transport</v>
      </c>
      <c r="D375" s="298" t="s">
        <v>183</v>
      </c>
      <c r="E375" s="299" t="s">
        <v>65</v>
      </c>
      <c r="F375" s="298" t="s">
        <v>183</v>
      </c>
      <c r="G375" s="300" t="s">
        <v>65</v>
      </c>
      <c r="H375" s="298" t="s">
        <v>183</v>
      </c>
      <c r="I375" s="297" t="s">
        <v>130</v>
      </c>
      <c r="J375" s="297" t="s">
        <v>471</v>
      </c>
      <c r="K375" s="297" t="str" cm="1">
        <f t="array" aca="1" ref="K375" ca="1">INDIRECT("'"&amp;I375&amp;"'!"&amp;J375)</f>
        <v>Transport</v>
      </c>
      <c r="L375" s="298" t="s">
        <v>183</v>
      </c>
      <c r="M375" s="297" t="str">
        <f t="shared" ca="1" si="21"/>
        <v>OK</v>
      </c>
    </row>
    <row r="376" spans="1:13" x14ac:dyDescent="0.2">
      <c r="A376" s="297" t="s">
        <v>358</v>
      </c>
      <c r="B376" s="298" t="s">
        <v>183</v>
      </c>
      <c r="C376" s="297" t="str">
        <f>IF(Forside!$D$12="Dansk",Tekstnøgler!E376,Tekstnøgler!G376)</f>
        <v>Affald og genbrug</v>
      </c>
      <c r="D376" s="298" t="s">
        <v>183</v>
      </c>
      <c r="E376" s="299" t="s">
        <v>359</v>
      </c>
      <c r="F376" s="298" t="s">
        <v>183</v>
      </c>
      <c r="G376" s="300" t="s">
        <v>360</v>
      </c>
      <c r="H376" s="298" t="s">
        <v>183</v>
      </c>
      <c r="I376" s="297" t="s">
        <v>130</v>
      </c>
      <c r="J376" s="297" t="s">
        <v>473</v>
      </c>
      <c r="K376" s="297" t="str" cm="1">
        <f t="array" aca="1" ref="K376" ca="1">INDIRECT("'"&amp;I376&amp;"'!"&amp;J376)</f>
        <v>Affald og genbrug</v>
      </c>
      <c r="L376" s="298" t="s">
        <v>183</v>
      </c>
      <c r="M376" s="297" t="str">
        <f t="shared" ca="1" si="21"/>
        <v>OK</v>
      </c>
    </row>
    <row r="377" spans="1:13" x14ac:dyDescent="0.2">
      <c r="A377" s="297" t="s">
        <v>361</v>
      </c>
      <c r="B377" s="298" t="s">
        <v>183</v>
      </c>
      <c r="C377" s="297" t="str">
        <f>IF(Forside!$D$12="Dansk",Tekstnøgler!E377,Tekstnøgler!G377)</f>
        <v>Solgte produkter</v>
      </c>
      <c r="D377" s="298" t="s">
        <v>183</v>
      </c>
      <c r="E377" s="299" t="s">
        <v>362</v>
      </c>
      <c r="F377" s="298" t="s">
        <v>183</v>
      </c>
      <c r="G377" s="300" t="s">
        <v>363</v>
      </c>
      <c r="H377" s="298" t="s">
        <v>183</v>
      </c>
      <c r="I377" s="297" t="s">
        <v>130</v>
      </c>
      <c r="J377" s="297" t="s">
        <v>475</v>
      </c>
      <c r="K377" s="297" t="str" cm="1">
        <f t="array" aca="1" ref="K377" ca="1">INDIRECT("'"&amp;I377&amp;"'!"&amp;J377)</f>
        <v>Solgte produkter</v>
      </c>
      <c r="L377" s="298" t="s">
        <v>183</v>
      </c>
      <c r="M377" s="297" t="str">
        <f t="shared" ca="1" si="21"/>
        <v>OK</v>
      </c>
    </row>
    <row r="378" spans="1:13" x14ac:dyDescent="0.2">
      <c r="A378" s="297" t="s">
        <v>725</v>
      </c>
      <c r="B378" s="298" t="s">
        <v>183</v>
      </c>
      <c r="C378" s="297" t="str">
        <f>IF(Forside!$D$12="Dansk",Tekstnøgler!E378,Tekstnøgler!G378)</f>
        <v>Total</v>
      </c>
      <c r="D378" s="298" t="s">
        <v>183</v>
      </c>
      <c r="E378" s="299" t="s">
        <v>761</v>
      </c>
      <c r="F378" s="298" t="s">
        <v>183</v>
      </c>
      <c r="G378" s="300" t="s">
        <v>761</v>
      </c>
      <c r="H378" s="298" t="s">
        <v>183</v>
      </c>
      <c r="I378" s="297" t="s">
        <v>130</v>
      </c>
      <c r="J378" s="297" t="s">
        <v>478</v>
      </c>
      <c r="K378" s="297" t="str" cm="1">
        <f t="array" aca="1" ref="K378" ca="1">INDIRECT("'"&amp;I378&amp;"'!"&amp;J378)</f>
        <v>Total</v>
      </c>
      <c r="L378" s="298" t="s">
        <v>183</v>
      </c>
      <c r="M378" s="297" t="str">
        <f t="shared" ca="1" si="21"/>
        <v>OK</v>
      </c>
    </row>
    <row r="379" spans="1:13" x14ac:dyDescent="0.2">
      <c r="A379" s="297" t="s">
        <v>739</v>
      </c>
      <c r="B379" s="298" t="s">
        <v>183</v>
      </c>
      <c r="C379" s="297" t="str">
        <f>IF(Forside!$D$12="Dansk",Tekstnøgler!E379,Tekstnøgler!G379)</f>
        <v>Opsummering af virksomhedens estimerede fremskrivning på scopes og hovedkategorier</v>
      </c>
      <c r="D379" s="298" t="s">
        <v>183</v>
      </c>
      <c r="E379" s="299" t="s">
        <v>740</v>
      </c>
      <c r="F379" s="298" t="s">
        <v>183</v>
      </c>
      <c r="G379" s="300" t="s">
        <v>1879</v>
      </c>
      <c r="H379" s="298" t="s">
        <v>183</v>
      </c>
      <c r="I379" s="297" t="s">
        <v>130</v>
      </c>
      <c r="J379" s="297" t="s">
        <v>486</v>
      </c>
      <c r="K379" s="297" t="str" cm="1">
        <f t="array" aca="1" ref="K379" ca="1">INDIRECT("'"&amp;I379&amp;"'!"&amp;J379)</f>
        <v>Opsummering af virksomhedens estimerede fremskrivning på scopes og hovedkategorier</v>
      </c>
      <c r="L379" s="298" t="s">
        <v>183</v>
      </c>
      <c r="M379" s="297" t="str">
        <f t="shared" ca="1" si="21"/>
        <v>OK</v>
      </c>
    </row>
    <row r="380" spans="1:13" x14ac:dyDescent="0.2">
      <c r="A380" s="297" t="s">
        <v>741</v>
      </c>
      <c r="B380" s="298" t="s">
        <v>183</v>
      </c>
      <c r="C380" s="297" t="str">
        <f>IF(Forside!$D$12="Dansk",Tekstnøgler!E380,Tekstnøgler!G380)</f>
        <v>Nedenstående figurer opsummerer virksomhedens estimerede udledninger i de kommende 10 år. Figur 1 angiver virksomhedens estimerede CO₂e-udledning i ton CO₂e-ækvivalenter fordelt på scopes for alle fremskrevne år. Figur 2 viser den fordeling af CO₂e-udledningen fordelt på hovedkategorier for slut- og basisår.</v>
      </c>
      <c r="D380" s="298" t="s">
        <v>183</v>
      </c>
      <c r="E380" s="299" t="s">
        <v>1880</v>
      </c>
      <c r="F380" s="298" t="s">
        <v>183</v>
      </c>
      <c r="G380" s="300" t="s">
        <v>1881</v>
      </c>
      <c r="H380" s="298" t="s">
        <v>183</v>
      </c>
      <c r="I380" s="297" t="s">
        <v>130</v>
      </c>
      <c r="J380" s="297" t="s">
        <v>491</v>
      </c>
      <c r="K380" s="297" t="str" cm="1">
        <f t="array" aca="1" ref="K380" ca="1">INDIRECT("'"&amp;I380&amp;"'!"&amp;J380)</f>
        <v>Nedenstående figurer opsummerer virksomhedens estimerede udledninger i de kommende 10 år. Figur 1 angiver virksomhedens estimerede CO₂e-udledning i ton CO₂e-ækvivalenter fordelt på scopes for alle fremskrevne år. Figur 2 viser den fordeling af CO₂e-udledningen fordelt på hovedkategorier for slut- og basisår.</v>
      </c>
      <c r="L380" s="298" t="s">
        <v>183</v>
      </c>
      <c r="M380" s="297" t="str">
        <f t="shared" ca="1" si="21"/>
        <v>OK</v>
      </c>
    </row>
    <row r="381" spans="1:13" x14ac:dyDescent="0.2">
      <c r="A381" s="297" t="s">
        <v>1038</v>
      </c>
      <c r="B381" s="298" t="s">
        <v>183</v>
      </c>
      <c r="C381" s="297" t="str">
        <f>IF(Forside!$D$12="Dansk",Tekstnøgler!E381,Tekstnøgler!G381)</f>
        <v>Figur 1: Fremskrevne CO₂e-udledninger fordelt på scopes (ton)</v>
      </c>
      <c r="D381" s="298" t="s">
        <v>183</v>
      </c>
      <c r="E381" s="299" t="s">
        <v>1882</v>
      </c>
      <c r="F381" s="298" t="s">
        <v>183</v>
      </c>
      <c r="G381" s="300" t="s">
        <v>1883</v>
      </c>
      <c r="H381" s="298" t="s">
        <v>183</v>
      </c>
      <c r="I381" s="297" t="s">
        <v>130</v>
      </c>
      <c r="J381" s="297" t="s">
        <v>493</v>
      </c>
      <c r="K381" s="297" t="str" cm="1">
        <f t="array" aca="1" ref="K381" ca="1">INDIRECT("'"&amp;I381&amp;"'!"&amp;J381)</f>
        <v>Figur 1: Fremskrevne CO₂e-udledninger fordelt på scopes (ton)</v>
      </c>
      <c r="L381" s="298" t="s">
        <v>183</v>
      </c>
      <c r="M381" s="297" t="str">
        <f t="shared" ca="1" si="21"/>
        <v>OK</v>
      </c>
    </row>
    <row r="382" spans="1:13" x14ac:dyDescent="0.2">
      <c r="A382" s="297" t="s">
        <v>1039</v>
      </c>
      <c r="B382" s="298" t="s">
        <v>183</v>
      </c>
      <c r="C382" s="297" t="str">
        <f>IF(Forside!$D$12="Dansk",Tekstnøgler!E382,Tekstnøgler!G382)</f>
        <v>Figur 2: Fremskrevne CO₂e-udledninger fordelt på hovedkategorier (ton)</v>
      </c>
      <c r="D382" s="298" t="s">
        <v>183</v>
      </c>
      <c r="E382" s="299" t="s">
        <v>1884</v>
      </c>
      <c r="F382" s="298" t="s">
        <v>183</v>
      </c>
      <c r="G382" s="300" t="s">
        <v>1885</v>
      </c>
      <c r="H382" s="298" t="s">
        <v>183</v>
      </c>
      <c r="I382" s="297" t="s">
        <v>130</v>
      </c>
      <c r="J382" s="297" t="s">
        <v>742</v>
      </c>
      <c r="K382" s="297" t="str" cm="1">
        <f t="array" aca="1" ref="K382" ca="1">INDIRECT("'"&amp;I382&amp;"'!"&amp;J382)</f>
        <v>Figur 2: Fremskrevne CO₂e-udledninger fordelt på hovedkategorier (ton)</v>
      </c>
      <c r="L382" s="298" t="s">
        <v>183</v>
      </c>
      <c r="M382" s="297" t="str">
        <f t="shared" ca="1" si="21"/>
        <v>OK</v>
      </c>
    </row>
    <row r="383" spans="1:13" x14ac:dyDescent="0.2">
      <c r="A383" s="297" t="s">
        <v>1040</v>
      </c>
      <c r="B383" s="298" t="s">
        <v>183</v>
      </c>
      <c r="C383" s="297" t="str">
        <f>IF(Forside!$D$12="Dansk",Tekstnøgler!E383,Tekstnøgler!G383)</f>
        <v>Figur 3: Fremskrevne CO₂e-udledninger fordelt på hovedkategorier - Scope 1 (ton)</v>
      </c>
      <c r="D383" s="298" t="s">
        <v>183</v>
      </c>
      <c r="E383" s="299" t="s">
        <v>1886</v>
      </c>
      <c r="F383" s="298" t="s">
        <v>183</v>
      </c>
      <c r="G383" s="300" t="s">
        <v>1887</v>
      </c>
      <c r="H383" s="298" t="s">
        <v>183</v>
      </c>
      <c r="I383" s="297" t="s">
        <v>130</v>
      </c>
      <c r="J383" s="297" t="s">
        <v>743</v>
      </c>
      <c r="K383" s="297" t="str" cm="1">
        <f t="array" aca="1" ref="K383" ca="1">INDIRECT("'"&amp;I383&amp;"'!"&amp;J383)</f>
        <v>Figur 3: Fremskrevne CO₂e-udledninger fordelt på hovedkategorier - Scope 1 (ton)</v>
      </c>
      <c r="L383" s="298" t="s">
        <v>183</v>
      </c>
      <c r="M383" s="297" t="str">
        <f t="shared" ca="1" si="21"/>
        <v>OK</v>
      </c>
    </row>
    <row r="384" spans="1:13" x14ac:dyDescent="0.2">
      <c r="A384" s="297" t="s">
        <v>1041</v>
      </c>
      <c r="B384" s="298" t="s">
        <v>183</v>
      </c>
      <c r="C384" s="297" t="str">
        <f>IF(Forside!$D$12="Dansk",Tekstnøgler!E384,Tekstnøgler!G384)</f>
        <v>Figur 4: Fremskrevne CO₂e-udledninger fordelt på hovedkategorier - Scope 2 (ton)</v>
      </c>
      <c r="D384" s="298" t="s">
        <v>183</v>
      </c>
      <c r="E384" s="299" t="s">
        <v>1888</v>
      </c>
      <c r="F384" s="298" t="s">
        <v>183</v>
      </c>
      <c r="G384" s="300" t="s">
        <v>1889</v>
      </c>
      <c r="H384" s="298" t="s">
        <v>183</v>
      </c>
      <c r="I384" s="297" t="s">
        <v>130</v>
      </c>
      <c r="J384" s="297" t="s">
        <v>744</v>
      </c>
      <c r="K384" s="297" t="str" cm="1">
        <f t="array" aca="1" ref="K384" ca="1">INDIRECT("'"&amp;I384&amp;"'!"&amp;J384)</f>
        <v>Figur 4: Fremskrevne CO₂e-udledninger fordelt på hovedkategorier - Scope 2 (ton)</v>
      </c>
      <c r="L384" s="298" t="s">
        <v>183</v>
      </c>
      <c r="M384" s="297" t="str">
        <f t="shared" ref="M384:M389" ca="1" si="28">IF(C384=K384,"OK","Reference fejl")</f>
        <v>OK</v>
      </c>
    </row>
    <row r="385" spans="1:14" x14ac:dyDescent="0.2">
      <c r="A385" s="297" t="s">
        <v>1042</v>
      </c>
      <c r="B385" s="298" t="s">
        <v>183</v>
      </c>
      <c r="C385" s="297" t="str">
        <f>IF(Forside!$D$12="Dansk",Tekstnøgler!E385,Tekstnøgler!G385)</f>
        <v>Figur 5: Fremskrevne CO₂e-udledninger fordelt på hovedkategorier - Scope 3 (ton)</v>
      </c>
      <c r="D385" s="298" t="s">
        <v>183</v>
      </c>
      <c r="E385" s="299" t="s">
        <v>1890</v>
      </c>
      <c r="F385" s="298" t="s">
        <v>183</v>
      </c>
      <c r="G385" s="300" t="s">
        <v>1891</v>
      </c>
      <c r="H385" s="298" t="s">
        <v>183</v>
      </c>
      <c r="I385" s="297" t="s">
        <v>130</v>
      </c>
      <c r="J385" s="297" t="s">
        <v>745</v>
      </c>
      <c r="K385" s="297" t="str" cm="1">
        <f t="array" aca="1" ref="K385" ca="1">INDIRECT("'"&amp;I385&amp;"'!"&amp;J385)</f>
        <v>Figur 5: Fremskrevne CO₂e-udledninger fordelt på hovedkategorier - Scope 3 (ton)</v>
      </c>
      <c r="L385" s="298" t="s">
        <v>183</v>
      </c>
      <c r="M385" s="297" t="str">
        <f t="shared" ca="1" si="28"/>
        <v>OK</v>
      </c>
    </row>
    <row r="386" spans="1:14" x14ac:dyDescent="0.2">
      <c r="A386" s="297" t="s">
        <v>1043</v>
      </c>
      <c r="B386" s="298" t="s">
        <v>183</v>
      </c>
      <c r="C386" s="297" t="str">
        <f>IF(Forside!$D$12="Dansk",Tekstnøgler!E386,Tekstnøgler!G386)</f>
        <v xml:space="preserve">Med en årlig vækst på </v>
      </c>
      <c r="D386" s="298" t="s">
        <v>183</v>
      </c>
      <c r="E386" s="299" t="s">
        <v>746</v>
      </c>
      <c r="F386" s="298" t="s">
        <v>183</v>
      </c>
      <c r="G386" s="300" t="s">
        <v>1892</v>
      </c>
      <c r="H386" s="298" t="s">
        <v>183</v>
      </c>
      <c r="I386" s="297" t="s">
        <v>130</v>
      </c>
      <c r="J386" s="297" t="s">
        <v>204</v>
      </c>
      <c r="K386" s="297" t="str" cm="1">
        <f t="array" aca="1" ref="K386" ca="1">INDIRECT("'"&amp;I386&amp;"'!"&amp;J386)</f>
        <v>Med en årlig vækst på 3% (Ekspotentiel) estimeres det, at din virksomheds CO₂e-udledninger vil falde med -50% frem mod år2030.</v>
      </c>
      <c r="L386" s="298"/>
      <c r="M386" s="297" t="str">
        <f t="shared" ca="1" si="28"/>
        <v>Reference fejl</v>
      </c>
      <c r="N386" s="333" t="s">
        <v>747</v>
      </c>
    </row>
    <row r="387" spans="1:14" x14ac:dyDescent="0.2">
      <c r="A387" s="297" t="s">
        <v>1044</v>
      </c>
      <c r="B387" s="298" t="s">
        <v>183</v>
      </c>
      <c r="C387" s="297" t="str">
        <f>IF(Forside!$D$12="Dansk",Tekstnøgler!E387,Tekstnøgler!G387)</f>
        <v xml:space="preserve">) estimeres det, at din virksomheds CO₂e-udledninger vil stige med </v>
      </c>
      <c r="D387" s="298" t="s">
        <v>183</v>
      </c>
      <c r="E387" s="299" t="s">
        <v>1893</v>
      </c>
      <c r="F387" s="298" t="s">
        <v>183</v>
      </c>
      <c r="G387" s="300" t="s">
        <v>1894</v>
      </c>
      <c r="H387" s="298" t="s">
        <v>183</v>
      </c>
      <c r="I387" s="297" t="s">
        <v>130</v>
      </c>
      <c r="J387" s="297" t="s">
        <v>204</v>
      </c>
      <c r="K387" s="297" t="str" cm="1">
        <f t="array" aca="1" ref="K387" ca="1">INDIRECT("'"&amp;I387&amp;"'!"&amp;J387)</f>
        <v>Med en årlig vækst på 3% (Ekspotentiel) estimeres det, at din virksomheds CO₂e-udledninger vil falde med -50% frem mod år2030.</v>
      </c>
      <c r="L387" s="298"/>
      <c r="M387" s="297" t="str">
        <f t="shared" ca="1" si="28"/>
        <v>Reference fejl</v>
      </c>
      <c r="N387" s="333" t="s">
        <v>747</v>
      </c>
    </row>
    <row r="388" spans="1:14" x14ac:dyDescent="0.2">
      <c r="A388" s="297" t="s">
        <v>1045</v>
      </c>
      <c r="B388" s="298" t="s">
        <v>183</v>
      </c>
      <c r="C388" s="297" t="str">
        <f>IF(Forside!$D$12="Dansk",Tekstnøgler!E388,Tekstnøgler!G388)</f>
        <v xml:space="preserve">) estimeres det, at din virksomheds CO₂e-udledninger vil falde med </v>
      </c>
      <c r="D388" s="298" t="s">
        <v>183</v>
      </c>
      <c r="E388" s="299" t="s">
        <v>1895</v>
      </c>
      <c r="F388" s="298" t="s">
        <v>183</v>
      </c>
      <c r="G388" s="300" t="s">
        <v>1896</v>
      </c>
      <c r="H388" s="298" t="s">
        <v>183</v>
      </c>
      <c r="I388" s="297" t="s">
        <v>130</v>
      </c>
      <c r="J388" s="297" t="s">
        <v>204</v>
      </c>
      <c r="K388" s="297" t="str" cm="1">
        <f t="array" aca="1" ref="K388" ca="1">INDIRECT("'"&amp;I388&amp;"'!"&amp;J388)</f>
        <v>Med en årlig vækst på 3% (Ekspotentiel) estimeres det, at din virksomheds CO₂e-udledninger vil falde med -50% frem mod år2030.</v>
      </c>
      <c r="L388" s="298"/>
      <c r="M388" s="297" t="str">
        <f t="shared" ca="1" si="28"/>
        <v>Reference fejl</v>
      </c>
      <c r="N388" s="333" t="s">
        <v>747</v>
      </c>
    </row>
    <row r="389" spans="1:14" x14ac:dyDescent="0.2">
      <c r="A389" s="297" t="s">
        <v>1046</v>
      </c>
      <c r="B389" s="298" t="s">
        <v>183</v>
      </c>
      <c r="C389" s="297" t="str">
        <f>IF(Forside!$D$12="Dansk",Tekstnøgler!E389,Tekstnøgler!G389)</f>
        <v>% frem mod år</v>
      </c>
      <c r="D389" s="298" t="s">
        <v>183</v>
      </c>
      <c r="E389" s="299" t="s">
        <v>1897</v>
      </c>
      <c r="F389" s="298" t="s">
        <v>183</v>
      </c>
      <c r="G389" s="300" t="s">
        <v>1898</v>
      </c>
      <c r="H389" s="298" t="s">
        <v>183</v>
      </c>
      <c r="I389" s="297" t="s">
        <v>130</v>
      </c>
      <c r="J389" s="297" t="s">
        <v>204</v>
      </c>
      <c r="K389" s="297" t="str" cm="1">
        <f t="array" aca="1" ref="K389" ca="1">INDIRECT("'"&amp;I389&amp;"'!"&amp;J389)</f>
        <v>Med en årlig vækst på 3% (Ekspotentiel) estimeres det, at din virksomheds CO₂e-udledninger vil falde med -50% frem mod år2030.</v>
      </c>
      <c r="L389" s="298"/>
      <c r="M389" s="297" t="str">
        <f t="shared" ca="1" si="28"/>
        <v>Reference fejl</v>
      </c>
      <c r="N389" s="333" t="s">
        <v>747</v>
      </c>
    </row>
    <row r="390" spans="1:14" x14ac:dyDescent="0.2">
      <c r="B390" s="298" t="s">
        <v>183</v>
      </c>
      <c r="D390" s="298" t="s">
        <v>183</v>
      </c>
      <c r="F390" s="298" t="s">
        <v>183</v>
      </c>
      <c r="H390" s="298" t="s">
        <v>183</v>
      </c>
      <c r="L390" s="298" t="s">
        <v>183</v>
      </c>
    </row>
    <row r="391" spans="1:14" x14ac:dyDescent="0.2">
      <c r="B391" s="298" t="s">
        <v>183</v>
      </c>
      <c r="D391" s="298" t="s">
        <v>183</v>
      </c>
      <c r="F391" s="298" t="s">
        <v>183</v>
      </c>
      <c r="H391" s="298" t="s">
        <v>183</v>
      </c>
      <c r="L391" s="298" t="s">
        <v>183</v>
      </c>
    </row>
    <row r="392" spans="1:14" x14ac:dyDescent="0.2">
      <c r="A392" s="297" t="s">
        <v>748</v>
      </c>
      <c r="B392" s="298" t="s">
        <v>183</v>
      </c>
      <c r="C392" s="297" t="str">
        <f>IF(Forside!$D$12="Dansk",Tekstnøgler!E392,Tekstnøgler!G392)</f>
        <v>Resultat</v>
      </c>
      <c r="D392" s="298" t="s">
        <v>183</v>
      </c>
      <c r="E392" s="299" t="s">
        <v>749</v>
      </c>
      <c r="F392" s="298" t="s">
        <v>183</v>
      </c>
      <c r="G392" s="300" t="s">
        <v>750</v>
      </c>
      <c r="H392" s="298" t="s">
        <v>183</v>
      </c>
      <c r="I392" s="297" t="s">
        <v>169</v>
      </c>
      <c r="J392" s="297" t="s">
        <v>542</v>
      </c>
      <c r="K392" s="297" t="str" cm="1">
        <f t="array" aca="1" ref="K392" ca="1">INDIRECT("'"&amp;I392&amp;"'!"&amp;J392)</f>
        <v>Resultat</v>
      </c>
      <c r="L392" s="298" t="s">
        <v>183</v>
      </c>
      <c r="M392" s="297" t="str">
        <f t="shared" ref="M392:M408" ca="1" si="29">IF(C392=K392,"OK","Reference fejl")</f>
        <v>OK</v>
      </c>
    </row>
    <row r="393" spans="1:14" x14ac:dyDescent="0.2">
      <c r="A393" s="297" t="s">
        <v>751</v>
      </c>
      <c r="B393" s="298" t="s">
        <v>183</v>
      </c>
      <c r="C393" s="297" t="str">
        <f>IF(Forside!$D$12="Dansk",Tekstnøgler!E393,Tekstnøgler!G393)</f>
        <v>Delresultat for fremskrivning</v>
      </c>
      <c r="D393" s="298" t="s">
        <v>183</v>
      </c>
      <c r="E393" s="299" t="s">
        <v>752</v>
      </c>
      <c r="F393" s="298" t="s">
        <v>183</v>
      </c>
      <c r="G393" s="300" t="s">
        <v>753</v>
      </c>
      <c r="H393" s="298" t="s">
        <v>183</v>
      </c>
      <c r="I393" s="297" t="s">
        <v>169</v>
      </c>
      <c r="J393" s="297" t="s">
        <v>697</v>
      </c>
      <c r="K393" s="297" t="str" cm="1">
        <f t="array" aca="1" ref="K393" ca="1">INDIRECT("'"&amp;I393&amp;"'!"&amp;J393)</f>
        <v>Delresultat for fremskrivning</v>
      </c>
      <c r="L393" s="298" t="s">
        <v>183</v>
      </c>
      <c r="M393" s="297" t="str">
        <f t="shared" ca="1" si="29"/>
        <v>OK</v>
      </c>
    </row>
    <row r="394" spans="1:14" x14ac:dyDescent="0.2">
      <c r="A394" s="297" t="s">
        <v>754</v>
      </c>
      <c r="B394" s="298" t="s">
        <v>183</v>
      </c>
      <c r="C394" s="297" t="str">
        <f>IF(Forside!$D$12="Dansk",Tekstnøgler!E394,Tekstnøgler!G394)</f>
        <v>Delresultat for fremskrivning</v>
      </c>
      <c r="D394" s="298" t="s">
        <v>183</v>
      </c>
      <c r="E394" s="299" t="s">
        <v>752</v>
      </c>
      <c r="F394" s="298" t="s">
        <v>183</v>
      </c>
      <c r="G394" s="300" t="s">
        <v>1899</v>
      </c>
      <c r="H394" s="298" t="s">
        <v>183</v>
      </c>
      <c r="I394" s="297" t="s">
        <v>169</v>
      </c>
      <c r="J394" s="297" t="s">
        <v>755</v>
      </c>
      <c r="K394" s="297" t="str" cm="1">
        <f t="array" aca="1" ref="K394" ca="1">INDIRECT("'"&amp;I394&amp;"'!"&amp;J394)</f>
        <v>Delresultat for fremskrivning</v>
      </c>
      <c r="L394" s="298" t="s">
        <v>183</v>
      </c>
      <c r="M394" s="297" t="str">
        <f t="shared" ref="M394" ca="1" si="30">IF(C394=K394,"OK","Reference fejl")</f>
        <v>OK</v>
      </c>
    </row>
    <row r="395" spans="1:14" x14ac:dyDescent="0.2">
      <c r="A395" s="297" t="s">
        <v>756</v>
      </c>
      <c r="B395" s="298" t="s">
        <v>183</v>
      </c>
      <c r="C395" s="297" t="str">
        <f>IF(Forside!$D$12="Dansk",Tekstnøgler!E395,Tekstnøgler!G395)</f>
        <v>Delresultatet</v>
      </c>
      <c r="D395" s="298" t="s">
        <v>183</v>
      </c>
      <c r="E395" s="299" t="s">
        <v>1900</v>
      </c>
      <c r="F395" s="298" t="s">
        <v>183</v>
      </c>
      <c r="G395" s="300" t="s">
        <v>1666</v>
      </c>
      <c r="H395" s="298" t="s">
        <v>183</v>
      </c>
      <c r="I395" s="297" t="s">
        <v>169</v>
      </c>
      <c r="J395" s="297" t="s">
        <v>324</v>
      </c>
      <c r="K395" s="297" t="str" cm="1">
        <f t="array" aca="1" ref="K395" ca="1">INDIRECT("'"&amp;I395&amp;"'!"&amp;J395)</f>
        <v>Delresultatet</v>
      </c>
      <c r="L395" s="298" t="s">
        <v>183</v>
      </c>
      <c r="M395" s="297" t="str">
        <f t="shared" ca="1" si="29"/>
        <v>OK</v>
      </c>
    </row>
    <row r="396" spans="1:14" x14ac:dyDescent="0.2">
      <c r="A396" s="297" t="s">
        <v>757</v>
      </c>
      <c r="B396" s="298" t="s">
        <v>183</v>
      </c>
      <c r="C396" s="297" t="str">
        <f>IF(Forside!$D$12="Dansk",Tekstnøgler!E396,Tekstnøgler!G396)</f>
        <v>Her ses en mere detaljeret resultatvisning for fremskrivning. Tabellen viser den tilhørende udledning i ton CO₂e for alle underkategorierne, som der er indtastet data for.</v>
      </c>
      <c r="D396" s="298" t="s">
        <v>183</v>
      </c>
      <c r="E396" s="299" t="s">
        <v>1901</v>
      </c>
      <c r="F396" s="298" t="s">
        <v>183</v>
      </c>
      <c r="G396" s="300" t="s">
        <v>1902</v>
      </c>
      <c r="H396" s="298" t="s">
        <v>183</v>
      </c>
      <c r="I396" s="297" t="s">
        <v>169</v>
      </c>
      <c r="J396" s="297" t="s">
        <v>328</v>
      </c>
      <c r="K396" s="297" t="str" cm="1">
        <f t="array" aca="1" ref="K396" ca="1">INDIRECT("'"&amp;I396&amp;"'!"&amp;J396)</f>
        <v>Her ses en mere detaljeret resultatvisning for fremskrivning. Tabellen viser den tilhørende udledning i ton CO₂e for alle underkategorierne, som der er indtastet data for.</v>
      </c>
      <c r="L396" s="298" t="s">
        <v>183</v>
      </c>
      <c r="M396" s="297" t="str">
        <f t="shared" ca="1" si="29"/>
        <v>OK</v>
      </c>
    </row>
    <row r="397" spans="1:14" x14ac:dyDescent="0.2">
      <c r="A397" s="297" t="s">
        <v>758</v>
      </c>
      <c r="B397" s="298" t="s">
        <v>183</v>
      </c>
      <c r="C397" s="297" t="str">
        <f>IF(Forside!$D$12="Dansk",Tekstnøgler!E397,Tekstnøgler!G397)</f>
        <v>Tabel 1: Oversigt over virksomhedens CO₂e-udledninger fordelt på scopes</v>
      </c>
      <c r="D397" s="298" t="s">
        <v>183</v>
      </c>
      <c r="E397" s="299" t="s">
        <v>1870</v>
      </c>
      <c r="F397" s="298" t="s">
        <v>183</v>
      </c>
      <c r="G397" s="300" t="s">
        <v>1903</v>
      </c>
      <c r="H397" s="298" t="s">
        <v>183</v>
      </c>
      <c r="I397" s="297" t="s">
        <v>169</v>
      </c>
      <c r="J397" s="297" t="s">
        <v>331</v>
      </c>
      <c r="K397" s="297" t="str" cm="1">
        <f t="array" aca="1" ref="K397" ca="1">INDIRECT("'"&amp;I397&amp;"'!"&amp;J397)</f>
        <v>Tabel 1: Oversigt over virksomhedens CO₂e-udledninger fordelt på scopes</v>
      </c>
      <c r="L397" s="298" t="s">
        <v>183</v>
      </c>
      <c r="M397" s="297" t="str">
        <f t="shared" ca="1" si="29"/>
        <v>OK</v>
      </c>
    </row>
    <row r="398" spans="1:14" x14ac:dyDescent="0.2">
      <c r="A398" s="297" t="s">
        <v>716</v>
      </c>
      <c r="B398" s="298" t="s">
        <v>183</v>
      </c>
      <c r="C398" s="297" t="str">
        <f>IF(Forside!$D$12="Dansk",Tekstnøgler!E398,Tekstnøgler!G398)</f>
        <v>Ton CO₂e</v>
      </c>
      <c r="D398" s="298" t="s">
        <v>183</v>
      </c>
      <c r="E398" s="299" t="s">
        <v>1657</v>
      </c>
      <c r="F398" s="298" t="s">
        <v>183</v>
      </c>
      <c r="G398" s="300" t="s">
        <v>1657</v>
      </c>
      <c r="H398" s="298" t="s">
        <v>183</v>
      </c>
      <c r="I398" s="297" t="s">
        <v>169</v>
      </c>
      <c r="J398" s="297" t="s">
        <v>759</v>
      </c>
      <c r="K398" s="297" t="str" cm="1">
        <f t="array" aca="1" ref="K398" ca="1">INDIRECT("'"&amp;I398&amp;"'!"&amp;J398)</f>
        <v>Ton CO₂e</v>
      </c>
      <c r="L398" s="298" t="s">
        <v>183</v>
      </c>
      <c r="M398" s="297" t="str">
        <f t="shared" ca="1" si="29"/>
        <v>OK</v>
      </c>
    </row>
    <row r="399" spans="1:14" x14ac:dyDescent="0.2">
      <c r="A399" s="297" t="s">
        <v>722</v>
      </c>
      <c r="B399" s="298" t="s">
        <v>183</v>
      </c>
      <c r="C399" s="297" t="str">
        <f>IF(Forside!$D$12="Dansk",Tekstnøgler!E399,Tekstnøgler!G399)</f>
        <v>Scope 1</v>
      </c>
      <c r="D399" s="298" t="s">
        <v>183</v>
      </c>
      <c r="E399" s="299" t="s">
        <v>554</v>
      </c>
      <c r="F399" s="298" t="s">
        <v>183</v>
      </c>
      <c r="G399" s="300" t="s">
        <v>554</v>
      </c>
      <c r="H399" s="298" t="s">
        <v>183</v>
      </c>
      <c r="I399" s="297" t="s">
        <v>169</v>
      </c>
      <c r="J399" s="297" t="s">
        <v>760</v>
      </c>
      <c r="K399" s="297" t="str" cm="1">
        <f t="array" aca="1" ref="K399" ca="1">INDIRECT("'"&amp;I399&amp;"'!"&amp;J399)</f>
        <v>Scope 1</v>
      </c>
      <c r="L399" s="298" t="s">
        <v>183</v>
      </c>
      <c r="M399" s="297" t="str">
        <f t="shared" ca="1" si="29"/>
        <v>OK</v>
      </c>
    </row>
    <row r="400" spans="1:14" x14ac:dyDescent="0.2">
      <c r="A400" s="297" t="s">
        <v>723</v>
      </c>
      <c r="B400" s="298" t="s">
        <v>183</v>
      </c>
      <c r="C400" s="297" t="str">
        <f>IF(Forside!$D$12="Dansk",Tekstnøgler!E400,Tekstnøgler!G400)</f>
        <v>Scope 2</v>
      </c>
      <c r="D400" s="298" t="s">
        <v>183</v>
      </c>
      <c r="E400" s="299" t="s">
        <v>556</v>
      </c>
      <c r="F400" s="298" t="s">
        <v>183</v>
      </c>
      <c r="G400" s="300" t="s">
        <v>556</v>
      </c>
      <c r="H400" s="298" t="s">
        <v>183</v>
      </c>
      <c r="I400" s="297" t="s">
        <v>169</v>
      </c>
      <c r="J400" s="297" t="s">
        <v>339</v>
      </c>
      <c r="K400" s="297" t="str" cm="1">
        <f t="array" aca="1" ref="K400" ca="1">INDIRECT("'"&amp;I400&amp;"'!"&amp;J400)</f>
        <v>Scope 2</v>
      </c>
      <c r="L400" s="298" t="s">
        <v>183</v>
      </c>
      <c r="M400" s="297" t="str">
        <f t="shared" ca="1" si="29"/>
        <v>OK</v>
      </c>
    </row>
    <row r="401" spans="1:14" x14ac:dyDescent="0.2">
      <c r="A401" s="297" t="s">
        <v>724</v>
      </c>
      <c r="B401" s="298" t="s">
        <v>183</v>
      </c>
      <c r="C401" s="297" t="str">
        <f>IF(Forside!$D$12="Dansk",Tekstnøgler!E401,Tekstnøgler!G401)</f>
        <v>Scope 3</v>
      </c>
      <c r="D401" s="298" t="s">
        <v>183</v>
      </c>
      <c r="E401" s="299" t="s">
        <v>558</v>
      </c>
      <c r="F401" s="298" t="s">
        <v>183</v>
      </c>
      <c r="G401" s="300" t="s">
        <v>558</v>
      </c>
      <c r="H401" s="298" t="s">
        <v>183</v>
      </c>
      <c r="I401" s="297" t="s">
        <v>169</v>
      </c>
      <c r="J401" s="297" t="s">
        <v>201</v>
      </c>
      <c r="K401" s="297" t="str" cm="1">
        <f t="array" aca="1" ref="K401" ca="1">INDIRECT("'"&amp;I401&amp;"'!"&amp;J401)</f>
        <v>Scope 3</v>
      </c>
      <c r="L401" s="298" t="s">
        <v>183</v>
      </c>
      <c r="M401" s="297" t="str">
        <f t="shared" ca="1" si="29"/>
        <v>OK</v>
      </c>
    </row>
    <row r="402" spans="1:14" x14ac:dyDescent="0.2">
      <c r="A402" s="297" t="s">
        <v>725</v>
      </c>
      <c r="B402" s="298" t="s">
        <v>183</v>
      </c>
      <c r="C402" s="297" t="str">
        <f>IF(Forside!$D$12="Dansk",Tekstnøgler!E402,Tekstnøgler!G402)</f>
        <v>Total</v>
      </c>
      <c r="D402" s="298" t="s">
        <v>183</v>
      </c>
      <c r="E402" s="299" t="s">
        <v>761</v>
      </c>
      <c r="F402" s="298" t="s">
        <v>183</v>
      </c>
      <c r="G402" s="300" t="s">
        <v>761</v>
      </c>
      <c r="H402" s="298" t="s">
        <v>183</v>
      </c>
      <c r="I402" s="297" t="s">
        <v>169</v>
      </c>
      <c r="J402" s="297" t="s">
        <v>203</v>
      </c>
      <c r="K402" s="297" t="str" cm="1">
        <f t="array" aca="1" ref="K402" ca="1">INDIRECT("'"&amp;I402&amp;"'!"&amp;J402)</f>
        <v>Total</v>
      </c>
      <c r="L402" s="298" t="s">
        <v>183</v>
      </c>
      <c r="M402" s="297" t="str">
        <f t="shared" ca="1" si="29"/>
        <v>OK</v>
      </c>
    </row>
    <row r="403" spans="1:14" x14ac:dyDescent="0.2">
      <c r="A403" s="297" t="s">
        <v>1047</v>
      </c>
      <c r="B403" s="298" t="s">
        <v>183</v>
      </c>
      <c r="C403" s="297" t="str">
        <f>IF(Forside!$D$12="Dansk",Tekstnøgler!E403,Tekstnøgler!G403)</f>
        <v>Reduktion opnået (scope 1+2+3)</v>
      </c>
      <c r="D403" s="298" t="s">
        <v>183</v>
      </c>
      <c r="E403" s="299" t="s">
        <v>762</v>
      </c>
      <c r="F403" s="298" t="s">
        <v>183</v>
      </c>
      <c r="G403" s="300" t="s">
        <v>763</v>
      </c>
      <c r="H403" s="298" t="s">
        <v>183</v>
      </c>
      <c r="I403" s="297" t="s">
        <v>169</v>
      </c>
      <c r="J403" s="297" t="s">
        <v>342</v>
      </c>
      <c r="K403" s="297" t="str" cm="1">
        <f t="array" aca="1" ref="K403" ca="1">INDIRECT("'"&amp;I403&amp;"'!"&amp;J403)</f>
        <v>Reduktion opnået (scope 1+2+3)</v>
      </c>
      <c r="L403" s="298" t="s">
        <v>183</v>
      </c>
      <c r="M403" s="297" t="str">
        <f ca="1">IF(C403=K403,"OK","Reference fejl")</f>
        <v>OK</v>
      </c>
      <c r="N403" s="297" t="str">
        <f ca="1">IF(AND(OR(M403="OK",M404="OK"),M403&lt;&gt;M404),"OK (one is enough)","fejl")</f>
        <v>OK (one is enough)</v>
      </c>
    </row>
    <row r="404" spans="1:14" x14ac:dyDescent="0.2">
      <c r="A404" s="297" t="s">
        <v>1048</v>
      </c>
      <c r="B404" s="298" t="s">
        <v>183</v>
      </c>
      <c r="C404" s="297" t="str">
        <f>IF(Forside!$D$12="Dansk",Tekstnøgler!E404,Tekstnøgler!G404)</f>
        <v>(ikke relevant)</v>
      </c>
      <c r="D404" s="298" t="s">
        <v>183</v>
      </c>
      <c r="E404" s="299" t="s">
        <v>729</v>
      </c>
      <c r="F404" s="298" t="s">
        <v>183</v>
      </c>
      <c r="G404" s="300" t="s">
        <v>730</v>
      </c>
      <c r="H404" s="298" t="s">
        <v>183</v>
      </c>
      <c r="I404" s="297" t="s">
        <v>169</v>
      </c>
      <c r="J404" s="297" t="s">
        <v>342</v>
      </c>
      <c r="K404" s="297" t="str" cm="1">
        <f t="array" aca="1" ref="K404" ca="1">INDIRECT("'"&amp;I404&amp;"'!"&amp;J404)</f>
        <v>Reduktion opnået (scope 1+2+3)</v>
      </c>
      <c r="L404" s="298" t="s">
        <v>183</v>
      </c>
      <c r="M404" s="297" t="str">
        <f t="shared" ref="M404:M407" ca="1" si="31">IF(C404=K404,"OK","Reference fejl")</f>
        <v>Reference fejl</v>
      </c>
      <c r="N404" s="297" t="str">
        <f ca="1">IF(AND(OR(M403="OK",M404="OK"),M403&lt;&gt;M404),"OK (one is enough)","fejl")</f>
        <v>OK (one is enough)</v>
      </c>
    </row>
    <row r="405" spans="1:14" x14ac:dyDescent="0.2">
      <c r="A405" s="297" t="s">
        <v>1049</v>
      </c>
      <c r="B405" s="298" t="s">
        <v>183</v>
      </c>
      <c r="C405" s="297" t="str">
        <f>IF(Forside!$D$12="Dansk",Tekstnøgler!E405,Tekstnøgler!G405)</f>
        <v>Forskel til slutår (scope 1+2+3)</v>
      </c>
      <c r="D405" s="298" t="s">
        <v>183</v>
      </c>
      <c r="E405" s="299" t="s">
        <v>1904</v>
      </c>
      <c r="F405" s="298" t="s">
        <v>183</v>
      </c>
      <c r="G405" s="300" t="s">
        <v>1905</v>
      </c>
      <c r="H405" s="298" t="s">
        <v>183</v>
      </c>
      <c r="I405" s="297" t="s">
        <v>169</v>
      </c>
      <c r="J405" s="297" t="s">
        <v>346</v>
      </c>
      <c r="K405" s="297" t="str" cm="1">
        <f t="array" aca="1" ref="K405" ca="1">INDIRECT("'"&amp;I405&amp;"'!"&amp;J405)</f>
        <v>(ikke relevant)</v>
      </c>
      <c r="L405" s="298" t="s">
        <v>183</v>
      </c>
      <c r="M405" s="297" t="str">
        <f t="shared" ca="1" si="31"/>
        <v>Reference fejl</v>
      </c>
      <c r="N405" s="297" t="str">
        <f ca="1">IF(AND(OR(M405="OK",M406="OK"),M405&lt;&gt;M406),"OK (one is enough)","fejl")</f>
        <v>OK (one is enough)</v>
      </c>
    </row>
    <row r="406" spans="1:14" x14ac:dyDescent="0.2">
      <c r="A406" s="297" t="s">
        <v>1050</v>
      </c>
      <c r="B406" s="298" t="s">
        <v>183</v>
      </c>
      <c r="C406" s="297" t="str">
        <f>IF(Forside!$D$12="Dansk",Tekstnøgler!E406,Tekstnøgler!G406)</f>
        <v>(ikke relevant)</v>
      </c>
      <c r="D406" s="298" t="s">
        <v>183</v>
      </c>
      <c r="E406" s="299" t="s">
        <v>729</v>
      </c>
      <c r="F406" s="298" t="s">
        <v>183</v>
      </c>
      <c r="G406" s="300" t="s">
        <v>730</v>
      </c>
      <c r="H406" s="298" t="s">
        <v>183</v>
      </c>
      <c r="I406" s="297" t="s">
        <v>169</v>
      </c>
      <c r="J406" s="297" t="s">
        <v>346</v>
      </c>
      <c r="K406" s="297" t="str" cm="1">
        <f t="array" aca="1" ref="K406" ca="1">INDIRECT("'"&amp;I406&amp;"'!"&amp;J406)</f>
        <v>(ikke relevant)</v>
      </c>
      <c r="L406" s="298" t="s">
        <v>183</v>
      </c>
      <c r="M406" s="297" t="str">
        <f t="shared" ca="1" si="31"/>
        <v>OK</v>
      </c>
      <c r="N406" s="297" t="str">
        <f ca="1">IF(AND(OR(M405="OK",M406="OK"),M405&lt;&gt;M406),"OK (one is enough)","fejl")</f>
        <v>OK (one is enough)</v>
      </c>
    </row>
    <row r="407" spans="1:14" x14ac:dyDescent="0.2">
      <c r="A407" s="297" t="s">
        <v>1051</v>
      </c>
      <c r="B407" s="298" t="s">
        <v>183</v>
      </c>
      <c r="C407" s="297" t="str">
        <f>IF(Forside!$D$12="Dansk",Tekstnøgler!E407,Tekstnøgler!G407)</f>
        <v>Forskel</v>
      </c>
      <c r="D407" s="298" t="s">
        <v>183</v>
      </c>
      <c r="E407" s="299" t="s">
        <v>764</v>
      </c>
      <c r="F407" s="298" t="s">
        <v>183</v>
      </c>
      <c r="G407" s="300" t="s">
        <v>765</v>
      </c>
      <c r="H407" s="298" t="s">
        <v>183</v>
      </c>
      <c r="I407" s="297" t="s">
        <v>169</v>
      </c>
      <c r="J407" s="297" t="s">
        <v>766</v>
      </c>
      <c r="K407" s="297" cm="1">
        <f t="array" aca="1" ref="K407" ca="1">INDIRECT("'"&amp;I407&amp;"'!"&amp;J407)</f>
        <v>0</v>
      </c>
      <c r="L407" s="298" t="s">
        <v>183</v>
      </c>
      <c r="M407" s="297" t="str">
        <f t="shared" ca="1" si="31"/>
        <v>Reference fejl</v>
      </c>
    </row>
    <row r="408" spans="1:14" x14ac:dyDescent="0.2">
      <c r="A408" s="297" t="s">
        <v>767</v>
      </c>
      <c r="B408" s="298" t="s">
        <v>183</v>
      </c>
      <c r="C408" s="297" t="str">
        <f>IF(Forside!$D$12="Dansk",Tekstnøgler!E408,Tekstnøgler!G408)</f>
        <v>Tabel 2. Oversigt over CO₂e-udledningen fordelt på hoved- og underkategorier</v>
      </c>
      <c r="D408" s="298" t="s">
        <v>183</v>
      </c>
      <c r="E408" s="299" t="s">
        <v>1906</v>
      </c>
      <c r="F408" s="298" t="s">
        <v>183</v>
      </c>
      <c r="G408" s="297" t="s">
        <v>1907</v>
      </c>
      <c r="H408" s="298" t="s">
        <v>183</v>
      </c>
      <c r="I408" s="297" t="s">
        <v>169</v>
      </c>
      <c r="J408" s="297" t="s">
        <v>405</v>
      </c>
      <c r="K408" s="297" t="str" cm="1">
        <f t="array" aca="1" ref="K408" ca="1">INDIRECT("'"&amp;I408&amp;"'!"&amp;J408)</f>
        <v>Tabel 2. Oversigt over CO₂e-udledningen fordelt på hoved- og underkategorier</v>
      </c>
      <c r="L408" s="298" t="s">
        <v>183</v>
      </c>
      <c r="M408" s="297" t="str">
        <f t="shared" ca="1" si="29"/>
        <v>OK</v>
      </c>
    </row>
    <row r="409" spans="1:14" x14ac:dyDescent="0.2">
      <c r="A409" s="297" t="s">
        <v>768</v>
      </c>
      <c r="B409" s="298" t="s">
        <v>183</v>
      </c>
      <c r="C409" s="297" t="str">
        <f>IF(Forside!$D$12="Dansk",Tekstnøgler!E409,Tekstnøgler!G409)</f>
        <v>Scope 1 - faktor</v>
      </c>
      <c r="D409" s="298" t="s">
        <v>183</v>
      </c>
      <c r="E409" s="299" t="s">
        <v>873</v>
      </c>
      <c r="F409" s="298" t="s">
        <v>183</v>
      </c>
      <c r="G409" s="297" t="s">
        <v>874</v>
      </c>
      <c r="H409" s="298" t="s">
        <v>183</v>
      </c>
      <c r="I409" s="297" t="s">
        <v>169</v>
      </c>
      <c r="J409" s="297" t="s">
        <v>769</v>
      </c>
      <c r="K409" s="297" t="str" cm="1">
        <f t="array" aca="1" ref="K409" ca="1">INDIRECT("'"&amp;I409&amp;"'!"&amp;J409)</f>
        <v>Scope 1 - faktor</v>
      </c>
      <c r="L409" s="298" t="s">
        <v>183</v>
      </c>
      <c r="M409" s="297" t="str">
        <f t="shared" ref="M409:M416" ca="1" si="32">IF(G408=K409,"OK","Reference fejl")</f>
        <v>Reference fejl</v>
      </c>
    </row>
    <row r="410" spans="1:14" x14ac:dyDescent="0.2">
      <c r="A410" s="297" t="s">
        <v>770</v>
      </c>
      <c r="B410" s="298" t="s">
        <v>183</v>
      </c>
      <c r="C410" s="297" t="str">
        <f>IF(Forside!$D$12="Dansk",Tekstnøgler!E410,Tekstnøgler!G410)</f>
        <v>Scope 2 - faktor</v>
      </c>
      <c r="D410" s="298" t="s">
        <v>183</v>
      </c>
      <c r="E410" s="299" t="s">
        <v>876</v>
      </c>
      <c r="F410" s="298" t="s">
        <v>183</v>
      </c>
      <c r="G410" s="297" t="s">
        <v>877</v>
      </c>
      <c r="H410" s="298" t="s">
        <v>183</v>
      </c>
      <c r="I410" s="297" t="s">
        <v>169</v>
      </c>
      <c r="J410" s="297" t="s">
        <v>771</v>
      </c>
      <c r="K410" s="297" t="str" cm="1">
        <f t="array" aca="1" ref="K410" ca="1">INDIRECT("'"&amp;I410&amp;"'!"&amp;J410)</f>
        <v>Scope 2 - faktor</v>
      </c>
      <c r="L410" s="298" t="s">
        <v>183</v>
      </c>
      <c r="M410" s="297" t="str">
        <f t="shared" ca="1" si="32"/>
        <v>Reference fejl</v>
      </c>
    </row>
    <row r="411" spans="1:14" x14ac:dyDescent="0.2">
      <c r="A411" s="297" t="s">
        <v>772</v>
      </c>
      <c r="B411" s="298" t="s">
        <v>183</v>
      </c>
      <c r="C411" s="297" t="str">
        <f>IF(Forside!$D$12="Dansk",Tekstnøgler!E411,Tekstnøgler!G411)</f>
        <v>Scope 3 - faktor</v>
      </c>
      <c r="D411" s="298" t="s">
        <v>183</v>
      </c>
      <c r="E411" s="299" t="s">
        <v>879</v>
      </c>
      <c r="F411" s="298" t="s">
        <v>183</v>
      </c>
      <c r="G411" s="297" t="s">
        <v>880</v>
      </c>
      <c r="H411" s="298" t="s">
        <v>183</v>
      </c>
      <c r="I411" s="297" t="s">
        <v>169</v>
      </c>
      <c r="J411" s="297" t="s">
        <v>773</v>
      </c>
      <c r="K411" s="297" t="str" cm="1">
        <f t="array" aca="1" ref="K411" ca="1">INDIRECT("'"&amp;I411&amp;"'!"&amp;J411)</f>
        <v>Scope 3 - faktor</v>
      </c>
      <c r="L411" s="298" t="s">
        <v>183</v>
      </c>
      <c r="M411" s="297" t="str">
        <f t="shared" ca="1" si="32"/>
        <v>Reference fejl</v>
      </c>
    </row>
    <row r="412" spans="1:14" x14ac:dyDescent="0.2">
      <c r="A412" s="297" t="s">
        <v>774</v>
      </c>
      <c r="B412" s="298" t="s">
        <v>183</v>
      </c>
      <c r="C412" s="297" t="str">
        <f>IF(Forside!$D$12="Dansk",Tekstnøgler!E412,Tekstnøgler!G412)</f>
        <v>Samlede CO₂e udledning</v>
      </c>
      <c r="D412" s="298" t="s">
        <v>183</v>
      </c>
      <c r="E412" s="299" t="s">
        <v>1908</v>
      </c>
      <c r="F412" s="298" t="s">
        <v>183</v>
      </c>
      <c r="G412" s="297" t="s">
        <v>1909</v>
      </c>
      <c r="H412" s="298" t="s">
        <v>183</v>
      </c>
      <c r="I412" s="297" t="s">
        <v>169</v>
      </c>
      <c r="J412" s="297" t="s">
        <v>775</v>
      </c>
      <c r="K412" s="297" t="str" cm="1">
        <f t="array" aca="1" ref="K412" ca="1">INDIRECT("'"&amp;I412&amp;"'!"&amp;J412)</f>
        <v>Samlede CO₂e udledning</v>
      </c>
      <c r="L412" s="298" t="s">
        <v>183</v>
      </c>
      <c r="M412" s="297" t="str">
        <f t="shared" ca="1" si="32"/>
        <v>Reference fejl</v>
      </c>
    </row>
    <row r="413" spans="1:14" x14ac:dyDescent="0.2">
      <c r="A413" s="297" t="s">
        <v>1052</v>
      </c>
      <c r="B413" s="298" t="s">
        <v>183</v>
      </c>
      <c r="C413" s="297" t="str">
        <f>IF(Forside!$D$12="Dansk",Tekstnøgler!E413,Tekstnøgler!G413)</f>
        <v>(ton CO₂e)</v>
      </c>
      <c r="D413" s="298" t="s">
        <v>183</v>
      </c>
      <c r="E413" s="299" t="s">
        <v>1751</v>
      </c>
      <c r="F413" s="298" t="s">
        <v>183</v>
      </c>
      <c r="G413" s="297" t="s">
        <v>1910</v>
      </c>
      <c r="H413" s="298" t="s">
        <v>183</v>
      </c>
      <c r="I413" s="297" t="s">
        <v>169</v>
      </c>
      <c r="J413" s="297" t="s">
        <v>285</v>
      </c>
      <c r="K413" s="297" t="str" cm="1">
        <f t="array" aca="1" ref="K413" ca="1">INDIRECT("'"&amp;I413&amp;"'!"&amp;J413)</f>
        <v>(ton CO₂e)</v>
      </c>
      <c r="L413" s="298" t="s">
        <v>183</v>
      </c>
      <c r="M413" s="297" t="str">
        <f t="shared" ca="1" si="32"/>
        <v>Reference fejl</v>
      </c>
    </row>
    <row r="414" spans="1:14" x14ac:dyDescent="0.2">
      <c r="A414" s="297" t="s">
        <v>776</v>
      </c>
      <c r="B414" s="298" t="s">
        <v>183</v>
      </c>
      <c r="C414" s="297" t="str">
        <f>IF(Forside!$D$12="Dansk",Tekstnøgler!E414,Tekstnøgler!G414)</f>
        <v>Udenfor scopes resultater</v>
      </c>
      <c r="D414" s="298" t="s">
        <v>183</v>
      </c>
      <c r="E414" s="299" t="s">
        <v>570</v>
      </c>
      <c r="F414" s="298" t="s">
        <v>183</v>
      </c>
      <c r="G414" s="297" t="s">
        <v>1911</v>
      </c>
      <c r="H414" s="298" t="s">
        <v>183</v>
      </c>
      <c r="I414" s="297" t="s">
        <v>169</v>
      </c>
      <c r="J414" s="297" t="s">
        <v>777</v>
      </c>
      <c r="K414" s="297" t="str" cm="1">
        <f t="array" aca="1" ref="K414" ca="1">INDIRECT("'"&amp;I414&amp;"'!"&amp;J414)</f>
        <v>Udenfor scopes resultater</v>
      </c>
      <c r="L414" s="298" t="s">
        <v>183</v>
      </c>
      <c r="M414" s="297" t="str">
        <f t="shared" ca="1" si="32"/>
        <v>Reference fejl</v>
      </c>
    </row>
    <row r="415" spans="1:14" x14ac:dyDescent="0.2">
      <c r="A415" s="297" t="s">
        <v>778</v>
      </c>
      <c r="B415" s="298" t="s">
        <v>183</v>
      </c>
      <c r="C415" s="297" t="str">
        <f>IF(Forside!$D$12="Dansk",Tekstnøgler!E415,Tekstnøgler!G415)</f>
        <v xml:space="preserve">Her ses en mere detaljeret resultatvisning for udenfor scopes. Tabellen viser den tilhørende udledning for alle underkategorierne, der er indtastet data for. Bemærk at udenfor scopes ikke medregnes i totalen jf. GHG-protokollen.				</v>
      </c>
      <c r="D415" s="298" t="s">
        <v>183</v>
      </c>
      <c r="E415" s="299" t="s">
        <v>1912</v>
      </c>
      <c r="F415" s="298" t="s">
        <v>183</v>
      </c>
      <c r="G415" s="297" t="s">
        <v>1913</v>
      </c>
      <c r="H415" s="298" t="s">
        <v>183</v>
      </c>
      <c r="I415" s="297" t="s">
        <v>169</v>
      </c>
      <c r="J415" s="297" t="s">
        <v>779</v>
      </c>
      <c r="K415" s="297" t="str" cm="1">
        <f t="array" aca="1" ref="K415" ca="1">INDIRECT("'"&amp;I415&amp;"'!"&amp;J415)</f>
        <v xml:space="preserve">Her ses en mere detaljeret resultatvisning for udenfor scopes. Tabellen viser den tilhørende udledning for alle underkategorierne, der er indtastet data for. Bemærk at udenfor scopes ikke medregnes i totalen jf. GHG-protokollen.				</v>
      </c>
      <c r="L415" s="298" t="s">
        <v>183</v>
      </c>
      <c r="M415" s="297" t="str">
        <f t="shared" ca="1" si="32"/>
        <v>Reference fejl</v>
      </c>
    </row>
    <row r="416" spans="1:14" x14ac:dyDescent="0.2">
      <c r="A416" s="297" t="s">
        <v>780</v>
      </c>
      <c r="B416" s="298" t="s">
        <v>183</v>
      </c>
      <c r="C416" s="297" t="str">
        <f>IF(Forside!$D$12="Dansk",Tekstnøgler!E416,Tekstnøgler!G416)</f>
        <v>Oversigt af 'udenfor scopes' resultater over CO₂e-udledningen fordelt på hoved- og underkategorier</v>
      </c>
      <c r="D416" s="298" t="s">
        <v>183</v>
      </c>
      <c r="E416" s="299" t="s">
        <v>1756</v>
      </c>
      <c r="F416" s="298" t="s">
        <v>183</v>
      </c>
      <c r="G416" s="297" t="s">
        <v>1914</v>
      </c>
      <c r="H416" s="298" t="s">
        <v>183</v>
      </c>
      <c r="I416" s="297" t="s">
        <v>169</v>
      </c>
      <c r="J416" s="297" t="s">
        <v>781</v>
      </c>
      <c r="K416" s="297" t="str" cm="1">
        <f t="array" aca="1" ref="K416" ca="1">INDIRECT("'"&amp;I416&amp;"'!"&amp;J416)</f>
        <v>Oversigt af 'udenfor scopes' resultater over CO₂e-udledningen fordelt på hoved- og underkategorier</v>
      </c>
      <c r="L416" s="298" t="s">
        <v>183</v>
      </c>
      <c r="M416" s="297" t="str">
        <f t="shared" ca="1" si="32"/>
        <v>Reference fejl</v>
      </c>
    </row>
    <row r="417" spans="1:21" x14ac:dyDescent="0.2">
      <c r="B417" s="298" t="s">
        <v>183</v>
      </c>
      <c r="D417" s="298" t="s">
        <v>183</v>
      </c>
      <c r="F417" s="298" t="s">
        <v>183</v>
      </c>
      <c r="H417" s="298" t="s">
        <v>183</v>
      </c>
      <c r="L417" s="298" t="s">
        <v>183</v>
      </c>
    </row>
    <row r="418" spans="1:21" x14ac:dyDescent="0.2">
      <c r="B418" s="298" t="s">
        <v>183</v>
      </c>
      <c r="D418" s="298" t="s">
        <v>183</v>
      </c>
      <c r="F418" s="298" t="s">
        <v>183</v>
      </c>
      <c r="H418" s="298" t="s">
        <v>183</v>
      </c>
      <c r="L418" s="298" t="s">
        <v>183</v>
      </c>
    </row>
    <row r="419" spans="1:21" x14ac:dyDescent="0.2">
      <c r="A419" s="297" t="s">
        <v>782</v>
      </c>
      <c r="B419" s="298" t="s">
        <v>183</v>
      </c>
      <c r="C419" s="297" t="str">
        <f>IF(Forside!$D$12="Dansk",Tekstnøgler!E419,Tekstnøgler!G419)</f>
        <v>Reduktionsmålsætninger</v>
      </c>
      <c r="D419" s="298" t="s">
        <v>183</v>
      </c>
      <c r="E419" s="299" t="s">
        <v>135</v>
      </c>
      <c r="F419" s="298" t="s">
        <v>183</v>
      </c>
      <c r="G419" s="300" t="s">
        <v>1915</v>
      </c>
      <c r="H419" s="298" t="s">
        <v>183</v>
      </c>
      <c r="I419" s="297" t="s">
        <v>783</v>
      </c>
      <c r="J419" s="297" t="s">
        <v>542</v>
      </c>
      <c r="K419" s="297" t="str" cm="1">
        <f t="array" aca="1" ref="K419" ca="1">INDIRECT("'"&amp;I419&amp;"'!"&amp;J419)</f>
        <v>Reduktionsmålsætninger</v>
      </c>
      <c r="L419" s="298" t="s">
        <v>183</v>
      </c>
      <c r="M419" s="297" t="str">
        <f ca="1">IF(G419=K419,"OK","Reference fejl")</f>
        <v>Reference fejl</v>
      </c>
    </row>
    <row r="420" spans="1:21" x14ac:dyDescent="0.2">
      <c r="A420" s="297" t="s">
        <v>1053</v>
      </c>
      <c r="B420" s="298" t="s">
        <v>183</v>
      </c>
      <c r="C420" s="297" t="str">
        <f>IF(Forside!$D$12="Dansk",Tekstnøgler!E420,Tekstnøgler!G420)</f>
        <v>Basisberegning</v>
      </c>
      <c r="D420" s="298" t="s">
        <v>183</v>
      </c>
      <c r="E420" s="299" t="s">
        <v>699</v>
      </c>
      <c r="F420" s="298" t="s">
        <v>183</v>
      </c>
      <c r="G420" s="300" t="s">
        <v>1858</v>
      </c>
      <c r="H420" s="298" t="s">
        <v>183</v>
      </c>
      <c r="I420" s="297" t="s">
        <v>783</v>
      </c>
      <c r="J420" s="297" t="s">
        <v>697</v>
      </c>
      <c r="K420" s="297" t="str" cm="1">
        <f t="array" aca="1" ref="K420" ca="1">INDIRECT("'"&amp;I420&amp;"'!"&amp;J420)</f>
        <v>Basisberegning</v>
      </c>
      <c r="L420" s="298"/>
      <c r="M420" s="297" t="str">
        <f t="shared" ref="M420:M463" ca="1" si="33">IF(G420=K420,"OK","Reference fejl")</f>
        <v>Reference fejl</v>
      </c>
    </row>
    <row r="421" spans="1:21" x14ac:dyDescent="0.2">
      <c r="A421" s="297" t="s">
        <v>784</v>
      </c>
      <c r="B421" s="298" t="s">
        <v>183</v>
      </c>
      <c r="C421" s="297" t="str">
        <f>IF(Forside!$D$12="Dansk",Tekstnøgler!E421,Tekstnøgler!G421)</f>
        <v>Målsætning baseret på fremskrivning</v>
      </c>
      <c r="D421" s="298" t="s">
        <v>183</v>
      </c>
      <c r="E421" s="299" t="s">
        <v>1916</v>
      </c>
      <c r="F421" s="298" t="s">
        <v>183</v>
      </c>
      <c r="G421" s="300" t="s">
        <v>1917</v>
      </c>
      <c r="H421" s="298" t="s">
        <v>183</v>
      </c>
      <c r="I421" s="297" t="s">
        <v>783</v>
      </c>
      <c r="J421" s="297" t="s">
        <v>785</v>
      </c>
      <c r="K421" s="297" t="str" cm="1">
        <f t="array" aca="1" ref="K421" ca="1">INDIRECT("'"&amp;I421&amp;"'!"&amp;J421)</f>
        <v>Målsætning baseret på fremskrivning</v>
      </c>
      <c r="L421" s="298" t="s">
        <v>183</v>
      </c>
      <c r="M421" s="297" t="str">
        <f t="shared" ca="1" si="33"/>
        <v>Reference fejl</v>
      </c>
    </row>
    <row r="422" spans="1:21" x14ac:dyDescent="0.2">
      <c r="A422" s="297" t="s">
        <v>1054</v>
      </c>
      <c r="B422" s="298" t="s">
        <v>183</v>
      </c>
      <c r="C422" s="297" t="str">
        <f>IF(Forside!$D$12="Dansk",Tekstnøgler!E422,Tekstnøgler!G422)</f>
        <v>Resultater er baseret på din virksomheds fremskrevne CO₂e-udledninger samt dit valg målsætningsmetode, målsætningsår og målsætning i procent. Dine valg og
indtastninger er skrevet op i boksen "Parametre" herunder. Du kan læse mere om, hvordan du kan sætte målsætninger i fanen "Reduktionsmålsætninger" på Klimakompassets hjemmeside</v>
      </c>
      <c r="D422" s="298" t="s">
        <v>183</v>
      </c>
      <c r="E422" s="299" t="s">
        <v>1918</v>
      </c>
      <c r="F422" s="298" t="s">
        <v>183</v>
      </c>
      <c r="G422" s="300" t="s">
        <v>1919</v>
      </c>
      <c r="H422" s="298" t="s">
        <v>183</v>
      </c>
      <c r="I422" s="297" t="s">
        <v>783</v>
      </c>
      <c r="J422" s="297" t="s">
        <v>786</v>
      </c>
      <c r="K422" s="297" t="str" cm="1">
        <f t="array" aca="1" ref="K422" ca="1">INDIRECT("'"&amp;I422&amp;"'!"&amp;J422)</f>
        <v>Resultater er baseret på din virksomheds fremskrevne CO₂e-udledninger samt dit valg målsætningsmetode, målsætningsår og målsætning i procent. Dine valg og
indtastninger er skrevet op i boksen "Parametre" herunder. Du kan læse mere om, hvordan du kan sætte målsætninger i fanen "Reduktionsmålsætninger" på Klimakompassets hjemmeside</v>
      </c>
      <c r="L422" s="298" t="s">
        <v>183</v>
      </c>
      <c r="M422" s="297" t="str">
        <f t="shared" ca="1" si="33"/>
        <v>Reference fejl</v>
      </c>
    </row>
    <row r="423" spans="1:21" x14ac:dyDescent="0.2">
      <c r="A423" s="297" t="s">
        <v>1055</v>
      </c>
      <c r="B423" s="298" t="s">
        <v>183</v>
      </c>
      <c r="C423" s="297" t="str">
        <f>IF(Forside!$D$12="Dansk",Tekstnøgler!E423,Tekstnøgler!G423)</f>
        <v>Parametre</v>
      </c>
      <c r="D423" s="298" t="s">
        <v>183</v>
      </c>
      <c r="E423" s="299" t="s">
        <v>787</v>
      </c>
      <c r="F423" s="298" t="s">
        <v>183</v>
      </c>
      <c r="G423" s="300" t="s">
        <v>788</v>
      </c>
      <c r="H423" s="298" t="s">
        <v>183</v>
      </c>
      <c r="I423" s="297" t="s">
        <v>783</v>
      </c>
      <c r="J423" s="297" t="s">
        <v>331</v>
      </c>
      <c r="K423" s="297" t="str" cm="1">
        <f t="array" aca="1" ref="K423" ca="1">INDIRECT("'"&amp;I423&amp;"'!"&amp;J423)</f>
        <v>Parametre</v>
      </c>
      <c r="L423" s="298" t="s">
        <v>183</v>
      </c>
      <c r="M423" s="297" t="str">
        <f t="shared" ca="1" si="33"/>
        <v>Reference fejl</v>
      </c>
    </row>
    <row r="424" spans="1:21" x14ac:dyDescent="0.2">
      <c r="A424" s="297" t="s">
        <v>789</v>
      </c>
      <c r="B424" s="298" t="s">
        <v>183</v>
      </c>
      <c r="C424" s="297" t="str">
        <f>IF(Forside!$D$12="Dansk",Tekstnøgler!E424,Tekstnøgler!G424)</f>
        <v>Målsætningsmetode</v>
      </c>
      <c r="D424" s="298" t="s">
        <v>183</v>
      </c>
      <c r="E424" s="299" t="s">
        <v>790</v>
      </c>
      <c r="F424" s="298" t="s">
        <v>183</v>
      </c>
      <c r="G424" s="300" t="s">
        <v>1920</v>
      </c>
      <c r="H424" s="298" t="s">
        <v>183</v>
      </c>
      <c r="I424" s="297" t="s">
        <v>783</v>
      </c>
      <c r="J424" s="297" t="s">
        <v>334</v>
      </c>
      <c r="K424" s="297" t="str" cm="1">
        <f t="array" aca="1" ref="K424" ca="1">INDIRECT("'"&amp;I424&amp;"'!"&amp;J424)</f>
        <v>Målsætningsmetode</v>
      </c>
      <c r="L424" s="298" t="s">
        <v>183</v>
      </c>
      <c r="M424" s="297" t="str">
        <f t="shared" ca="1" si="33"/>
        <v>Reference fejl</v>
      </c>
    </row>
    <row r="425" spans="1:21" x14ac:dyDescent="0.2">
      <c r="A425" s="297" t="s">
        <v>791</v>
      </c>
      <c r="B425" s="298" t="s">
        <v>183</v>
      </c>
      <c r="C425" s="297" t="str">
        <f>IF(Forside!$D$12="Dansk",Tekstnøgler!E425,Tekstnøgler!G425)</f>
        <v>Målsætningsår</v>
      </c>
      <c r="D425" s="298" t="s">
        <v>183</v>
      </c>
      <c r="E425" s="299" t="s">
        <v>792</v>
      </c>
      <c r="F425" s="298" t="s">
        <v>183</v>
      </c>
      <c r="G425" s="300" t="s">
        <v>1921</v>
      </c>
      <c r="H425" s="298" t="s">
        <v>183</v>
      </c>
      <c r="I425" s="297" t="s">
        <v>783</v>
      </c>
      <c r="J425" s="297" t="s">
        <v>712</v>
      </c>
      <c r="K425" s="297" t="str" cm="1">
        <f t="array" aca="1" ref="K425" ca="1">INDIRECT("'"&amp;I425&amp;"'!"&amp;J425)</f>
        <v>Målsætningsår</v>
      </c>
      <c r="L425" s="298" t="s">
        <v>183</v>
      </c>
      <c r="M425" s="297" t="str">
        <f t="shared" ca="1" si="33"/>
        <v>Reference fejl</v>
      </c>
    </row>
    <row r="426" spans="1:21" x14ac:dyDescent="0.2">
      <c r="A426" s="297" t="s">
        <v>793</v>
      </c>
      <c r="B426" s="298" t="s">
        <v>183</v>
      </c>
      <c r="C426" s="297" t="str">
        <f>IF(Forside!$D$12="Dansk",Tekstnøgler!E426,Tekstnøgler!G426)</f>
        <v>Målsætning</v>
      </c>
      <c r="D426" s="298" t="s">
        <v>183</v>
      </c>
      <c r="E426" s="299" t="s">
        <v>33</v>
      </c>
      <c r="F426" s="298" t="s">
        <v>183</v>
      </c>
      <c r="G426" s="300" t="s">
        <v>808</v>
      </c>
      <c r="H426" s="298" t="s">
        <v>183</v>
      </c>
      <c r="I426" s="297" t="s">
        <v>783</v>
      </c>
      <c r="J426" s="297" t="s">
        <v>760</v>
      </c>
      <c r="K426" s="297" t="str" cm="1">
        <f t="array" aca="1" ref="K426" ca="1">INDIRECT("'"&amp;I426&amp;"'!"&amp;J426)</f>
        <v>Målsætning</v>
      </c>
      <c r="L426" s="298" t="s">
        <v>183</v>
      </c>
      <c r="M426" s="297" t="str">
        <f t="shared" ca="1" si="33"/>
        <v>Reference fejl</v>
      </c>
    </row>
    <row r="427" spans="1:21" x14ac:dyDescent="0.2">
      <c r="A427" s="297" t="s">
        <v>1056</v>
      </c>
      <c r="B427" s="298" t="s">
        <v>183</v>
      </c>
      <c r="C427" s="297" t="str">
        <f>IF(Forside!$D$12="Dansk",Tekstnøgler!E427,Tekstnøgler!G427)</f>
        <v>Målsætning (Ton CO₂e)</v>
      </c>
      <c r="D427" s="298" t="s">
        <v>183</v>
      </c>
      <c r="E427" s="299" t="s">
        <v>1922</v>
      </c>
      <c r="F427" s="298" t="s">
        <v>183</v>
      </c>
      <c r="G427" s="300" t="s">
        <v>1923</v>
      </c>
      <c r="H427" s="298" t="s">
        <v>183</v>
      </c>
      <c r="I427" s="297" t="s">
        <v>783</v>
      </c>
      <c r="J427" s="297" t="s">
        <v>339</v>
      </c>
      <c r="K427" s="297" t="str" cm="1">
        <f t="array" aca="1" ref="K427" ca="1">INDIRECT("'"&amp;I427&amp;"'!"&amp;J427)</f>
        <v>Målsætning (Ton CO₂e)</v>
      </c>
      <c r="L427" s="298" t="s">
        <v>183</v>
      </c>
      <c r="M427" s="297" t="str">
        <f t="shared" ca="1" si="33"/>
        <v>Reference fejl</v>
      </c>
    </row>
    <row r="428" spans="1:21" x14ac:dyDescent="0.2">
      <c r="A428" s="297" t="s">
        <v>1057</v>
      </c>
      <c r="B428" s="298" t="s">
        <v>183</v>
      </c>
      <c r="C428" s="297" t="str">
        <f>IF(Forside!$D$12="Dansk",Tekstnøgler!E428,Tekstnøgler!G428)</f>
        <v>Fremskrevet udledning i målsætningsår</v>
      </c>
      <c r="D428" s="298" t="s">
        <v>183</v>
      </c>
      <c r="E428" s="299" t="s">
        <v>794</v>
      </c>
      <c r="F428" s="298" t="s">
        <v>183</v>
      </c>
      <c r="G428" s="300" t="s">
        <v>795</v>
      </c>
      <c r="H428" s="298" t="s">
        <v>183</v>
      </c>
      <c r="I428" s="297" t="s">
        <v>783</v>
      </c>
      <c r="J428" s="297" t="s">
        <v>201</v>
      </c>
      <c r="K428" s="297" t="str" cm="1">
        <f t="array" aca="1" ref="K428" ca="1">INDIRECT("'"&amp;I428&amp;"'!"&amp;J428)</f>
        <v>Fremskrevet udledning i målsætningsår</v>
      </c>
      <c r="L428" s="298" t="s">
        <v>183</v>
      </c>
      <c r="M428" s="297" t="str">
        <f t="shared" ca="1" si="33"/>
        <v>Reference fejl</v>
      </c>
    </row>
    <row r="429" spans="1:21" x14ac:dyDescent="0.2">
      <c r="A429" s="297" t="s">
        <v>1058</v>
      </c>
      <c r="B429" s="298" t="s">
        <v>183</v>
      </c>
      <c r="C429" s="297" t="str">
        <f>IF(Forside!$D$12="Dansk",Tekstnøgler!E429,Tekstnøgler!G429)</f>
        <v>Ekstra reduktion opnået</v>
      </c>
      <c r="D429" s="298" t="s">
        <v>183</v>
      </c>
      <c r="E429" s="299" t="s">
        <v>796</v>
      </c>
      <c r="F429" s="298" t="s">
        <v>183</v>
      </c>
      <c r="G429" s="300" t="s">
        <v>797</v>
      </c>
      <c r="H429" s="298" t="s">
        <v>183</v>
      </c>
      <c r="I429" s="297" t="s">
        <v>783</v>
      </c>
      <c r="J429" s="297" t="s">
        <v>203</v>
      </c>
      <c r="K429" s="297" t="str" cm="1">
        <f t="array" aca="1" ref="K429" ca="1">INDIRECT("'"&amp;I429&amp;"'!"&amp;J429)</f>
        <v>Forskel til målet</v>
      </c>
      <c r="L429" s="298" t="s">
        <v>183</v>
      </c>
      <c r="M429" s="297" t="str">
        <f t="shared" ca="1" si="33"/>
        <v>Reference fejl</v>
      </c>
      <c r="N429" s="297" t="str">
        <f ca="1">IF(AND(OR(M429="OK",M430="OK"),M429&lt;&gt;M430),"OK (one is enough)","fejl")</f>
        <v>fejl</v>
      </c>
    </row>
    <row r="430" spans="1:21" x14ac:dyDescent="0.2">
      <c r="A430" s="297" t="s">
        <v>1059</v>
      </c>
      <c r="B430" s="298" t="s">
        <v>183</v>
      </c>
      <c r="C430" s="297" t="str">
        <f>IF(Forside!$D$12="Dansk",Tekstnøgler!E430,Tekstnøgler!G430)</f>
        <v>Forskel til målet</v>
      </c>
      <c r="D430" s="298" t="s">
        <v>183</v>
      </c>
      <c r="E430" s="299" t="s">
        <v>798</v>
      </c>
      <c r="F430" s="298" t="s">
        <v>183</v>
      </c>
      <c r="G430" s="300" t="s">
        <v>799</v>
      </c>
      <c r="H430" s="298" t="s">
        <v>183</v>
      </c>
      <c r="I430" s="297" t="s">
        <v>783</v>
      </c>
      <c r="J430" s="297" t="s">
        <v>203</v>
      </c>
      <c r="K430" s="297" t="str" cm="1">
        <f t="array" aca="1" ref="K430" ca="1">INDIRECT("'"&amp;I430&amp;"'!"&amp;J430)</f>
        <v>Forskel til målet</v>
      </c>
      <c r="L430" s="298" t="s">
        <v>183</v>
      </c>
      <c r="M430" s="297" t="str">
        <f t="shared" ca="1" si="33"/>
        <v>Reference fejl</v>
      </c>
      <c r="N430" s="297" t="str">
        <f ca="1">IF(AND(OR(M429="OK",M430="OK"),M429&lt;&gt;M430),"OK (one is enough)","fejl")</f>
        <v>fejl</v>
      </c>
    </row>
    <row r="431" spans="1:21" x14ac:dyDescent="0.2">
      <c r="B431" s="298"/>
      <c r="D431" s="298"/>
      <c r="F431" s="298"/>
      <c r="H431" s="298" t="s">
        <v>183</v>
      </c>
      <c r="I431" s="297" t="s">
        <v>783</v>
      </c>
      <c r="J431" s="297" t="s">
        <v>342</v>
      </c>
      <c r="K431" s="297" t="str" cm="1">
        <f t="array" aca="1" ref="K431" ca="1">INDIRECT("'"&amp;I431&amp;"'!"&amp;J431)</f>
        <v>For at nå det udledningsniveau, som lever op til jeres egen målsætning om en 65% reduktion af scope 3 CO₂e-udledninger i 2030, 
skal disse CO₂e-udledninger reduceres med yderligere 21% i forhold til jeres fremskrevne udledninger.</v>
      </c>
      <c r="L431" s="298" t="s">
        <v>183</v>
      </c>
      <c r="M431" s="297" t="str">
        <f t="shared" ca="1" si="33"/>
        <v>Reference fejl</v>
      </c>
      <c r="N431" s="297" t="s">
        <v>1103</v>
      </c>
      <c r="O431" s="339" t="s">
        <v>800</v>
      </c>
      <c r="P431" s="340" t="s">
        <v>183</v>
      </c>
      <c r="Q431" s="339" t="s">
        <v>801</v>
      </c>
      <c r="R431" s="340" t="s">
        <v>183</v>
      </c>
      <c r="S431" s="341" t="s">
        <v>801</v>
      </c>
      <c r="T431" s="340" t="s">
        <v>183</v>
      </c>
      <c r="U431" s="342" t="s">
        <v>802</v>
      </c>
    </row>
    <row r="432" spans="1:21" x14ac:dyDescent="0.2">
      <c r="A432" s="297" t="s">
        <v>1060</v>
      </c>
      <c r="B432" s="298" t="s">
        <v>183</v>
      </c>
      <c r="C432" s="297" t="str">
        <f>IF(Forside!$D$12="Dansk",Tekstnøgler!E432,Tekstnøgler!G432)</f>
        <v>Figur 1: Fremskrivning og mål for udledninger i scope 1 og 2</v>
      </c>
      <c r="D432" s="298" t="s">
        <v>183</v>
      </c>
      <c r="E432" s="299" t="s">
        <v>803</v>
      </c>
      <c r="F432" s="298" t="s">
        <v>183</v>
      </c>
      <c r="G432" s="300" t="s">
        <v>804</v>
      </c>
      <c r="H432" s="298" t="s">
        <v>183</v>
      </c>
      <c r="I432" s="297" t="s">
        <v>783</v>
      </c>
      <c r="J432" s="297" t="s">
        <v>208</v>
      </c>
      <c r="K432" s="297" t="str" cm="1">
        <f t="array" aca="1" ref="K432" ca="1">INDIRECT("'"&amp;I432&amp;"'!"&amp;J432)</f>
        <v>Figur 1: Fremskrivning og mål for udledninger i scope 1 og 2</v>
      </c>
      <c r="L432" s="298" t="s">
        <v>183</v>
      </c>
      <c r="M432" s="297" t="str">
        <f t="shared" ca="1" si="33"/>
        <v>Reference fejl</v>
      </c>
    </row>
    <row r="433" spans="1:21" x14ac:dyDescent="0.2">
      <c r="A433" s="297" t="s">
        <v>1061</v>
      </c>
      <c r="B433" s="298" t="s">
        <v>183</v>
      </c>
      <c r="C433" s="297" t="str">
        <f>IF(Forside!$D$12="Dansk",Tekstnøgler!E433,Tekstnøgler!G433)</f>
        <v>Her ses tabelvisning af fremskevne udledninger til grund for målsætningen for scope 1 og 2 år for år</v>
      </c>
      <c r="D433" s="298" t="s">
        <v>183</v>
      </c>
      <c r="E433" s="299" t="s">
        <v>805</v>
      </c>
      <c r="F433" s="298" t="s">
        <v>183</v>
      </c>
      <c r="G433" s="300" t="s">
        <v>806</v>
      </c>
      <c r="H433" s="298" t="s">
        <v>183</v>
      </c>
      <c r="I433" s="297" t="s">
        <v>783</v>
      </c>
      <c r="J433" s="297" t="s">
        <v>428</v>
      </c>
      <c r="K433" s="297" t="str" cm="1">
        <f t="array" aca="1" ref="K433" ca="1">INDIRECT("'"&amp;I433&amp;"'!"&amp;J433)</f>
        <v>Her ses tabelvisning af fremskevne udledninger til grund for målsætningen for scope 1 og 2 år for år</v>
      </c>
      <c r="L433" s="298" t="s">
        <v>183</v>
      </c>
      <c r="M433" s="297" t="str">
        <f t="shared" ca="1" si="33"/>
        <v>Reference fejl</v>
      </c>
    </row>
    <row r="434" spans="1:21" x14ac:dyDescent="0.2">
      <c r="A434" s="297" t="s">
        <v>1062</v>
      </c>
      <c r="B434" s="298" t="s">
        <v>183</v>
      </c>
      <c r="C434" s="297" t="str">
        <f>IF(Forside!$D$12="Dansk",Tekstnøgler!E434,Tekstnøgler!G434)</f>
        <v>Tabel 1. Oversigt over virksomhedens CO₂e-udledninger fordelt på scope 1 og 2</v>
      </c>
      <c r="D434" s="298" t="s">
        <v>183</v>
      </c>
      <c r="E434" s="299" t="s">
        <v>1924</v>
      </c>
      <c r="F434" s="298" t="s">
        <v>183</v>
      </c>
      <c r="G434" s="300" t="s">
        <v>1925</v>
      </c>
      <c r="H434" s="298" t="s">
        <v>183</v>
      </c>
      <c r="I434" s="297" t="s">
        <v>783</v>
      </c>
      <c r="J434" s="297" t="s">
        <v>430</v>
      </c>
      <c r="K434" s="297" t="str" cm="1">
        <f t="array" aca="1" ref="K434" ca="1">INDIRECT("'"&amp;I434&amp;"'!"&amp;J434)</f>
        <v>Tabel 1. Oversigt over virksomhedens CO₂e-udledninger fordelt på scope 1 og 2</v>
      </c>
      <c r="L434" s="298" t="s">
        <v>183</v>
      </c>
      <c r="M434" s="297" t="str">
        <f t="shared" ca="1" si="33"/>
        <v>Reference fejl</v>
      </c>
    </row>
    <row r="435" spans="1:21" x14ac:dyDescent="0.2">
      <c r="A435" s="297" t="s">
        <v>1063</v>
      </c>
      <c r="B435" s="298" t="s">
        <v>183</v>
      </c>
      <c r="C435" s="297" t="str">
        <f>IF(Forside!$D$12="Dansk",Tekstnøgler!E435,Tekstnøgler!G435)</f>
        <v>Mål</v>
      </c>
      <c r="D435" s="298" t="s">
        <v>183</v>
      </c>
      <c r="E435" s="299" t="s">
        <v>807</v>
      </c>
      <c r="F435" s="298" t="s">
        <v>183</v>
      </c>
      <c r="G435" s="300" t="s">
        <v>808</v>
      </c>
      <c r="H435" s="298" t="s">
        <v>183</v>
      </c>
      <c r="I435" s="297" t="s">
        <v>783</v>
      </c>
      <c r="J435" s="297" t="s">
        <v>442</v>
      </c>
      <c r="K435" s="297" t="str" cm="1">
        <f t="array" aca="1" ref="K435" ca="1">INDIRECT("'"&amp;I435&amp;"'!"&amp;J435)</f>
        <v>Scope 1 og 2 (total)</v>
      </c>
      <c r="L435" s="298" t="s">
        <v>183</v>
      </c>
      <c r="M435" s="297" t="str">
        <f t="shared" ref="M435" ca="1" si="34">IF(G435=K435,"OK","Reference fejl")</f>
        <v>Reference fejl</v>
      </c>
    </row>
    <row r="436" spans="1:21" x14ac:dyDescent="0.2">
      <c r="A436" s="297" t="s">
        <v>1064</v>
      </c>
      <c r="B436" s="298" t="s">
        <v>183</v>
      </c>
      <c r="C436" s="297" t="str">
        <f>IF(Forside!$D$12="Dansk",Tekstnøgler!E436,Tekstnøgler!G436)</f>
        <v>Scope 1 og 2 (total)</v>
      </c>
      <c r="D436" s="298" t="s">
        <v>183</v>
      </c>
      <c r="E436" s="299" t="s">
        <v>809</v>
      </c>
      <c r="F436" s="298" t="s">
        <v>183</v>
      </c>
      <c r="G436" s="300" t="s">
        <v>810</v>
      </c>
      <c r="H436" s="298" t="s">
        <v>183</v>
      </c>
      <c r="I436" s="297" t="s">
        <v>783</v>
      </c>
      <c r="J436" s="297" t="s">
        <v>442</v>
      </c>
      <c r="K436" s="297" t="str" cm="1">
        <f t="array" aca="1" ref="K436" ca="1">INDIRECT("'"&amp;I436&amp;"'!"&amp;J436)</f>
        <v>Scope 1 og 2 (total)</v>
      </c>
      <c r="L436" s="298" t="s">
        <v>183</v>
      </c>
      <c r="M436" s="297" t="str">
        <f t="shared" ca="1" si="33"/>
        <v>Reference fejl</v>
      </c>
    </row>
    <row r="437" spans="1:21" x14ac:dyDescent="0.2">
      <c r="A437" s="297" t="s">
        <v>1065</v>
      </c>
      <c r="B437" s="298" t="s">
        <v>183</v>
      </c>
      <c r="C437" s="297" t="str">
        <f>IF(Forside!$D$12="Dansk",Tekstnøgler!E437,Tekstnøgler!G437)</f>
        <v>Ekstra reduktion opnået</v>
      </c>
      <c r="D437" s="298" t="s">
        <v>183</v>
      </c>
      <c r="E437" s="299" t="s">
        <v>796</v>
      </c>
      <c r="F437" s="298" t="s">
        <v>183</v>
      </c>
      <c r="G437" s="300" t="s">
        <v>797</v>
      </c>
      <c r="H437" s="298" t="s">
        <v>183</v>
      </c>
      <c r="I437" s="297" t="s">
        <v>783</v>
      </c>
      <c r="J437" s="297" t="s">
        <v>448</v>
      </c>
      <c r="K437" s="297" t="str" cm="1">
        <f t="array" aca="1" ref="K437" ca="1">INDIRECT("'"&amp;I437&amp;"'!"&amp;J437)</f>
        <v>(ikke relevant)</v>
      </c>
      <c r="L437" s="298" t="s">
        <v>183</v>
      </c>
      <c r="M437" s="297" t="str">
        <f t="shared" ca="1" si="33"/>
        <v>Reference fejl</v>
      </c>
      <c r="N437" s="297" t="str">
        <f ca="1">IF(AND(OR(M437="OK",M438="OK"),M437&lt;&gt;M438),"OK (one is enough)","fejl")</f>
        <v>fejl</v>
      </c>
    </row>
    <row r="438" spans="1:21" x14ac:dyDescent="0.2">
      <c r="A438" s="297" t="s">
        <v>1066</v>
      </c>
      <c r="B438" s="298" t="s">
        <v>183</v>
      </c>
      <c r="C438" s="297" t="str">
        <f>IF(Forside!$D$12="Dansk",Tekstnøgler!E438,Tekstnøgler!G438)</f>
        <v>(ikke relevant)</v>
      </c>
      <c r="D438" s="298" t="s">
        <v>183</v>
      </c>
      <c r="E438" s="299" t="s">
        <v>729</v>
      </c>
      <c r="F438" s="298" t="s">
        <v>183</v>
      </c>
      <c r="G438" s="300" t="s">
        <v>730</v>
      </c>
      <c r="H438" s="298" t="s">
        <v>183</v>
      </c>
      <c r="I438" s="297" t="s">
        <v>783</v>
      </c>
      <c r="J438" s="297" t="s">
        <v>448</v>
      </c>
      <c r="K438" s="297" t="str" cm="1">
        <f t="array" aca="1" ref="K438" ca="1">INDIRECT("'"&amp;I438&amp;"'!"&amp;J438)</f>
        <v>(ikke relevant)</v>
      </c>
      <c r="L438" s="298" t="s">
        <v>183</v>
      </c>
      <c r="M438" s="297" t="str">
        <f t="shared" ca="1" si="33"/>
        <v>Reference fejl</v>
      </c>
      <c r="N438" s="297" t="str">
        <f ca="1">IF(AND(OR(M437="OK",M438="OK"),M437&lt;&gt;M438),"OK (one is enough)","fejl")</f>
        <v>fejl</v>
      </c>
    </row>
    <row r="439" spans="1:21" x14ac:dyDescent="0.2">
      <c r="A439" s="297" t="s">
        <v>1067</v>
      </c>
      <c r="B439" s="298" t="s">
        <v>183</v>
      </c>
      <c r="C439" s="297" t="str">
        <f>IF(Forside!$D$12="Dansk",Tekstnøgler!E439,Tekstnøgler!G439)</f>
        <v>Forskel til målet</v>
      </c>
      <c r="D439" s="298" t="s">
        <v>183</v>
      </c>
      <c r="E439" s="299" t="s">
        <v>798</v>
      </c>
      <c r="F439" s="298" t="s">
        <v>183</v>
      </c>
      <c r="G439" s="300" t="s">
        <v>811</v>
      </c>
      <c r="H439" s="298" t="s">
        <v>183</v>
      </c>
      <c r="I439" s="297" t="s">
        <v>783</v>
      </c>
      <c r="J439" s="297" t="s">
        <v>450</v>
      </c>
      <c r="K439" s="297" t="str" cm="1">
        <f t="array" aca="1" ref="K439" ca="1">INDIRECT("'"&amp;I439&amp;"'!"&amp;J439)</f>
        <v>Forskel til målet</v>
      </c>
      <c r="L439" s="298" t="s">
        <v>183</v>
      </c>
      <c r="M439" s="297" t="str">
        <f t="shared" ca="1" si="33"/>
        <v>Reference fejl</v>
      </c>
      <c r="N439" s="297" t="str">
        <f ca="1">IF(AND(OR(M439="OK",M440="OK"),M439&lt;&gt;M440),"OK (one is enough)","fejl")</f>
        <v>fejl</v>
      </c>
    </row>
    <row r="440" spans="1:21" x14ac:dyDescent="0.2">
      <c r="A440" s="297" t="s">
        <v>1068</v>
      </c>
      <c r="B440" s="298" t="s">
        <v>183</v>
      </c>
      <c r="C440" s="297" t="str">
        <f>IF(Forside!$D$12="Dansk",Tekstnøgler!E440,Tekstnøgler!G440)</f>
        <v>(ikke relevant)</v>
      </c>
      <c r="D440" s="298" t="s">
        <v>183</v>
      </c>
      <c r="E440" s="299" t="s">
        <v>729</v>
      </c>
      <c r="F440" s="298" t="s">
        <v>183</v>
      </c>
      <c r="G440" s="300" t="s">
        <v>730</v>
      </c>
      <c r="H440" s="298" t="s">
        <v>183</v>
      </c>
      <c r="I440" s="297" t="s">
        <v>783</v>
      </c>
      <c r="J440" s="297" t="s">
        <v>450</v>
      </c>
      <c r="K440" s="297" t="str" cm="1">
        <f t="array" aca="1" ref="K440" ca="1">INDIRECT("'"&amp;I440&amp;"'!"&amp;J440)</f>
        <v>Forskel til målet</v>
      </c>
      <c r="L440" s="298" t="s">
        <v>183</v>
      </c>
      <c r="M440" s="297" t="str">
        <f t="shared" ca="1" si="33"/>
        <v>Reference fejl</v>
      </c>
      <c r="N440" s="297" t="str">
        <f ca="1">IF(AND(OR(M439="OK",M440="OK"),M439&lt;&gt;M440),"OK (one is enough)","fejl")</f>
        <v>fejl</v>
      </c>
    </row>
    <row r="441" spans="1:21" x14ac:dyDescent="0.2">
      <c r="A441" s="297" t="s">
        <v>812</v>
      </c>
      <c r="B441" s="298" t="s">
        <v>183</v>
      </c>
      <c r="C441" s="297" t="str">
        <f>IF(Forside!$D$12="Dansk",Tekstnøgler!E441,Tekstnøgler!G441)</f>
        <v>Reduktionsmålsætning for Scope 3</v>
      </c>
      <c r="D441" s="298" t="s">
        <v>183</v>
      </c>
      <c r="E441" s="299" t="s">
        <v>1926</v>
      </c>
      <c r="F441" s="298" t="s">
        <v>183</v>
      </c>
      <c r="G441" s="300" t="s">
        <v>1927</v>
      </c>
      <c r="H441" s="298" t="s">
        <v>183</v>
      </c>
      <c r="I441" s="297" t="s">
        <v>783</v>
      </c>
      <c r="J441" s="297" t="s">
        <v>463</v>
      </c>
      <c r="K441" s="297" t="str" cm="1">
        <f t="array" aca="1" ref="K441" ca="1">INDIRECT("'"&amp;I441&amp;"'!"&amp;J441)</f>
        <v>Reduktionsmålsætning for Scope 3</v>
      </c>
      <c r="L441" s="298" t="s">
        <v>183</v>
      </c>
      <c r="M441" s="297" t="str">
        <f t="shared" ca="1" si="33"/>
        <v>Reference fejl</v>
      </c>
    </row>
    <row r="442" spans="1:21" x14ac:dyDescent="0.2">
      <c r="A442" s="297" t="s">
        <v>1077</v>
      </c>
      <c r="B442" s="298" t="s">
        <v>183</v>
      </c>
      <c r="C442" s="297" t="str">
        <f>IF(Forside!$D$12="Dansk",Tekstnøgler!E442,Tekstnøgler!G442)</f>
        <v>Resultater er baseret på din virksomheds fremskrevne CO₂e-udledninger samt dit valg målsætningsmetode, målsætningsår og målsætning i procent. Dine valg og indtastninger er skrevet op i boksen "Parametre" herunder. Du kan læse mere om, hvordan du kan sætte målsætninger i fanen "Reduktionsmålsætninger" på Klimakompassets hjemmeside</v>
      </c>
      <c r="D442" s="298" t="s">
        <v>183</v>
      </c>
      <c r="E442" s="299" t="s">
        <v>1928</v>
      </c>
      <c r="F442" s="298" t="s">
        <v>183</v>
      </c>
      <c r="G442" s="300" t="s">
        <v>1929</v>
      </c>
      <c r="H442" s="298" t="s">
        <v>183</v>
      </c>
      <c r="I442" s="297" t="s">
        <v>783</v>
      </c>
      <c r="J442" s="297" t="s">
        <v>466</v>
      </c>
      <c r="K442" s="297" t="str" cm="1">
        <f t="array" aca="1" ref="K442" ca="1">INDIRECT("'"&amp;I442&amp;"'!"&amp;J442)</f>
        <v>Resultater er baseret på din virksomheds fremskrevne CO₂e-udledninger samt dit valg målsætningsmetode, målsætningsår og målsætning i procent. Dine valg og indtastninger er skrevet op i boksen "Parametre" herunder. Du kan læse mere om, hvordan du kan sætte målsætninger i fanen "Reduktionsmålsætninger" på Klimakompassets hjemmeside</v>
      </c>
      <c r="L442" s="298" t="s">
        <v>183</v>
      </c>
      <c r="M442" s="297" t="str">
        <f t="shared" ca="1" si="33"/>
        <v>Reference fejl</v>
      </c>
    </row>
    <row r="443" spans="1:21" x14ac:dyDescent="0.2">
      <c r="H443" s="298" t="s">
        <v>183</v>
      </c>
      <c r="I443" s="297" t="s">
        <v>783</v>
      </c>
      <c r="J443" s="297" t="s">
        <v>489</v>
      </c>
      <c r="K443" s="297" t="str" cm="1">
        <f t="array" aca="1" ref="K443" ca="1">INDIRECT("'"&amp;I443&amp;"'!"&amp;J443)</f>
        <v>For at nå det udledningsniveau, som lever op til jeres egen målsætning om en 65% reduktion af scope 3 CO₂e-udledninger i 2030, 
skal disse CO₂e-udledninger reduceres med yderligere 44% i forhold til jeres fremskrevne udledninger.</v>
      </c>
      <c r="L443" s="298" t="s">
        <v>183</v>
      </c>
      <c r="M443" s="297" t="str">
        <f ca="1">IF(U443=K443,"OK","Reference fejl")</f>
        <v>Reference fejl</v>
      </c>
      <c r="N443" s="297" t="s">
        <v>1103</v>
      </c>
      <c r="O443" s="297" t="s">
        <v>814</v>
      </c>
      <c r="P443" s="298" t="s">
        <v>183</v>
      </c>
      <c r="Q443" s="297" t="str">
        <f>IF(Forside!$D$12="Dansk",Tekstnøgler!S443,Tekstnøgler!U443)</f>
        <v>For at nå det udledningsniveau, som lever op til jeres egen målsætning om en 1% reduktion af scope 3 CO2e-udledninger i 2030, 
skal disse CO2e-udledninger reduceres med yderligere 47,2% i forhold til jeres fremskrevne udledninger.</v>
      </c>
      <c r="R443" s="298" t="s">
        <v>183</v>
      </c>
      <c r="S443" s="299" t="s">
        <v>815</v>
      </c>
      <c r="T443" s="298" t="s">
        <v>183</v>
      </c>
      <c r="U443" s="300" t="s">
        <v>813</v>
      </c>
    </row>
    <row r="444" spans="1:21" x14ac:dyDescent="0.2">
      <c r="A444" s="297" t="s">
        <v>1069</v>
      </c>
      <c r="B444" s="298" t="s">
        <v>183</v>
      </c>
      <c r="C444" s="297" t="str">
        <f>IF(Forside!$D$12="Dansk",Tekstnøgler!E444,Tekstnøgler!G444)</f>
        <v>Figur 2: Fremskrivning og mål for udledninger i scope 3</v>
      </c>
      <c r="D444" s="298" t="s">
        <v>183</v>
      </c>
      <c r="E444" s="299" t="s">
        <v>816</v>
      </c>
      <c r="F444" s="298" t="s">
        <v>183</v>
      </c>
      <c r="G444" s="300" t="s">
        <v>817</v>
      </c>
      <c r="H444" s="298" t="s">
        <v>183</v>
      </c>
      <c r="I444" s="297" t="s">
        <v>783</v>
      </c>
      <c r="J444" s="297" t="s">
        <v>493</v>
      </c>
      <c r="K444" s="297" t="str" cm="1">
        <f t="array" aca="1" ref="K444" ca="1">INDIRECT("'"&amp;I444&amp;"'!"&amp;J444)</f>
        <v>Figur 2: Fremskrivning og mål for udledninger i scope 3</v>
      </c>
      <c r="L444" s="298" t="s">
        <v>183</v>
      </c>
      <c r="M444" s="297" t="str">
        <f t="shared" ca="1" si="33"/>
        <v>Reference fejl</v>
      </c>
    </row>
    <row r="445" spans="1:21" x14ac:dyDescent="0.2">
      <c r="A445" s="297" t="s">
        <v>1070</v>
      </c>
      <c r="B445" s="298" t="s">
        <v>183</v>
      </c>
      <c r="C445" s="297" t="str">
        <f>IF(Forside!$D$12="Dansk",Tekstnøgler!E445,Tekstnøgler!G445)</f>
        <v>Her ses tabelvisning af fremskevne udledninger til grund for målsætningen for scope 3 år for år</v>
      </c>
      <c r="D445" s="298" t="s">
        <v>183</v>
      </c>
      <c r="E445" s="299" t="s">
        <v>818</v>
      </c>
      <c r="F445" s="298" t="s">
        <v>183</v>
      </c>
      <c r="G445" s="300" t="s">
        <v>819</v>
      </c>
      <c r="H445" s="298" t="s">
        <v>183</v>
      </c>
      <c r="I445" s="297" t="s">
        <v>783</v>
      </c>
      <c r="J445" s="297" t="s">
        <v>742</v>
      </c>
      <c r="K445" s="297" t="str" cm="1">
        <f t="array" aca="1" ref="K445" ca="1">INDIRECT("'"&amp;I445&amp;"'!"&amp;J445)</f>
        <v>Her ses tabelvisning af fremskevne udledninger til grund for målsætningen for scope 3 år for år</v>
      </c>
      <c r="L445" s="298" t="s">
        <v>183</v>
      </c>
      <c r="M445" s="297" t="str">
        <f t="shared" ca="1" si="33"/>
        <v>Reference fejl</v>
      </c>
    </row>
    <row r="446" spans="1:21" x14ac:dyDescent="0.2">
      <c r="A446" s="297" t="s">
        <v>1071</v>
      </c>
      <c r="B446" s="298" t="s">
        <v>183</v>
      </c>
      <c r="C446" s="297" t="str">
        <f>IF(Forside!$D$12="Dansk",Tekstnøgler!E446,Tekstnøgler!G446)</f>
        <v>Tabel 2. Oversigt over virksomhedens CO₂e-udledninger i scope 3</v>
      </c>
      <c r="D446" s="298" t="s">
        <v>183</v>
      </c>
      <c r="E446" s="299" t="s">
        <v>1930</v>
      </c>
      <c r="F446" s="298" t="s">
        <v>183</v>
      </c>
      <c r="G446" s="300" t="s">
        <v>1931</v>
      </c>
      <c r="H446" s="298" t="s">
        <v>183</v>
      </c>
      <c r="I446" s="297" t="s">
        <v>783</v>
      </c>
      <c r="J446" s="297" t="s">
        <v>820</v>
      </c>
      <c r="K446" s="297" t="str" cm="1">
        <f t="array" aca="1" ref="K446" ca="1">INDIRECT("'"&amp;I446&amp;"'!"&amp;J446)</f>
        <v>Tabel 2. Oversigt over virksomhedens CO₂e-udledninger i scope 3</v>
      </c>
      <c r="L446" s="298" t="s">
        <v>183</v>
      </c>
      <c r="M446" s="297" t="str">
        <f t="shared" ca="1" si="33"/>
        <v>Reference fejl</v>
      </c>
    </row>
    <row r="447" spans="1:21" x14ac:dyDescent="0.2">
      <c r="A447" s="297" t="s">
        <v>1072</v>
      </c>
      <c r="B447" s="298" t="s">
        <v>183</v>
      </c>
      <c r="C447" s="297" t="str">
        <f>IF(Forside!$D$12="Dansk",Tekstnøgler!E447,Tekstnøgler!G447)</f>
        <v>Scope 3 (total)</v>
      </c>
      <c r="D447" s="298" t="s">
        <v>183</v>
      </c>
      <c r="E447" s="299" t="s">
        <v>821</v>
      </c>
      <c r="F447" s="298" t="s">
        <v>183</v>
      </c>
      <c r="G447" s="300" t="s">
        <v>821</v>
      </c>
      <c r="H447" s="298" t="s">
        <v>183</v>
      </c>
      <c r="I447" s="297" t="s">
        <v>783</v>
      </c>
      <c r="J447" s="297" t="s">
        <v>583</v>
      </c>
      <c r="K447" s="297" t="str" cm="1">
        <f t="array" aca="1" ref="K447" ca="1">INDIRECT("'"&amp;I447&amp;"'!"&amp;J447)</f>
        <v>Scope 3</v>
      </c>
      <c r="L447" s="298" t="s">
        <v>183</v>
      </c>
      <c r="M447" s="297" t="str">
        <f t="shared" ca="1" si="33"/>
        <v>Reference fejl</v>
      </c>
    </row>
    <row r="448" spans="1:21" x14ac:dyDescent="0.2">
      <c r="A448" s="297" t="s">
        <v>1073</v>
      </c>
      <c r="B448" s="298" t="s">
        <v>183</v>
      </c>
      <c r="C448" s="297" t="str">
        <f>IF(Forside!$D$12="Dansk",Tekstnøgler!E448,Tekstnøgler!G448)</f>
        <v>Ekstra reduktion opnået</v>
      </c>
      <c r="D448" s="298" t="s">
        <v>183</v>
      </c>
      <c r="E448" s="299" t="s">
        <v>796</v>
      </c>
      <c r="F448" s="298" t="s">
        <v>183</v>
      </c>
      <c r="G448" s="300" t="s">
        <v>797</v>
      </c>
      <c r="H448" s="298" t="s">
        <v>183</v>
      </c>
      <c r="I448" s="297" t="s">
        <v>783</v>
      </c>
      <c r="J448" s="297" t="s">
        <v>822</v>
      </c>
      <c r="K448" s="297" t="str" cm="1">
        <f t="array" aca="1" ref="K448" ca="1">INDIRECT("'"&amp;I448&amp;"'!"&amp;J448)</f>
        <v>Målsætning for scope 3</v>
      </c>
      <c r="L448" s="298" t="s">
        <v>183</v>
      </c>
      <c r="M448" s="297" t="str">
        <f t="shared" ca="1" si="33"/>
        <v>Reference fejl</v>
      </c>
      <c r="N448" s="297" t="str">
        <f ca="1">IF(AND(OR(M448="OK",M449="OK"),M448&lt;&gt;M449),"OK (one is enough)","fejl")</f>
        <v>fejl</v>
      </c>
    </row>
    <row r="449" spans="1:14" x14ac:dyDescent="0.2">
      <c r="A449" s="297" t="s">
        <v>1074</v>
      </c>
      <c r="B449" s="298" t="s">
        <v>183</v>
      </c>
      <c r="C449" s="297" t="str">
        <f>IF(Forside!$D$12="Dansk",Tekstnøgler!E449,Tekstnøgler!G449)</f>
        <v>(ikke relevant)</v>
      </c>
      <c r="D449" s="298" t="s">
        <v>183</v>
      </c>
      <c r="E449" s="299" t="s">
        <v>729</v>
      </c>
      <c r="F449" s="298" t="s">
        <v>183</v>
      </c>
      <c r="G449" s="300" t="s">
        <v>730</v>
      </c>
      <c r="H449" s="298" t="s">
        <v>183</v>
      </c>
      <c r="I449" s="297" t="s">
        <v>783</v>
      </c>
      <c r="J449" s="297" t="s">
        <v>822</v>
      </c>
      <c r="K449" s="297" t="str" cm="1">
        <f t="array" aca="1" ref="K449" ca="1">INDIRECT("'"&amp;I449&amp;"'!"&amp;J449)</f>
        <v>Målsætning for scope 3</v>
      </c>
      <c r="L449" s="298" t="s">
        <v>183</v>
      </c>
      <c r="M449" s="297" t="str">
        <f t="shared" ca="1" si="33"/>
        <v>Reference fejl</v>
      </c>
      <c r="N449" s="297" t="str">
        <f ca="1">IF(AND(OR(M448="OK",M449="OK"),M448&lt;&gt;M449),"OK (one is enough)","fejl")</f>
        <v>fejl</v>
      </c>
    </row>
    <row r="450" spans="1:14" x14ac:dyDescent="0.2">
      <c r="A450" s="297" t="s">
        <v>1075</v>
      </c>
      <c r="B450" s="298" t="s">
        <v>183</v>
      </c>
      <c r="C450" s="297" t="str">
        <f>IF(Forside!$D$12="Dansk",Tekstnøgler!E450,Tekstnøgler!G450)</f>
        <v>Forskel til målet</v>
      </c>
      <c r="D450" s="298" t="s">
        <v>183</v>
      </c>
      <c r="E450" s="299" t="s">
        <v>798</v>
      </c>
      <c r="F450" s="298" t="s">
        <v>183</v>
      </c>
      <c r="G450" s="300" t="s">
        <v>811</v>
      </c>
      <c r="H450" s="298" t="s">
        <v>183</v>
      </c>
      <c r="I450" s="297" t="s">
        <v>783</v>
      </c>
      <c r="J450" s="297" t="s">
        <v>823</v>
      </c>
      <c r="K450" s="297" t="str" cm="1">
        <f t="array" aca="1" ref="K450" ca="1">INDIRECT("'"&amp;I450&amp;"'!"&amp;J450)</f>
        <v>(ikke relevant)</v>
      </c>
      <c r="L450" s="298" t="s">
        <v>183</v>
      </c>
      <c r="M450" s="297" t="str">
        <f t="shared" ca="1" si="33"/>
        <v>Reference fejl</v>
      </c>
      <c r="N450" s="297" t="str">
        <f ca="1">IF(AND(OR(M450="OK",M451="OK"),M450&lt;&gt;M451),"OK (one is enough)","fejl")</f>
        <v>fejl</v>
      </c>
    </row>
    <row r="451" spans="1:14" x14ac:dyDescent="0.2">
      <c r="A451" s="297" t="s">
        <v>1076</v>
      </c>
      <c r="B451" s="298" t="s">
        <v>183</v>
      </c>
      <c r="C451" s="297" t="str">
        <f>IF(Forside!$D$12="Dansk",Tekstnøgler!E451,Tekstnøgler!G451)</f>
        <v>(ikke relevant)</v>
      </c>
      <c r="D451" s="298" t="s">
        <v>183</v>
      </c>
      <c r="E451" s="299" t="s">
        <v>729</v>
      </c>
      <c r="F451" s="298" t="s">
        <v>183</v>
      </c>
      <c r="G451" s="300" t="s">
        <v>730</v>
      </c>
      <c r="H451" s="298" t="s">
        <v>183</v>
      </c>
      <c r="I451" s="297" t="s">
        <v>783</v>
      </c>
      <c r="J451" s="297" t="s">
        <v>823</v>
      </c>
      <c r="K451" s="297" t="str" cm="1">
        <f t="array" aca="1" ref="K451" ca="1">INDIRECT("'"&amp;I451&amp;"'!"&amp;J451)</f>
        <v>(ikke relevant)</v>
      </c>
      <c r="L451" s="298" t="s">
        <v>183</v>
      </c>
      <c r="M451" s="297" t="str">
        <f t="shared" ca="1" si="33"/>
        <v>Reference fejl</v>
      </c>
      <c r="N451" s="297" t="str">
        <f ca="1">IF(AND(OR(M450="OK",M451="OK"),M450&lt;&gt;M451),"OK (one is enough)","fejl")</f>
        <v>fejl</v>
      </c>
    </row>
    <row r="452" spans="1:14" x14ac:dyDescent="0.2">
      <c r="A452" s="297" t="s">
        <v>824</v>
      </c>
      <c r="B452" s="298" t="s">
        <v>183</v>
      </c>
      <c r="C452" s="297" t="str">
        <f>IF(Forside!$D$12="Dansk",Tekstnøgler!E452,Tekstnøgler!G452)</f>
        <v>Langsigtet net zero målsætning</v>
      </c>
      <c r="D452" s="298" t="s">
        <v>183</v>
      </c>
      <c r="E452" s="299" t="s">
        <v>825</v>
      </c>
      <c r="F452" s="298" t="s">
        <v>183</v>
      </c>
      <c r="G452" s="300" t="s">
        <v>1932</v>
      </c>
      <c r="H452" s="298" t="s">
        <v>183</v>
      </c>
      <c r="I452" s="297" t="s">
        <v>783</v>
      </c>
      <c r="J452" s="297" t="s">
        <v>779</v>
      </c>
      <c r="K452" s="297" cm="1">
        <f t="array" aca="1" ref="K452" ca="1">INDIRECT("'"&amp;I452&amp;"'!"&amp;J452)</f>
        <v>0</v>
      </c>
      <c r="L452" s="298" t="s">
        <v>183</v>
      </c>
      <c r="M452" s="297" t="str">
        <f t="shared" ca="1" si="33"/>
        <v>Reference fejl</v>
      </c>
    </row>
    <row r="453" spans="1:14" x14ac:dyDescent="0.2">
      <c r="A453" s="297" t="s">
        <v>1078</v>
      </c>
      <c r="B453" s="298" t="s">
        <v>183</v>
      </c>
      <c r="C453" s="297" t="str">
        <f>IF(Forside!$D$12="Dansk",Tekstnøgler!E453,Tekstnøgler!G453)</f>
        <v>Værd at vide om net zero målsætning:
- Net Zero standarden er SBTi's ramme for en langsigtet målsætning, som følger Paris-aftalens 1,5 graders målsætning.
- Net Zero standarden fastsætter, at virksomheder som minimum skal reducere 90% ift. basisåret senest i 2050.
- Net zero målsætningen skal som minimum dække 95% af en virksomheds scope 1 og 2 udledninger og 90% af virksomhedens scope 3 udledninger.
- Den viste net zero målsætning dækker din virksomheds samlede klimaaftryk.</v>
      </c>
      <c r="D453" s="298" t="s">
        <v>183</v>
      </c>
      <c r="E453" s="299" t="s">
        <v>826</v>
      </c>
      <c r="F453" s="298" t="s">
        <v>183</v>
      </c>
      <c r="G453" s="300" t="s">
        <v>827</v>
      </c>
      <c r="H453" s="298" t="s">
        <v>183</v>
      </c>
      <c r="I453" s="297" t="s">
        <v>783</v>
      </c>
      <c r="J453" s="297" t="s">
        <v>781</v>
      </c>
      <c r="K453" s="297" cm="1">
        <f t="array" aca="1" ref="K453" ca="1">INDIRECT("'"&amp;I453&amp;"'!"&amp;J453)</f>
        <v>0</v>
      </c>
      <c r="L453" s="298" t="s">
        <v>183</v>
      </c>
      <c r="M453" s="297" t="str">
        <f t="shared" ca="1" si="33"/>
        <v>Reference fejl</v>
      </c>
    </row>
    <row r="454" spans="1:14" x14ac:dyDescent="0.2">
      <c r="A454" s="297" t="s">
        <v>1079</v>
      </c>
      <c r="B454" s="298" t="s">
        <v>183</v>
      </c>
      <c r="C454" s="297" t="str">
        <f>IF(Forside!$D$12="Dansk",Tekstnøgler!E454,Tekstnøgler!G454)</f>
        <v>Du kan læse mere om net zero standarden her:</v>
      </c>
      <c r="D454" s="298" t="s">
        <v>183</v>
      </c>
      <c r="E454" s="299" t="s">
        <v>828</v>
      </c>
      <c r="F454" s="298" t="s">
        <v>183</v>
      </c>
      <c r="G454" s="300" t="s">
        <v>829</v>
      </c>
      <c r="H454" s="298" t="s">
        <v>183</v>
      </c>
      <c r="I454" s="297" t="s">
        <v>783</v>
      </c>
      <c r="J454" s="297" t="s">
        <v>830</v>
      </c>
      <c r="K454" s="297" t="str" cm="1">
        <f t="array" aca="1" ref="K454" ca="1">INDIRECT("'"&amp;I454&amp;"'!"&amp;J454)</f>
        <v>Værd at vide om net zero målsætning:
- Net Zero standarden er SBTi's ramme for en langsigtet målsætning, som følger Paris-aftalens 1,5 graders målsætning.
- Net Zero standarden fastsætter, at virksomheder som minimum skal reducere 90% ift. basisåret senest i 2050.
- Net zero målsætningen skal som minimum dække 95% af en virksomheds scope 1 og 2 udledninger og 90% af virksomhedens scope 3 udledninger.
- Den viste net zero målsætning dækker din virksomheds samlede klimaaftryk.</v>
      </c>
      <c r="L454" s="298" t="s">
        <v>183</v>
      </c>
      <c r="M454" s="297" t="str">
        <f t="shared" ref="M454:M455" ca="1" si="35">IF(G454=K454,"OK","Reference fejl")</f>
        <v>Reference fejl</v>
      </c>
    </row>
    <row r="455" spans="1:14" x14ac:dyDescent="0.2">
      <c r="A455" s="297" t="s">
        <v>1080</v>
      </c>
      <c r="B455" s="298" t="s">
        <v>183</v>
      </c>
      <c r="C455" s="297" t="str">
        <f>IF(Forside!$D$12="Dansk",Tekstnøgler!E455,Tekstnøgler!G455)</f>
        <v>Resultater</v>
      </c>
      <c r="D455" s="298" t="s">
        <v>183</v>
      </c>
      <c r="E455" s="299" t="s">
        <v>156</v>
      </c>
      <c r="F455" s="298" t="s">
        <v>183</v>
      </c>
      <c r="G455" s="300" t="s">
        <v>205</v>
      </c>
      <c r="H455" s="298" t="s">
        <v>183</v>
      </c>
      <c r="I455" s="297" t="s">
        <v>783</v>
      </c>
      <c r="J455" s="297" t="s">
        <v>831</v>
      </c>
      <c r="K455" s="297" t="str" cm="1">
        <f t="array" aca="1" ref="K455" ca="1">INDIRECT("'"&amp;I455&amp;"'!"&amp;J455)</f>
        <v>Målsætning</v>
      </c>
      <c r="L455" s="298" t="s">
        <v>183</v>
      </c>
      <c r="M455" s="297" t="str">
        <f t="shared" ca="1" si="35"/>
        <v>Reference fejl</v>
      </c>
    </row>
    <row r="456" spans="1:14" x14ac:dyDescent="0.2">
      <c r="A456" s="297" t="s">
        <v>1081</v>
      </c>
      <c r="B456" s="298" t="s">
        <v>183</v>
      </c>
      <c r="C456" s="297" t="str">
        <f>IF(Forside!$D$12="Dansk",Tekstnøgler!E456,Tekstnøgler!G456)</f>
        <v>Scope 1 - Basisår</v>
      </c>
      <c r="D456" s="298" t="s">
        <v>183</v>
      </c>
      <c r="E456" s="299" t="s">
        <v>832</v>
      </c>
      <c r="F456" s="298" t="s">
        <v>183</v>
      </c>
      <c r="G456" s="300" t="s">
        <v>833</v>
      </c>
      <c r="H456" s="298" t="s">
        <v>183</v>
      </c>
      <c r="I456" s="297" t="s">
        <v>783</v>
      </c>
      <c r="J456" s="297" t="s">
        <v>834</v>
      </c>
      <c r="K456" s="297" t="str" cm="1">
        <f t="array" aca="1" ref="K456" ca="1">INDIRECT("'"&amp;I456&amp;"'!"&amp;J456)</f>
        <v>Resultater</v>
      </c>
      <c r="L456" s="298" t="s">
        <v>183</v>
      </c>
      <c r="M456" s="297" t="str">
        <f t="shared" ca="1" si="33"/>
        <v>Reference fejl</v>
      </c>
    </row>
    <row r="457" spans="1:14" x14ac:dyDescent="0.2">
      <c r="A457" s="297" t="s">
        <v>1082</v>
      </c>
      <c r="B457" s="298" t="s">
        <v>183</v>
      </c>
      <c r="C457" s="297" t="str">
        <f>IF(Forside!$D$12="Dansk",Tekstnøgler!E457,Tekstnøgler!G457)</f>
        <v>Scope 2 - Basisår</v>
      </c>
      <c r="D457" s="298" t="s">
        <v>183</v>
      </c>
      <c r="E457" s="299" t="s">
        <v>835</v>
      </c>
      <c r="F457" s="298" t="s">
        <v>183</v>
      </c>
      <c r="G457" s="300" t="s">
        <v>836</v>
      </c>
      <c r="H457" s="298" t="s">
        <v>183</v>
      </c>
      <c r="I457" s="297" t="s">
        <v>783</v>
      </c>
      <c r="J457" s="297" t="s">
        <v>837</v>
      </c>
      <c r="K457" s="297" t="str" cm="1">
        <f t="array" aca="1" ref="K457" ca="1">INDIRECT("'"&amp;I457&amp;"'!"&amp;J457)</f>
        <v>Scope 1 - Basisår</v>
      </c>
      <c r="L457" s="298" t="s">
        <v>183</v>
      </c>
      <c r="M457" s="297" t="str">
        <f t="shared" ca="1" si="33"/>
        <v>Reference fejl</v>
      </c>
    </row>
    <row r="458" spans="1:14" x14ac:dyDescent="0.2">
      <c r="A458" s="297" t="s">
        <v>1083</v>
      </c>
      <c r="B458" s="298" t="s">
        <v>183</v>
      </c>
      <c r="C458" s="297" t="str">
        <f>IF(Forside!$D$12="Dansk",Tekstnøgler!E458,Tekstnøgler!G458)</f>
        <v>Scope 3 - Basisår</v>
      </c>
      <c r="D458" s="298" t="s">
        <v>183</v>
      </c>
      <c r="E458" s="299" t="s">
        <v>838</v>
      </c>
      <c r="F458" s="298" t="s">
        <v>183</v>
      </c>
      <c r="G458" s="300" t="s">
        <v>839</v>
      </c>
      <c r="H458" s="298" t="s">
        <v>183</v>
      </c>
      <c r="I458" s="297" t="s">
        <v>783</v>
      </c>
      <c r="J458" s="297" t="s">
        <v>840</v>
      </c>
      <c r="K458" s="297" t="str" cm="1">
        <f t="array" aca="1" ref="K458" ca="1">INDIRECT("'"&amp;I458&amp;"'!"&amp;J458)</f>
        <v>Scope 2 - Basisår</v>
      </c>
      <c r="L458" s="298" t="s">
        <v>183</v>
      </c>
      <c r="M458" s="297" t="str">
        <f t="shared" ca="1" si="33"/>
        <v>Reference fejl</v>
      </c>
    </row>
    <row r="459" spans="1:14" x14ac:dyDescent="0.2">
      <c r="A459" s="297" t="s">
        <v>1084</v>
      </c>
      <c r="B459" s="298" t="s">
        <v>183</v>
      </c>
      <c r="C459" s="297" t="str">
        <f>IF(Forside!$D$12="Dansk",Tekstnøgler!E459,Tekstnøgler!G459)</f>
        <v>Total udledning i basisår</v>
      </c>
      <c r="D459" s="298" t="s">
        <v>183</v>
      </c>
      <c r="E459" s="299" t="s">
        <v>841</v>
      </c>
      <c r="F459" s="298" t="s">
        <v>183</v>
      </c>
      <c r="G459" s="300" t="s">
        <v>842</v>
      </c>
      <c r="H459" s="298" t="s">
        <v>183</v>
      </c>
      <c r="I459" s="297" t="s">
        <v>783</v>
      </c>
      <c r="J459" s="297" t="s">
        <v>843</v>
      </c>
      <c r="K459" s="297" t="str" cm="1">
        <f t="array" aca="1" ref="K459" ca="1">INDIRECT("'"&amp;I459&amp;"'!"&amp;J459)</f>
        <v>Scope 3 - Basisår</v>
      </c>
      <c r="L459" s="298" t="s">
        <v>183</v>
      </c>
      <c r="M459" s="297" t="str">
        <f t="shared" ca="1" si="33"/>
        <v>Reference fejl</v>
      </c>
    </row>
    <row r="460" spans="1:14" x14ac:dyDescent="0.2">
      <c r="A460" s="297" t="s">
        <v>1085</v>
      </c>
      <c r="B460" s="298" t="s">
        <v>183</v>
      </c>
      <c r="C460" s="297" t="str">
        <f>IF(Forside!$D$12="Dansk",Tekstnøgler!E460,Tekstnøgler!G460)</f>
        <v>Udledning i målsætningsår</v>
      </c>
      <c r="D460" s="298" t="s">
        <v>183</v>
      </c>
      <c r="E460" s="299" t="s">
        <v>844</v>
      </c>
      <c r="F460" s="298" t="s">
        <v>183</v>
      </c>
      <c r="G460" s="300" t="s">
        <v>845</v>
      </c>
      <c r="H460" s="298" t="s">
        <v>183</v>
      </c>
      <c r="I460" s="297" t="s">
        <v>783</v>
      </c>
      <c r="J460" s="297" t="s">
        <v>846</v>
      </c>
      <c r="K460" s="297" t="str" cm="1">
        <f t="array" aca="1" ref="K460" ca="1">INDIRECT("'"&amp;I460&amp;"'!"&amp;J460)</f>
        <v>Total udledning i basisår</v>
      </c>
      <c r="L460" s="298" t="s">
        <v>183</v>
      </c>
      <c r="M460" s="297" t="str">
        <f t="shared" ca="1" si="33"/>
        <v>Reference fejl</v>
      </c>
    </row>
    <row r="461" spans="1:14" x14ac:dyDescent="0.2">
      <c r="A461" s="297" t="s">
        <v>1086</v>
      </c>
      <c r="B461" s="298" t="s">
        <v>183</v>
      </c>
      <c r="C461" s="297" t="str">
        <f>IF(Forside!$D$12="Dansk",Tekstnøgler!E461,Tekstnøgler!G461)</f>
        <v>Du kan vælge at fastsætte en samlet kortsigtet målsætning for din virksomheds scope 1 og 2. Du kan vælge mellem to metoder: Manuel og Minimum Absolut Emissions Contractions (MAEC). Ved valg af manuel målsætning skal du selv fastsætte målsætningsår samt målsætning. Læs mere om målsætningsmetoderne øverst på siden.</v>
      </c>
      <c r="D461" s="298" t="s">
        <v>183</v>
      </c>
      <c r="E461" s="299" t="s">
        <v>847</v>
      </c>
      <c r="F461" s="298" t="s">
        <v>183</v>
      </c>
      <c r="G461" s="300" t="s">
        <v>848</v>
      </c>
      <c r="H461" s="298" t="s">
        <v>183</v>
      </c>
      <c r="I461" s="297" t="s">
        <v>783</v>
      </c>
      <c r="J461" s="297" t="s">
        <v>849</v>
      </c>
      <c r="K461" s="297" cm="1">
        <f t="array" aca="1" ref="K461" ca="1">INDIRECT("'"&amp;I461&amp;"'!"&amp;J461)</f>
        <v>0</v>
      </c>
      <c r="L461" s="298" t="s">
        <v>183</v>
      </c>
      <c r="M461" s="297" t="str">
        <f t="shared" ca="1" si="33"/>
        <v>Reference fejl</v>
      </c>
    </row>
    <row r="462" spans="1:14" x14ac:dyDescent="0.2">
      <c r="A462" s="297" t="s">
        <v>1087</v>
      </c>
      <c r="B462" s="298" t="s">
        <v>183</v>
      </c>
      <c r="C462" s="297" t="str">
        <f>IF(Forside!$D$12="Dansk",Tekstnøgler!E462,Tekstnøgler!G462)</f>
        <v>Figur 4: Fordeling af udledninger i basisår (ton CO₂e)</v>
      </c>
      <c r="D462" s="298" t="s">
        <v>183</v>
      </c>
      <c r="E462" s="299" t="s">
        <v>1933</v>
      </c>
      <c r="F462" s="298" t="s">
        <v>183</v>
      </c>
      <c r="G462" s="300" t="s">
        <v>1934</v>
      </c>
      <c r="H462" s="298" t="s">
        <v>183</v>
      </c>
      <c r="I462" s="297" t="s">
        <v>783</v>
      </c>
      <c r="J462" s="297" t="s">
        <v>850</v>
      </c>
      <c r="K462" s="297" cm="1">
        <f t="array" aca="1" ref="K462" ca="1">INDIRECT("'"&amp;I462&amp;"'!"&amp;J462)</f>
        <v>0</v>
      </c>
      <c r="L462" s="298" t="s">
        <v>183</v>
      </c>
      <c r="M462" s="297" t="str">
        <f t="shared" ca="1" si="33"/>
        <v>Reference fejl</v>
      </c>
    </row>
    <row r="463" spans="1:14" x14ac:dyDescent="0.2">
      <c r="A463" s="297" t="s">
        <v>1088</v>
      </c>
      <c r="B463" s="298" t="s">
        <v>183</v>
      </c>
      <c r="C463" s="297" t="str">
        <f>IF(Forside!$D$12="Dansk",Tekstnøgler!E463,Tekstnøgler!G463)</f>
        <v>Figur 5: Forskel i udledninger fra baisår til målsætningsår (ton CO₂e)</v>
      </c>
      <c r="D463" s="298" t="s">
        <v>183</v>
      </c>
      <c r="E463" s="299" t="s">
        <v>1935</v>
      </c>
      <c r="F463" s="298" t="s">
        <v>183</v>
      </c>
      <c r="G463" s="300" t="s">
        <v>1936</v>
      </c>
      <c r="H463" s="298" t="s">
        <v>183</v>
      </c>
      <c r="I463" s="297" t="s">
        <v>783</v>
      </c>
      <c r="J463" s="297" t="s">
        <v>851</v>
      </c>
      <c r="K463" s="297" cm="1">
        <f t="array" aca="1" ref="K463" ca="1">INDIRECT("'"&amp;I463&amp;"'!"&amp;J463)</f>
        <v>0</v>
      </c>
      <c r="L463" s="298" t="s">
        <v>183</v>
      </c>
      <c r="M463" s="297" t="str">
        <f t="shared" ca="1" si="33"/>
        <v>Reference fejl</v>
      </c>
    </row>
    <row r="464" spans="1:14" x14ac:dyDescent="0.2">
      <c r="A464" s="297" t="s">
        <v>1089</v>
      </c>
      <c r="B464" s="298" t="s">
        <v>183</v>
      </c>
      <c r="C464" s="297" t="str">
        <f>IF(Forside!$D$12="Dansk",Tekstnøgler!E464,Tekstnøgler!G464)</f>
        <v xml:space="preserve">For at nå det udledningsniveau, som lever op til jeres egen målsætning om en </v>
      </c>
      <c r="D464" s="298" t="s">
        <v>183</v>
      </c>
      <c r="E464" s="299" t="s">
        <v>852</v>
      </c>
      <c r="F464" s="298" t="s">
        <v>183</v>
      </c>
      <c r="G464" s="300" t="s">
        <v>853</v>
      </c>
      <c r="H464" s="298" t="s">
        <v>183</v>
      </c>
      <c r="I464" s="297" t="s">
        <v>783</v>
      </c>
      <c r="J464" s="297" t="s">
        <v>489</v>
      </c>
      <c r="K464" s="297" t="str" cm="1">
        <f t="array" aca="1" ref="K464" ca="1">INDIRECT("'"&amp;I464&amp;"'!"&amp;J464)</f>
        <v>For at nå det udledningsniveau, som lever op til jeres egen målsætning om en 65% reduktion af scope 3 CO₂e-udledninger i 2030, 
skal disse CO₂e-udledninger reduceres med yderligere 44% i forhold til jeres fremskrevne udledninger.</v>
      </c>
      <c r="L464" s="298"/>
      <c r="M464" s="297" t="str">
        <f ca="1">IF(G464=K464,"OK","Reference fejl")</f>
        <v>Reference fejl</v>
      </c>
      <c r="N464" s="333" t="s">
        <v>747</v>
      </c>
    </row>
    <row r="465" spans="1:14" x14ac:dyDescent="0.2">
      <c r="A465" s="297" t="s">
        <v>1090</v>
      </c>
      <c r="B465" s="298" t="s">
        <v>183</v>
      </c>
      <c r="C465" s="297" t="str">
        <f>IF(Forside!$D$12="Dansk",Tekstnøgler!E465,Tekstnøgler!G465)</f>
        <v xml:space="preserve">skal disse CO₂e-udledninger reduceres med yderligere </v>
      </c>
      <c r="D465" s="298" t="s">
        <v>183</v>
      </c>
      <c r="E465" s="299" t="s">
        <v>1937</v>
      </c>
      <c r="F465" s="298" t="s">
        <v>183</v>
      </c>
      <c r="G465" s="300" t="s">
        <v>1938</v>
      </c>
      <c r="H465" s="298" t="s">
        <v>183</v>
      </c>
      <c r="I465" s="297" t="s">
        <v>783</v>
      </c>
      <c r="J465" s="297" t="s">
        <v>489</v>
      </c>
      <c r="K465" s="297" t="str" cm="1">
        <f t="array" aca="1" ref="K465" ca="1">INDIRECT("'"&amp;I465&amp;"'!"&amp;J465)</f>
        <v>For at nå det udledningsniveau, som lever op til jeres egen målsætning om en 65% reduktion af scope 3 CO₂e-udledninger i 2030, 
skal disse CO₂e-udledninger reduceres med yderligere 44% i forhold til jeres fremskrevne udledninger.</v>
      </c>
      <c r="L465" s="298"/>
      <c r="M465" s="297" t="str">
        <f ca="1">IF(G465=K465,"OK","Reference fejl")</f>
        <v>Reference fejl</v>
      </c>
      <c r="N465" s="333" t="s">
        <v>747</v>
      </c>
    </row>
    <row r="466" spans="1:14" x14ac:dyDescent="0.2">
      <c r="A466" s="297" t="s">
        <v>1091</v>
      </c>
      <c r="B466" s="298" t="s">
        <v>183</v>
      </c>
      <c r="C466" s="297" t="str">
        <f>IF(Forside!$D$12="Dansk",Tekstnøgler!E466,Tekstnøgler!G466)</f>
        <v>% i forhold til jeres fremskrevne udledninger.</v>
      </c>
      <c r="D466" s="298" t="s">
        <v>183</v>
      </c>
      <c r="E466" s="299" t="s">
        <v>854</v>
      </c>
      <c r="F466" s="298" t="s">
        <v>183</v>
      </c>
      <c r="G466" s="300" t="s">
        <v>855</v>
      </c>
      <c r="H466" s="298" t="s">
        <v>183</v>
      </c>
      <c r="I466" s="297" t="s">
        <v>783</v>
      </c>
      <c r="J466" s="297" t="s">
        <v>489</v>
      </c>
      <c r="K466" s="297" t="str" cm="1">
        <f t="array" aca="1" ref="K466" ca="1">INDIRECT("'"&amp;I466&amp;"'!"&amp;J466)</f>
        <v>For at nå det udledningsniveau, som lever op til jeres egen målsætning om en 65% reduktion af scope 3 CO₂e-udledninger i 2030, 
skal disse CO₂e-udledninger reduceres med yderligere 44% i forhold til jeres fremskrevne udledninger.</v>
      </c>
      <c r="L466" s="298"/>
      <c r="M466" s="297" t="str">
        <f t="shared" ref="M466" ca="1" si="36">IF(G466=K466,"OK","Reference fejl")</f>
        <v>Reference fejl</v>
      </c>
      <c r="N466" s="333" t="s">
        <v>747</v>
      </c>
    </row>
    <row r="467" spans="1:14" x14ac:dyDescent="0.2">
      <c r="A467" s="297" t="s">
        <v>1092</v>
      </c>
      <c r="B467" s="298" t="s">
        <v>183</v>
      </c>
      <c r="C467" s="297" t="str">
        <f>IF(Forside!$D$12="Dansk",Tekstnøgler!E467,Tekstnøgler!G467)</f>
        <v xml:space="preserve">Det ser ud til at I når det udledningsniveau, som lever op til jeres egen angivne målsætning om en </v>
      </c>
      <c r="D467" s="298" t="s">
        <v>183</v>
      </c>
      <c r="E467" s="299" t="s">
        <v>1156</v>
      </c>
      <c r="F467" s="298" t="s">
        <v>183</v>
      </c>
      <c r="G467" s="300" t="s">
        <v>856</v>
      </c>
      <c r="H467" s="298" t="s">
        <v>183</v>
      </c>
      <c r="I467" s="297" t="s">
        <v>783</v>
      </c>
      <c r="J467" s="297" t="s">
        <v>489</v>
      </c>
      <c r="K467" s="297" t="str" cm="1">
        <f t="array" aca="1" ref="K467" ca="1">INDIRECT("'"&amp;I467&amp;"'!"&amp;J467)</f>
        <v>For at nå det udledningsniveau, som lever op til jeres egen målsætning om en 65% reduktion af scope 3 CO₂e-udledninger i 2030, 
skal disse CO₂e-udledninger reduceres med yderligere 44% i forhold til jeres fremskrevne udledninger.</v>
      </c>
      <c r="L467" s="298"/>
      <c r="M467" s="297" t="str">
        <f t="shared" ref="M467:M469" ca="1" si="37">IF(G467=K467,"OK","Reference fejl")</f>
        <v>Reference fejl</v>
      </c>
      <c r="N467" s="333" t="s">
        <v>747</v>
      </c>
    </row>
    <row r="468" spans="1:14" x14ac:dyDescent="0.2">
      <c r="A468" s="297" t="s">
        <v>1093</v>
      </c>
      <c r="B468" s="298" t="s">
        <v>183</v>
      </c>
      <c r="C468" s="297" t="str">
        <f>IF(Forside!$D$12="Dansk",Tekstnøgler!E468,Tekstnøgler!G468)</f>
        <v>Tillykke! I kan nu vælge at sætte en endnu mere ambitiøs målsætning.</v>
      </c>
      <c r="D468" s="298" t="s">
        <v>183</v>
      </c>
      <c r="E468" s="299" t="s">
        <v>857</v>
      </c>
      <c r="F468" s="298" t="s">
        <v>183</v>
      </c>
      <c r="G468" s="300" t="s">
        <v>858</v>
      </c>
      <c r="H468" s="298" t="s">
        <v>183</v>
      </c>
      <c r="I468" s="297" t="s">
        <v>783</v>
      </c>
      <c r="J468" s="297" t="s">
        <v>489</v>
      </c>
      <c r="K468" s="297" t="str" cm="1">
        <f t="array" aca="1" ref="K468" ca="1">INDIRECT("'"&amp;I468&amp;"'!"&amp;J468)</f>
        <v>For at nå det udledningsniveau, som lever op til jeres egen målsætning om en 65% reduktion af scope 3 CO₂e-udledninger i 2030, 
skal disse CO₂e-udledninger reduceres med yderligere 44% i forhold til jeres fremskrevne udledninger.</v>
      </c>
      <c r="L468" s="298"/>
      <c r="M468" s="297" t="str">
        <f t="shared" ca="1" si="37"/>
        <v>Reference fejl</v>
      </c>
      <c r="N468" s="333" t="s">
        <v>747</v>
      </c>
    </row>
    <row r="469" spans="1:14" x14ac:dyDescent="0.2">
      <c r="A469" s="297" t="s">
        <v>1094</v>
      </c>
      <c r="B469" s="298" t="s">
        <v>183</v>
      </c>
      <c r="C469" s="297" t="str">
        <f>IF(Forside!$D$12="Dansk",Tekstnøgler!E469,Tekstnøgler!G469)</f>
        <v xml:space="preserve">% reduktion af scope 1 og 2 CO₂e-udledninger i </v>
      </c>
      <c r="D469" s="298" t="s">
        <v>183</v>
      </c>
      <c r="E469" s="299" t="s">
        <v>1939</v>
      </c>
      <c r="F469" s="298" t="s">
        <v>183</v>
      </c>
      <c r="G469" s="300" t="s">
        <v>1940</v>
      </c>
      <c r="H469" s="298" t="s">
        <v>183</v>
      </c>
      <c r="I469" s="297" t="s">
        <v>783</v>
      </c>
      <c r="J469" s="297" t="s">
        <v>342</v>
      </c>
      <c r="K469" s="297" t="str" cm="1">
        <f t="array" aca="1" ref="K469" ca="1">INDIRECT("'"&amp;I469&amp;"'!"&amp;J469)</f>
        <v>For at nå det udledningsniveau, som lever op til jeres egen målsætning om en 65% reduktion af scope 3 CO₂e-udledninger i 2030, 
skal disse CO₂e-udledninger reduceres med yderligere 21% i forhold til jeres fremskrevne udledninger.</v>
      </c>
      <c r="L469" s="298"/>
      <c r="M469" s="297" t="str">
        <f t="shared" ca="1" si="37"/>
        <v>Reference fejl</v>
      </c>
      <c r="N469" s="333" t="s">
        <v>747</v>
      </c>
    </row>
    <row r="470" spans="1:14" x14ac:dyDescent="0.2">
      <c r="A470" s="297" t="s">
        <v>1095</v>
      </c>
      <c r="B470" s="298" t="s">
        <v>183</v>
      </c>
      <c r="C470" s="297" t="str">
        <f>IF(Forside!$D$12="Dansk",Tekstnøgler!E470,Tekstnøgler!G470)</f>
        <v xml:space="preserve">% reduktion af scope 3 CO₂e-udledninger i </v>
      </c>
      <c r="D470" s="298" t="s">
        <v>183</v>
      </c>
      <c r="E470" s="299" t="s">
        <v>1941</v>
      </c>
      <c r="F470" s="298" t="s">
        <v>183</v>
      </c>
      <c r="G470" s="300" t="s">
        <v>1942</v>
      </c>
      <c r="H470" s="298" t="s">
        <v>183</v>
      </c>
      <c r="I470" s="297" t="s">
        <v>783</v>
      </c>
      <c r="J470" s="297" t="s">
        <v>489</v>
      </c>
      <c r="K470" s="297" t="str" cm="1">
        <f t="array" aca="1" ref="K470" ca="1">INDIRECT("'"&amp;I470&amp;"'!"&amp;J470)</f>
        <v>For at nå det udledningsniveau, som lever op til jeres egen målsætning om en 65% reduktion af scope 3 CO₂e-udledninger i 2030, 
skal disse CO₂e-udledninger reduceres med yderligere 44% i forhold til jeres fremskrevne udledninger.</v>
      </c>
      <c r="L470" s="298"/>
      <c r="M470" s="297" t="str">
        <f ca="1">IF(G470=K470,"OK","Reference fejl")</f>
        <v>Reference fejl</v>
      </c>
      <c r="N470" s="333" t="s">
        <v>747</v>
      </c>
    </row>
    <row r="471" spans="1:14" x14ac:dyDescent="0.2">
      <c r="B471" s="298" t="s">
        <v>183</v>
      </c>
      <c r="D471" s="298" t="s">
        <v>183</v>
      </c>
      <c r="F471" s="298" t="s">
        <v>183</v>
      </c>
      <c r="H471" s="298" t="s">
        <v>183</v>
      </c>
      <c r="L471" s="298" t="s">
        <v>183</v>
      </c>
    </row>
    <row r="472" spans="1:14" x14ac:dyDescent="0.2">
      <c r="B472" s="298" t="s">
        <v>183</v>
      </c>
      <c r="D472" s="298" t="s">
        <v>183</v>
      </c>
      <c r="F472" s="298" t="s">
        <v>183</v>
      </c>
      <c r="H472" s="298" t="s">
        <v>183</v>
      </c>
      <c r="L472" s="298" t="s">
        <v>183</v>
      </c>
    </row>
    <row r="473" spans="1:14" x14ac:dyDescent="0.2">
      <c r="A473" s="297" t="s">
        <v>859</v>
      </c>
      <c r="B473" s="298" t="s">
        <v>183</v>
      </c>
      <c r="C473" s="297" t="str">
        <f>IF(Forside!$D$12="Dansk",Tekstnøgler!E473,Tekstnøgler!G473)</f>
        <v>Emissionsfaktorer</v>
      </c>
      <c r="D473" s="298" t="s">
        <v>183</v>
      </c>
      <c r="E473" s="299" t="s">
        <v>171</v>
      </c>
      <c r="F473" s="298" t="s">
        <v>183</v>
      </c>
      <c r="G473" s="299" t="s">
        <v>860</v>
      </c>
      <c r="H473" s="298" t="s">
        <v>183</v>
      </c>
      <c r="I473" s="297" t="s">
        <v>171</v>
      </c>
      <c r="J473" s="297" t="s">
        <v>238</v>
      </c>
      <c r="K473" s="297" t="str" cm="1">
        <f t="array" aca="1" ref="K473" ca="1">INDIRECT("'"&amp;I473&amp;"'!"&amp;J473)</f>
        <v>Emissionsfaktorer</v>
      </c>
      <c r="L473" s="298" t="s">
        <v>183</v>
      </c>
      <c r="M473" s="297" t="str">
        <f t="shared" ref="M473:M484" ca="1" si="38">IF(G473=K473,"OK","Reference fejl")</f>
        <v>Reference fejl</v>
      </c>
    </row>
    <row r="474" spans="1:14" x14ac:dyDescent="0.2">
      <c r="A474" s="297" t="s">
        <v>861</v>
      </c>
      <c r="B474" s="298" t="s">
        <v>183</v>
      </c>
      <c r="C474" s="297" t="str">
        <f>IF(Forside!$D$12="Dansk",Tekstnøgler!E474,Tekstnøgler!G474)</f>
        <v>År</v>
      </c>
      <c r="D474" s="298" t="s">
        <v>183</v>
      </c>
      <c r="E474" s="299" t="s">
        <v>31</v>
      </c>
      <c r="F474" s="298" t="s">
        <v>183</v>
      </c>
      <c r="G474" s="299" t="s">
        <v>862</v>
      </c>
      <c r="H474" s="298" t="s">
        <v>183</v>
      </c>
      <c r="I474" s="297" t="s">
        <v>171</v>
      </c>
      <c r="J474" s="297" t="s">
        <v>863</v>
      </c>
      <c r="K474" s="297" t="str" cm="1">
        <f t="array" aca="1" ref="K474" ca="1">INDIRECT("'"&amp;I474&amp;"'!"&amp;J474)</f>
        <v>Emissionsfaktorår</v>
      </c>
      <c r="L474" s="298" t="s">
        <v>183</v>
      </c>
      <c r="M474" s="297" t="str">
        <f t="shared" ca="1" si="38"/>
        <v>Reference fejl</v>
      </c>
    </row>
    <row r="475" spans="1:14" x14ac:dyDescent="0.2">
      <c r="A475" s="297" t="s">
        <v>864</v>
      </c>
      <c r="B475" s="298" t="s">
        <v>183</v>
      </c>
      <c r="C475" s="297" t="str">
        <f>IF(Forside!$D$12="Dansk",Tekstnøgler!E475,Tekstnøgler!G475)</f>
        <v>Tabel med emissionsfaktorer</v>
      </c>
      <c r="D475" s="298" t="s">
        <v>183</v>
      </c>
      <c r="E475" s="299" t="s">
        <v>865</v>
      </c>
      <c r="F475" s="298" t="s">
        <v>183</v>
      </c>
      <c r="G475" s="299" t="s">
        <v>866</v>
      </c>
      <c r="H475" s="298" t="s">
        <v>183</v>
      </c>
      <c r="I475" s="297" t="s">
        <v>171</v>
      </c>
      <c r="J475" s="297" t="s">
        <v>188</v>
      </c>
      <c r="K475" s="297" t="str" cm="1">
        <f t="array" aca="1" ref="K475" ca="1">INDIRECT("'"&amp;I475&amp;"'!"&amp;J475)</f>
        <v>Tabel med emissionsfaktorer</v>
      </c>
      <c r="L475" s="298" t="s">
        <v>183</v>
      </c>
      <c r="M475" s="297" t="str">
        <f t="shared" ca="1" si="38"/>
        <v>Reference fejl</v>
      </c>
    </row>
    <row r="476" spans="1:14" x14ac:dyDescent="0.2">
      <c r="A476" s="297" t="s">
        <v>867</v>
      </c>
      <c r="B476" s="298" t="s">
        <v>183</v>
      </c>
      <c r="C476" s="297" t="str">
        <f>IF(Forside!$D$12="Dansk",Tekstnøgler!E476,Tekstnøgler!G476)</f>
        <v xml:space="preserve">Hovedkategori
</v>
      </c>
      <c r="D476" s="298" t="s">
        <v>183</v>
      </c>
      <c r="E476" s="299" t="s">
        <v>1943</v>
      </c>
      <c r="F476" s="298" t="s">
        <v>183</v>
      </c>
      <c r="G476" s="299" t="s">
        <v>345</v>
      </c>
      <c r="H476" s="298" t="s">
        <v>183</v>
      </c>
      <c r="I476" s="297" t="s">
        <v>171</v>
      </c>
      <c r="J476" s="297" t="s">
        <v>189</v>
      </c>
      <c r="K476" s="297" t="str" cm="1">
        <f t="array" aca="1" ref="K476" ca="1">INDIRECT("'"&amp;I476&amp;"'!"&amp;J476)</f>
        <v xml:space="preserve">Hovedkategori
</v>
      </c>
      <c r="L476" s="298" t="s">
        <v>183</v>
      </c>
      <c r="M476" s="297" t="str">
        <f t="shared" ca="1" si="38"/>
        <v>Reference fejl</v>
      </c>
    </row>
    <row r="477" spans="1:14" x14ac:dyDescent="0.2">
      <c r="A477" s="298" t="s">
        <v>868</v>
      </c>
      <c r="B477" s="298" t="s">
        <v>183</v>
      </c>
      <c r="C477" s="297" t="str">
        <f>IF(Forside!$D$12="Dansk",Tekstnøgler!E477,Tekstnøgler!G477)</f>
        <v>Parameter</v>
      </c>
      <c r="D477" s="298" t="s">
        <v>183</v>
      </c>
      <c r="E477" s="299" t="s">
        <v>91</v>
      </c>
      <c r="F477" s="298" t="s">
        <v>183</v>
      </c>
      <c r="G477" s="299" t="s">
        <v>91</v>
      </c>
      <c r="H477" s="298" t="s">
        <v>183</v>
      </c>
      <c r="I477" s="297" t="s">
        <v>171</v>
      </c>
      <c r="J477" s="297" t="s">
        <v>324</v>
      </c>
      <c r="K477" s="297" t="str" cm="1">
        <f t="array" aca="1" ref="K477" ca="1">INDIRECT("'"&amp;I477&amp;"'!"&amp;J477)</f>
        <v xml:space="preserve">Kategori
</v>
      </c>
      <c r="L477" s="298" t="s">
        <v>183</v>
      </c>
      <c r="M477" s="297" t="str">
        <f t="shared" ca="1" si="38"/>
        <v>Reference fejl</v>
      </c>
    </row>
    <row r="478" spans="1:14" x14ac:dyDescent="0.2">
      <c r="A478" s="297" t="s">
        <v>869</v>
      </c>
      <c r="B478" s="298" t="s">
        <v>183</v>
      </c>
      <c r="C478" s="297" t="str">
        <f>IF(Forside!$D$12="Dansk",Tekstnøgler!E478,Tekstnøgler!G478)</f>
        <v>Parameter 2</v>
      </c>
      <c r="D478" s="298" t="s">
        <v>183</v>
      </c>
      <c r="E478" s="299" t="s">
        <v>870</v>
      </c>
      <c r="F478" s="298" t="s">
        <v>183</v>
      </c>
      <c r="G478" s="299" t="s">
        <v>870</v>
      </c>
      <c r="H478" s="298" t="s">
        <v>183</v>
      </c>
      <c r="I478" s="297" t="s">
        <v>171</v>
      </c>
      <c r="J478" s="297" t="s">
        <v>707</v>
      </c>
      <c r="K478" s="297" t="str" cm="1">
        <f t="array" aca="1" ref="K478" ca="1">INDIRECT("'"&amp;I478&amp;"'!"&amp;J478)</f>
        <v>Parameter</v>
      </c>
      <c r="L478" s="298" t="s">
        <v>183</v>
      </c>
      <c r="M478" s="297" t="str">
        <f t="shared" ca="1" si="38"/>
        <v>Reference fejl</v>
      </c>
    </row>
    <row r="479" spans="1:14" x14ac:dyDescent="0.2">
      <c r="A479" s="298" t="s">
        <v>871</v>
      </c>
      <c r="B479" s="298" t="s">
        <v>183</v>
      </c>
      <c r="C479" s="297" t="str">
        <f>IF(Forside!$D$12="Dansk",Tekstnøgler!E479,Tekstnøgler!G479)</f>
        <v>Enhed</v>
      </c>
      <c r="D479" s="298" t="s">
        <v>183</v>
      </c>
      <c r="E479" s="299" t="s">
        <v>597</v>
      </c>
      <c r="F479" s="298" t="s">
        <v>183</v>
      </c>
      <c r="G479" s="299" t="s">
        <v>598</v>
      </c>
      <c r="H479" s="298" t="s">
        <v>183</v>
      </c>
      <c r="I479" s="297" t="s">
        <v>171</v>
      </c>
      <c r="J479" s="297" t="s">
        <v>872</v>
      </c>
      <c r="K479" s="297" t="str" cm="1">
        <f t="array" aca="1" ref="K479" ca="1">INDIRECT("'"&amp;I479&amp;"'!"&amp;J479)</f>
        <v>Parameter 2</v>
      </c>
      <c r="L479" s="298" t="s">
        <v>183</v>
      </c>
      <c r="M479" s="297" t="str">
        <f t="shared" ca="1" si="38"/>
        <v>Reference fejl</v>
      </c>
    </row>
    <row r="480" spans="1:14" x14ac:dyDescent="0.2">
      <c r="A480" s="299" t="s">
        <v>768</v>
      </c>
      <c r="B480" s="298" t="s">
        <v>183</v>
      </c>
      <c r="C480" s="297" t="str">
        <f>IF(Forside!$D$12="Dansk",Tekstnøgler!E480,Tekstnøgler!G480)</f>
        <v>Scope 1 - faktor</v>
      </c>
      <c r="D480" s="298" t="s">
        <v>183</v>
      </c>
      <c r="E480" s="299" t="s">
        <v>873</v>
      </c>
      <c r="F480" s="298" t="s">
        <v>183</v>
      </c>
      <c r="G480" s="299" t="s">
        <v>874</v>
      </c>
      <c r="H480" s="298" t="s">
        <v>183</v>
      </c>
      <c r="I480" s="297" t="s">
        <v>171</v>
      </c>
      <c r="J480" s="297" t="s">
        <v>875</v>
      </c>
      <c r="K480" s="297" t="str" cm="1">
        <f t="array" aca="1" ref="K480" ca="1">INDIRECT("'"&amp;I480&amp;"'!"&amp;J480)</f>
        <v>Enhed</v>
      </c>
      <c r="L480" s="298" t="s">
        <v>183</v>
      </c>
      <c r="M480" s="297" t="str">
        <f t="shared" ca="1" si="38"/>
        <v>Reference fejl</v>
      </c>
    </row>
    <row r="481" spans="1:13" x14ac:dyDescent="0.2">
      <c r="A481" s="298" t="s">
        <v>770</v>
      </c>
      <c r="B481" s="298" t="s">
        <v>183</v>
      </c>
      <c r="C481" s="297" t="str">
        <f>IF(Forside!$D$12="Dansk",Tekstnøgler!E481,Tekstnøgler!G481)</f>
        <v>Scope 2 - faktor</v>
      </c>
      <c r="D481" s="298" t="s">
        <v>183</v>
      </c>
      <c r="E481" s="299" t="s">
        <v>876</v>
      </c>
      <c r="F481" s="298" t="s">
        <v>183</v>
      </c>
      <c r="G481" s="299" t="s">
        <v>877</v>
      </c>
      <c r="H481" s="298" t="s">
        <v>183</v>
      </c>
      <c r="I481" s="297" t="s">
        <v>171</v>
      </c>
      <c r="J481" s="297" t="s">
        <v>878</v>
      </c>
      <c r="K481" s="297" t="str" cm="1">
        <f t="array" aca="1" ref="K481" ca="1">INDIRECT("'"&amp;I481&amp;"'!"&amp;J481)</f>
        <v>Scope 1 - faktor</v>
      </c>
      <c r="L481" s="298" t="s">
        <v>183</v>
      </c>
      <c r="M481" s="297" t="str">
        <f t="shared" ca="1" si="38"/>
        <v>Reference fejl</v>
      </c>
    </row>
    <row r="482" spans="1:13" x14ac:dyDescent="0.2">
      <c r="A482" s="299" t="s">
        <v>772</v>
      </c>
      <c r="B482" s="298" t="s">
        <v>183</v>
      </c>
      <c r="C482" s="297" t="str">
        <f>IF(Forside!$D$12="Dansk",Tekstnøgler!E482,Tekstnøgler!G482)</f>
        <v>Scope 3 - faktor</v>
      </c>
      <c r="D482" s="298" t="s">
        <v>183</v>
      </c>
      <c r="E482" s="299" t="s">
        <v>879</v>
      </c>
      <c r="F482" s="298" t="s">
        <v>183</v>
      </c>
      <c r="G482" s="299" t="s">
        <v>880</v>
      </c>
      <c r="H482" s="298" t="s">
        <v>183</v>
      </c>
      <c r="I482" s="297" t="s">
        <v>171</v>
      </c>
      <c r="J482" s="297" t="s">
        <v>881</v>
      </c>
      <c r="K482" s="297" t="str" cm="1">
        <f t="array" aca="1" ref="K482" ca="1">INDIRECT("'"&amp;I482&amp;"'!"&amp;J482)</f>
        <v>Scope 2 - faktor</v>
      </c>
      <c r="L482" s="298" t="s">
        <v>183</v>
      </c>
      <c r="M482" s="297" t="str">
        <f t="shared" ca="1" si="38"/>
        <v>Reference fejl</v>
      </c>
    </row>
    <row r="483" spans="1:13" x14ac:dyDescent="0.2">
      <c r="A483" s="298" t="s">
        <v>882</v>
      </c>
      <c r="B483" s="298" t="s">
        <v>183</v>
      </c>
      <c r="C483" s="297" t="str">
        <f>IF(Forside!$D$12="Dansk",Tekstnøgler!E483,Tekstnøgler!G483)</f>
        <v>Udenfor scope - faktor</v>
      </c>
      <c r="D483" s="298" t="s">
        <v>183</v>
      </c>
      <c r="E483" s="299" t="s">
        <v>883</v>
      </c>
      <c r="F483" s="298" t="s">
        <v>183</v>
      </c>
      <c r="G483" s="299" t="s">
        <v>1944</v>
      </c>
      <c r="H483" s="298" t="s">
        <v>183</v>
      </c>
      <c r="I483" s="297" t="s">
        <v>171</v>
      </c>
      <c r="J483" s="297" t="s">
        <v>884</v>
      </c>
      <c r="K483" s="297" t="str" cm="1">
        <f t="array" aca="1" ref="K483" ca="1">INDIRECT("'"&amp;I483&amp;"'!"&amp;J483)</f>
        <v>Scope 3 - faktor</v>
      </c>
      <c r="L483" s="298" t="s">
        <v>183</v>
      </c>
      <c r="M483" s="297" t="str">
        <f t="shared" ca="1" si="38"/>
        <v>Reference fejl</v>
      </c>
    </row>
    <row r="484" spans="1:13" x14ac:dyDescent="0.2">
      <c r="A484" s="297" t="s">
        <v>885</v>
      </c>
      <c r="B484" s="298" t="s">
        <v>183</v>
      </c>
      <c r="C484" s="297" t="str">
        <f>IF(Forside!$D$12="Dansk",Tekstnøgler!E484,Tekstnøgler!G484)</f>
        <v xml:space="preserve">Kilde (år)
</v>
      </c>
      <c r="D484" s="298" t="s">
        <v>183</v>
      </c>
      <c r="E484" s="299" t="s">
        <v>1945</v>
      </c>
      <c r="F484" s="298" t="s">
        <v>183</v>
      </c>
      <c r="G484" s="299" t="s">
        <v>886</v>
      </c>
      <c r="H484" s="298" t="s">
        <v>183</v>
      </c>
      <c r="I484" s="297" t="s">
        <v>171</v>
      </c>
      <c r="J484" s="297" t="s">
        <v>887</v>
      </c>
      <c r="K484" s="297" t="str" cm="1">
        <f t="array" aca="1" ref="K484" ca="1">INDIRECT("'"&amp;I484&amp;"'!"&amp;J484)</f>
        <v>Udenfor scope - faktor</v>
      </c>
      <c r="L484" s="298" t="s">
        <v>183</v>
      </c>
      <c r="M484" s="297" t="str">
        <f t="shared" ca="1" si="38"/>
        <v>Reference fejl</v>
      </c>
    </row>
    <row r="485" spans="1:13" x14ac:dyDescent="0.2">
      <c r="B485" s="298" t="s">
        <v>183</v>
      </c>
      <c r="D485" s="298" t="s">
        <v>183</v>
      </c>
      <c r="F485" s="298" t="s">
        <v>183</v>
      </c>
      <c r="H485" s="298" t="s">
        <v>183</v>
      </c>
      <c r="L485" s="298" t="s">
        <v>183</v>
      </c>
    </row>
    <row r="486" spans="1:13" x14ac:dyDescent="0.2">
      <c r="B486" s="298" t="s">
        <v>183</v>
      </c>
      <c r="D486" s="298" t="s">
        <v>183</v>
      </c>
      <c r="F486" s="298" t="s">
        <v>183</v>
      </c>
      <c r="H486" s="298" t="s">
        <v>183</v>
      </c>
      <c r="L486" s="298" t="s">
        <v>183</v>
      </c>
    </row>
    <row r="487" spans="1:13" x14ac:dyDescent="0.2">
      <c r="A487" s="297" t="s">
        <v>888</v>
      </c>
      <c r="B487" s="298" t="s">
        <v>183</v>
      </c>
      <c r="C487" s="297" t="str">
        <f>IF(Forside!$D$12="Dansk",Tekstnøgler!E487,Tekstnøgler!G487)</f>
        <v xml:space="preserve">Tabel med egne emissionsfaktorer
</v>
      </c>
      <c r="D487" s="298" t="s">
        <v>183</v>
      </c>
      <c r="E487" s="299" t="s">
        <v>1946</v>
      </c>
      <c r="F487" s="298" t="s">
        <v>183</v>
      </c>
      <c r="G487" s="300" t="s">
        <v>893</v>
      </c>
      <c r="H487" s="298" t="s">
        <v>183</v>
      </c>
      <c r="I487" s="297" t="s">
        <v>889</v>
      </c>
      <c r="J487" s="297" t="s">
        <v>238</v>
      </c>
      <c r="K487" s="297" t="str" cm="1">
        <f t="array" aca="1" ref="K487" ca="1">INDIRECT("'"&amp;I487&amp;"'!"&amp;J487)</f>
        <v xml:space="preserve">Tabel med egne emissionsfaktorer
</v>
      </c>
      <c r="L487" s="298" t="s">
        <v>183</v>
      </c>
      <c r="M487" s="297" t="str">
        <f t="shared" ref="M487:M497" ca="1" si="39">IF(G487=K487,"OK","Reference fejl")</f>
        <v>Reference fejl</v>
      </c>
    </row>
    <row r="488" spans="1:13" x14ac:dyDescent="0.2">
      <c r="A488" s="297" t="s">
        <v>861</v>
      </c>
      <c r="B488" s="298" t="s">
        <v>183</v>
      </c>
      <c r="C488" s="297" t="str">
        <f>IF(Forside!$D$12="Dansk",Tekstnøgler!E488,Tekstnøgler!G488)</f>
        <v>År</v>
      </c>
      <c r="D488" s="298" t="s">
        <v>183</v>
      </c>
      <c r="E488" s="299" t="s">
        <v>31</v>
      </c>
      <c r="F488" s="298" t="s">
        <v>183</v>
      </c>
      <c r="G488" s="300" t="s">
        <v>862</v>
      </c>
      <c r="H488" s="298" t="s">
        <v>183</v>
      </c>
      <c r="I488" s="297" t="s">
        <v>889</v>
      </c>
      <c r="J488" s="297" t="s">
        <v>863</v>
      </c>
      <c r="K488" s="297" t="str" cm="1">
        <f t="array" aca="1" ref="K488" ca="1">INDIRECT("'"&amp;I488&amp;"'!"&amp;J488)</f>
        <v xml:space="preserve">Beregningens startår
</v>
      </c>
      <c r="L488" s="298" t="s">
        <v>183</v>
      </c>
      <c r="M488" s="297" t="str">
        <f t="shared" ca="1" si="39"/>
        <v>Reference fejl</v>
      </c>
    </row>
    <row r="489" spans="1:13" x14ac:dyDescent="0.2">
      <c r="A489" s="297" t="s">
        <v>891</v>
      </c>
      <c r="B489" s="298" t="s">
        <v>183</v>
      </c>
      <c r="C489" s="297" t="str">
        <f>IF(Forside!$D$12="Dansk",Tekstnøgler!E489,Tekstnøgler!G489)</f>
        <v>Tabel med egne emissionsfaktorer</v>
      </c>
      <c r="D489" s="298" t="s">
        <v>183</v>
      </c>
      <c r="E489" s="299" t="s">
        <v>892</v>
      </c>
      <c r="F489" s="298" t="s">
        <v>183</v>
      </c>
      <c r="G489" s="300" t="s">
        <v>893</v>
      </c>
      <c r="H489" s="298" t="s">
        <v>183</v>
      </c>
      <c r="I489" s="297" t="s">
        <v>889</v>
      </c>
      <c r="J489" s="297" t="s">
        <v>188</v>
      </c>
      <c r="K489" s="297" t="str" cm="1">
        <f t="array" aca="1" ref="K489" ca="1">INDIRECT("'"&amp;I489&amp;"'!"&amp;J489)</f>
        <v>Tabel med egne emissionsfaktorer</v>
      </c>
      <c r="L489" s="298" t="s">
        <v>183</v>
      </c>
      <c r="M489" s="297" t="str">
        <f t="shared" ca="1" si="39"/>
        <v>Reference fejl</v>
      </c>
    </row>
    <row r="490" spans="1:13" x14ac:dyDescent="0.2">
      <c r="A490" s="297" t="s">
        <v>867</v>
      </c>
      <c r="B490" s="298" t="s">
        <v>183</v>
      </c>
      <c r="C490" s="297" t="str">
        <f>IF(Forside!$D$12="Dansk",Tekstnøgler!E490,Tekstnøgler!G490)</f>
        <v xml:space="preserve">Hovedkategori
</v>
      </c>
      <c r="D490" s="298" t="s">
        <v>183</v>
      </c>
      <c r="E490" s="299" t="s">
        <v>1943</v>
      </c>
      <c r="F490" s="298" t="s">
        <v>183</v>
      </c>
      <c r="G490" s="300" t="s">
        <v>345</v>
      </c>
      <c r="H490" s="298" t="s">
        <v>183</v>
      </c>
      <c r="I490" s="297" t="s">
        <v>889</v>
      </c>
      <c r="J490" s="297" t="s">
        <v>189</v>
      </c>
      <c r="K490" s="297" t="str" cm="1">
        <f t="array" aca="1" ref="K490" ca="1">INDIRECT("'"&amp;I490&amp;"'!"&amp;J490)</f>
        <v xml:space="preserve">Hovedkategori
</v>
      </c>
      <c r="L490" s="298" t="s">
        <v>183</v>
      </c>
      <c r="M490" s="297" t="str">
        <f t="shared" ca="1" si="39"/>
        <v>Reference fejl</v>
      </c>
    </row>
    <row r="491" spans="1:13" x14ac:dyDescent="0.2">
      <c r="A491" s="298" t="s">
        <v>894</v>
      </c>
      <c r="B491" s="298" t="s">
        <v>183</v>
      </c>
      <c r="C491" s="297" t="str">
        <f>IF(Forside!$D$12="Dansk",Tekstnøgler!E491,Tekstnøgler!G491)</f>
        <v xml:space="preserve">Kategori
</v>
      </c>
      <c r="D491" s="298" t="s">
        <v>183</v>
      </c>
      <c r="E491" s="299" t="s">
        <v>1947</v>
      </c>
      <c r="F491" s="298" t="s">
        <v>183</v>
      </c>
      <c r="G491" s="300" t="s">
        <v>645</v>
      </c>
      <c r="H491" s="298" t="s">
        <v>183</v>
      </c>
      <c r="I491" s="297" t="s">
        <v>889</v>
      </c>
      <c r="J491" s="297" t="s">
        <v>324</v>
      </c>
      <c r="K491" s="297" t="str" cm="1">
        <f t="array" aca="1" ref="K491" ca="1">INDIRECT("'"&amp;I491&amp;"'!"&amp;J491)</f>
        <v xml:space="preserve">Kategori
</v>
      </c>
      <c r="L491" s="298" t="s">
        <v>183</v>
      </c>
      <c r="M491" s="297" t="str">
        <f t="shared" ca="1" si="39"/>
        <v>Reference fejl</v>
      </c>
    </row>
    <row r="492" spans="1:13" x14ac:dyDescent="0.2">
      <c r="A492" s="297" t="s">
        <v>895</v>
      </c>
      <c r="B492" s="298" t="s">
        <v>183</v>
      </c>
      <c r="C492" s="297" t="str">
        <f>IF(Forside!$D$12="Dansk",Tekstnøgler!E492,Tekstnøgler!G492)</f>
        <v xml:space="preserve">Beskrivelse
</v>
      </c>
      <c r="D492" s="298" t="s">
        <v>183</v>
      </c>
      <c r="E492" s="299" t="s">
        <v>1948</v>
      </c>
      <c r="F492" s="298" t="s">
        <v>183</v>
      </c>
      <c r="G492" s="300" t="s">
        <v>685</v>
      </c>
      <c r="H492" s="298" t="s">
        <v>183</v>
      </c>
      <c r="I492" s="297" t="s">
        <v>889</v>
      </c>
      <c r="J492" s="297" t="s">
        <v>707</v>
      </c>
      <c r="K492" s="297" t="str" cm="1">
        <f t="array" aca="1" ref="K492" ca="1">INDIRECT("'"&amp;I492&amp;"'!"&amp;J492)</f>
        <v xml:space="preserve">Beskrivelse
</v>
      </c>
      <c r="L492" s="298" t="s">
        <v>183</v>
      </c>
      <c r="M492" s="297" t="str">
        <f t="shared" ca="1" si="39"/>
        <v>Reference fejl</v>
      </c>
    </row>
    <row r="493" spans="1:13" x14ac:dyDescent="0.2">
      <c r="A493" s="298" t="s">
        <v>871</v>
      </c>
      <c r="B493" s="298" t="s">
        <v>183</v>
      </c>
      <c r="C493" s="297" t="str">
        <f>IF(Forside!$D$12="Dansk",Tekstnøgler!E493,Tekstnøgler!G493)</f>
        <v>Enhed</v>
      </c>
      <c r="D493" s="298" t="s">
        <v>183</v>
      </c>
      <c r="E493" s="299" t="s">
        <v>597</v>
      </c>
      <c r="F493" s="298" t="s">
        <v>183</v>
      </c>
      <c r="G493" s="300" t="s">
        <v>598</v>
      </c>
      <c r="H493" s="298" t="s">
        <v>183</v>
      </c>
      <c r="I493" s="297" t="s">
        <v>889</v>
      </c>
      <c r="J493" s="297" t="s">
        <v>872</v>
      </c>
      <c r="K493" s="297" t="str" cm="1">
        <f t="array" aca="1" ref="K493" ca="1">INDIRECT("'"&amp;I493&amp;"'!"&amp;J493)</f>
        <v>Enhed</v>
      </c>
      <c r="L493" s="298" t="s">
        <v>183</v>
      </c>
      <c r="M493" s="297" t="str">
        <f t="shared" ca="1" si="39"/>
        <v>Reference fejl</v>
      </c>
    </row>
    <row r="494" spans="1:13" x14ac:dyDescent="0.2">
      <c r="A494" s="299" t="s">
        <v>768</v>
      </c>
      <c r="B494" s="298" t="s">
        <v>183</v>
      </c>
      <c r="C494" s="297" t="str">
        <f>IF(Forside!$D$12="Dansk",Tekstnøgler!E494,Tekstnøgler!G494)</f>
        <v>Scope 1 - faktor</v>
      </c>
      <c r="D494" s="298" t="s">
        <v>183</v>
      </c>
      <c r="E494" s="299" t="s">
        <v>873</v>
      </c>
      <c r="F494" s="298" t="s">
        <v>183</v>
      </c>
      <c r="G494" s="300" t="s">
        <v>874</v>
      </c>
      <c r="H494" s="298" t="s">
        <v>183</v>
      </c>
      <c r="I494" s="297" t="s">
        <v>889</v>
      </c>
      <c r="J494" s="297" t="s">
        <v>875</v>
      </c>
      <c r="K494" s="297" t="str" cm="1">
        <f t="array" aca="1" ref="K494" ca="1">INDIRECT("'"&amp;I494&amp;"'!"&amp;J494)</f>
        <v>Scope 1 - faktor</v>
      </c>
      <c r="L494" s="298" t="s">
        <v>183</v>
      </c>
      <c r="M494" s="297" t="str">
        <f t="shared" ca="1" si="39"/>
        <v>Reference fejl</v>
      </c>
    </row>
    <row r="495" spans="1:13" x14ac:dyDescent="0.2">
      <c r="A495" s="298" t="s">
        <v>770</v>
      </c>
      <c r="B495" s="298" t="s">
        <v>183</v>
      </c>
      <c r="C495" s="297" t="str">
        <f>IF(Forside!$D$12="Dansk",Tekstnøgler!E495,Tekstnøgler!G495)</f>
        <v>Scope 2 - faktor</v>
      </c>
      <c r="D495" s="298" t="s">
        <v>183</v>
      </c>
      <c r="E495" s="299" t="s">
        <v>876</v>
      </c>
      <c r="F495" s="298" t="s">
        <v>183</v>
      </c>
      <c r="G495" s="300" t="s">
        <v>877</v>
      </c>
      <c r="H495" s="298" t="s">
        <v>183</v>
      </c>
      <c r="I495" s="297" t="s">
        <v>889</v>
      </c>
      <c r="J495" s="297" t="s">
        <v>878</v>
      </c>
      <c r="K495" s="297" t="str" cm="1">
        <f t="array" aca="1" ref="K495" ca="1">INDIRECT("'"&amp;I495&amp;"'!"&amp;J495)</f>
        <v>Scope 2 - faktor</v>
      </c>
      <c r="L495" s="298" t="s">
        <v>183</v>
      </c>
      <c r="M495" s="297" t="str">
        <f t="shared" ca="1" si="39"/>
        <v>Reference fejl</v>
      </c>
    </row>
    <row r="496" spans="1:13" x14ac:dyDescent="0.2">
      <c r="A496" s="299" t="s">
        <v>772</v>
      </c>
      <c r="B496" s="298" t="s">
        <v>183</v>
      </c>
      <c r="C496" s="297" t="str">
        <f>IF(Forside!$D$12="Dansk",Tekstnøgler!E496,Tekstnøgler!G496)</f>
        <v>Scope 3 - faktor</v>
      </c>
      <c r="D496" s="298" t="s">
        <v>183</v>
      </c>
      <c r="E496" s="299" t="s">
        <v>879</v>
      </c>
      <c r="F496" s="298" t="s">
        <v>183</v>
      </c>
      <c r="G496" s="300" t="s">
        <v>880</v>
      </c>
      <c r="H496" s="298" t="s">
        <v>183</v>
      </c>
      <c r="I496" s="297" t="s">
        <v>889</v>
      </c>
      <c r="J496" s="297" t="s">
        <v>881</v>
      </c>
      <c r="K496" s="297" t="str" cm="1">
        <f t="array" aca="1" ref="K496" ca="1">INDIRECT("'"&amp;I496&amp;"'!"&amp;J496)</f>
        <v>Scope 3 - faktor</v>
      </c>
      <c r="L496" s="298" t="s">
        <v>183</v>
      </c>
      <c r="M496" s="297" t="str">
        <f t="shared" ca="1" si="39"/>
        <v>Reference fejl</v>
      </c>
    </row>
    <row r="497" spans="1:13" x14ac:dyDescent="0.2">
      <c r="A497" s="298" t="s">
        <v>882</v>
      </c>
      <c r="B497" s="298" t="s">
        <v>183</v>
      </c>
      <c r="C497" s="297" t="str">
        <f>IF(Forside!$D$12="Dansk",Tekstnøgler!E497,Tekstnøgler!G497)</f>
        <v>Udenfor scope - faktor</v>
      </c>
      <c r="D497" s="298" t="s">
        <v>183</v>
      </c>
      <c r="E497" s="299" t="s">
        <v>883</v>
      </c>
      <c r="F497" s="298" t="s">
        <v>183</v>
      </c>
      <c r="G497" s="300" t="s">
        <v>1944</v>
      </c>
      <c r="H497" s="298" t="s">
        <v>183</v>
      </c>
      <c r="I497" s="297" t="s">
        <v>889</v>
      </c>
      <c r="J497" s="297" t="s">
        <v>884</v>
      </c>
      <c r="K497" s="297" t="str" cm="1">
        <f t="array" aca="1" ref="K497" ca="1">INDIRECT("'"&amp;I497&amp;"'!"&amp;J497)</f>
        <v>Udenfor scope - faktor</v>
      </c>
      <c r="L497" s="298" t="s">
        <v>183</v>
      </c>
      <c r="M497" s="297" t="str">
        <f t="shared" ca="1" si="39"/>
        <v>Reference fejl</v>
      </c>
    </row>
    <row r="498" spans="1:13" x14ac:dyDescent="0.2">
      <c r="B498" s="298" t="s">
        <v>183</v>
      </c>
      <c r="D498" s="298" t="s">
        <v>183</v>
      </c>
      <c r="F498" s="298" t="s">
        <v>183</v>
      </c>
      <c r="H498" s="298" t="s">
        <v>183</v>
      </c>
      <c r="L498" s="298" t="s">
        <v>183</v>
      </c>
    </row>
    <row r="499" spans="1:13" x14ac:dyDescent="0.2">
      <c r="B499" s="298" t="s">
        <v>183</v>
      </c>
      <c r="D499" s="298" t="s">
        <v>183</v>
      </c>
      <c r="F499" s="298" t="s">
        <v>183</v>
      </c>
      <c r="H499" s="298" t="s">
        <v>183</v>
      </c>
      <c r="L499" s="298" t="s">
        <v>183</v>
      </c>
    </row>
    <row r="500" spans="1:13" x14ac:dyDescent="0.2">
      <c r="A500" s="297" t="s">
        <v>896</v>
      </c>
      <c r="B500" s="298" t="s">
        <v>183</v>
      </c>
      <c r="C500" s="297" t="str">
        <f>IF(Forside!$D$12="Dansk",Tekstnøgler!E500,Tekstnøgler!G500)</f>
        <v>Emissionsfaktorer for fremskrivning</v>
      </c>
      <c r="D500" s="298" t="s">
        <v>183</v>
      </c>
      <c r="E500" s="299" t="s">
        <v>897</v>
      </c>
      <c r="F500" s="298" t="s">
        <v>183</v>
      </c>
      <c r="G500" s="300" t="s">
        <v>1949</v>
      </c>
      <c r="H500" s="298" t="s">
        <v>183</v>
      </c>
      <c r="I500" s="297" t="s">
        <v>173</v>
      </c>
      <c r="J500" s="297" t="s">
        <v>238</v>
      </c>
      <c r="K500" s="297" t="str" cm="1">
        <f t="array" aca="1" ref="K500" ca="1">INDIRECT("'"&amp;I500&amp;"'!"&amp;J500)</f>
        <v>Emissionsfaktorer for fremskrivning</v>
      </c>
      <c r="L500" s="298" t="s">
        <v>183</v>
      </c>
      <c r="M500" s="297" t="str">
        <f t="shared" ref="M500:M503" ca="1" si="40">IF(G500=K500,"OK","Reference fejl")</f>
        <v>Reference fejl</v>
      </c>
    </row>
    <row r="501" spans="1:13" x14ac:dyDescent="0.2">
      <c r="A501" s="297" t="s">
        <v>702</v>
      </c>
      <c r="B501" s="298" t="s">
        <v>183</v>
      </c>
      <c r="C501" s="297" t="str">
        <f>IF(Forside!$D$12="Dansk",Tekstnøgler!E501,Tekstnøgler!G501)</f>
        <v>Basisår</v>
      </c>
      <c r="D501" s="298" t="s">
        <v>183</v>
      </c>
      <c r="E501" s="299" t="s">
        <v>703</v>
      </c>
      <c r="F501" s="298" t="s">
        <v>183</v>
      </c>
      <c r="G501" s="300" t="s">
        <v>704</v>
      </c>
      <c r="H501" s="298" t="s">
        <v>183</v>
      </c>
      <c r="I501" s="297" t="s">
        <v>173</v>
      </c>
      <c r="J501" s="297" t="s">
        <v>863</v>
      </c>
      <c r="K501" s="297" t="str" cm="1">
        <f t="array" aca="1" ref="K501" ca="1">INDIRECT("'"&amp;I501&amp;"'!"&amp;J501)</f>
        <v>Basisår</v>
      </c>
      <c r="L501" s="298" t="s">
        <v>183</v>
      </c>
      <c r="M501" s="297" t="str">
        <f t="shared" ca="1" si="40"/>
        <v>Reference fejl</v>
      </c>
    </row>
    <row r="502" spans="1:13" x14ac:dyDescent="0.2">
      <c r="A502" s="298" t="s">
        <v>705</v>
      </c>
      <c r="B502" s="298" t="s">
        <v>183</v>
      </c>
      <c r="C502" s="297" t="str">
        <f>IF(Forside!$D$12="Dansk",Tekstnøgler!E502,Tekstnøgler!G502)</f>
        <v>Slutår</v>
      </c>
      <c r="D502" s="298" t="s">
        <v>183</v>
      </c>
      <c r="E502" s="299" t="s">
        <v>706</v>
      </c>
      <c r="F502" s="298" t="s">
        <v>183</v>
      </c>
      <c r="G502" s="300" t="s">
        <v>1861</v>
      </c>
      <c r="H502" s="298" t="s">
        <v>183</v>
      </c>
      <c r="I502" s="297" t="s">
        <v>173</v>
      </c>
      <c r="J502" s="297" t="s">
        <v>898</v>
      </c>
      <c r="K502" s="297" t="str" cm="1">
        <f t="array" aca="1" ref="K502" ca="1">INDIRECT("'"&amp;I502&amp;"'!"&amp;J502)</f>
        <v>Slutår</v>
      </c>
      <c r="L502" s="298" t="s">
        <v>183</v>
      </c>
      <c r="M502" s="297" t="str">
        <f t="shared" ca="1" si="40"/>
        <v>Reference fejl</v>
      </c>
    </row>
    <row r="503" spans="1:13" x14ac:dyDescent="0.2">
      <c r="A503" s="297" t="s">
        <v>899</v>
      </c>
      <c r="B503" s="298" t="s">
        <v>183</v>
      </c>
      <c r="C503" s="297" t="str">
        <f>IF(Forside!$D$12="Dansk",Tekstnøgler!E503,Tekstnøgler!G503)</f>
        <v xml:space="preserve">Tabel med emissionsfaktorer
</v>
      </c>
      <c r="D503" s="298" t="s">
        <v>183</v>
      </c>
      <c r="E503" s="299" t="s">
        <v>1950</v>
      </c>
      <c r="F503" s="298" t="s">
        <v>183</v>
      </c>
      <c r="G503" s="300" t="s">
        <v>1951</v>
      </c>
      <c r="H503" s="298" t="s">
        <v>183</v>
      </c>
      <c r="I503" s="297" t="s">
        <v>173</v>
      </c>
      <c r="J503" s="297" t="s">
        <v>188</v>
      </c>
      <c r="K503" s="297" t="str" cm="1">
        <f t="array" aca="1" ref="K503" ca="1">INDIRECT("'"&amp;I503&amp;"'!"&amp;J503)</f>
        <v xml:space="preserve">Tabel med emissionsfaktorer
</v>
      </c>
      <c r="L503" s="298" t="s">
        <v>183</v>
      </c>
      <c r="M503" s="297" t="str">
        <f t="shared" ca="1" si="40"/>
        <v>Reference fejl</v>
      </c>
    </row>
    <row r="504" spans="1:13" x14ac:dyDescent="0.2">
      <c r="B504" s="298" t="s">
        <v>183</v>
      </c>
      <c r="D504" s="298" t="s">
        <v>183</v>
      </c>
      <c r="F504" s="298" t="s">
        <v>183</v>
      </c>
      <c r="H504" s="298" t="s">
        <v>183</v>
      </c>
      <c r="L504" s="298" t="s">
        <v>183</v>
      </c>
    </row>
    <row r="505" spans="1:13" x14ac:dyDescent="0.2">
      <c r="B505" s="298" t="s">
        <v>183</v>
      </c>
      <c r="D505" s="298" t="s">
        <v>183</v>
      </c>
      <c r="F505" s="298" t="s">
        <v>183</v>
      </c>
      <c r="H505" s="298" t="s">
        <v>183</v>
      </c>
      <c r="L505" s="298" t="s">
        <v>183</v>
      </c>
    </row>
    <row r="506" spans="1:13" x14ac:dyDescent="0.2">
      <c r="A506" s="297" t="s">
        <v>867</v>
      </c>
      <c r="B506" s="298" t="s">
        <v>183</v>
      </c>
      <c r="C506" s="297" t="str">
        <f>IF(Forside!$D$12="Dansk",Tekstnøgler!E506,Tekstnøgler!G506)</f>
        <v xml:space="preserve">Hovedkategori
</v>
      </c>
      <c r="D506" s="298" t="s">
        <v>183</v>
      </c>
      <c r="E506" s="299" t="s">
        <v>1943</v>
      </c>
      <c r="F506" s="298" t="s">
        <v>183</v>
      </c>
      <c r="G506" s="300" t="s">
        <v>345</v>
      </c>
      <c r="H506" s="298" t="s">
        <v>183</v>
      </c>
      <c r="I506" s="297" t="s">
        <v>174</v>
      </c>
      <c r="J506" s="297" t="s">
        <v>900</v>
      </c>
      <c r="K506" s="297" cm="1">
        <f t="array" aca="1" ref="K506" ca="1">INDIRECT("'"&amp;I506&amp;"'!"&amp;J506)</f>
        <v>0</v>
      </c>
      <c r="L506" s="298" t="s">
        <v>183</v>
      </c>
      <c r="M506" s="297" t="str">
        <f t="shared" ref="M506:M527" ca="1" si="41">IF(G506=K506,"OK","Reference fejl")</f>
        <v>Reference fejl</v>
      </c>
    </row>
    <row r="507" spans="1:13" x14ac:dyDescent="0.2">
      <c r="A507" s="298" t="s">
        <v>894</v>
      </c>
      <c r="B507" s="298" t="s">
        <v>183</v>
      </c>
      <c r="C507" s="297" t="str">
        <f>IF(Forside!$D$12="Dansk",Tekstnøgler!E507,Tekstnøgler!G507)</f>
        <v xml:space="preserve">Kategori
</v>
      </c>
      <c r="D507" s="298" t="s">
        <v>183</v>
      </c>
      <c r="E507" s="299" t="s">
        <v>1947</v>
      </c>
      <c r="F507" s="298" t="s">
        <v>183</v>
      </c>
      <c r="G507" s="300" t="s">
        <v>645</v>
      </c>
      <c r="H507" s="298" t="s">
        <v>183</v>
      </c>
      <c r="I507" s="297" t="s">
        <v>174</v>
      </c>
      <c r="J507" s="297" t="s">
        <v>901</v>
      </c>
      <c r="K507" s="297" cm="1">
        <f t="array" aca="1" ref="K507" ca="1">INDIRECT("'"&amp;I507&amp;"'!"&amp;J507)</f>
        <v>0</v>
      </c>
      <c r="L507" s="298" t="s">
        <v>183</v>
      </c>
      <c r="M507" s="297" t="str">
        <f t="shared" ca="1" si="41"/>
        <v>Reference fejl</v>
      </c>
    </row>
    <row r="508" spans="1:13" x14ac:dyDescent="0.2">
      <c r="A508" s="297" t="s">
        <v>902</v>
      </c>
      <c r="B508" s="298" t="s">
        <v>183</v>
      </c>
      <c r="C508" s="297" t="str">
        <f>IF(Forside!$D$12="Dansk",Tekstnøgler!E508,Tekstnøgler!G508)</f>
        <v>Underkategori</v>
      </c>
      <c r="D508" s="298" t="s">
        <v>183</v>
      </c>
      <c r="E508" s="299" t="s">
        <v>903</v>
      </c>
      <c r="F508" s="298" t="s">
        <v>183</v>
      </c>
      <c r="G508" s="300" t="s">
        <v>904</v>
      </c>
      <c r="H508" s="298" t="s">
        <v>183</v>
      </c>
      <c r="I508" s="297" t="s">
        <v>174</v>
      </c>
      <c r="J508" s="297" t="s">
        <v>905</v>
      </c>
      <c r="K508" s="297" cm="1">
        <f t="array" aca="1" ref="K508" ca="1">INDIRECT("'"&amp;I508&amp;"'!"&amp;J508)</f>
        <v>0</v>
      </c>
      <c r="L508" s="298" t="s">
        <v>183</v>
      </c>
      <c r="M508" s="297" t="str">
        <f t="shared" ca="1" si="41"/>
        <v>Reference fejl</v>
      </c>
    </row>
    <row r="509" spans="1:13" x14ac:dyDescent="0.2">
      <c r="A509" s="298" t="s">
        <v>895</v>
      </c>
      <c r="B509" s="298" t="s">
        <v>183</v>
      </c>
      <c r="C509" s="297" t="str">
        <f>IF(Forside!$D$12="Dansk",Tekstnøgler!E509,Tekstnøgler!G509)</f>
        <v xml:space="preserve">Beskrivelse
</v>
      </c>
      <c r="D509" s="298" t="s">
        <v>183</v>
      </c>
      <c r="E509" s="299" t="s">
        <v>1948</v>
      </c>
      <c r="F509" s="298" t="s">
        <v>183</v>
      </c>
      <c r="G509" s="300" t="s">
        <v>685</v>
      </c>
      <c r="H509" s="298" t="s">
        <v>183</v>
      </c>
      <c r="I509" s="297" t="s">
        <v>174</v>
      </c>
      <c r="J509" s="297" t="s">
        <v>906</v>
      </c>
      <c r="K509" s="297" cm="1">
        <f t="array" aca="1" ref="K509" ca="1">INDIRECT("'"&amp;I509&amp;"'!"&amp;J509)</f>
        <v>0</v>
      </c>
      <c r="L509" s="298" t="s">
        <v>183</v>
      </c>
      <c r="M509" s="297" t="str">
        <f t="shared" ca="1" si="41"/>
        <v>Reference fejl</v>
      </c>
    </row>
    <row r="510" spans="1:13" x14ac:dyDescent="0.2">
      <c r="A510" s="299" t="s">
        <v>907</v>
      </c>
      <c r="B510" s="298" t="s">
        <v>183</v>
      </c>
      <c r="C510" s="297" t="str">
        <f>IF(Forside!$D$12="Dansk",Tekstnøgler!E510,Tekstnøgler!G510)</f>
        <v xml:space="preserve">Parameter 1 - titel </v>
      </c>
      <c r="D510" s="298" t="s">
        <v>183</v>
      </c>
      <c r="E510" s="299" t="s">
        <v>908</v>
      </c>
      <c r="F510" s="298" t="s">
        <v>183</v>
      </c>
      <c r="G510" s="300" t="s">
        <v>1952</v>
      </c>
      <c r="H510" s="298" t="s">
        <v>183</v>
      </c>
      <c r="I510" s="297" t="s">
        <v>174</v>
      </c>
      <c r="J510" s="297" t="s">
        <v>909</v>
      </c>
      <c r="K510" s="297" cm="1">
        <f t="array" aca="1" ref="K510" ca="1">INDIRECT("'"&amp;I510&amp;"'!"&amp;J510)</f>
        <v>0</v>
      </c>
      <c r="L510" s="298" t="s">
        <v>183</v>
      </c>
      <c r="M510" s="297" t="str">
        <f t="shared" ca="1" si="41"/>
        <v>Reference fejl</v>
      </c>
    </row>
    <row r="511" spans="1:13" x14ac:dyDescent="0.2">
      <c r="A511" s="298" t="s">
        <v>868</v>
      </c>
      <c r="B511" s="298" t="s">
        <v>183</v>
      </c>
      <c r="C511" s="297" t="str">
        <f>IF(Forside!$D$12="Dansk",Tekstnøgler!E511,Tekstnøgler!G511)</f>
        <v>Parameter</v>
      </c>
      <c r="D511" s="298" t="s">
        <v>183</v>
      </c>
      <c r="E511" s="299" t="s">
        <v>91</v>
      </c>
      <c r="F511" s="298" t="s">
        <v>183</v>
      </c>
      <c r="G511" s="300" t="s">
        <v>91</v>
      </c>
      <c r="H511" s="298" t="s">
        <v>183</v>
      </c>
      <c r="I511" s="297" t="s">
        <v>174</v>
      </c>
      <c r="J511" s="297" t="s">
        <v>910</v>
      </c>
      <c r="K511" s="297" cm="1">
        <f t="array" aca="1" ref="K511" ca="1">INDIRECT("'"&amp;I511&amp;"'!"&amp;J511)</f>
        <v>0</v>
      </c>
      <c r="L511" s="298" t="s">
        <v>183</v>
      </c>
      <c r="M511" s="297" t="str">
        <f t="shared" ca="1" si="41"/>
        <v>Reference fejl</v>
      </c>
    </row>
    <row r="512" spans="1:13" x14ac:dyDescent="0.2">
      <c r="A512" s="299" t="s">
        <v>911</v>
      </c>
      <c r="B512" s="298" t="s">
        <v>183</v>
      </c>
      <c r="C512" s="297" t="str">
        <f>IF(Forside!$D$12="Dansk",Tekstnøgler!E512,Tekstnøgler!G512)</f>
        <v xml:space="preserve">Parameter 2 - titel
</v>
      </c>
      <c r="D512" s="298" t="s">
        <v>183</v>
      </c>
      <c r="E512" s="299" t="s">
        <v>1953</v>
      </c>
      <c r="F512" s="298" t="s">
        <v>183</v>
      </c>
      <c r="G512" s="300" t="s">
        <v>912</v>
      </c>
      <c r="H512" s="298" t="s">
        <v>183</v>
      </c>
      <c r="I512" s="297" t="s">
        <v>174</v>
      </c>
      <c r="J512" s="297" t="s">
        <v>913</v>
      </c>
      <c r="K512" s="297" cm="1">
        <f t="array" aca="1" ref="K512" ca="1">INDIRECT("'"&amp;I512&amp;"'!"&amp;J512)</f>
        <v>0</v>
      </c>
      <c r="L512" s="298" t="s">
        <v>183</v>
      </c>
      <c r="M512" s="297" t="str">
        <f t="shared" ca="1" si="41"/>
        <v>Reference fejl</v>
      </c>
    </row>
    <row r="513" spans="1:13" x14ac:dyDescent="0.2">
      <c r="A513" s="298" t="s">
        <v>869</v>
      </c>
      <c r="B513" s="298" t="s">
        <v>183</v>
      </c>
      <c r="C513" s="297" t="str">
        <f>IF(Forside!$D$12="Dansk",Tekstnøgler!E513,Tekstnøgler!G513)</f>
        <v>Parameter 2</v>
      </c>
      <c r="D513" s="298" t="s">
        <v>183</v>
      </c>
      <c r="E513" s="299" t="s">
        <v>870</v>
      </c>
      <c r="F513" s="298" t="s">
        <v>183</v>
      </c>
      <c r="G513" s="300" t="s">
        <v>870</v>
      </c>
      <c r="H513" s="298" t="s">
        <v>183</v>
      </c>
      <c r="I513" s="297" t="s">
        <v>174</v>
      </c>
      <c r="J513" s="297" t="s">
        <v>914</v>
      </c>
      <c r="K513" s="297" cm="1">
        <f t="array" aca="1" ref="K513" ca="1">INDIRECT("'"&amp;I513&amp;"'!"&amp;J513)</f>
        <v>0</v>
      </c>
      <c r="L513" s="298" t="s">
        <v>183</v>
      </c>
      <c r="M513" s="297" t="str">
        <f t="shared" ca="1" si="41"/>
        <v>Reference fejl</v>
      </c>
    </row>
    <row r="514" spans="1:13" x14ac:dyDescent="0.2">
      <c r="A514" s="297" t="s">
        <v>915</v>
      </c>
      <c r="B514" s="298" t="s">
        <v>183</v>
      </c>
      <c r="C514" s="297" t="str">
        <f>IF(Forside!$D$12="Dansk",Tekstnøgler!E514,Tekstnøgler!G514)</f>
        <v>Parameter 3 - titel</v>
      </c>
      <c r="D514" s="298" t="s">
        <v>183</v>
      </c>
      <c r="E514" s="299" t="s">
        <v>916</v>
      </c>
      <c r="F514" s="298" t="s">
        <v>183</v>
      </c>
      <c r="G514" s="300" t="s">
        <v>917</v>
      </c>
      <c r="H514" s="298" t="s">
        <v>183</v>
      </c>
      <c r="I514" s="297" t="s">
        <v>174</v>
      </c>
      <c r="J514" s="297" t="s">
        <v>918</v>
      </c>
      <c r="K514" s="297" cm="1">
        <f t="array" aca="1" ref="K514" ca="1">INDIRECT("'"&amp;I514&amp;"'!"&amp;J514)</f>
        <v>0</v>
      </c>
      <c r="L514" s="298" t="s">
        <v>183</v>
      </c>
      <c r="M514" s="297" t="str">
        <f t="shared" ca="1" si="41"/>
        <v>Reference fejl</v>
      </c>
    </row>
    <row r="515" spans="1:13" x14ac:dyDescent="0.2">
      <c r="A515" s="297" t="s">
        <v>919</v>
      </c>
      <c r="B515" s="298" t="s">
        <v>183</v>
      </c>
      <c r="C515" s="297" t="str">
        <f>IF(Forside!$D$12="Dansk",Tekstnøgler!E515,Tekstnøgler!G515)</f>
        <v>Parameter 3</v>
      </c>
      <c r="D515" s="298" t="s">
        <v>183</v>
      </c>
      <c r="E515" s="299" t="s">
        <v>920</v>
      </c>
      <c r="F515" s="298" t="s">
        <v>183</v>
      </c>
      <c r="G515" s="300" t="s">
        <v>920</v>
      </c>
      <c r="H515" s="298" t="s">
        <v>183</v>
      </c>
      <c r="I515" s="297" t="s">
        <v>174</v>
      </c>
      <c r="J515" s="297" t="s">
        <v>921</v>
      </c>
      <c r="K515" s="297" cm="1">
        <f t="array" aca="1" ref="K515" ca="1">INDIRECT("'"&amp;I515&amp;"'!"&amp;J515)</f>
        <v>0</v>
      </c>
      <c r="L515" s="298" t="s">
        <v>183</v>
      </c>
      <c r="M515" s="297" t="str">
        <f t="shared" ca="1" si="41"/>
        <v>Reference fejl</v>
      </c>
    </row>
    <row r="516" spans="1:13" x14ac:dyDescent="0.2">
      <c r="A516" s="297" t="s">
        <v>922</v>
      </c>
      <c r="B516" s="298" t="s">
        <v>183</v>
      </c>
      <c r="C516" s="297" t="str">
        <f>IF(Forside!$D$12="Dansk",Tekstnøgler!E516,Tekstnøgler!G516)</f>
        <v>Mængde</v>
      </c>
      <c r="D516" s="298" t="s">
        <v>183</v>
      </c>
      <c r="E516" s="299" t="s">
        <v>923</v>
      </c>
      <c r="F516" s="298" t="s">
        <v>183</v>
      </c>
      <c r="G516" s="300" t="s">
        <v>924</v>
      </c>
      <c r="H516" s="298" t="s">
        <v>183</v>
      </c>
      <c r="I516" s="297" t="s">
        <v>174</v>
      </c>
      <c r="J516" s="297" t="s">
        <v>925</v>
      </c>
      <c r="K516" s="297" cm="1">
        <f t="array" aca="1" ref="K516" ca="1">INDIRECT("'"&amp;I516&amp;"'!"&amp;J516)</f>
        <v>0</v>
      </c>
      <c r="L516" s="298" t="s">
        <v>183</v>
      </c>
      <c r="M516" s="297" t="str">
        <f t="shared" ca="1" si="41"/>
        <v>Reference fejl</v>
      </c>
    </row>
    <row r="517" spans="1:13" x14ac:dyDescent="0.2">
      <c r="A517" s="298" t="s">
        <v>926</v>
      </c>
      <c r="B517" s="298" t="s">
        <v>183</v>
      </c>
      <c r="C517" s="297" t="str">
        <f>IF(Forside!$D$12="Dansk",Tekstnøgler!E517,Tekstnøgler!G517)</f>
        <v xml:space="preserve">Beløb (ekskl. Moms, DKK)
</v>
      </c>
      <c r="D517" s="298" t="s">
        <v>183</v>
      </c>
      <c r="E517" s="299" t="s">
        <v>1954</v>
      </c>
      <c r="F517" s="298" t="s">
        <v>183</v>
      </c>
      <c r="G517" s="300" t="s">
        <v>927</v>
      </c>
      <c r="H517" s="298" t="s">
        <v>183</v>
      </c>
      <c r="I517" s="297" t="s">
        <v>174</v>
      </c>
      <c r="J517" s="297" t="s">
        <v>928</v>
      </c>
      <c r="K517" s="297" cm="1">
        <f t="array" aca="1" ref="K517" ca="1">INDIRECT("'"&amp;I517&amp;"'!"&amp;J517)</f>
        <v>0</v>
      </c>
      <c r="L517" s="298" t="s">
        <v>183</v>
      </c>
      <c r="M517" s="297" t="str">
        <f t="shared" ca="1" si="41"/>
        <v>Reference fejl</v>
      </c>
    </row>
    <row r="518" spans="1:13" x14ac:dyDescent="0.2">
      <c r="A518" s="297" t="s">
        <v>871</v>
      </c>
      <c r="B518" s="298" t="s">
        <v>183</v>
      </c>
      <c r="C518" s="297" t="str">
        <f>IF(Forside!$D$12="Dansk",Tekstnøgler!E518,Tekstnøgler!G518)</f>
        <v>Enhed</v>
      </c>
      <c r="D518" s="298" t="s">
        <v>183</v>
      </c>
      <c r="E518" s="299" t="s">
        <v>597</v>
      </c>
      <c r="F518" s="298" t="s">
        <v>183</v>
      </c>
      <c r="G518" s="300" t="s">
        <v>598</v>
      </c>
      <c r="H518" s="298" t="s">
        <v>183</v>
      </c>
      <c r="I518" s="297" t="s">
        <v>174</v>
      </c>
      <c r="J518" s="297" t="s">
        <v>929</v>
      </c>
      <c r="K518" s="297" cm="1">
        <f t="array" aca="1" ref="K518" ca="1">INDIRECT("'"&amp;I518&amp;"'!"&amp;J518)</f>
        <v>0</v>
      </c>
      <c r="L518" s="298" t="s">
        <v>183</v>
      </c>
      <c r="M518" s="297" t="str">
        <f t="shared" ca="1" si="41"/>
        <v>Reference fejl</v>
      </c>
    </row>
    <row r="519" spans="1:13" x14ac:dyDescent="0.2">
      <c r="A519" s="297" t="s">
        <v>768</v>
      </c>
      <c r="B519" s="298" t="s">
        <v>183</v>
      </c>
      <c r="C519" s="297" t="str">
        <f>IF(Forside!$D$12="Dansk",Tekstnøgler!E519,Tekstnøgler!G519)</f>
        <v>Scope 1 - faktor</v>
      </c>
      <c r="D519" s="298" t="s">
        <v>183</v>
      </c>
      <c r="E519" s="299" t="s">
        <v>873</v>
      </c>
      <c r="F519" s="298" t="s">
        <v>183</v>
      </c>
      <c r="G519" s="300" t="s">
        <v>874</v>
      </c>
      <c r="H519" s="298" t="s">
        <v>183</v>
      </c>
      <c r="I519" s="297" t="s">
        <v>174</v>
      </c>
      <c r="J519" s="297" t="s">
        <v>930</v>
      </c>
      <c r="K519" s="297" cm="1">
        <f t="array" aca="1" ref="K519" ca="1">INDIRECT("'"&amp;I519&amp;"'!"&amp;J519)</f>
        <v>0</v>
      </c>
      <c r="L519" s="298" t="s">
        <v>183</v>
      </c>
      <c r="M519" s="297" t="str">
        <f t="shared" ca="1" si="41"/>
        <v>Reference fejl</v>
      </c>
    </row>
    <row r="520" spans="1:13" x14ac:dyDescent="0.2">
      <c r="A520" s="297" t="s">
        <v>770</v>
      </c>
      <c r="B520" s="298" t="s">
        <v>183</v>
      </c>
      <c r="C520" s="297" t="str">
        <f>IF(Forside!$D$12="Dansk",Tekstnøgler!E520,Tekstnøgler!G520)</f>
        <v>Scope 2 - faktor</v>
      </c>
      <c r="D520" s="298" t="s">
        <v>183</v>
      </c>
      <c r="E520" s="299" t="s">
        <v>876</v>
      </c>
      <c r="F520" s="298" t="s">
        <v>183</v>
      </c>
      <c r="G520" s="300" t="s">
        <v>877</v>
      </c>
      <c r="H520" s="298" t="s">
        <v>183</v>
      </c>
      <c r="I520" s="297" t="s">
        <v>174</v>
      </c>
      <c r="J520" s="297" t="s">
        <v>931</v>
      </c>
      <c r="K520" s="297" cm="1">
        <f t="array" aca="1" ref="K520" ca="1">INDIRECT("'"&amp;I520&amp;"'!"&amp;J520)</f>
        <v>0</v>
      </c>
      <c r="L520" s="298" t="s">
        <v>183</v>
      </c>
      <c r="M520" s="297" t="str">
        <f t="shared" ca="1" si="41"/>
        <v>Reference fejl</v>
      </c>
    </row>
    <row r="521" spans="1:13" x14ac:dyDescent="0.2">
      <c r="A521" s="297" t="s">
        <v>772</v>
      </c>
      <c r="B521" s="298" t="s">
        <v>183</v>
      </c>
      <c r="C521" s="297" t="str">
        <f>IF(Forside!$D$12="Dansk",Tekstnøgler!E521,Tekstnøgler!G521)</f>
        <v>Scope 3 - faktor</v>
      </c>
      <c r="D521" s="298" t="s">
        <v>183</v>
      </c>
      <c r="E521" s="299" t="s">
        <v>879</v>
      </c>
      <c r="F521" s="298" t="s">
        <v>183</v>
      </c>
      <c r="G521" s="300" t="s">
        <v>880</v>
      </c>
      <c r="H521" s="298" t="s">
        <v>183</v>
      </c>
      <c r="I521" s="297" t="s">
        <v>174</v>
      </c>
      <c r="J521" s="297" t="s">
        <v>932</v>
      </c>
      <c r="K521" s="297" cm="1">
        <f t="array" aca="1" ref="K521" ca="1">INDIRECT("'"&amp;I521&amp;"'!"&amp;J521)</f>
        <v>0</v>
      </c>
      <c r="L521" s="298" t="s">
        <v>183</v>
      </c>
      <c r="M521" s="297" t="str">
        <f t="shared" ca="1" si="41"/>
        <v>Reference fejl</v>
      </c>
    </row>
    <row r="522" spans="1:13" x14ac:dyDescent="0.2">
      <c r="A522" s="297" t="s">
        <v>933</v>
      </c>
      <c r="B522" s="298" t="s">
        <v>183</v>
      </c>
      <c r="C522" s="297" t="str">
        <f>IF(Forside!$D$12="Dansk",Tekstnøgler!E522,Tekstnøgler!G522)</f>
        <v xml:space="preserve">Udledning i alt 
</v>
      </c>
      <c r="D522" s="298" t="s">
        <v>183</v>
      </c>
      <c r="E522" s="299" t="s">
        <v>1955</v>
      </c>
      <c r="F522" s="298" t="s">
        <v>183</v>
      </c>
      <c r="G522" s="300" t="s">
        <v>1956</v>
      </c>
      <c r="H522" s="298" t="s">
        <v>183</v>
      </c>
      <c r="I522" s="297" t="s">
        <v>174</v>
      </c>
      <c r="J522" s="297" t="s">
        <v>934</v>
      </c>
      <c r="K522" s="297" cm="1">
        <f t="array" aca="1" ref="K522" ca="1">INDIRECT("'"&amp;I522&amp;"'!"&amp;J522)</f>
        <v>0</v>
      </c>
      <c r="L522" s="298" t="s">
        <v>183</v>
      </c>
      <c r="M522" s="297" t="str">
        <f t="shared" ca="1" si="41"/>
        <v>Reference fejl</v>
      </c>
    </row>
    <row r="523" spans="1:13" x14ac:dyDescent="0.2">
      <c r="A523" s="297" t="s">
        <v>882</v>
      </c>
      <c r="B523" s="298" t="s">
        <v>183</v>
      </c>
      <c r="C523" s="297" t="str">
        <f>IF(Forside!$D$12="Dansk",Tekstnøgler!E523,Tekstnøgler!G523)</f>
        <v>Udenfor scope - faktor</v>
      </c>
      <c r="D523" s="298" t="s">
        <v>183</v>
      </c>
      <c r="E523" s="299" t="s">
        <v>883</v>
      </c>
      <c r="F523" s="298" t="s">
        <v>183</v>
      </c>
      <c r="G523" s="300" t="s">
        <v>1944</v>
      </c>
      <c r="H523" s="298" t="s">
        <v>183</v>
      </c>
      <c r="I523" s="297" t="s">
        <v>174</v>
      </c>
      <c r="J523" s="297" t="s">
        <v>935</v>
      </c>
      <c r="K523" s="297" cm="1">
        <f t="array" aca="1" ref="K523" ca="1">INDIRECT("'"&amp;I523&amp;"'!"&amp;J523)</f>
        <v>0</v>
      </c>
      <c r="L523" s="298" t="s">
        <v>183</v>
      </c>
      <c r="M523" s="297" t="str">
        <f t="shared" ca="1" si="41"/>
        <v>Reference fejl</v>
      </c>
    </row>
    <row r="524" spans="1:13" x14ac:dyDescent="0.2">
      <c r="A524" s="297" t="s">
        <v>936</v>
      </c>
      <c r="B524" s="298" t="s">
        <v>183</v>
      </c>
      <c r="C524" s="297" t="str">
        <f>IF(Forside!$D$12="Dansk",Tekstnøgler!E524,Tekstnøgler!G524)</f>
        <v xml:space="preserve">Bemærkninger (fra inputfelt)
</v>
      </c>
      <c r="D524" s="298" t="s">
        <v>183</v>
      </c>
      <c r="E524" s="299" t="s">
        <v>1957</v>
      </c>
      <c r="F524" s="298" t="s">
        <v>183</v>
      </c>
      <c r="G524" s="300" t="s">
        <v>937</v>
      </c>
      <c r="H524" s="298" t="s">
        <v>183</v>
      </c>
      <c r="I524" s="297" t="s">
        <v>174</v>
      </c>
      <c r="J524" s="297" t="s">
        <v>938</v>
      </c>
      <c r="K524" s="297" cm="1">
        <f t="array" aca="1" ref="K524" ca="1">INDIRECT("'"&amp;I524&amp;"'!"&amp;J524)</f>
        <v>0</v>
      </c>
      <c r="L524" s="298" t="s">
        <v>183</v>
      </c>
      <c r="M524" s="297" t="str">
        <f t="shared" ca="1" si="41"/>
        <v>Reference fejl</v>
      </c>
    </row>
    <row r="525" spans="1:13" x14ac:dyDescent="0.2">
      <c r="A525" s="297" t="s">
        <v>939</v>
      </c>
      <c r="B525" s="298" t="s">
        <v>183</v>
      </c>
      <c r="C525" s="297" t="str">
        <f>IF(Forside!$D$12="Dansk",Tekstnøgler!E525,Tekstnøgler!G525)</f>
        <v xml:space="preserve">År for emissions-faktorer
</v>
      </c>
      <c r="D525" s="298" t="s">
        <v>183</v>
      </c>
      <c r="E525" s="299" t="s">
        <v>1958</v>
      </c>
      <c r="F525" s="298" t="s">
        <v>183</v>
      </c>
      <c r="G525" s="300" t="s">
        <v>940</v>
      </c>
      <c r="H525" s="298" t="s">
        <v>183</v>
      </c>
      <c r="I525" s="297" t="s">
        <v>174</v>
      </c>
      <c r="J525" s="297" t="s">
        <v>941</v>
      </c>
      <c r="K525" s="297" cm="1">
        <f t="array" aca="1" ref="K525" ca="1">INDIRECT("'"&amp;I525&amp;"'!"&amp;J525)</f>
        <v>0</v>
      </c>
      <c r="L525" s="298" t="s">
        <v>183</v>
      </c>
      <c r="M525" s="297" t="str">
        <f t="shared" ca="1" si="41"/>
        <v>Reference fejl</v>
      </c>
    </row>
    <row r="526" spans="1:13" x14ac:dyDescent="0.2">
      <c r="A526" s="297" t="s">
        <v>942</v>
      </c>
      <c r="B526" s="298" t="s">
        <v>183</v>
      </c>
      <c r="C526" s="297" t="str">
        <f>IF(Forside!$D$12="Dansk",Tekstnøgler!E526,Tekstnøgler!G526)</f>
        <v xml:space="preserve">Land for emissionsfaktorer
</v>
      </c>
      <c r="D526" s="298" t="s">
        <v>183</v>
      </c>
      <c r="E526" s="299" t="s">
        <v>1959</v>
      </c>
      <c r="F526" s="298" t="s">
        <v>183</v>
      </c>
      <c r="G526" s="300" t="s">
        <v>943</v>
      </c>
      <c r="H526" s="298" t="s">
        <v>183</v>
      </c>
      <c r="I526" s="297" t="s">
        <v>174</v>
      </c>
      <c r="J526" s="297" t="s">
        <v>944</v>
      </c>
      <c r="K526" s="297" cm="1">
        <f t="array" aca="1" ref="K526" ca="1">INDIRECT("'"&amp;I526&amp;"'!"&amp;J526)</f>
        <v>0</v>
      </c>
      <c r="L526" s="298" t="s">
        <v>183</v>
      </c>
      <c r="M526" s="297" t="str">
        <f t="shared" ca="1" si="41"/>
        <v>Reference fejl</v>
      </c>
    </row>
    <row r="527" spans="1:13" x14ac:dyDescent="0.2">
      <c r="A527" s="297" t="s">
        <v>945</v>
      </c>
      <c r="B527" s="298" t="s">
        <v>183</v>
      </c>
      <c r="C527" s="297" t="str">
        <f>IF(Forside!$D$12="Dansk",Tekstnøgler!E527,Tekstnøgler!G527)</f>
        <v xml:space="preserve">Metodevalg
</v>
      </c>
      <c r="D527" s="298" t="s">
        <v>183</v>
      </c>
      <c r="E527" s="299" t="s">
        <v>1960</v>
      </c>
      <c r="F527" s="298" t="s">
        <v>183</v>
      </c>
      <c r="G527" s="300" t="s">
        <v>321</v>
      </c>
      <c r="H527" s="298" t="s">
        <v>183</v>
      </c>
      <c r="I527" s="297" t="s">
        <v>174</v>
      </c>
      <c r="J527" s="297" t="s">
        <v>946</v>
      </c>
      <c r="K527" s="297" cm="1">
        <f t="array" aca="1" ref="K527" ca="1">INDIRECT("'"&amp;I527&amp;"'!"&amp;J527)</f>
        <v>0</v>
      </c>
      <c r="L527" s="298" t="s">
        <v>183</v>
      </c>
      <c r="M527" s="297" t="str">
        <f t="shared" ca="1" si="41"/>
        <v>Reference fejl</v>
      </c>
    </row>
    <row r="528" spans="1:13" x14ac:dyDescent="0.2">
      <c r="B528" s="298" t="s">
        <v>183</v>
      </c>
      <c r="D528" s="298" t="s">
        <v>183</v>
      </c>
      <c r="F528" s="298" t="s">
        <v>183</v>
      </c>
      <c r="H528" s="298" t="s">
        <v>183</v>
      </c>
      <c r="L528" s="298" t="s">
        <v>183</v>
      </c>
    </row>
    <row r="529" spans="1:14" x14ac:dyDescent="0.2">
      <c r="B529" s="298" t="s">
        <v>183</v>
      </c>
      <c r="D529" s="298" t="s">
        <v>183</v>
      </c>
      <c r="F529" s="298" t="s">
        <v>183</v>
      </c>
      <c r="H529" s="298" t="s">
        <v>183</v>
      </c>
      <c r="L529" s="298"/>
    </row>
    <row r="530" spans="1:14" x14ac:dyDescent="0.2">
      <c r="A530" s="297" t="s">
        <v>1096</v>
      </c>
      <c r="B530" s="298" t="s">
        <v>183</v>
      </c>
      <c r="C530" s="297" t="str">
        <f>IF(Forside!$D$12="Dansk",Tekstnøgler!E530,Tekstnøgler!G530)</f>
        <v>Titel</v>
      </c>
      <c r="D530" s="298" t="s">
        <v>183</v>
      </c>
      <c r="E530" s="299" t="s">
        <v>594</v>
      </c>
      <c r="F530" s="298" t="s">
        <v>183</v>
      </c>
      <c r="G530" s="300" t="s">
        <v>595</v>
      </c>
      <c r="H530" s="298" t="s">
        <v>183</v>
      </c>
      <c r="I530" s="297" t="s">
        <v>175</v>
      </c>
      <c r="J530" s="297" t="s">
        <v>906</v>
      </c>
      <c r="K530" s="297" cm="1">
        <f t="array" aca="1" ref="K530" ca="1">INDIRECT("'"&amp;I530&amp;"'!"&amp;J530)</f>
        <v>0</v>
      </c>
      <c r="L530" s="298" t="s">
        <v>183</v>
      </c>
      <c r="M530" s="297" t="str">
        <f t="shared" ref="M530" ca="1" si="42">IF(G530=K530,"OK","Reference fejl")</f>
        <v>Reference fejl</v>
      </c>
    </row>
    <row r="531" spans="1:14" x14ac:dyDescent="0.2">
      <c r="B531" s="298" t="s">
        <v>183</v>
      </c>
      <c r="D531" s="298" t="s">
        <v>183</v>
      </c>
      <c r="F531" s="298" t="s">
        <v>183</v>
      </c>
      <c r="H531" s="298" t="s">
        <v>183</v>
      </c>
      <c r="L531" s="298" t="s">
        <v>183</v>
      </c>
    </row>
    <row r="532" spans="1:14" x14ac:dyDescent="0.2">
      <c r="B532" s="298" t="s">
        <v>183</v>
      </c>
      <c r="D532" s="298" t="s">
        <v>183</v>
      </c>
      <c r="F532" s="298" t="s">
        <v>183</v>
      </c>
      <c r="H532" s="298" t="s">
        <v>183</v>
      </c>
      <c r="L532" s="298" t="s">
        <v>183</v>
      </c>
    </row>
    <row r="533" spans="1:14" x14ac:dyDescent="0.2">
      <c r="A533" s="297" t="s">
        <v>1097</v>
      </c>
      <c r="B533" s="298" t="s">
        <v>183</v>
      </c>
      <c r="C533" s="297" t="str">
        <f>IF(Forside!$D$12="Dansk",Tekstnøgler!E533,Tekstnøgler!G533)</f>
        <v>Start dato mangler eller skal have format DATO(yyyy;mm;dd).</v>
      </c>
      <c r="D533" s="298" t="s">
        <v>183</v>
      </c>
      <c r="E533" s="299" t="s">
        <v>947</v>
      </c>
      <c r="F533" s="298" t="s">
        <v>183</v>
      </c>
      <c r="G533" s="300" t="s">
        <v>948</v>
      </c>
      <c r="H533" s="298" t="s">
        <v>183</v>
      </c>
      <c r="I533" s="297" t="s">
        <v>113</v>
      </c>
      <c r="J533" s="297" t="s">
        <v>334</v>
      </c>
      <c r="K533" s="297" t="str" cm="1">
        <f t="array" aca="1" ref="K533" ca="1">INDIRECT("'"&amp;I533&amp;"'!"&amp;J533)</f>
        <v/>
      </c>
      <c r="L533" s="298" t="s">
        <v>183</v>
      </c>
      <c r="M533" s="297" t="str">
        <f t="shared" ref="M533:M534" ca="1" si="43">IF(G533=K533,"OK","Reference fejl")</f>
        <v>Reference fejl</v>
      </c>
      <c r="N533" s="333" t="s">
        <v>949</v>
      </c>
    </row>
    <row r="534" spans="1:14" x14ac:dyDescent="0.2">
      <c r="A534" s="297" t="s">
        <v>1098</v>
      </c>
      <c r="B534" s="298" t="s">
        <v>183</v>
      </c>
      <c r="C534" s="297" t="str">
        <f>IF(Forside!$D$12="Dansk",Tekstnøgler!E534,Tekstnøgler!G534)</f>
        <v>Slutår og startår skal være ens.</v>
      </c>
      <c r="D534" s="298" t="s">
        <v>183</v>
      </c>
      <c r="E534" s="299" t="s">
        <v>950</v>
      </c>
      <c r="F534" s="298" t="s">
        <v>183</v>
      </c>
      <c r="G534" s="300" t="s">
        <v>951</v>
      </c>
      <c r="H534" s="298" t="s">
        <v>183</v>
      </c>
      <c r="I534" s="297" t="s">
        <v>113</v>
      </c>
      <c r="J534" s="297" t="s">
        <v>339</v>
      </c>
      <c r="K534" s="297" t="str" cm="1">
        <f t="array" aca="1" ref="K534" ca="1">INDIRECT("'"&amp;I534&amp;"'!"&amp;J534)</f>
        <v/>
      </c>
      <c r="L534" s="298" t="s">
        <v>183</v>
      </c>
      <c r="M534" s="297" t="str">
        <f t="shared" ca="1" si="43"/>
        <v>Reference fejl</v>
      </c>
      <c r="N534" s="333" t="s">
        <v>949</v>
      </c>
    </row>
    <row r="535" spans="1:14" x14ac:dyDescent="0.2">
      <c r="A535" s="297" t="s">
        <v>1099</v>
      </c>
      <c r="B535" s="298" t="s">
        <v>183</v>
      </c>
      <c r="C535" s="297" t="str">
        <f>IF(Forside!$D$12="Dansk",Tekstnøgler!E535,Tekstnøgler!G535)</f>
        <v>Slutår er forkert.</v>
      </c>
      <c r="D535" s="298" t="s">
        <v>183</v>
      </c>
      <c r="E535" s="299" t="s">
        <v>952</v>
      </c>
      <c r="F535" s="298" t="s">
        <v>183</v>
      </c>
      <c r="G535" s="300" t="s">
        <v>953</v>
      </c>
      <c r="H535" s="298" t="s">
        <v>183</v>
      </c>
      <c r="I535" s="297" t="s">
        <v>130</v>
      </c>
      <c r="J535" s="297" t="s">
        <v>954</v>
      </c>
      <c r="K535" s="297" cm="1">
        <f t="array" aca="1" ref="K535" ca="1">INDIRECT("'"&amp;I535&amp;"'!"&amp;J535)</f>
        <v>2021</v>
      </c>
      <c r="L535" s="298" t="s">
        <v>183</v>
      </c>
      <c r="M535" s="297" t="str">
        <f t="shared" ref="M535:M536" ca="1" si="44">IF(G535=K535,"OK","Reference fejl")</f>
        <v>Reference fejl</v>
      </c>
      <c r="N535" s="333" t="s">
        <v>949</v>
      </c>
    </row>
    <row r="536" spans="1:14" x14ac:dyDescent="0.2">
      <c r="A536" s="297" t="s">
        <v>1100</v>
      </c>
      <c r="B536" s="298" t="s">
        <v>183</v>
      </c>
      <c r="C536" s="297" t="str">
        <f>IF(Forside!$D$12="Dansk",Tekstnøgler!E536,Tekstnøgler!G536)</f>
        <v>Mængde af farligt affald er større end den total mængde af affald</v>
      </c>
      <c r="D536" s="298" t="s">
        <v>183</v>
      </c>
      <c r="E536" s="299" t="s">
        <v>955</v>
      </c>
      <c r="F536" s="298" t="s">
        <v>183</v>
      </c>
      <c r="G536" s="300" t="s">
        <v>956</v>
      </c>
      <c r="H536" s="298" t="s">
        <v>183</v>
      </c>
      <c r="I536" s="297" t="s">
        <v>165</v>
      </c>
      <c r="J536" s="297" t="s">
        <v>957</v>
      </c>
      <c r="K536" s="297" cm="1">
        <f t="array" aca="1" ref="K536" ca="1">INDIRECT("'"&amp;I536&amp;"'!"&amp;J536)</f>
        <v>0</v>
      </c>
      <c r="L536" s="298" t="s">
        <v>183</v>
      </c>
      <c r="M536" s="297" t="str">
        <f t="shared" ca="1" si="44"/>
        <v>Reference fejl</v>
      </c>
      <c r="N536" s="333" t="s">
        <v>949</v>
      </c>
    </row>
    <row r="537" spans="1:14" x14ac:dyDescent="0.2">
      <c r="A537" s="297" t="s">
        <v>1101</v>
      </c>
      <c r="B537" s="298" t="s">
        <v>183</v>
      </c>
      <c r="C537" s="297" t="str">
        <f>IF(Forside!$D$12="Dansk",Tekstnøgler!E537,Tekstnøgler!G537)</f>
        <v>Mængde af genanvendt affald er større end den total mængde af affald</v>
      </c>
      <c r="D537" s="298" t="s">
        <v>183</v>
      </c>
      <c r="E537" s="299" t="s">
        <v>958</v>
      </c>
      <c r="F537" s="298" t="s">
        <v>183</v>
      </c>
      <c r="G537" s="300" t="s">
        <v>959</v>
      </c>
      <c r="H537" s="298" t="s">
        <v>183</v>
      </c>
      <c r="I537" s="297" t="s">
        <v>165</v>
      </c>
      <c r="J537" s="297" t="s">
        <v>960</v>
      </c>
      <c r="K537" s="297" t="str" cm="1">
        <f t="array" aca="1" ref="K537" ca="1">INDIRECT("'"&amp;I537&amp;"'!"&amp;J537)</f>
        <v>Enhed</v>
      </c>
      <c r="L537" s="298" t="s">
        <v>183</v>
      </c>
      <c r="M537" s="297" t="str">
        <f t="shared" ref="M537:M538" ca="1" si="45">IF(G537=K537,"OK","Reference fejl")</f>
        <v>Reference fejl</v>
      </c>
      <c r="N537" s="333" t="s">
        <v>949</v>
      </c>
    </row>
    <row r="538" spans="1:14" x14ac:dyDescent="0.2">
      <c r="A538" s="297" t="s">
        <v>1102</v>
      </c>
      <c r="B538" s="298" t="s">
        <v>183</v>
      </c>
      <c r="C538" s="297" t="str">
        <f>IF(Forside!$D$12="Dansk",Tekstnøgler!E538,Tekstnøgler!G538)</f>
        <v>Summen af scope 3 kategorier udledninger er større end summen af alle scope 3 udledninger.</v>
      </c>
      <c r="D538" s="298" t="s">
        <v>183</v>
      </c>
      <c r="E538" s="299" t="s">
        <v>961</v>
      </c>
      <c r="F538" s="298" t="s">
        <v>183</v>
      </c>
      <c r="G538" s="300" t="s">
        <v>962</v>
      </c>
      <c r="H538" s="298" t="s">
        <v>183</v>
      </c>
      <c r="I538" s="297" t="s">
        <v>166</v>
      </c>
      <c r="J538" s="297" t="s">
        <v>963</v>
      </c>
      <c r="K538" s="297" t="str" cm="1">
        <f t="array" aca="1" ref="K538" ca="1">INDIRECT("'"&amp;I538&amp;"'!"&amp;J538)</f>
        <v/>
      </c>
      <c r="L538" s="298" t="s">
        <v>183</v>
      </c>
      <c r="M538" s="297" t="str">
        <f t="shared" ca="1" si="45"/>
        <v>Reference fejl</v>
      </c>
      <c r="N538" s="333" t="s">
        <v>949</v>
      </c>
    </row>
    <row r="539" spans="1:14" x14ac:dyDescent="0.2">
      <c r="A539" s="297" t="s">
        <v>1102</v>
      </c>
      <c r="B539" s="298" t="s">
        <v>183</v>
      </c>
      <c r="C539" s="297" t="str">
        <f>IF(Forside!$D$12="Dansk",Tekstnøgler!E539,Tekstnøgler!G539)</f>
        <v>Summen af scope 3 kategorier udledninger er større end summen af alle scope 3 udledninger.</v>
      </c>
      <c r="D539" s="298" t="s">
        <v>183</v>
      </c>
      <c r="E539" s="299" t="s">
        <v>961</v>
      </c>
      <c r="F539" s="298" t="s">
        <v>183</v>
      </c>
      <c r="G539" s="300" t="s">
        <v>962</v>
      </c>
      <c r="H539" s="298" t="s">
        <v>183</v>
      </c>
      <c r="I539" s="297" t="s">
        <v>219</v>
      </c>
      <c r="J539" s="297" t="s">
        <v>964</v>
      </c>
      <c r="K539" s="297" t="e" cm="1">
        <f t="array" aca="1" ref="K539" ca="1">INDIRECT("'"&amp;I539&amp;"'!"&amp;J539)</f>
        <v>#REF!</v>
      </c>
      <c r="L539" s="298" t="s">
        <v>183</v>
      </c>
      <c r="M539" s="297" t="e">
        <f t="shared" ref="M539" ca="1" si="46">IF(G539=K539,"OK","Reference fejl")</f>
        <v>#REF!</v>
      </c>
      <c r="N539" s="333" t="s">
        <v>949</v>
      </c>
    </row>
    <row r="540" spans="1:14" x14ac:dyDescent="0.2">
      <c r="B540" s="298" t="s">
        <v>183</v>
      </c>
      <c r="D540" s="298" t="s">
        <v>183</v>
      </c>
      <c r="F540" s="298" t="s">
        <v>183</v>
      </c>
      <c r="H540" s="298" t="s">
        <v>183</v>
      </c>
      <c r="L540" s="298" t="s">
        <v>183</v>
      </c>
    </row>
    <row r="541" spans="1:14" x14ac:dyDescent="0.2">
      <c r="B541" s="298" t="s">
        <v>183</v>
      </c>
      <c r="D541" s="298" t="s">
        <v>183</v>
      </c>
      <c r="F541" s="298" t="s">
        <v>183</v>
      </c>
      <c r="H541" s="298" t="s">
        <v>183</v>
      </c>
      <c r="L541" s="298" t="s">
        <v>183</v>
      </c>
    </row>
    <row r="542" spans="1:14" x14ac:dyDescent="0.2">
      <c r="B542" s="298" t="s">
        <v>183</v>
      </c>
      <c r="D542" s="298" t="s">
        <v>183</v>
      </c>
      <c r="F542" s="298" t="s">
        <v>183</v>
      </c>
      <c r="H542" s="298" t="s">
        <v>183</v>
      </c>
      <c r="L542" s="298" t="s">
        <v>183</v>
      </c>
    </row>
    <row r="543" spans="1:14" x14ac:dyDescent="0.2">
      <c r="B543" s="298" t="s">
        <v>183</v>
      </c>
      <c r="D543" s="298" t="s">
        <v>183</v>
      </c>
      <c r="F543" s="298" t="s">
        <v>183</v>
      </c>
      <c r="H543" s="298" t="s">
        <v>183</v>
      </c>
      <c r="L543" s="298" t="s">
        <v>183</v>
      </c>
    </row>
    <row r="544" spans="1:14" x14ac:dyDescent="0.2">
      <c r="A544" s="339" t="s">
        <v>965</v>
      </c>
      <c r="B544" s="340" t="s">
        <v>183</v>
      </c>
      <c r="C544" s="339" t="str">
        <f>IF(Forside!$D$12="Dansk",Tekstnøgler!E544,Tekstnøgler!G544)</f>
        <v>Ikke relevant</v>
      </c>
      <c r="D544" s="340" t="s">
        <v>183</v>
      </c>
      <c r="E544" s="341" t="s">
        <v>966</v>
      </c>
      <c r="F544" s="340" t="s">
        <v>183</v>
      </c>
      <c r="G544" s="342" t="s">
        <v>967</v>
      </c>
    </row>
    <row r="545" spans="1:12" x14ac:dyDescent="0.2">
      <c r="A545" s="339" t="s">
        <v>968</v>
      </c>
      <c r="B545" s="340" t="s">
        <v>183</v>
      </c>
      <c r="C545" s="339" t="str">
        <f>IF(Forside!$D$12="Dansk",Tekstnøgler!E545,Tekstnøgler!G545)</f>
        <v>Transportmiddel</v>
      </c>
      <c r="D545" s="340" t="s">
        <v>183</v>
      </c>
      <c r="E545" s="341" t="s">
        <v>67</v>
      </c>
      <c r="F545" s="340" t="s">
        <v>183</v>
      </c>
      <c r="G545" s="342" t="s">
        <v>969</v>
      </c>
    </row>
    <row r="546" spans="1:12" x14ac:dyDescent="0.2">
      <c r="A546" s="339" t="s">
        <v>970</v>
      </c>
      <c r="B546" s="340" t="s">
        <v>183</v>
      </c>
      <c r="C546" s="339" t="str">
        <f>IF(Forside!$D$12="Dansk",Tekstnøgler!E546,Tekstnøgler!G546)</f>
        <v>Drivmiddel</v>
      </c>
      <c r="D546" s="340" t="s">
        <v>183</v>
      </c>
      <c r="E546" s="341" t="s">
        <v>69</v>
      </c>
      <c r="F546" s="340" t="s">
        <v>183</v>
      </c>
      <c r="G546" s="342" t="s">
        <v>971</v>
      </c>
    </row>
    <row r="547" spans="1:12" x14ac:dyDescent="0.2">
      <c r="A547" s="339" t="s">
        <v>972</v>
      </c>
      <c r="B547" s="340" t="s">
        <v>183</v>
      </c>
      <c r="C547" s="339" t="str">
        <f>IF(Forside!$D$12="Dansk",Tekstnøgler!E547,Tekstnøgler!G547)</f>
        <v>Ukendt</v>
      </c>
      <c r="D547" s="340" t="s">
        <v>183</v>
      </c>
      <c r="E547" s="341" t="s">
        <v>973</v>
      </c>
      <c r="F547" s="340" t="s">
        <v>183</v>
      </c>
      <c r="G547" s="342" t="s">
        <v>974</v>
      </c>
    </row>
    <row r="548" spans="1:12" x14ac:dyDescent="0.2">
      <c r="A548" s="339" t="s">
        <v>975</v>
      </c>
      <c r="B548" s="340" t="s">
        <v>183</v>
      </c>
      <c r="C548" s="339" t="str">
        <f>IF(Forside!$D$12="Dansk",Tekstnøgler!E548,Tekstnøgler!G548)</f>
        <v>Lineær</v>
      </c>
      <c r="D548" s="340" t="s">
        <v>183</v>
      </c>
      <c r="E548" s="341" t="s">
        <v>976</v>
      </c>
      <c r="F548" s="340" t="s">
        <v>183</v>
      </c>
      <c r="G548" s="342" t="s">
        <v>977</v>
      </c>
    </row>
    <row r="549" spans="1:12" x14ac:dyDescent="0.2">
      <c r="A549" s="339" t="s">
        <v>978</v>
      </c>
      <c r="B549" s="340" t="s">
        <v>183</v>
      </c>
      <c r="C549" s="339" t="str">
        <f>IF(Forside!$D$12="Dansk",Tekstnøgler!E549,Tekstnøgler!G549)</f>
        <v>Eksponentiel</v>
      </c>
      <c r="D549" s="340" t="s">
        <v>183</v>
      </c>
      <c r="E549" s="341" t="s">
        <v>979</v>
      </c>
      <c r="F549" s="340" t="s">
        <v>183</v>
      </c>
      <c r="G549" s="342" t="s">
        <v>980</v>
      </c>
    </row>
    <row r="550" spans="1:12" x14ac:dyDescent="0.2">
      <c r="A550" s="339" t="s">
        <v>1142</v>
      </c>
      <c r="B550" s="340" t="s">
        <v>183</v>
      </c>
      <c r="C550" s="339" t="str">
        <f>IF(Forside!$D$12="Dansk",Tekstnøgler!E550,Tekstnøgler!G550)</f>
        <v>Andet</v>
      </c>
      <c r="D550" s="340" t="s">
        <v>183</v>
      </c>
      <c r="E550" s="341" t="s">
        <v>1143</v>
      </c>
      <c r="F550" s="340" t="s">
        <v>183</v>
      </c>
      <c r="G550" s="342" t="s">
        <v>1144</v>
      </c>
    </row>
    <row r="551" spans="1:12" x14ac:dyDescent="0.2">
      <c r="A551" s="339" t="s">
        <v>1104</v>
      </c>
      <c r="B551" s="340" t="s">
        <v>183</v>
      </c>
      <c r="C551" s="339" t="str">
        <f>IF(Forside!$D$12="Dansk",Tekstnøgler!E551,Tekstnøgler!G551)</f>
        <v>Andet udledning ved affald</v>
      </c>
      <c r="D551" s="340" t="s">
        <v>183</v>
      </c>
      <c r="E551" s="341" t="s">
        <v>512</v>
      </c>
      <c r="F551" s="340" t="s">
        <v>183</v>
      </c>
      <c r="G551" s="342" t="s">
        <v>1961</v>
      </c>
    </row>
    <row r="552" spans="1:12" x14ac:dyDescent="0.2">
      <c r="A552" s="339" t="s">
        <v>1105</v>
      </c>
      <c r="B552" s="340" t="s">
        <v>183</v>
      </c>
      <c r="C552" s="339" t="str">
        <f>IF(Forside!$D$12="Dansk",Tekstnøgler!E552,Tekstnøgler!G552)</f>
        <v>Andet udledning ved solgte produkter</v>
      </c>
      <c r="D552" s="340" t="s">
        <v>183</v>
      </c>
      <c r="E552" s="341" t="s">
        <v>537</v>
      </c>
      <c r="F552" s="340" t="s">
        <v>183</v>
      </c>
      <c r="G552" s="342" t="s">
        <v>1962</v>
      </c>
    </row>
    <row r="553" spans="1:12" x14ac:dyDescent="0.2">
      <c r="A553" s="339" t="s">
        <v>1106</v>
      </c>
      <c r="B553" s="340" t="s">
        <v>183</v>
      </c>
      <c r="C553" s="339" t="str">
        <f>IF(Forside!$D$12="Dansk",Tekstnøgler!E553,Tekstnøgler!G553)</f>
        <v>Elektricitet</v>
      </c>
      <c r="D553" s="340" t="s">
        <v>183</v>
      </c>
      <c r="E553" s="341" t="s">
        <v>41</v>
      </c>
      <c r="F553" s="340" t="s">
        <v>183</v>
      </c>
      <c r="G553" s="342" t="s">
        <v>397</v>
      </c>
    </row>
    <row r="554" spans="1:12" x14ac:dyDescent="0.2">
      <c r="A554" s="339" t="s">
        <v>1107</v>
      </c>
      <c r="B554" s="340" t="s">
        <v>183</v>
      </c>
      <c r="C554" s="339" t="str">
        <f>IF(Forside!$D$12="Dansk",Tekstnøgler!E554,Tekstnøgler!G554)</f>
        <v>Varme og procesenergi</v>
      </c>
      <c r="D554" s="340" t="s">
        <v>183</v>
      </c>
      <c r="E554" s="341" t="s">
        <v>49</v>
      </c>
      <c r="F554" s="340" t="s">
        <v>183</v>
      </c>
      <c r="G554" s="342" t="s">
        <v>401</v>
      </c>
    </row>
    <row r="555" spans="1:12" ht="15" x14ac:dyDescent="0.2">
      <c r="A555" s="339" t="s">
        <v>1108</v>
      </c>
      <c r="B555" s="298" t="s">
        <v>183</v>
      </c>
      <c r="C555" s="339" t="str">
        <f>IF(Forside!$D$12="Dansk",Tekstnøgler!E555,Tekstnøgler!G555)</f>
        <v>Procesudledning</v>
      </c>
      <c r="D555" s="298" t="s">
        <v>183</v>
      </c>
      <c r="E555" s="299" t="s">
        <v>407</v>
      </c>
      <c r="F555" s="298" t="s">
        <v>183</v>
      </c>
      <c r="G555" t="s">
        <v>1677</v>
      </c>
      <c r="H555" s="298" t="s">
        <v>183</v>
      </c>
      <c r="L555" s="298" t="s">
        <v>183</v>
      </c>
    </row>
    <row r="556" spans="1:12" ht="15" x14ac:dyDescent="0.2">
      <c r="A556" s="339" t="s">
        <v>1109</v>
      </c>
      <c r="B556" s="298" t="s">
        <v>183</v>
      </c>
      <c r="C556" s="339" t="str">
        <f>IF(Forside!$D$12="Dansk",Tekstnøgler!E556,Tekstnøgler!G556)</f>
        <v>Andet (Energi og processer)</v>
      </c>
      <c r="D556" s="298" t="s">
        <v>183</v>
      </c>
      <c r="E556" s="299" t="s">
        <v>1963</v>
      </c>
      <c r="F556" s="298" t="s">
        <v>183</v>
      </c>
      <c r="G556" t="s">
        <v>1964</v>
      </c>
      <c r="H556" s="298" t="s">
        <v>183</v>
      </c>
      <c r="L556" s="298" t="s">
        <v>183</v>
      </c>
    </row>
    <row r="557" spans="1:12" ht="15" x14ac:dyDescent="0.2">
      <c r="A557" s="339" t="s">
        <v>1110</v>
      </c>
      <c r="B557" s="298" t="s">
        <v>183</v>
      </c>
      <c r="C557" s="339" t="str">
        <f>IF(Forside!$D$12="Dansk",Tekstnøgler!E557,Tekstnøgler!G557)</f>
        <v>Materialer</v>
      </c>
      <c r="D557" s="298" t="s">
        <v>183</v>
      </c>
      <c r="E557" s="299" t="s">
        <v>1965</v>
      </c>
      <c r="F557" s="298" t="s">
        <v>183</v>
      </c>
      <c r="G557" t="s">
        <v>1966</v>
      </c>
      <c r="H557" s="298" t="s">
        <v>183</v>
      </c>
      <c r="L557" s="298" t="s">
        <v>183</v>
      </c>
    </row>
    <row r="558" spans="1:12" ht="15" x14ac:dyDescent="0.2">
      <c r="A558" s="339" t="s">
        <v>1111</v>
      </c>
      <c r="B558" s="298" t="s">
        <v>183</v>
      </c>
      <c r="C558" s="339" t="str">
        <f>IF(Forside!$D$12="Dansk",Tekstnøgler!E558,Tekstnøgler!G558)</f>
        <v>Produkter og services</v>
      </c>
      <c r="D558" s="298" t="s">
        <v>183</v>
      </c>
      <c r="E558" s="299" t="s">
        <v>1967</v>
      </c>
      <c r="F558" s="298" t="s">
        <v>183</v>
      </c>
      <c r="G558" t="s">
        <v>1968</v>
      </c>
      <c r="H558" s="298" t="s">
        <v>183</v>
      </c>
      <c r="L558" s="298" t="s">
        <v>183</v>
      </c>
    </row>
    <row r="559" spans="1:12" ht="15" x14ac:dyDescent="0.2">
      <c r="A559" s="339" t="s">
        <v>1112</v>
      </c>
      <c r="B559" s="298" t="s">
        <v>183</v>
      </c>
      <c r="C559" s="339" t="str">
        <f>IF(Forside!$D$12="Dansk",Tekstnøgler!E559,Tekstnøgler!G559)</f>
        <v>Andet</v>
      </c>
      <c r="D559" s="298" t="s">
        <v>183</v>
      </c>
      <c r="E559" s="299" t="s">
        <v>1143</v>
      </c>
      <c r="F559" s="298" t="s">
        <v>183</v>
      </c>
      <c r="G559" t="s">
        <v>1144</v>
      </c>
      <c r="H559" s="298" t="s">
        <v>183</v>
      </c>
      <c r="L559" s="298" t="s">
        <v>183</v>
      </c>
    </row>
    <row r="560" spans="1:12" ht="15" x14ac:dyDescent="0.2">
      <c r="A560" s="339" t="s">
        <v>1113</v>
      </c>
      <c r="B560" s="298" t="s">
        <v>183</v>
      </c>
      <c r="C560" s="339" t="str">
        <f>IF(Forside!$D$12="Dansk",Tekstnøgler!E560,Tekstnøgler!G560)</f>
        <v>Materialer (sekundære)</v>
      </c>
      <c r="D560" s="298" t="s">
        <v>183</v>
      </c>
      <c r="E560" s="299" t="s">
        <v>1969</v>
      </c>
      <c r="F560" s="298" t="s">
        <v>183</v>
      </c>
      <c r="G560" t="s">
        <v>1970</v>
      </c>
      <c r="H560" s="298" t="s">
        <v>183</v>
      </c>
      <c r="L560" s="298" t="s">
        <v>183</v>
      </c>
    </row>
    <row r="561" spans="1:12" ht="15" x14ac:dyDescent="0.2">
      <c r="A561" s="339" t="s">
        <v>1114</v>
      </c>
      <c r="B561" s="298" t="s">
        <v>183</v>
      </c>
      <c r="C561" s="339" t="str">
        <f>IF(Forside!$D$12="Dansk",Tekstnøgler!E561,Tekstnøgler!G561)</f>
        <v>Produkter og services (sekundære)</v>
      </c>
      <c r="D561" s="298" t="s">
        <v>183</v>
      </c>
      <c r="E561" s="299" t="s">
        <v>1971</v>
      </c>
      <c r="F561" s="298" t="s">
        <v>183</v>
      </c>
      <c r="G561" t="s">
        <v>1972</v>
      </c>
      <c r="H561" s="298" t="s">
        <v>183</v>
      </c>
      <c r="L561" s="298" t="s">
        <v>183</v>
      </c>
    </row>
    <row r="562" spans="1:12" ht="15" x14ac:dyDescent="0.2">
      <c r="A562" s="339" t="s">
        <v>1115</v>
      </c>
      <c r="B562" s="298" t="s">
        <v>183</v>
      </c>
      <c r="C562" s="339" t="str">
        <f>IF(Forside!$D$12="Dansk",Tekstnøgler!E562,Tekstnøgler!G562)</f>
        <v>Andet (sekundære)</v>
      </c>
      <c r="D562" s="298" t="s">
        <v>183</v>
      </c>
      <c r="E562" s="299" t="s">
        <v>1973</v>
      </c>
      <c r="F562" s="298" t="s">
        <v>183</v>
      </c>
      <c r="G562" t="s">
        <v>1974</v>
      </c>
      <c r="H562" s="298" t="s">
        <v>183</v>
      </c>
      <c r="L562" s="298" t="s">
        <v>183</v>
      </c>
    </row>
    <row r="563" spans="1:12" ht="15" x14ac:dyDescent="0.2">
      <c r="A563" s="339" t="s">
        <v>1116</v>
      </c>
      <c r="B563" s="298" t="s">
        <v>183</v>
      </c>
      <c r="C563" s="339" t="str">
        <f>IF(Forside!$D$12="Dansk",Tekstnøgler!E563,Tekstnøgler!G563)</f>
        <v>Egne og leasede transportmidler</v>
      </c>
      <c r="D563" s="298" t="s">
        <v>183</v>
      </c>
      <c r="E563" s="299" t="s">
        <v>66</v>
      </c>
      <c r="F563" s="298" t="s">
        <v>183</v>
      </c>
      <c r="G563" t="s">
        <v>1975</v>
      </c>
      <c r="H563" s="298" t="s">
        <v>183</v>
      </c>
      <c r="L563" s="298" t="s">
        <v>183</v>
      </c>
    </row>
    <row r="564" spans="1:12" ht="15" x14ac:dyDescent="0.2">
      <c r="A564" s="339" t="s">
        <v>1117</v>
      </c>
      <c r="B564" s="298" t="s">
        <v>183</v>
      </c>
      <c r="C564" s="339" t="str">
        <f>IF(Forside!$D$12="Dansk",Tekstnøgler!E564,Tekstnøgler!G564)</f>
        <v>Medarbejdertransport</v>
      </c>
      <c r="D564" s="298" t="s">
        <v>183</v>
      </c>
      <c r="E564" s="299" t="s">
        <v>74</v>
      </c>
      <c r="F564" s="298" t="s">
        <v>183</v>
      </c>
      <c r="G564" t="s">
        <v>1976</v>
      </c>
      <c r="H564" s="298" t="s">
        <v>183</v>
      </c>
      <c r="L564" s="298" t="s">
        <v>183</v>
      </c>
    </row>
    <row r="565" spans="1:12" ht="15" x14ac:dyDescent="0.2">
      <c r="A565" s="339" t="s">
        <v>1118</v>
      </c>
      <c r="B565" s="298" t="s">
        <v>183</v>
      </c>
      <c r="C565" s="339" t="str">
        <f>IF(Forside!$D$12="Dansk",Tekstnøgler!E565,Tekstnøgler!G565)</f>
        <v>Varetransport til virksomhed</v>
      </c>
      <c r="D565" s="298" t="s">
        <v>183</v>
      </c>
      <c r="E565" s="299" t="s">
        <v>1711</v>
      </c>
      <c r="F565" s="298" t="s">
        <v>183</v>
      </c>
      <c r="G565" t="s">
        <v>1977</v>
      </c>
      <c r="H565" s="298" t="s">
        <v>183</v>
      </c>
      <c r="L565" s="298" t="s">
        <v>183</v>
      </c>
    </row>
    <row r="566" spans="1:12" ht="15" x14ac:dyDescent="0.2">
      <c r="A566" s="339" t="s">
        <v>1119</v>
      </c>
      <c r="B566" s="298" t="s">
        <v>183</v>
      </c>
      <c r="C566" s="339" t="str">
        <f>IF(Forside!$D$12="Dansk",Tekstnøgler!E566,Tekstnøgler!G566)</f>
        <v>Varetransport til kunde</v>
      </c>
      <c r="D566" s="298" t="s">
        <v>183</v>
      </c>
      <c r="E566" s="299" t="s">
        <v>1978</v>
      </c>
      <c r="F566" s="298" t="s">
        <v>183</v>
      </c>
      <c r="G566" t="s">
        <v>1979</v>
      </c>
      <c r="H566" s="298" t="s">
        <v>183</v>
      </c>
      <c r="L566" s="298" t="s">
        <v>183</v>
      </c>
    </row>
    <row r="567" spans="1:12" ht="15" x14ac:dyDescent="0.2">
      <c r="A567" s="339" t="s">
        <v>1120</v>
      </c>
      <c r="B567" s="298" t="s">
        <v>183</v>
      </c>
      <c r="C567" s="339" t="str">
        <f>IF(Forside!$D$12="Dansk",Tekstnøgler!E567,Tekstnøgler!G567)</f>
        <v>Andet (Transport)</v>
      </c>
      <c r="D567" s="298" t="s">
        <v>183</v>
      </c>
      <c r="E567" s="299" t="s">
        <v>1980</v>
      </c>
      <c r="F567" s="298" t="s">
        <v>183</v>
      </c>
      <c r="G567" t="s">
        <v>1981</v>
      </c>
      <c r="H567" s="298" t="s">
        <v>183</v>
      </c>
      <c r="L567" s="298" t="s">
        <v>183</v>
      </c>
    </row>
    <row r="568" spans="1:12" ht="15" x14ac:dyDescent="0.2">
      <c r="A568" s="339" t="s">
        <v>1121</v>
      </c>
      <c r="B568" s="298" t="s">
        <v>183</v>
      </c>
      <c r="C568" s="339" t="str">
        <f>IF(Forside!$D$12="Dansk",Tekstnøgler!E568,Tekstnøgler!G568)</f>
        <v>Affald</v>
      </c>
      <c r="D568" s="298" t="s">
        <v>183</v>
      </c>
      <c r="E568" s="299" t="s">
        <v>506</v>
      </c>
      <c r="F568" s="298" t="s">
        <v>183</v>
      </c>
      <c r="G568" t="s">
        <v>1720</v>
      </c>
      <c r="H568" s="298" t="s">
        <v>183</v>
      </c>
      <c r="L568" s="298" t="s">
        <v>183</v>
      </c>
    </row>
    <row r="569" spans="1:12" ht="15" x14ac:dyDescent="0.2">
      <c r="A569" s="339" t="s">
        <v>1122</v>
      </c>
      <c r="B569" s="298" t="s">
        <v>183</v>
      </c>
      <c r="C569" s="339" t="str">
        <f>IF(Forside!$D$12="Dansk",Tekstnøgler!E569,Tekstnøgler!G569)</f>
        <v>Andet (Affald)</v>
      </c>
      <c r="D569" s="298" t="s">
        <v>183</v>
      </c>
      <c r="E569" s="299" t="s">
        <v>1982</v>
      </c>
      <c r="F569" s="298" t="s">
        <v>183</v>
      </c>
      <c r="G569" t="s">
        <v>1983</v>
      </c>
      <c r="H569" s="298" t="s">
        <v>183</v>
      </c>
      <c r="L569" s="298" t="s">
        <v>183</v>
      </c>
    </row>
    <row r="570" spans="1:12" ht="15" x14ac:dyDescent="0.2">
      <c r="A570" s="339" t="s">
        <v>1123</v>
      </c>
      <c r="B570" s="298" t="s">
        <v>183</v>
      </c>
      <c r="C570" s="339" t="str">
        <f>IF(Forside!$D$12="Dansk",Tekstnøgler!E570,Tekstnøgler!G570)</f>
        <v>Forarbejdning og processering</v>
      </c>
      <c r="D570" s="298" t="s">
        <v>183</v>
      </c>
      <c r="E570" s="299" t="s">
        <v>1984</v>
      </c>
      <c r="F570" s="298" t="s">
        <v>183</v>
      </c>
      <c r="G570" t="s">
        <v>1985</v>
      </c>
      <c r="H570" s="298" t="s">
        <v>183</v>
      </c>
      <c r="L570" s="298" t="s">
        <v>183</v>
      </c>
    </row>
    <row r="571" spans="1:12" ht="15" x14ac:dyDescent="0.2">
      <c r="A571" s="339" t="s">
        <v>1124</v>
      </c>
      <c r="B571" s="298" t="s">
        <v>183</v>
      </c>
      <c r="C571" s="339" t="str">
        <f>IF(Forside!$D$12="Dansk",Tekstnøgler!E571,Tekstnøgler!G571)</f>
        <v>Brug af solgte og udlejede produkter</v>
      </c>
      <c r="D571" s="298" t="s">
        <v>183</v>
      </c>
      <c r="E571" s="299" t="s">
        <v>521</v>
      </c>
      <c r="F571" s="298" t="s">
        <v>183</v>
      </c>
      <c r="G571" t="s">
        <v>522</v>
      </c>
      <c r="H571" s="298" t="s">
        <v>183</v>
      </c>
      <c r="L571" s="298" t="s">
        <v>183</v>
      </c>
    </row>
    <row r="572" spans="1:12" ht="15" x14ac:dyDescent="0.2">
      <c r="A572" s="339" t="s">
        <v>1125</v>
      </c>
      <c r="B572" s="298" t="s">
        <v>183</v>
      </c>
      <c r="C572" s="339" t="str">
        <f>IF(Forside!$D$12="Dansk",Tekstnøgler!E572,Tekstnøgler!G572)</f>
        <v>Andet (Solgte produkter)</v>
      </c>
      <c r="D572" s="298" t="s">
        <v>183</v>
      </c>
      <c r="E572" s="299" t="s">
        <v>1986</v>
      </c>
      <c r="F572" s="298" t="s">
        <v>183</v>
      </c>
      <c r="G572" t="s">
        <v>1987</v>
      </c>
      <c r="H572" s="298" t="s">
        <v>183</v>
      </c>
      <c r="L572" s="298" t="s">
        <v>183</v>
      </c>
    </row>
    <row r="573" spans="1:12" ht="15" x14ac:dyDescent="0.2">
      <c r="A573" s="339" t="s">
        <v>1126</v>
      </c>
      <c r="B573" s="298" t="s">
        <v>183</v>
      </c>
      <c r="C573" s="339" t="str">
        <f>IF(Forside!$D$12="Dansk",Tekstnøgler!E573,Tekstnøgler!G573)</f>
        <v>End-of-life behandling</v>
      </c>
      <c r="D573" s="298" t="s">
        <v>183</v>
      </c>
      <c r="E573" s="299" t="s">
        <v>529</v>
      </c>
      <c r="F573" s="298" t="s">
        <v>183</v>
      </c>
      <c r="G573" t="s">
        <v>530</v>
      </c>
      <c r="H573" s="298" t="s">
        <v>183</v>
      </c>
      <c r="L573" s="298" t="s">
        <v>183</v>
      </c>
    </row>
    <row r="574" spans="1:12" x14ac:dyDescent="0.2">
      <c r="B574" s="298" t="s">
        <v>183</v>
      </c>
      <c r="C574" s="339">
        <f>IF(Forside!$D$12="Dansk",Tekstnøgler!E574,Tekstnøgler!G574)</f>
        <v>0</v>
      </c>
      <c r="D574" s="298" t="s">
        <v>183</v>
      </c>
      <c r="F574" s="298" t="s">
        <v>183</v>
      </c>
      <c r="H574" s="298" t="s">
        <v>183</v>
      </c>
      <c r="L574" s="298" t="s">
        <v>183</v>
      </c>
    </row>
    <row r="575" spans="1:12" x14ac:dyDescent="0.2">
      <c r="A575" s="297" t="s">
        <v>1127</v>
      </c>
      <c r="B575" s="298" t="s">
        <v>183</v>
      </c>
      <c r="C575" s="339" t="str">
        <f>IF(Forside!$D$12="Dansk",Tekstnøgler!E575,Tekstnøgler!G575)</f>
        <v>Egne</v>
      </c>
      <c r="D575" s="298" t="s">
        <v>183</v>
      </c>
      <c r="E575" s="299" t="s">
        <v>1128</v>
      </c>
      <c r="F575" s="298" t="s">
        <v>183</v>
      </c>
      <c r="G575" s="300" t="s">
        <v>1129</v>
      </c>
      <c r="H575" s="298" t="s">
        <v>183</v>
      </c>
      <c r="L575" s="298" t="s">
        <v>183</v>
      </c>
    </row>
    <row r="576" spans="1:12" x14ac:dyDescent="0.2">
      <c r="A576" s="297" t="s">
        <v>1130</v>
      </c>
      <c r="B576" s="298" t="s">
        <v>183</v>
      </c>
      <c r="C576" s="339" t="str">
        <f>IF(Forside!$D$12="Dansk",Tekstnøgler!E576,Tekstnøgler!G576)</f>
        <v>ESG</v>
      </c>
      <c r="D576" s="298" t="s">
        <v>183</v>
      </c>
      <c r="E576" s="299" t="s">
        <v>81</v>
      </c>
      <c r="F576" s="298" t="s">
        <v>183</v>
      </c>
      <c r="G576" s="300" t="s">
        <v>81</v>
      </c>
      <c r="H576" s="298" t="s">
        <v>183</v>
      </c>
      <c r="L576" s="298" t="s">
        <v>183</v>
      </c>
    </row>
    <row r="577" spans="1:12" ht="15" x14ac:dyDescent="0.2">
      <c r="A577" s="297" t="s">
        <v>1131</v>
      </c>
      <c r="B577" s="298" t="s">
        <v>183</v>
      </c>
      <c r="C577" s="339" t="str">
        <f>IF(Forside!$D$12="Dansk",Tekstnøgler!E577,Tekstnøgler!G577)</f>
        <v>E-Nøgletal</v>
      </c>
      <c r="D577" s="298" t="s">
        <v>183</v>
      </c>
      <c r="E577" s="227" t="s">
        <v>82</v>
      </c>
      <c r="F577" s="298" t="s">
        <v>183</v>
      </c>
      <c r="G577" s="300" t="s">
        <v>1132</v>
      </c>
      <c r="H577" s="298" t="s">
        <v>183</v>
      </c>
      <c r="L577" s="298" t="s">
        <v>183</v>
      </c>
    </row>
    <row r="578" spans="1:12" x14ac:dyDescent="0.2">
      <c r="A578" s="297" t="s">
        <v>1133</v>
      </c>
      <c r="B578" s="298" t="s">
        <v>183</v>
      </c>
      <c r="C578" s="339" t="str">
        <f>IF(Forside!$D$12="Dansk",Tekstnøgler!E578,Tekstnøgler!G578)</f>
        <v>Parameter</v>
      </c>
      <c r="D578" s="298" t="s">
        <v>183</v>
      </c>
      <c r="E578" s="299" t="s">
        <v>91</v>
      </c>
      <c r="F578" s="298" t="s">
        <v>183</v>
      </c>
      <c r="G578" s="300" t="s">
        <v>91</v>
      </c>
      <c r="H578" s="298" t="s">
        <v>183</v>
      </c>
      <c r="L578" s="298" t="s">
        <v>183</v>
      </c>
    </row>
    <row r="579" spans="1:12" x14ac:dyDescent="0.2">
      <c r="A579" s="297" t="s">
        <v>1134</v>
      </c>
      <c r="B579" s="298" t="s">
        <v>183</v>
      </c>
      <c r="C579" s="339" t="str">
        <f>IF(Forside!$D$12="Dansk",Tekstnøgler!E579,Tekstnøgler!G579)</f>
        <v>Brugt til beregning af E-nøgletal</v>
      </c>
      <c r="D579" s="298" t="s">
        <v>183</v>
      </c>
      <c r="E579" s="299" t="s">
        <v>92</v>
      </c>
      <c r="F579" s="298" t="s">
        <v>183</v>
      </c>
      <c r="G579" s="300" t="s">
        <v>1988</v>
      </c>
      <c r="H579" s="298" t="s">
        <v>183</v>
      </c>
      <c r="L579" s="298" t="s">
        <v>183</v>
      </c>
    </row>
    <row r="580" spans="1:12" x14ac:dyDescent="0.2">
      <c r="A580" s="297" t="s">
        <v>1137</v>
      </c>
      <c r="B580" s="298" t="s">
        <v>183</v>
      </c>
      <c r="C580" s="339" t="str">
        <f>IF(Forside!$D$12="Dansk",Tekstnøgler!E580,Tekstnøgler!G580)</f>
        <v>Scope 1, 2 og 3 udledning</v>
      </c>
      <c r="D580" s="298" t="s">
        <v>183</v>
      </c>
      <c r="E580" s="299" t="s">
        <v>1989</v>
      </c>
      <c r="F580" s="298" t="s">
        <v>183</v>
      </c>
      <c r="G580" s="300" t="s">
        <v>688</v>
      </c>
      <c r="H580" s="298" t="s">
        <v>183</v>
      </c>
      <c r="L580" s="298" t="s">
        <v>183</v>
      </c>
    </row>
    <row r="581" spans="1:12" x14ac:dyDescent="0.2">
      <c r="A581" s="298" t="s">
        <v>1138</v>
      </c>
      <c r="B581" s="298" t="s">
        <v>183</v>
      </c>
      <c r="C581" s="339" t="str">
        <f>IF(Forside!$D$12="Dansk",Tekstnøgler!E581,Tekstnøgler!G581)</f>
        <v>Procentdel af udledning i scope 1, 2 og 3</v>
      </c>
      <c r="D581" s="298" t="s">
        <v>183</v>
      </c>
      <c r="E581" s="299" t="s">
        <v>691</v>
      </c>
      <c r="F581" s="298" t="s">
        <v>183</v>
      </c>
      <c r="G581" s="300" t="s">
        <v>692</v>
      </c>
      <c r="H581" s="298" t="s">
        <v>183</v>
      </c>
      <c r="L581" s="298" t="s">
        <v>183</v>
      </c>
    </row>
    <row r="582" spans="1:12" x14ac:dyDescent="0.2">
      <c r="A582" s="297" t="s">
        <v>1139</v>
      </c>
      <c r="B582" s="298" t="s">
        <v>183</v>
      </c>
      <c r="C582" s="339" t="str">
        <f>IF(Forside!$D$12="Dansk",Tekstnøgler!E582,Tekstnøgler!G582)</f>
        <v>ton CO₂e</v>
      </c>
      <c r="D582" s="298" t="s">
        <v>183</v>
      </c>
      <c r="E582" s="299" t="s">
        <v>1990</v>
      </c>
      <c r="F582" s="298" t="s">
        <v>183</v>
      </c>
      <c r="G582" s="300" t="s">
        <v>1990</v>
      </c>
      <c r="H582" s="298" t="s">
        <v>183</v>
      </c>
      <c r="L582" s="298" t="s">
        <v>183</v>
      </c>
    </row>
    <row r="583" spans="1:12" x14ac:dyDescent="0.2">
      <c r="A583" s="297" t="s">
        <v>1140</v>
      </c>
      <c r="B583" s="298" t="s">
        <v>183</v>
      </c>
      <c r="C583" s="339" t="str">
        <f>IF(Forside!$D$12="Dansk",Tekstnøgler!E583,Tekstnøgler!G583)</f>
        <v>På denne side kan du få indblik i, hvilke af dine indtastninger i Klimakompasset, der fylder mest i din virksomheds klimaregnskab – en såkaldt hot spot analyse.
Med udpegning af din virksomheds 20 største kilder til udledninger får du et hurtigt overblik over potentielle reduktionsmuligheder, så du kan fokusere på de vigtigste steder først, og prioritere de reducerende tiltag, der har størst effekt i din virksomhed.
I tabellen nederst på siden kan du se de 20 indtastninger med størst udledning, og hvor stor en procentdel de udgør af virksomhedens samlede udledninger i scope 1, 2 og 3.</v>
      </c>
      <c r="D583" s="298" t="s">
        <v>183</v>
      </c>
      <c r="E583" s="299" t="s">
        <v>676</v>
      </c>
      <c r="F583" s="298" t="s">
        <v>183</v>
      </c>
      <c r="G583" s="300" t="s">
        <v>677</v>
      </c>
      <c r="H583" s="298" t="s">
        <v>183</v>
      </c>
      <c r="L583" s="298" t="s">
        <v>183</v>
      </c>
    </row>
    <row r="584" spans="1:12" x14ac:dyDescent="0.2">
      <c r="A584" s="297" t="s">
        <v>1141</v>
      </c>
      <c r="B584" s="298" t="s">
        <v>183</v>
      </c>
      <c r="C584" s="339" t="str">
        <f>IF(Forside!$D$12="Dansk",Tekstnøgler!E584,Tekstnøgler!G584)</f>
        <v>Figur 1: CO₂e-udledning i ton scope 1, 2 og 3 fordelt på poster</v>
      </c>
      <c r="D584" s="298" t="s">
        <v>183</v>
      </c>
      <c r="E584" s="299" t="s">
        <v>1991</v>
      </c>
      <c r="F584" s="298" t="s">
        <v>183</v>
      </c>
      <c r="G584" s="300" t="s">
        <v>1992</v>
      </c>
      <c r="H584" s="298" t="s">
        <v>183</v>
      </c>
      <c r="L584" s="298" t="s">
        <v>183</v>
      </c>
    </row>
    <row r="585" spans="1:12" x14ac:dyDescent="0.2">
      <c r="A585" s="297" t="s">
        <v>1146</v>
      </c>
      <c r="B585" s="298" t="s">
        <v>183</v>
      </c>
      <c r="C585" s="339" t="str">
        <f>IF(Forside!$D$12="Dansk",Tekstnøgler!E585,Tekstnøgler!G585)</f>
        <v>Andet udledning ved Energi og processer</v>
      </c>
      <c r="D585" s="298" t="s">
        <v>183</v>
      </c>
      <c r="E585" s="299" t="s">
        <v>1147</v>
      </c>
      <c r="F585" s="298" t="s">
        <v>183</v>
      </c>
      <c r="G585" s="300" t="s">
        <v>412</v>
      </c>
      <c r="H585" s="298" t="s">
        <v>183</v>
      </c>
      <c r="L585" s="298" t="s">
        <v>183</v>
      </c>
    </row>
    <row r="586" spans="1:12" x14ac:dyDescent="0.2">
      <c r="A586" s="297" t="s">
        <v>1148</v>
      </c>
      <c r="B586" s="298" t="s">
        <v>183</v>
      </c>
      <c r="C586" s="339" t="str">
        <f>IF(Forside!$D$12="Dansk",Tekstnøgler!E586,Tekstnøgler!G586)</f>
        <v>Text key not found</v>
      </c>
      <c r="D586" s="298" t="s">
        <v>183</v>
      </c>
      <c r="E586" s="299" t="s">
        <v>1149</v>
      </c>
      <c r="F586" s="298" t="s">
        <v>183</v>
      </c>
      <c r="G586" s="300" t="s">
        <v>1149</v>
      </c>
      <c r="H586" s="298" t="s">
        <v>183</v>
      </c>
      <c r="L586" s="298" t="s">
        <v>183</v>
      </c>
    </row>
    <row r="587" spans="1:12" x14ac:dyDescent="0.2">
      <c r="A587" s="297" t="s">
        <v>1150</v>
      </c>
      <c r="B587" s="298" t="s">
        <v>183</v>
      </c>
      <c r="C587" s="339" t="str">
        <f>IF(Forside!$D$12="Dansk",Tekstnøgler!E587,Tekstnøgler!G587)</f>
        <v>Henviser til ark:</v>
      </c>
      <c r="D587" s="298" t="s">
        <v>183</v>
      </c>
      <c r="E587" s="299" t="s">
        <v>1993</v>
      </c>
      <c r="F587" s="298" t="s">
        <v>183</v>
      </c>
      <c r="G587" s="300" t="s">
        <v>1135</v>
      </c>
      <c r="H587" s="298" t="s">
        <v>183</v>
      </c>
      <c r="L587" s="298" t="s">
        <v>183</v>
      </c>
    </row>
    <row r="588" spans="1:12" x14ac:dyDescent="0.2">
      <c r="A588" s="297" t="s">
        <v>1157</v>
      </c>
      <c r="B588" s="298" t="s">
        <v>183</v>
      </c>
      <c r="C588" s="339" t="str">
        <f>IF(Forside!$D$12="Dansk",Tekstnøgler!E588,Tekstnøgler!G588)</f>
        <v>Emissionsfaktorår</v>
      </c>
      <c r="D588" s="298" t="s">
        <v>183</v>
      </c>
      <c r="E588" s="299" t="s">
        <v>1994</v>
      </c>
      <c r="F588" s="298" t="s">
        <v>183</v>
      </c>
      <c r="G588" s="300" t="s">
        <v>1995</v>
      </c>
      <c r="H588" s="298" t="s">
        <v>183</v>
      </c>
      <c r="L588" s="298" t="s">
        <v>183</v>
      </c>
    </row>
    <row r="589" spans="1:12" x14ac:dyDescent="0.2">
      <c r="A589" s="297" t="s">
        <v>1158</v>
      </c>
      <c r="B589" s="298" t="s">
        <v>183</v>
      </c>
      <c r="C589" s="339" t="str">
        <f>IF(Forside!$D$12="Dansk",Tekstnøgler!E589,Tekstnøgler!G589)</f>
        <v>Basisår</v>
      </c>
      <c r="D589" s="298" t="s">
        <v>183</v>
      </c>
      <c r="E589" s="299" t="s">
        <v>703</v>
      </c>
      <c r="F589" s="298" t="s">
        <v>183</v>
      </c>
      <c r="G589" s="300" t="s">
        <v>1996</v>
      </c>
      <c r="H589" s="298" t="s">
        <v>183</v>
      </c>
      <c r="L589" s="298" t="s">
        <v>183</v>
      </c>
    </row>
    <row r="590" spans="1:12" x14ac:dyDescent="0.2">
      <c r="A590" s="297" t="s">
        <v>1159</v>
      </c>
      <c r="B590" s="298" t="s">
        <v>183</v>
      </c>
      <c r="C590" s="339" t="str">
        <f>IF(Forside!$D$12="Dansk",Tekstnøgler!E590,Tekstnøgler!G590)</f>
        <v>Emissionsfaktorår for basisår</v>
      </c>
      <c r="D590" s="298" t="s">
        <v>183</v>
      </c>
      <c r="E590" s="299" t="s">
        <v>1160</v>
      </c>
      <c r="F590" s="298" t="s">
        <v>183</v>
      </c>
      <c r="G590" s="300" t="s">
        <v>1997</v>
      </c>
      <c r="H590" s="298" t="s">
        <v>183</v>
      </c>
      <c r="L590" s="298" t="s">
        <v>183</v>
      </c>
    </row>
    <row r="591" spans="1:12" x14ac:dyDescent="0.2">
      <c r="A591" s="297" t="s">
        <v>1162</v>
      </c>
      <c r="B591" s="298" t="s">
        <v>183</v>
      </c>
      <c r="C591" s="339" t="str">
        <f>IF(Forside!$D$12="Dansk",Tekstnøgler!E591,Tekstnøgler!G591)</f>
        <v xml:space="preserve">Beregningens startår
</v>
      </c>
      <c r="D591" s="298" t="s">
        <v>183</v>
      </c>
      <c r="E591" s="299" t="s">
        <v>1998</v>
      </c>
      <c r="F591" s="298" t="s">
        <v>183</v>
      </c>
      <c r="G591" s="300" t="s">
        <v>1999</v>
      </c>
      <c r="H591" s="298" t="s">
        <v>183</v>
      </c>
      <c r="L591" s="298" t="s">
        <v>183</v>
      </c>
    </row>
    <row r="592" spans="1:12" x14ac:dyDescent="0.2">
      <c r="A592" s="297" t="s">
        <v>1163</v>
      </c>
      <c r="B592" s="298" t="s">
        <v>183</v>
      </c>
      <c r="C592" s="339" t="str">
        <f>IF(Forside!$D$12="Dansk",Tekstnøgler!E592,Tekstnøgler!G592)</f>
        <v>Beregningens slutår er mere end 2 år efter startår</v>
      </c>
      <c r="D592" s="298" t="s">
        <v>183</v>
      </c>
      <c r="E592" s="299" t="s">
        <v>1165</v>
      </c>
      <c r="F592" s="298" t="s">
        <v>183</v>
      </c>
      <c r="G592" s="300" t="s">
        <v>1164</v>
      </c>
      <c r="H592" s="298" t="s">
        <v>183</v>
      </c>
      <c r="L592" s="298" t="s">
        <v>183</v>
      </c>
    </row>
    <row r="593" spans="1:12" x14ac:dyDescent="0.2">
      <c r="A593" s="297" t="s">
        <v>1168</v>
      </c>
      <c r="B593" s="298" t="s">
        <v>183</v>
      </c>
      <c r="C593" s="339" t="str">
        <f>IF(Forside!$D$12="Dansk",Tekstnøgler!E593,Tekstnøgler!G593)</f>
        <v>Målsætning fratrukket reduktionen</v>
      </c>
      <c r="D593" s="298" t="s">
        <v>183</v>
      </c>
      <c r="E593" s="299" t="s">
        <v>1167</v>
      </c>
      <c r="F593" s="298" t="s">
        <v>183</v>
      </c>
      <c r="G593" s="300" t="s">
        <v>1169</v>
      </c>
      <c r="H593" s="298" t="s">
        <v>183</v>
      </c>
      <c r="L593" s="298" t="s">
        <v>183</v>
      </c>
    </row>
    <row r="594" spans="1:12" x14ac:dyDescent="0.2">
      <c r="A594" s="297" t="s">
        <v>1170</v>
      </c>
      <c r="B594" s="298" t="s">
        <v>183</v>
      </c>
      <c r="C594" s="339" t="str">
        <f>IF(Forside!$D$12="Dansk",Tekstnøgler!E594,Tekstnøgler!G594)</f>
        <v>Målsætning fratrukket reduktionen (%)</v>
      </c>
      <c r="D594" s="298" t="s">
        <v>183</v>
      </c>
      <c r="E594" s="299" t="s">
        <v>1171</v>
      </c>
      <c r="F594" s="298" t="s">
        <v>183</v>
      </c>
      <c r="G594" s="300" t="s">
        <v>1172</v>
      </c>
      <c r="H594" s="298" t="s">
        <v>183</v>
      </c>
      <c r="L594" s="298" t="s">
        <v>183</v>
      </c>
    </row>
    <row r="595" spans="1:12" x14ac:dyDescent="0.2">
      <c r="A595" s="297" t="s">
        <v>1173</v>
      </c>
      <c r="B595" s="298" t="s">
        <v>183</v>
      </c>
      <c r="C595" s="339" t="str">
        <f>IF(Forside!$D$12="Dansk",Tekstnøgler!E595,Tekstnøgler!G595)</f>
        <v>Målsætning (%)</v>
      </c>
      <c r="D595" s="298" t="s">
        <v>183</v>
      </c>
      <c r="E595" s="299" t="s">
        <v>1174</v>
      </c>
      <c r="F595" s="298" t="s">
        <v>183</v>
      </c>
      <c r="G595" s="300" t="s">
        <v>1175</v>
      </c>
      <c r="H595" s="298" t="s">
        <v>183</v>
      </c>
      <c r="L595" s="298" t="s">
        <v>183</v>
      </c>
    </row>
    <row r="596" spans="1:12" x14ac:dyDescent="0.2">
      <c r="A596" s="297" t="s">
        <v>1176</v>
      </c>
      <c r="B596" s="298" t="s">
        <v>183</v>
      </c>
      <c r="C596" s="339" t="str">
        <f>IF(Forside!$D$12="Dansk",Tekstnøgler!E596,Tekstnøgler!G596)</f>
        <v>Manglende reduction</v>
      </c>
      <c r="D596" s="298" t="s">
        <v>183</v>
      </c>
      <c r="E596" s="299" t="s">
        <v>1177</v>
      </c>
      <c r="F596" s="298" t="s">
        <v>183</v>
      </c>
      <c r="G596" s="300" t="s">
        <v>1178</v>
      </c>
      <c r="H596" s="298" t="s">
        <v>183</v>
      </c>
      <c r="L596" s="298" t="s">
        <v>183</v>
      </c>
    </row>
    <row r="597" spans="1:12" x14ac:dyDescent="0.2">
      <c r="A597" s="297" t="s">
        <v>1179</v>
      </c>
      <c r="B597" s="298" t="s">
        <v>183</v>
      </c>
      <c r="C597" s="339" t="str">
        <f>IF(Forside!$D$12="Dansk",Tekstnøgler!E597,Tekstnøgler!G597)</f>
        <v>Målsætning for scope 3</v>
      </c>
      <c r="D597" s="298" t="s">
        <v>183</v>
      </c>
      <c r="E597" s="299" t="s">
        <v>36</v>
      </c>
      <c r="F597" s="298" t="s">
        <v>183</v>
      </c>
      <c r="G597" s="300" t="s">
        <v>1180</v>
      </c>
      <c r="H597" s="298" t="s">
        <v>183</v>
      </c>
      <c r="L597" s="298" t="s">
        <v>183</v>
      </c>
    </row>
    <row r="598" spans="1:12" x14ac:dyDescent="0.2">
      <c r="A598" s="297" t="s">
        <v>1181</v>
      </c>
      <c r="B598" s="298" t="s">
        <v>183</v>
      </c>
      <c r="C598" s="339" t="str">
        <f>IF(Forside!$D$12="Dansk",Tekstnøgler!E598,Tekstnøgler!G598)</f>
        <v>Målsætning for scope 3 fratrukket reduktionen</v>
      </c>
      <c r="D598" s="298" t="s">
        <v>183</v>
      </c>
      <c r="E598" s="299" t="s">
        <v>1182</v>
      </c>
      <c r="F598" s="298" t="s">
        <v>183</v>
      </c>
      <c r="G598" s="300" t="s">
        <v>1183</v>
      </c>
      <c r="H598" s="298" t="s">
        <v>183</v>
      </c>
      <c r="L598" s="298" t="s">
        <v>183</v>
      </c>
    </row>
    <row r="599" spans="1:12" x14ac:dyDescent="0.2">
      <c r="A599" s="297" t="s">
        <v>1184</v>
      </c>
      <c r="B599" s="298" t="s">
        <v>183</v>
      </c>
      <c r="C599" s="339" t="str">
        <f>IF(Forside!$D$12="Dansk",Tekstnøgler!E599,Tekstnøgler!G599)</f>
        <v>Scope 3 andel, udenfor målsætning</v>
      </c>
      <c r="D599" s="298" t="s">
        <v>183</v>
      </c>
      <c r="E599" s="299" t="s">
        <v>1185</v>
      </c>
      <c r="F599" s="298" t="s">
        <v>183</v>
      </c>
      <c r="G599" s="300" t="s">
        <v>1186</v>
      </c>
      <c r="H599" s="298" t="s">
        <v>183</v>
      </c>
      <c r="L599" s="298" t="s">
        <v>183</v>
      </c>
    </row>
    <row r="600" spans="1:12" x14ac:dyDescent="0.2">
      <c r="A600" s="297" t="s">
        <v>1222</v>
      </c>
      <c r="B600" s="298" t="s">
        <v>183</v>
      </c>
      <c r="C600" s="339" t="str">
        <f>IF(Forside!$D$12="Dansk",Tekstnøgler!E600,Tekstnøgler!G600)</f>
        <v>Her ses din virksomheds samlede energiforbrug, samt hvor stor andel af energiforbruget der kommer fra hhv. fossile kilder (såsom olie og gas), nukleare kilder (atomkraft) og vedvarende kilder (fx solcelle-energi).</v>
      </c>
      <c r="D600" s="298" t="s">
        <v>183</v>
      </c>
      <c r="E600" s="299" t="s">
        <v>1225</v>
      </c>
      <c r="F600" s="298" t="s">
        <v>183</v>
      </c>
      <c r="G600" s="300" t="s">
        <v>1227</v>
      </c>
      <c r="H600" s="298" t="s">
        <v>183</v>
      </c>
      <c r="L600" s="298" t="s">
        <v>183</v>
      </c>
    </row>
    <row r="601" spans="1:12" x14ac:dyDescent="0.2">
      <c r="A601" s="297" t="s">
        <v>1223</v>
      </c>
      <c r="B601" s="298" t="s">
        <v>183</v>
      </c>
      <c r="C601" s="339" t="str">
        <f>IF(Forside!$D$12="Dansk",Tekstnøgler!E601,Tekstnøgler!G601)</f>
        <v>Her ses din virksomheds samlede vandforbrug, og hvad vandintensiteten er. Du kan også se virksomhedens samlede mængde affald, heraf hvor stor andel som er farligt affald og hvor stor andel som bliver sendt til genanvendelse eller genbrug.</v>
      </c>
      <c r="D601" s="298" t="s">
        <v>183</v>
      </c>
      <c r="E601" s="299" t="s">
        <v>1226</v>
      </c>
      <c r="F601" s="298" t="s">
        <v>183</v>
      </c>
      <c r="G601" s="300" t="s">
        <v>1228</v>
      </c>
      <c r="H601" s="298" t="s">
        <v>183</v>
      </c>
      <c r="L601" s="298" t="s">
        <v>183</v>
      </c>
    </row>
    <row r="602" spans="1:12" x14ac:dyDescent="0.2">
      <c r="A602" s="297" t="s">
        <v>1224</v>
      </c>
      <c r="B602" s="298" t="s">
        <v>183</v>
      </c>
      <c r="C602" s="339" t="str">
        <f>IF(Forside!$D$12="Dansk",Tekstnøgler!E602,Tekstnøgler!G602)</f>
        <v>Her ses din virksomheds samlede forbrug af elektricitet, og heraf hvad som kommer fra vedvarende energikilder. Bemærk, at den nukleare energiandel er medregnet under vedvarende elektricitet. Det skyldes, at den nukleare andel ikke udleder CO₂e.</v>
      </c>
      <c r="D602" s="298" t="s">
        <v>183</v>
      </c>
      <c r="E602" s="299" t="s">
        <v>1229</v>
      </c>
      <c r="F602" s="298" t="s">
        <v>183</v>
      </c>
      <c r="G602" s="300" t="s">
        <v>1230</v>
      </c>
      <c r="H602" s="298" t="s">
        <v>183</v>
      </c>
      <c r="L602" s="298" t="s">
        <v>183</v>
      </c>
    </row>
    <row r="603" spans="1:12" x14ac:dyDescent="0.2">
      <c r="A603" s="297" t="s">
        <v>1231</v>
      </c>
      <c r="B603" s="298" t="s">
        <v>183</v>
      </c>
      <c r="C603" s="339" t="str">
        <f>IF(Forside!$D$12="Dansk",Tekstnøgler!E603,Tekstnøgler!G603)</f>
        <v>(Mangler opdatering)</v>
      </c>
      <c r="D603" s="298" t="s">
        <v>183</v>
      </c>
      <c r="E603" s="299" t="s">
        <v>1247</v>
      </c>
      <c r="F603" s="298" t="s">
        <v>183</v>
      </c>
      <c r="G603" s="300" t="s">
        <v>1232</v>
      </c>
      <c r="H603" s="298" t="s">
        <v>183</v>
      </c>
      <c r="L603" s="298" t="s">
        <v>183</v>
      </c>
    </row>
    <row r="604" spans="1:12" x14ac:dyDescent="0.2">
      <c r="A604" s="297" t="s">
        <v>1233</v>
      </c>
      <c r="B604" s="298" t="s">
        <v>183</v>
      </c>
      <c r="C604" s="339" t="str">
        <f>IF(Forside!$D$12="Dansk",Tekstnøgler!E604,Tekstnøgler!G604)</f>
        <v>Omregning til MWh</v>
      </c>
      <c r="D604" s="298" t="s">
        <v>183</v>
      </c>
      <c r="E604" s="299" t="s">
        <v>1234</v>
      </c>
      <c r="F604" s="298" t="s">
        <v>183</v>
      </c>
      <c r="G604" s="300" t="s">
        <v>1235</v>
      </c>
      <c r="H604" s="298" t="s">
        <v>183</v>
      </c>
      <c r="L604" s="298" t="s">
        <v>183</v>
      </c>
    </row>
    <row r="605" spans="1:12" x14ac:dyDescent="0.2">
      <c r="A605" s="297" t="s">
        <v>1236</v>
      </c>
      <c r="B605" s="298" t="s">
        <v>183</v>
      </c>
      <c r="C605" s="339" t="str">
        <f>IF(Forside!$D$12="Dansk",Tekstnøgler!E605,Tekstnøgler!G605)</f>
        <v>Vedvarende energiandel</v>
      </c>
      <c r="D605" s="298" t="s">
        <v>183</v>
      </c>
      <c r="E605" s="299" t="s">
        <v>126</v>
      </c>
      <c r="F605" s="298" t="s">
        <v>183</v>
      </c>
      <c r="G605" s="300" t="s">
        <v>1243</v>
      </c>
      <c r="H605" s="298" t="s">
        <v>183</v>
      </c>
      <c r="L605" s="298" t="s">
        <v>183</v>
      </c>
    </row>
    <row r="606" spans="1:12" x14ac:dyDescent="0.2">
      <c r="A606" s="297" t="s">
        <v>1237</v>
      </c>
      <c r="B606" s="298" t="s">
        <v>183</v>
      </c>
      <c r="C606" s="339" t="str">
        <f>IF(Forside!$D$12="Dansk",Tekstnøgler!E606,Tekstnøgler!G606)</f>
        <v>Nuklear energiandel</v>
      </c>
      <c r="D606" s="298" t="s">
        <v>183</v>
      </c>
      <c r="E606" s="299" t="s">
        <v>1238</v>
      </c>
      <c r="F606" s="298" t="s">
        <v>183</v>
      </c>
      <c r="G606" s="300" t="s">
        <v>1239</v>
      </c>
      <c r="H606" s="298" t="s">
        <v>183</v>
      </c>
      <c r="L606" s="298" t="s">
        <v>183</v>
      </c>
    </row>
    <row r="607" spans="1:12" x14ac:dyDescent="0.2">
      <c r="A607" s="297" t="s">
        <v>1240</v>
      </c>
      <c r="B607" s="298" t="s">
        <v>183</v>
      </c>
      <c r="C607" s="339" t="str">
        <f>IF(Forside!$D$12="Dansk",Tekstnøgler!E607,Tekstnøgler!G607)</f>
        <v>Fossil energiandel</v>
      </c>
      <c r="D607" s="298" t="s">
        <v>183</v>
      </c>
      <c r="E607" s="299" t="s">
        <v>1241</v>
      </c>
      <c r="F607" s="298" t="s">
        <v>183</v>
      </c>
      <c r="G607" s="300" t="s">
        <v>1242</v>
      </c>
      <c r="H607" s="298" t="s">
        <v>183</v>
      </c>
      <c r="L607" s="298" t="s">
        <v>183</v>
      </c>
    </row>
    <row r="608" spans="1:12" x14ac:dyDescent="0.2">
      <c r="A608" s="297" t="s">
        <v>1244</v>
      </c>
      <c r="B608" s="298" t="s">
        <v>183</v>
      </c>
      <c r="C608" s="339" t="str">
        <f>IF(Forside!$D$12="Dansk",Tekstnøgler!E608,Tekstnøgler!G608)</f>
        <v>Til opgørelse af E-nøgletal</v>
      </c>
      <c r="D608" s="298" t="s">
        <v>183</v>
      </c>
      <c r="E608" s="299" t="s">
        <v>1245</v>
      </c>
      <c r="F608" s="298" t="s">
        <v>183</v>
      </c>
      <c r="G608" s="300" t="s">
        <v>1246</v>
      </c>
      <c r="H608" s="298" t="s">
        <v>183</v>
      </c>
      <c r="L608" s="298" t="s">
        <v>183</v>
      </c>
    </row>
    <row r="609" spans="1:12" x14ac:dyDescent="0.2">
      <c r="A609" s="297" t="s">
        <v>1249</v>
      </c>
      <c r="B609" s="298" t="s">
        <v>183</v>
      </c>
      <c r="C609" s="339" t="str">
        <f>IF(Forside!$D$12="Dansk",Tekstnøgler!E609,Tekstnøgler!G609)</f>
        <v>Medtaget i E-nøgletal</v>
      </c>
      <c r="D609" s="298" t="s">
        <v>183</v>
      </c>
      <c r="E609" s="299" t="s">
        <v>1250</v>
      </c>
      <c r="F609" s="298" t="s">
        <v>183</v>
      </c>
      <c r="G609" s="300" t="s">
        <v>1251</v>
      </c>
      <c r="H609" s="298" t="s">
        <v>183</v>
      </c>
      <c r="L609" s="298" t="s">
        <v>183</v>
      </c>
    </row>
    <row r="610" spans="1:12" x14ac:dyDescent="0.2">
      <c r="A610" s="297" t="s">
        <v>1252</v>
      </c>
      <c r="B610" s="298" t="s">
        <v>183</v>
      </c>
      <c r="C610" s="339" t="str">
        <f>IF(Forside!$D$12="Dansk",Tekstnøgler!E610,Tekstnøgler!G610)</f>
        <v>Ja</v>
      </c>
      <c r="D610" s="298" t="s">
        <v>183</v>
      </c>
      <c r="E610" s="299" t="s">
        <v>1254</v>
      </c>
      <c r="F610" s="298" t="s">
        <v>183</v>
      </c>
      <c r="G610" s="300" t="s">
        <v>1255</v>
      </c>
      <c r="H610" s="298" t="s">
        <v>183</v>
      </c>
      <c r="L610" s="298" t="s">
        <v>183</v>
      </c>
    </row>
    <row r="611" spans="1:12" x14ac:dyDescent="0.2">
      <c r="A611" s="297" t="s">
        <v>1253</v>
      </c>
      <c r="B611" s="298" t="s">
        <v>183</v>
      </c>
      <c r="C611" s="339" t="str">
        <f>IF(Forside!$D$12="Dansk",Tekstnøgler!E611,Tekstnøgler!G611)</f>
        <v>Nej</v>
      </c>
      <c r="D611" s="298" t="s">
        <v>183</v>
      </c>
      <c r="E611" s="299" t="s">
        <v>1256</v>
      </c>
      <c r="F611" s="298" t="s">
        <v>183</v>
      </c>
      <c r="G611" s="300" t="s">
        <v>1257</v>
      </c>
      <c r="H611" s="298" t="s">
        <v>183</v>
      </c>
      <c r="L611" s="298" t="s">
        <v>183</v>
      </c>
    </row>
    <row r="612" spans="1:12" x14ac:dyDescent="0.2">
      <c r="B612" s="298" t="s">
        <v>183</v>
      </c>
      <c r="C612" s="339">
        <f>IF(Forside!$D$12="Dansk",Tekstnøgler!E612,Tekstnøgler!G612)</f>
        <v>0</v>
      </c>
      <c r="D612" s="298" t="s">
        <v>183</v>
      </c>
      <c r="F612" s="298" t="s">
        <v>183</v>
      </c>
      <c r="H612" s="298" t="s">
        <v>183</v>
      </c>
      <c r="L612" s="298" t="s">
        <v>183</v>
      </c>
    </row>
    <row r="613" spans="1:12" x14ac:dyDescent="0.2">
      <c r="B613" s="298" t="s">
        <v>183</v>
      </c>
      <c r="C613" s="339">
        <f>IF(Forside!$D$12="Dansk",Tekstnøgler!E613,Tekstnøgler!G613)</f>
        <v>0</v>
      </c>
      <c r="D613" s="298" t="s">
        <v>183</v>
      </c>
      <c r="F613" s="298" t="s">
        <v>183</v>
      </c>
      <c r="H613" s="298" t="s">
        <v>183</v>
      </c>
      <c r="L613" s="298" t="s">
        <v>183</v>
      </c>
    </row>
    <row r="614" spans="1:12" x14ac:dyDescent="0.2">
      <c r="B614" s="298" t="s">
        <v>183</v>
      </c>
      <c r="C614" s="339">
        <f>IF(Forside!$D$12="Dansk",Tekstnøgler!E614,Tekstnøgler!G614)</f>
        <v>0</v>
      </c>
      <c r="D614" s="298" t="s">
        <v>183</v>
      </c>
      <c r="F614" s="298" t="s">
        <v>183</v>
      </c>
      <c r="H614" s="298" t="s">
        <v>183</v>
      </c>
      <c r="L614" s="298" t="s">
        <v>183</v>
      </c>
    </row>
    <row r="615" spans="1:12" x14ac:dyDescent="0.2">
      <c r="B615" s="298" t="s">
        <v>183</v>
      </c>
      <c r="C615" s="339">
        <f>IF(Forside!$D$12="Dansk",Tekstnøgler!E615,Tekstnøgler!G615)</f>
        <v>0</v>
      </c>
      <c r="D615" s="298" t="s">
        <v>183</v>
      </c>
      <c r="F615" s="298" t="s">
        <v>183</v>
      </c>
      <c r="H615" s="298" t="s">
        <v>183</v>
      </c>
      <c r="L615" s="298" t="s">
        <v>183</v>
      </c>
    </row>
    <row r="616" spans="1:12" x14ac:dyDescent="0.2">
      <c r="B616" s="298" t="s">
        <v>183</v>
      </c>
      <c r="C616" s="339">
        <f>IF(Forside!$D$12="Dansk",Tekstnøgler!E616,Tekstnøgler!G616)</f>
        <v>0</v>
      </c>
      <c r="D616" s="298" t="s">
        <v>183</v>
      </c>
      <c r="F616" s="298" t="s">
        <v>183</v>
      </c>
      <c r="H616" s="298" t="s">
        <v>183</v>
      </c>
      <c r="L616" s="298" t="s">
        <v>183</v>
      </c>
    </row>
    <row r="617" spans="1:12" x14ac:dyDescent="0.2">
      <c r="B617" s="298" t="s">
        <v>183</v>
      </c>
      <c r="C617" s="339">
        <f>IF(Forside!$D$12="Dansk",Tekstnøgler!E617,Tekstnøgler!G617)</f>
        <v>0</v>
      </c>
      <c r="D617" s="298" t="s">
        <v>183</v>
      </c>
      <c r="F617" s="298" t="s">
        <v>183</v>
      </c>
      <c r="H617" s="298" t="s">
        <v>183</v>
      </c>
      <c r="L617" s="298" t="s">
        <v>183</v>
      </c>
    </row>
    <row r="618" spans="1:12" x14ac:dyDescent="0.2">
      <c r="B618" s="298" t="s">
        <v>183</v>
      </c>
      <c r="C618" s="339">
        <f>IF(Forside!$D$12="Dansk",Tekstnøgler!E618,Tekstnøgler!G618)</f>
        <v>0</v>
      </c>
      <c r="D618" s="298" t="s">
        <v>183</v>
      </c>
      <c r="F618" s="298" t="s">
        <v>183</v>
      </c>
      <c r="H618" s="298" t="s">
        <v>183</v>
      </c>
      <c r="L618" s="298" t="s">
        <v>183</v>
      </c>
    </row>
    <row r="619" spans="1:12" x14ac:dyDescent="0.2">
      <c r="B619" s="298" t="s">
        <v>183</v>
      </c>
      <c r="C619" s="339">
        <f>IF(Forside!$D$12="Dansk",Tekstnøgler!E619,Tekstnøgler!G619)</f>
        <v>0</v>
      </c>
      <c r="D619" s="298" t="s">
        <v>183</v>
      </c>
      <c r="F619" s="298" t="s">
        <v>183</v>
      </c>
      <c r="H619" s="298" t="s">
        <v>183</v>
      </c>
      <c r="L619" s="298" t="s">
        <v>183</v>
      </c>
    </row>
    <row r="620" spans="1:12" x14ac:dyDescent="0.2">
      <c r="B620" s="298" t="s">
        <v>183</v>
      </c>
      <c r="C620" s="339">
        <f>IF(Forside!$D$12="Dansk",Tekstnøgler!E620,Tekstnøgler!G620)</f>
        <v>0</v>
      </c>
      <c r="D620" s="298" t="s">
        <v>183</v>
      </c>
      <c r="F620" s="298" t="s">
        <v>183</v>
      </c>
      <c r="H620" s="298" t="s">
        <v>183</v>
      </c>
      <c r="L620" s="298" t="s">
        <v>183</v>
      </c>
    </row>
    <row r="621" spans="1:12" x14ac:dyDescent="0.2">
      <c r="B621" s="298" t="s">
        <v>183</v>
      </c>
      <c r="C621" s="339">
        <f>IF(Forside!$D$12="Dansk",Tekstnøgler!E621,Tekstnøgler!G621)</f>
        <v>0</v>
      </c>
      <c r="D621" s="298" t="s">
        <v>183</v>
      </c>
      <c r="F621" s="298" t="s">
        <v>183</v>
      </c>
      <c r="H621" s="298" t="s">
        <v>183</v>
      </c>
      <c r="L621" s="298" t="s">
        <v>183</v>
      </c>
    </row>
    <row r="622" spans="1:12" x14ac:dyDescent="0.2">
      <c r="B622" s="298" t="s">
        <v>183</v>
      </c>
      <c r="C622" s="339">
        <f>IF(Forside!$D$12="Dansk",Tekstnøgler!E622,Tekstnøgler!G622)</f>
        <v>0</v>
      </c>
      <c r="D622" s="298" t="s">
        <v>183</v>
      </c>
      <c r="F622" s="298" t="s">
        <v>183</v>
      </c>
      <c r="H622" s="298" t="s">
        <v>183</v>
      </c>
      <c r="L622" s="298" t="s">
        <v>183</v>
      </c>
    </row>
    <row r="623" spans="1:12" x14ac:dyDescent="0.2">
      <c r="B623" s="298" t="s">
        <v>183</v>
      </c>
      <c r="C623" s="339">
        <f>IF(Forside!$D$12="Dansk",Tekstnøgler!E623,Tekstnøgler!G623)</f>
        <v>0</v>
      </c>
      <c r="D623" s="298" t="s">
        <v>183</v>
      </c>
      <c r="F623" s="298" t="s">
        <v>183</v>
      </c>
      <c r="H623" s="298" t="s">
        <v>183</v>
      </c>
      <c r="L623" s="298" t="s">
        <v>183</v>
      </c>
    </row>
    <row r="624" spans="1:12" x14ac:dyDescent="0.2">
      <c r="B624" s="298" t="s">
        <v>183</v>
      </c>
      <c r="C624" s="339">
        <f>IF(Forside!$D$12="Dansk",Tekstnøgler!E624,Tekstnøgler!G624)</f>
        <v>0</v>
      </c>
      <c r="D624" s="298" t="s">
        <v>183</v>
      </c>
      <c r="F624" s="298" t="s">
        <v>183</v>
      </c>
      <c r="H624" s="298" t="s">
        <v>183</v>
      </c>
      <c r="L624" s="298" t="s">
        <v>183</v>
      </c>
    </row>
    <row r="625" spans="2:12" x14ac:dyDescent="0.2">
      <c r="B625" s="298" t="s">
        <v>183</v>
      </c>
      <c r="C625" s="339">
        <f>IF(Forside!$D$12="Dansk",Tekstnøgler!E625,Tekstnøgler!G625)</f>
        <v>0</v>
      </c>
      <c r="D625" s="298" t="s">
        <v>183</v>
      </c>
      <c r="F625" s="298" t="s">
        <v>183</v>
      </c>
      <c r="H625" s="298" t="s">
        <v>183</v>
      </c>
      <c r="L625" s="298" t="s">
        <v>183</v>
      </c>
    </row>
    <row r="626" spans="2:12" x14ac:dyDescent="0.2">
      <c r="B626" s="298" t="s">
        <v>183</v>
      </c>
      <c r="C626" s="339">
        <f>IF(Forside!$D$12="Dansk",Tekstnøgler!E626,Tekstnøgler!G626)</f>
        <v>0</v>
      </c>
      <c r="D626" s="298" t="s">
        <v>183</v>
      </c>
      <c r="F626" s="298" t="s">
        <v>183</v>
      </c>
      <c r="H626" s="298" t="s">
        <v>183</v>
      </c>
      <c r="L626" s="298" t="s">
        <v>183</v>
      </c>
    </row>
    <row r="627" spans="2:12" x14ac:dyDescent="0.2">
      <c r="B627" s="298" t="s">
        <v>183</v>
      </c>
      <c r="C627" s="339">
        <f>IF(Forside!$D$12="Dansk",Tekstnøgler!E627,Tekstnøgler!G627)</f>
        <v>0</v>
      </c>
      <c r="D627" s="298" t="s">
        <v>183</v>
      </c>
      <c r="F627" s="298" t="s">
        <v>183</v>
      </c>
      <c r="H627" s="298" t="s">
        <v>183</v>
      </c>
      <c r="L627" s="298" t="s">
        <v>183</v>
      </c>
    </row>
    <row r="628" spans="2:12" x14ac:dyDescent="0.2">
      <c r="B628" s="298" t="s">
        <v>183</v>
      </c>
      <c r="C628" s="339">
        <f>IF(Forside!$D$12="Dansk",Tekstnøgler!E628,Tekstnøgler!G628)</f>
        <v>0</v>
      </c>
      <c r="D628" s="298" t="s">
        <v>183</v>
      </c>
      <c r="F628" s="298" t="s">
        <v>183</v>
      </c>
      <c r="H628" s="298" t="s">
        <v>183</v>
      </c>
      <c r="L628" s="298" t="s">
        <v>183</v>
      </c>
    </row>
    <row r="629" spans="2:12" x14ac:dyDescent="0.2">
      <c r="B629" s="298" t="s">
        <v>183</v>
      </c>
      <c r="C629" s="339">
        <f>IF(Forside!$D$12="Dansk",Tekstnøgler!E629,Tekstnøgler!G629)</f>
        <v>0</v>
      </c>
      <c r="D629" s="298" t="s">
        <v>183</v>
      </c>
      <c r="F629" s="298" t="s">
        <v>183</v>
      </c>
      <c r="H629" s="298" t="s">
        <v>183</v>
      </c>
      <c r="L629" s="298" t="s">
        <v>183</v>
      </c>
    </row>
    <row r="630" spans="2:12" x14ac:dyDescent="0.2">
      <c r="B630" s="298" t="s">
        <v>183</v>
      </c>
      <c r="C630" s="339">
        <f>IF(Forside!$D$12="Dansk",Tekstnøgler!E630,Tekstnøgler!G630)</f>
        <v>0</v>
      </c>
      <c r="D630" s="298" t="s">
        <v>183</v>
      </c>
      <c r="F630" s="298" t="s">
        <v>183</v>
      </c>
      <c r="H630" s="298" t="s">
        <v>183</v>
      </c>
      <c r="L630" s="298" t="s">
        <v>183</v>
      </c>
    </row>
    <row r="631" spans="2:12" x14ac:dyDescent="0.2">
      <c r="B631" s="298" t="s">
        <v>183</v>
      </c>
      <c r="C631" s="339">
        <f>IF(Forside!$D$12="Dansk",Tekstnøgler!E631,Tekstnøgler!G631)</f>
        <v>0</v>
      </c>
      <c r="D631" s="298" t="s">
        <v>183</v>
      </c>
      <c r="F631" s="298" t="s">
        <v>183</v>
      </c>
      <c r="H631" s="298" t="s">
        <v>183</v>
      </c>
      <c r="L631" s="298" t="s">
        <v>183</v>
      </c>
    </row>
    <row r="632" spans="2:12" x14ac:dyDescent="0.2">
      <c r="B632" s="298" t="s">
        <v>183</v>
      </c>
      <c r="C632" s="339">
        <f>IF(Forside!$D$12="Dansk",Tekstnøgler!E632,Tekstnøgler!G632)</f>
        <v>0</v>
      </c>
      <c r="D632" s="298" t="s">
        <v>183</v>
      </c>
      <c r="F632" s="298" t="s">
        <v>183</v>
      </c>
      <c r="H632" s="298" t="s">
        <v>183</v>
      </c>
      <c r="L632" s="298" t="s">
        <v>183</v>
      </c>
    </row>
    <row r="633" spans="2:12" x14ac:dyDescent="0.2">
      <c r="B633" s="298" t="s">
        <v>183</v>
      </c>
      <c r="C633" s="339">
        <f>IF(Forside!$D$12="Dansk",Tekstnøgler!E633,Tekstnøgler!G633)</f>
        <v>0</v>
      </c>
      <c r="D633" s="298" t="s">
        <v>183</v>
      </c>
      <c r="F633" s="298" t="s">
        <v>183</v>
      </c>
      <c r="H633" s="298" t="s">
        <v>183</v>
      </c>
      <c r="L633" s="298" t="s">
        <v>183</v>
      </c>
    </row>
    <row r="634" spans="2:12" x14ac:dyDescent="0.2">
      <c r="B634" s="298" t="s">
        <v>183</v>
      </c>
      <c r="C634" s="339">
        <f>IF(Forside!$D$12="Dansk",Tekstnøgler!E634,Tekstnøgler!G634)</f>
        <v>0</v>
      </c>
      <c r="D634" s="298" t="s">
        <v>183</v>
      </c>
      <c r="F634" s="298" t="s">
        <v>183</v>
      </c>
      <c r="H634" s="298" t="s">
        <v>183</v>
      </c>
      <c r="L634" s="298" t="s">
        <v>183</v>
      </c>
    </row>
    <row r="635" spans="2:12" x14ac:dyDescent="0.2">
      <c r="B635" s="298" t="s">
        <v>183</v>
      </c>
      <c r="C635" s="339">
        <f>IF(Forside!$D$12="Dansk",Tekstnøgler!E635,Tekstnøgler!G635)</f>
        <v>0</v>
      </c>
      <c r="D635" s="298" t="s">
        <v>183</v>
      </c>
      <c r="F635" s="298" t="s">
        <v>183</v>
      </c>
      <c r="H635" s="298" t="s">
        <v>183</v>
      </c>
      <c r="L635" s="298" t="s">
        <v>183</v>
      </c>
    </row>
    <row r="636" spans="2:12" x14ac:dyDescent="0.2">
      <c r="B636" s="298" t="s">
        <v>183</v>
      </c>
      <c r="C636" s="339">
        <f>IF(Forside!$D$12="Dansk",Tekstnøgler!E636,Tekstnøgler!G636)</f>
        <v>0</v>
      </c>
      <c r="D636" s="298" t="s">
        <v>183</v>
      </c>
      <c r="F636" s="298" t="s">
        <v>183</v>
      </c>
      <c r="H636" s="298" t="s">
        <v>183</v>
      </c>
      <c r="L636" s="298" t="s">
        <v>183</v>
      </c>
    </row>
    <row r="637" spans="2:12" x14ac:dyDescent="0.2">
      <c r="B637" s="298" t="s">
        <v>183</v>
      </c>
      <c r="C637" s="339">
        <f>IF(Forside!$D$12="Dansk",Tekstnøgler!E637,Tekstnøgler!G637)</f>
        <v>0</v>
      </c>
      <c r="D637" s="298" t="s">
        <v>183</v>
      </c>
      <c r="F637" s="298" t="s">
        <v>183</v>
      </c>
      <c r="H637" s="298" t="s">
        <v>183</v>
      </c>
      <c r="L637" s="298" t="s">
        <v>183</v>
      </c>
    </row>
    <row r="638" spans="2:12" x14ac:dyDescent="0.2">
      <c r="B638" s="298" t="s">
        <v>183</v>
      </c>
      <c r="C638" s="339">
        <f>IF(Forside!$D$12="Dansk",Tekstnøgler!E638,Tekstnøgler!G638)</f>
        <v>0</v>
      </c>
      <c r="D638" s="298" t="s">
        <v>183</v>
      </c>
      <c r="F638" s="298" t="s">
        <v>183</v>
      </c>
      <c r="H638" s="298" t="s">
        <v>183</v>
      </c>
      <c r="L638" s="298" t="s">
        <v>183</v>
      </c>
    </row>
    <row r="639" spans="2:12" x14ac:dyDescent="0.2">
      <c r="B639" s="298" t="s">
        <v>183</v>
      </c>
      <c r="C639" s="339">
        <f>IF(Forside!$D$12="Dansk",Tekstnøgler!E639,Tekstnøgler!G639)</f>
        <v>0</v>
      </c>
      <c r="D639" s="298" t="s">
        <v>183</v>
      </c>
      <c r="F639" s="298" t="s">
        <v>183</v>
      </c>
      <c r="H639" s="298" t="s">
        <v>183</v>
      </c>
      <c r="L639" s="298" t="s">
        <v>183</v>
      </c>
    </row>
    <row r="640" spans="2:12" x14ac:dyDescent="0.2">
      <c r="B640" s="298" t="s">
        <v>183</v>
      </c>
      <c r="C640" s="339">
        <f>IF(Forside!$D$12="Dansk",Tekstnøgler!E640,Tekstnøgler!G640)</f>
        <v>0</v>
      </c>
      <c r="D640" s="298" t="s">
        <v>183</v>
      </c>
      <c r="F640" s="298" t="s">
        <v>183</v>
      </c>
      <c r="H640" s="298" t="s">
        <v>183</v>
      </c>
      <c r="L640" s="298" t="s">
        <v>183</v>
      </c>
    </row>
    <row r="641" spans="2:12" x14ac:dyDescent="0.2">
      <c r="B641" s="298" t="s">
        <v>183</v>
      </c>
      <c r="C641" s="339">
        <f>IF(Forside!$D$12="Dansk",Tekstnøgler!E641,Tekstnøgler!G641)</f>
        <v>0</v>
      </c>
      <c r="D641" s="298" t="s">
        <v>183</v>
      </c>
      <c r="F641" s="298" t="s">
        <v>183</v>
      </c>
      <c r="H641" s="298" t="s">
        <v>183</v>
      </c>
      <c r="L641" s="298" t="s">
        <v>183</v>
      </c>
    </row>
    <row r="642" spans="2:12" x14ac:dyDescent="0.2">
      <c r="B642" s="298" t="s">
        <v>183</v>
      </c>
      <c r="C642" s="339">
        <f>IF(Forside!$D$12="Dansk",Tekstnøgler!E642,Tekstnøgler!G642)</f>
        <v>0</v>
      </c>
      <c r="D642" s="298" t="s">
        <v>183</v>
      </c>
      <c r="F642" s="298" t="s">
        <v>183</v>
      </c>
      <c r="H642" s="298" t="s">
        <v>183</v>
      </c>
      <c r="L642" s="298" t="s">
        <v>183</v>
      </c>
    </row>
    <row r="643" spans="2:12" x14ac:dyDescent="0.2">
      <c r="B643" s="298" t="s">
        <v>183</v>
      </c>
      <c r="C643" s="339">
        <f>IF(Forside!$D$12="Dansk",Tekstnøgler!E643,Tekstnøgler!G643)</f>
        <v>0</v>
      </c>
      <c r="D643" s="298" t="s">
        <v>183</v>
      </c>
      <c r="F643" s="298" t="s">
        <v>183</v>
      </c>
      <c r="H643" s="298" t="s">
        <v>183</v>
      </c>
      <c r="L643" s="298" t="s">
        <v>183</v>
      </c>
    </row>
    <row r="644" spans="2:12" x14ac:dyDescent="0.2">
      <c r="B644" s="298" t="s">
        <v>183</v>
      </c>
      <c r="C644" s="339">
        <f>IF(Forside!$D$12="Dansk",Tekstnøgler!E644,Tekstnøgler!G644)</f>
        <v>0</v>
      </c>
      <c r="D644" s="298" t="s">
        <v>183</v>
      </c>
      <c r="F644" s="298" t="s">
        <v>183</v>
      </c>
      <c r="H644" s="298" t="s">
        <v>183</v>
      </c>
      <c r="L644" s="298" t="s">
        <v>183</v>
      </c>
    </row>
    <row r="645" spans="2:12" x14ac:dyDescent="0.2">
      <c r="B645" s="298" t="s">
        <v>183</v>
      </c>
      <c r="C645" s="339">
        <f>IF(Forside!$D$12="Dansk",Tekstnøgler!E645,Tekstnøgler!G645)</f>
        <v>0</v>
      </c>
      <c r="D645" s="298" t="s">
        <v>183</v>
      </c>
      <c r="F645" s="298" t="s">
        <v>183</v>
      </c>
      <c r="H645" s="298" t="s">
        <v>183</v>
      </c>
      <c r="L645" s="298" t="s">
        <v>183</v>
      </c>
    </row>
    <row r="646" spans="2:12" x14ac:dyDescent="0.2">
      <c r="B646" s="298" t="s">
        <v>183</v>
      </c>
      <c r="C646" s="339">
        <f>IF(Forside!$D$12="Dansk",Tekstnøgler!E646,Tekstnøgler!G646)</f>
        <v>0</v>
      </c>
      <c r="D646" s="298" t="s">
        <v>183</v>
      </c>
      <c r="F646" s="298" t="s">
        <v>183</v>
      </c>
      <c r="H646" s="298" t="s">
        <v>183</v>
      </c>
      <c r="L646" s="298" t="s">
        <v>183</v>
      </c>
    </row>
    <row r="647" spans="2:12" x14ac:dyDescent="0.2">
      <c r="B647" s="298" t="s">
        <v>183</v>
      </c>
      <c r="C647" s="339">
        <f>IF(Forside!$D$12="Dansk",Tekstnøgler!E647,Tekstnøgler!G647)</f>
        <v>0</v>
      </c>
      <c r="D647" s="298" t="s">
        <v>183</v>
      </c>
      <c r="F647" s="298" t="s">
        <v>183</v>
      </c>
      <c r="H647" s="298" t="s">
        <v>183</v>
      </c>
      <c r="L647" s="298" t="s">
        <v>183</v>
      </c>
    </row>
    <row r="648" spans="2:12" x14ac:dyDescent="0.2">
      <c r="B648" s="298" t="s">
        <v>183</v>
      </c>
      <c r="C648" s="339">
        <f>IF(Forside!$D$12="Dansk",Tekstnøgler!E648,Tekstnøgler!G648)</f>
        <v>0</v>
      </c>
      <c r="D648" s="298" t="s">
        <v>183</v>
      </c>
      <c r="F648" s="298" t="s">
        <v>183</v>
      </c>
      <c r="H648" s="298" t="s">
        <v>183</v>
      </c>
      <c r="L648" s="298" t="s">
        <v>183</v>
      </c>
    </row>
    <row r="649" spans="2:12" x14ac:dyDescent="0.2">
      <c r="B649" s="298" t="s">
        <v>183</v>
      </c>
      <c r="C649" s="339">
        <f>IF(Forside!$D$12="Dansk",Tekstnøgler!E649,Tekstnøgler!G649)</f>
        <v>0</v>
      </c>
      <c r="D649" s="298" t="s">
        <v>183</v>
      </c>
      <c r="F649" s="298" t="s">
        <v>183</v>
      </c>
      <c r="H649" s="298" t="s">
        <v>183</v>
      </c>
      <c r="L649" s="298" t="s">
        <v>183</v>
      </c>
    </row>
    <row r="650" spans="2:12" x14ac:dyDescent="0.2">
      <c r="B650" s="298" t="s">
        <v>183</v>
      </c>
      <c r="C650" s="339">
        <f>IF(Forside!$D$12="Dansk",Tekstnøgler!E650,Tekstnøgler!G650)</f>
        <v>0</v>
      </c>
      <c r="D650" s="298" t="s">
        <v>183</v>
      </c>
      <c r="F650" s="298" t="s">
        <v>183</v>
      </c>
      <c r="H650" s="298" t="s">
        <v>183</v>
      </c>
      <c r="L650" s="298" t="s">
        <v>183</v>
      </c>
    </row>
    <row r="651" spans="2:12" x14ac:dyDescent="0.2">
      <c r="B651" s="298" t="s">
        <v>183</v>
      </c>
      <c r="C651" s="339">
        <f>IF(Forside!$D$12="Dansk",Tekstnøgler!E651,Tekstnøgler!G651)</f>
        <v>0</v>
      </c>
      <c r="D651" s="298" t="s">
        <v>183</v>
      </c>
      <c r="F651" s="298" t="s">
        <v>183</v>
      </c>
      <c r="H651" s="298" t="s">
        <v>183</v>
      </c>
      <c r="L651" s="298" t="s">
        <v>183</v>
      </c>
    </row>
    <row r="652" spans="2:12" x14ac:dyDescent="0.2">
      <c r="B652" s="298" t="s">
        <v>183</v>
      </c>
      <c r="C652" s="339">
        <f>IF(Forside!$D$12="Dansk",Tekstnøgler!E652,Tekstnøgler!G652)</f>
        <v>0</v>
      </c>
      <c r="D652" s="298" t="s">
        <v>183</v>
      </c>
      <c r="F652" s="298" t="s">
        <v>183</v>
      </c>
      <c r="H652" s="298" t="s">
        <v>183</v>
      </c>
      <c r="L652" s="298" t="s">
        <v>183</v>
      </c>
    </row>
    <row r="653" spans="2:12" x14ac:dyDescent="0.2">
      <c r="B653" s="298" t="s">
        <v>183</v>
      </c>
      <c r="C653" s="339">
        <f>IF(Forside!$D$12="Dansk",Tekstnøgler!E653,Tekstnøgler!G653)</f>
        <v>0</v>
      </c>
      <c r="D653" s="298" t="s">
        <v>183</v>
      </c>
      <c r="F653" s="298" t="s">
        <v>183</v>
      </c>
      <c r="H653" s="298" t="s">
        <v>183</v>
      </c>
      <c r="L653" s="298" t="s">
        <v>183</v>
      </c>
    </row>
    <row r="654" spans="2:12" x14ac:dyDescent="0.2">
      <c r="B654" s="298" t="s">
        <v>183</v>
      </c>
      <c r="C654" s="339">
        <f>IF(Forside!$D$12="Dansk",Tekstnøgler!E654,Tekstnøgler!G654)</f>
        <v>0</v>
      </c>
      <c r="D654" s="298" t="s">
        <v>183</v>
      </c>
      <c r="F654" s="298" t="s">
        <v>183</v>
      </c>
      <c r="H654" s="298" t="s">
        <v>183</v>
      </c>
      <c r="L654" s="298" t="s">
        <v>183</v>
      </c>
    </row>
    <row r="655" spans="2:12" x14ac:dyDescent="0.2">
      <c r="B655" s="298" t="s">
        <v>183</v>
      </c>
      <c r="C655" s="339">
        <f>IF(Forside!$D$12="Dansk",Tekstnøgler!E655,Tekstnøgler!G655)</f>
        <v>0</v>
      </c>
      <c r="D655" s="298" t="s">
        <v>183</v>
      </c>
      <c r="F655" s="298" t="s">
        <v>183</v>
      </c>
      <c r="H655" s="298" t="s">
        <v>183</v>
      </c>
      <c r="L655" s="298" t="s">
        <v>183</v>
      </c>
    </row>
    <row r="656" spans="2:12" x14ac:dyDescent="0.2">
      <c r="B656" s="298" t="s">
        <v>183</v>
      </c>
      <c r="C656" s="339">
        <f>IF(Forside!$D$12="Dansk",Tekstnøgler!E656,Tekstnøgler!G656)</f>
        <v>0</v>
      </c>
      <c r="D656" s="298" t="s">
        <v>183</v>
      </c>
      <c r="F656" s="298" t="s">
        <v>183</v>
      </c>
      <c r="H656" s="298" t="s">
        <v>183</v>
      </c>
      <c r="L656" s="298" t="s">
        <v>183</v>
      </c>
    </row>
    <row r="657" spans="2:12" x14ac:dyDescent="0.2">
      <c r="B657" s="298" t="s">
        <v>183</v>
      </c>
      <c r="C657" s="339">
        <f>IF(Forside!$D$12="Dansk",Tekstnøgler!E657,Tekstnøgler!G657)</f>
        <v>0</v>
      </c>
      <c r="D657" s="298" t="s">
        <v>183</v>
      </c>
      <c r="F657" s="298" t="s">
        <v>183</v>
      </c>
      <c r="H657" s="298" t="s">
        <v>183</v>
      </c>
      <c r="L657" s="298" t="s">
        <v>183</v>
      </c>
    </row>
    <row r="658" spans="2:12" x14ac:dyDescent="0.2">
      <c r="B658" s="298" t="s">
        <v>183</v>
      </c>
      <c r="C658" s="339">
        <f>IF(Forside!$D$12="Dansk",Tekstnøgler!E658,Tekstnøgler!G658)</f>
        <v>0</v>
      </c>
      <c r="D658" s="298" t="s">
        <v>183</v>
      </c>
      <c r="F658" s="298" t="s">
        <v>183</v>
      </c>
      <c r="H658" s="298" t="s">
        <v>183</v>
      </c>
      <c r="L658" s="298" t="s">
        <v>183</v>
      </c>
    </row>
    <row r="659" spans="2:12" x14ac:dyDescent="0.2">
      <c r="B659" s="298" t="s">
        <v>183</v>
      </c>
      <c r="C659" s="339">
        <f>IF(Forside!$D$12="Dansk",Tekstnøgler!E659,Tekstnøgler!G659)</f>
        <v>0</v>
      </c>
      <c r="D659" s="298" t="s">
        <v>183</v>
      </c>
      <c r="F659" s="298" t="s">
        <v>183</v>
      </c>
      <c r="H659" s="298" t="s">
        <v>183</v>
      </c>
      <c r="L659" s="298" t="s">
        <v>183</v>
      </c>
    </row>
    <row r="660" spans="2:12" x14ac:dyDescent="0.2">
      <c r="B660" s="298" t="s">
        <v>183</v>
      </c>
      <c r="C660" s="339">
        <f>IF(Forside!$D$12="Dansk",Tekstnøgler!E660,Tekstnøgler!G660)</f>
        <v>0</v>
      </c>
      <c r="D660" s="298" t="s">
        <v>183</v>
      </c>
      <c r="F660" s="298" t="s">
        <v>183</v>
      </c>
      <c r="H660" s="298" t="s">
        <v>183</v>
      </c>
      <c r="L660" s="298" t="s">
        <v>183</v>
      </c>
    </row>
    <row r="661" spans="2:12" x14ac:dyDescent="0.2">
      <c r="B661" s="298" t="s">
        <v>183</v>
      </c>
      <c r="C661" s="339">
        <f>IF(Forside!$D$12="Dansk",Tekstnøgler!E661,Tekstnøgler!G661)</f>
        <v>0</v>
      </c>
      <c r="D661" s="298" t="s">
        <v>183</v>
      </c>
      <c r="F661" s="298" t="s">
        <v>183</v>
      </c>
      <c r="H661" s="298" t="s">
        <v>183</v>
      </c>
      <c r="L661" s="298" t="s">
        <v>183</v>
      </c>
    </row>
    <row r="662" spans="2:12" x14ac:dyDescent="0.2">
      <c r="B662" s="298" t="s">
        <v>183</v>
      </c>
      <c r="C662" s="339">
        <f>IF(Forside!$D$12="Dansk",Tekstnøgler!E662,Tekstnøgler!G662)</f>
        <v>0</v>
      </c>
      <c r="D662" s="298" t="s">
        <v>183</v>
      </c>
      <c r="F662" s="298" t="s">
        <v>183</v>
      </c>
      <c r="H662" s="298" t="s">
        <v>183</v>
      </c>
      <c r="L662" s="298" t="s">
        <v>183</v>
      </c>
    </row>
    <row r="663" spans="2:12" x14ac:dyDescent="0.2">
      <c r="B663" s="298" t="s">
        <v>183</v>
      </c>
      <c r="C663" s="339">
        <f>IF(Forside!$D$12="Dansk",Tekstnøgler!E663,Tekstnøgler!G663)</f>
        <v>0</v>
      </c>
      <c r="D663" s="298" t="s">
        <v>183</v>
      </c>
      <c r="F663" s="298" t="s">
        <v>183</v>
      </c>
      <c r="H663" s="298" t="s">
        <v>183</v>
      </c>
      <c r="L663" s="298" t="s">
        <v>183</v>
      </c>
    </row>
    <row r="664" spans="2:12" x14ac:dyDescent="0.2">
      <c r="B664" s="298" t="s">
        <v>183</v>
      </c>
      <c r="C664" s="339">
        <f>IF(Forside!$D$12="Dansk",Tekstnøgler!E664,Tekstnøgler!G664)</f>
        <v>0</v>
      </c>
      <c r="D664" s="298" t="s">
        <v>183</v>
      </c>
      <c r="F664" s="298" t="s">
        <v>183</v>
      </c>
      <c r="H664" s="298" t="s">
        <v>183</v>
      </c>
      <c r="L664" s="298" t="s">
        <v>183</v>
      </c>
    </row>
    <row r="665" spans="2:12" x14ac:dyDescent="0.2">
      <c r="B665" s="298" t="s">
        <v>183</v>
      </c>
      <c r="C665" s="339">
        <f>IF(Forside!$D$12="Dansk",Tekstnøgler!E665,Tekstnøgler!G665)</f>
        <v>0</v>
      </c>
      <c r="D665" s="298" t="s">
        <v>183</v>
      </c>
      <c r="F665" s="298" t="s">
        <v>183</v>
      </c>
      <c r="H665" s="298" t="s">
        <v>183</v>
      </c>
      <c r="L665" s="298" t="s">
        <v>183</v>
      </c>
    </row>
    <row r="666" spans="2:12" x14ac:dyDescent="0.2">
      <c r="B666" s="298" t="s">
        <v>183</v>
      </c>
      <c r="C666" s="339">
        <f>IF(Forside!$D$12="Dansk",Tekstnøgler!E666,Tekstnøgler!G666)</f>
        <v>0</v>
      </c>
      <c r="D666" s="298" t="s">
        <v>183</v>
      </c>
      <c r="F666" s="298" t="s">
        <v>183</v>
      </c>
      <c r="H666" s="298" t="s">
        <v>183</v>
      </c>
      <c r="L666" s="298" t="s">
        <v>183</v>
      </c>
    </row>
    <row r="667" spans="2:12" x14ac:dyDescent="0.2">
      <c r="B667" s="298" t="s">
        <v>183</v>
      </c>
      <c r="C667" s="339">
        <f>IF(Forside!$D$12="Dansk",Tekstnøgler!E667,Tekstnøgler!G667)</f>
        <v>0</v>
      </c>
      <c r="D667" s="298" t="s">
        <v>183</v>
      </c>
      <c r="F667" s="298" t="s">
        <v>183</v>
      </c>
      <c r="H667" s="298" t="s">
        <v>183</v>
      </c>
      <c r="L667" s="298" t="s">
        <v>183</v>
      </c>
    </row>
    <row r="668" spans="2:12" x14ac:dyDescent="0.2">
      <c r="B668" s="298" t="s">
        <v>183</v>
      </c>
      <c r="C668" s="339">
        <f>IF(Forside!$D$12="Dansk",Tekstnøgler!E668,Tekstnøgler!G668)</f>
        <v>0</v>
      </c>
      <c r="D668" s="298" t="s">
        <v>183</v>
      </c>
      <c r="F668" s="298" t="s">
        <v>183</v>
      </c>
      <c r="H668" s="298" t="s">
        <v>183</v>
      </c>
      <c r="L668" s="298" t="s">
        <v>183</v>
      </c>
    </row>
    <row r="669" spans="2:12" x14ac:dyDescent="0.2">
      <c r="B669" s="298" t="s">
        <v>183</v>
      </c>
      <c r="C669" s="339">
        <f>IF(Forside!$D$12="Dansk",Tekstnøgler!E669,Tekstnøgler!G669)</f>
        <v>0</v>
      </c>
      <c r="D669" s="298" t="s">
        <v>183</v>
      </c>
      <c r="F669" s="298" t="s">
        <v>183</v>
      </c>
      <c r="H669" s="298" t="s">
        <v>183</v>
      </c>
      <c r="L669" s="298" t="s">
        <v>183</v>
      </c>
    </row>
    <row r="670" spans="2:12" x14ac:dyDescent="0.2">
      <c r="B670" s="298" t="s">
        <v>183</v>
      </c>
      <c r="C670" s="339">
        <f>IF(Forside!$D$12="Dansk",Tekstnøgler!E670,Tekstnøgler!G670)</f>
        <v>0</v>
      </c>
      <c r="D670" s="298" t="s">
        <v>183</v>
      </c>
      <c r="F670" s="298" t="s">
        <v>183</v>
      </c>
      <c r="H670" s="298" t="s">
        <v>183</v>
      </c>
      <c r="L670" s="298" t="s">
        <v>183</v>
      </c>
    </row>
    <row r="671" spans="2:12" x14ac:dyDescent="0.2">
      <c r="B671" s="298" t="s">
        <v>183</v>
      </c>
      <c r="C671" s="339">
        <f>IF(Forside!$D$12="Dansk",Tekstnøgler!E671,Tekstnøgler!G671)</f>
        <v>0</v>
      </c>
      <c r="D671" s="298" t="s">
        <v>183</v>
      </c>
      <c r="F671" s="298" t="s">
        <v>183</v>
      </c>
      <c r="H671" s="298" t="s">
        <v>183</v>
      </c>
      <c r="L671" s="298" t="s">
        <v>183</v>
      </c>
    </row>
    <row r="672" spans="2:12" x14ac:dyDescent="0.2">
      <c r="B672" s="298" t="s">
        <v>183</v>
      </c>
      <c r="C672" s="339">
        <f>IF(Forside!$D$12="Dansk",Tekstnøgler!E672,Tekstnøgler!G672)</f>
        <v>0</v>
      </c>
      <c r="D672" s="298" t="s">
        <v>183</v>
      </c>
      <c r="F672" s="298" t="s">
        <v>183</v>
      </c>
      <c r="H672" s="298" t="s">
        <v>183</v>
      </c>
      <c r="L672" s="298" t="s">
        <v>183</v>
      </c>
    </row>
    <row r="673" spans="2:12" x14ac:dyDescent="0.2">
      <c r="B673" s="298" t="s">
        <v>183</v>
      </c>
      <c r="C673" s="339">
        <f>IF(Forside!$D$12="Dansk",Tekstnøgler!E673,Tekstnøgler!G673)</f>
        <v>0</v>
      </c>
      <c r="D673" s="298" t="s">
        <v>183</v>
      </c>
      <c r="F673" s="298" t="s">
        <v>183</v>
      </c>
      <c r="H673" s="298" t="s">
        <v>183</v>
      </c>
      <c r="L673" s="298" t="s">
        <v>183</v>
      </c>
    </row>
    <row r="674" spans="2:12" x14ac:dyDescent="0.2">
      <c r="B674" s="298" t="s">
        <v>183</v>
      </c>
      <c r="C674" s="339">
        <f>IF(Forside!$D$12="Dansk",Tekstnøgler!E674,Tekstnøgler!G674)</f>
        <v>0</v>
      </c>
      <c r="D674" s="298" t="s">
        <v>183</v>
      </c>
      <c r="F674" s="298" t="s">
        <v>183</v>
      </c>
      <c r="H674" s="298" t="s">
        <v>183</v>
      </c>
      <c r="L674" s="298" t="s">
        <v>183</v>
      </c>
    </row>
    <row r="675" spans="2:12" x14ac:dyDescent="0.2">
      <c r="B675" s="298" t="s">
        <v>183</v>
      </c>
      <c r="C675" s="339">
        <f>IF(Forside!$D$12="Dansk",Tekstnøgler!E675,Tekstnøgler!G675)</f>
        <v>0</v>
      </c>
      <c r="D675" s="298" t="s">
        <v>183</v>
      </c>
      <c r="F675" s="298" t="s">
        <v>183</v>
      </c>
      <c r="H675" s="298" t="s">
        <v>183</v>
      </c>
      <c r="L675" s="298" t="s">
        <v>183</v>
      </c>
    </row>
    <row r="676" spans="2:12" x14ac:dyDescent="0.2">
      <c r="B676" s="298" t="s">
        <v>183</v>
      </c>
      <c r="C676" s="339">
        <f>IF(Forside!$D$12="Dansk",Tekstnøgler!E676,Tekstnøgler!G676)</f>
        <v>0</v>
      </c>
      <c r="D676" s="298" t="s">
        <v>183</v>
      </c>
      <c r="F676" s="298" t="s">
        <v>183</v>
      </c>
      <c r="H676" s="298" t="s">
        <v>183</v>
      </c>
      <c r="L676" s="298" t="s">
        <v>183</v>
      </c>
    </row>
    <row r="677" spans="2:12" x14ac:dyDescent="0.2">
      <c r="B677" s="298" t="s">
        <v>183</v>
      </c>
      <c r="C677" s="339">
        <f>IF(Forside!$D$12="Dansk",Tekstnøgler!E677,Tekstnøgler!G677)</f>
        <v>0</v>
      </c>
      <c r="D677" s="298" t="s">
        <v>183</v>
      </c>
      <c r="F677" s="298" t="s">
        <v>183</v>
      </c>
      <c r="H677" s="298" t="s">
        <v>183</v>
      </c>
      <c r="L677" s="298" t="s">
        <v>183</v>
      </c>
    </row>
    <row r="678" spans="2:12" x14ac:dyDescent="0.2">
      <c r="B678" s="298" t="s">
        <v>183</v>
      </c>
      <c r="C678" s="339">
        <f>IF(Forside!$D$12="Dansk",Tekstnøgler!E678,Tekstnøgler!G678)</f>
        <v>0</v>
      </c>
      <c r="D678" s="298" t="s">
        <v>183</v>
      </c>
      <c r="F678" s="298" t="s">
        <v>183</v>
      </c>
      <c r="H678" s="298" t="s">
        <v>183</v>
      </c>
      <c r="L678" s="298" t="s">
        <v>183</v>
      </c>
    </row>
    <row r="679" spans="2:12" x14ac:dyDescent="0.2">
      <c r="B679" s="298" t="s">
        <v>183</v>
      </c>
      <c r="C679" s="339">
        <f>IF(Forside!$D$12="Dansk",Tekstnøgler!E679,Tekstnøgler!G679)</f>
        <v>0</v>
      </c>
      <c r="D679" s="298" t="s">
        <v>183</v>
      </c>
      <c r="F679" s="298" t="s">
        <v>183</v>
      </c>
      <c r="H679" s="298" t="s">
        <v>183</v>
      </c>
      <c r="L679" s="298" t="s">
        <v>183</v>
      </c>
    </row>
    <row r="680" spans="2:12" x14ac:dyDescent="0.2">
      <c r="B680" s="298" t="s">
        <v>183</v>
      </c>
      <c r="C680" s="339">
        <f>IF(Forside!$D$12="Dansk",Tekstnøgler!E680,Tekstnøgler!G680)</f>
        <v>0</v>
      </c>
      <c r="D680" s="298" t="s">
        <v>183</v>
      </c>
      <c r="F680" s="298" t="s">
        <v>183</v>
      </c>
      <c r="H680" s="298" t="s">
        <v>183</v>
      </c>
      <c r="L680" s="298" t="s">
        <v>183</v>
      </c>
    </row>
    <row r="681" spans="2:12" x14ac:dyDescent="0.2">
      <c r="B681" s="298" t="s">
        <v>183</v>
      </c>
      <c r="C681" s="339">
        <f>IF(Forside!$D$12="Dansk",Tekstnøgler!E681,Tekstnøgler!G681)</f>
        <v>0</v>
      </c>
      <c r="D681" s="298" t="s">
        <v>183</v>
      </c>
      <c r="F681" s="298" t="s">
        <v>183</v>
      </c>
      <c r="H681" s="298" t="s">
        <v>183</v>
      </c>
      <c r="L681" s="298" t="s">
        <v>183</v>
      </c>
    </row>
    <row r="682" spans="2:12" x14ac:dyDescent="0.2">
      <c r="B682" s="298" t="s">
        <v>183</v>
      </c>
      <c r="C682" s="339">
        <f>IF(Forside!$D$12="Dansk",Tekstnøgler!E682,Tekstnøgler!G682)</f>
        <v>0</v>
      </c>
      <c r="D682" s="298" t="s">
        <v>183</v>
      </c>
      <c r="F682" s="298" t="s">
        <v>183</v>
      </c>
      <c r="H682" s="298" t="s">
        <v>183</v>
      </c>
      <c r="L682" s="298" t="s">
        <v>183</v>
      </c>
    </row>
    <row r="683" spans="2:12" x14ac:dyDescent="0.2">
      <c r="B683" s="298" t="s">
        <v>183</v>
      </c>
      <c r="C683" s="339">
        <f>IF(Forside!$D$12="Dansk",Tekstnøgler!E683,Tekstnøgler!G683)</f>
        <v>0</v>
      </c>
      <c r="D683" s="298" t="s">
        <v>183</v>
      </c>
      <c r="F683" s="298" t="s">
        <v>183</v>
      </c>
      <c r="H683" s="298" t="s">
        <v>183</v>
      </c>
      <c r="L683" s="298" t="s">
        <v>183</v>
      </c>
    </row>
    <row r="684" spans="2:12" x14ac:dyDescent="0.2">
      <c r="B684" s="298" t="s">
        <v>183</v>
      </c>
      <c r="C684" s="339">
        <f>IF(Forside!$D$12="Dansk",Tekstnøgler!E684,Tekstnøgler!G684)</f>
        <v>0</v>
      </c>
      <c r="D684" s="298" t="s">
        <v>183</v>
      </c>
      <c r="F684" s="298" t="s">
        <v>183</v>
      </c>
      <c r="H684" s="298" t="s">
        <v>183</v>
      </c>
      <c r="L684" s="298" t="s">
        <v>183</v>
      </c>
    </row>
    <row r="685" spans="2:12" x14ac:dyDescent="0.2">
      <c r="B685" s="298" t="s">
        <v>183</v>
      </c>
      <c r="C685" s="339">
        <f>IF(Forside!$D$12="Dansk",Tekstnøgler!E685,Tekstnøgler!G685)</f>
        <v>0</v>
      </c>
      <c r="D685" s="298" t="s">
        <v>183</v>
      </c>
      <c r="F685" s="298" t="s">
        <v>183</v>
      </c>
      <c r="H685" s="298" t="s">
        <v>183</v>
      </c>
      <c r="L685" s="298" t="s">
        <v>183</v>
      </c>
    </row>
    <row r="686" spans="2:12" x14ac:dyDescent="0.2">
      <c r="B686" s="298" t="s">
        <v>183</v>
      </c>
      <c r="C686" s="339">
        <f>IF(Forside!$D$12="Dansk",Tekstnøgler!E686,Tekstnøgler!G686)</f>
        <v>0</v>
      </c>
      <c r="D686" s="298" t="s">
        <v>183</v>
      </c>
      <c r="F686" s="298" t="s">
        <v>183</v>
      </c>
      <c r="H686" s="298" t="s">
        <v>183</v>
      </c>
      <c r="L686" s="298" t="s">
        <v>183</v>
      </c>
    </row>
    <row r="687" spans="2:12" x14ac:dyDescent="0.2">
      <c r="B687" s="298" t="s">
        <v>183</v>
      </c>
      <c r="C687" s="339">
        <f>IF(Forside!$D$12="Dansk",Tekstnøgler!E687,Tekstnøgler!G687)</f>
        <v>0</v>
      </c>
      <c r="D687" s="298" t="s">
        <v>183</v>
      </c>
      <c r="F687" s="298" t="s">
        <v>183</v>
      </c>
      <c r="H687" s="298" t="s">
        <v>183</v>
      </c>
      <c r="L687" s="298" t="s">
        <v>183</v>
      </c>
    </row>
    <row r="688" spans="2:12" x14ac:dyDescent="0.2">
      <c r="B688" s="298" t="s">
        <v>183</v>
      </c>
      <c r="C688" s="339">
        <f>IF(Forside!$D$12="Dansk",Tekstnøgler!E688,Tekstnøgler!G688)</f>
        <v>0</v>
      </c>
      <c r="D688" s="298" t="s">
        <v>183</v>
      </c>
      <c r="F688" s="298" t="s">
        <v>183</v>
      </c>
      <c r="H688" s="298" t="s">
        <v>183</v>
      </c>
      <c r="L688" s="298" t="s">
        <v>183</v>
      </c>
    </row>
    <row r="689" spans="2:12" x14ac:dyDescent="0.2">
      <c r="B689" s="298" t="s">
        <v>183</v>
      </c>
      <c r="C689" s="339">
        <f>IF(Forside!$D$12="Dansk",Tekstnøgler!E689,Tekstnøgler!G689)</f>
        <v>0</v>
      </c>
      <c r="D689" s="298" t="s">
        <v>183</v>
      </c>
      <c r="F689" s="298" t="s">
        <v>183</v>
      </c>
      <c r="H689" s="298" t="s">
        <v>183</v>
      </c>
      <c r="L689" s="298" t="s">
        <v>183</v>
      </c>
    </row>
    <row r="690" spans="2:12" x14ac:dyDescent="0.2">
      <c r="B690" s="298" t="s">
        <v>183</v>
      </c>
      <c r="C690" s="339">
        <f>IF(Forside!$D$12="Dansk",Tekstnøgler!E690,Tekstnøgler!G690)</f>
        <v>0</v>
      </c>
      <c r="D690" s="298" t="s">
        <v>183</v>
      </c>
      <c r="F690" s="298" t="s">
        <v>183</v>
      </c>
      <c r="H690" s="298" t="s">
        <v>183</v>
      </c>
      <c r="L690" s="298" t="s">
        <v>183</v>
      </c>
    </row>
    <row r="691" spans="2:12" x14ac:dyDescent="0.2">
      <c r="B691" s="298" t="s">
        <v>183</v>
      </c>
      <c r="C691" s="339">
        <f>IF(Forside!$D$12="Dansk",Tekstnøgler!E691,Tekstnøgler!G691)</f>
        <v>0</v>
      </c>
      <c r="D691" s="298" t="s">
        <v>183</v>
      </c>
      <c r="F691" s="298" t="s">
        <v>183</v>
      </c>
      <c r="H691" s="298" t="s">
        <v>183</v>
      </c>
      <c r="L691" s="298" t="s">
        <v>183</v>
      </c>
    </row>
    <row r="692" spans="2:12" x14ac:dyDescent="0.2">
      <c r="B692" s="298" t="s">
        <v>183</v>
      </c>
      <c r="C692" s="339">
        <f>IF(Forside!$D$12="Dansk",Tekstnøgler!E692,Tekstnøgler!G692)</f>
        <v>0</v>
      </c>
      <c r="D692" s="298" t="s">
        <v>183</v>
      </c>
      <c r="F692" s="298" t="s">
        <v>183</v>
      </c>
      <c r="H692" s="298" t="s">
        <v>183</v>
      </c>
      <c r="L692" s="298" t="s">
        <v>183</v>
      </c>
    </row>
    <row r="693" spans="2:12" x14ac:dyDescent="0.2">
      <c r="B693" s="298" t="s">
        <v>183</v>
      </c>
      <c r="C693" s="339">
        <f>IF(Forside!$D$12="Dansk",Tekstnøgler!E693,Tekstnøgler!G693)</f>
        <v>0</v>
      </c>
      <c r="D693" s="298" t="s">
        <v>183</v>
      </c>
      <c r="F693" s="298" t="s">
        <v>183</v>
      </c>
      <c r="H693" s="298" t="s">
        <v>183</v>
      </c>
      <c r="L693" s="298" t="s">
        <v>183</v>
      </c>
    </row>
    <row r="694" spans="2:12" x14ac:dyDescent="0.2">
      <c r="B694" s="298" t="s">
        <v>183</v>
      </c>
      <c r="C694" s="339">
        <f>IF(Forside!$D$12="Dansk",Tekstnøgler!E694,Tekstnøgler!G694)</f>
        <v>0</v>
      </c>
      <c r="D694" s="298" t="s">
        <v>183</v>
      </c>
      <c r="F694" s="298" t="s">
        <v>183</v>
      </c>
      <c r="H694" s="298" t="s">
        <v>183</v>
      </c>
      <c r="L694" s="298" t="s">
        <v>183</v>
      </c>
    </row>
    <row r="695" spans="2:12" x14ac:dyDescent="0.2">
      <c r="B695" s="298" t="s">
        <v>183</v>
      </c>
      <c r="C695" s="339">
        <f>IF(Forside!$D$12="Dansk",Tekstnøgler!E695,Tekstnøgler!G695)</f>
        <v>0</v>
      </c>
      <c r="D695" s="298" t="s">
        <v>183</v>
      </c>
      <c r="F695" s="298" t="s">
        <v>183</v>
      </c>
      <c r="H695" s="298" t="s">
        <v>183</v>
      </c>
      <c r="L695" s="298" t="s">
        <v>183</v>
      </c>
    </row>
    <row r="696" spans="2:12" x14ac:dyDescent="0.2">
      <c r="B696" s="298" t="s">
        <v>183</v>
      </c>
      <c r="C696" s="339">
        <f>IF(Forside!$D$12="Dansk",Tekstnøgler!E696,Tekstnøgler!G696)</f>
        <v>0</v>
      </c>
      <c r="D696" s="298" t="s">
        <v>183</v>
      </c>
      <c r="F696" s="298" t="s">
        <v>183</v>
      </c>
      <c r="H696" s="298" t="s">
        <v>183</v>
      </c>
      <c r="L696" s="298" t="s">
        <v>183</v>
      </c>
    </row>
    <row r="697" spans="2:12" x14ac:dyDescent="0.2">
      <c r="B697" s="298" t="s">
        <v>183</v>
      </c>
      <c r="C697" s="339">
        <f>IF(Forside!$D$12="Dansk",Tekstnøgler!E697,Tekstnøgler!G697)</f>
        <v>0</v>
      </c>
      <c r="D697" s="298" t="s">
        <v>183</v>
      </c>
      <c r="F697" s="298" t="s">
        <v>183</v>
      </c>
      <c r="H697" s="298" t="s">
        <v>183</v>
      </c>
      <c r="L697" s="298" t="s">
        <v>183</v>
      </c>
    </row>
    <row r="698" spans="2:12" x14ac:dyDescent="0.2">
      <c r="B698" s="298" t="s">
        <v>183</v>
      </c>
      <c r="C698" s="339">
        <f>IF(Forside!$D$12="Dansk",Tekstnøgler!E698,Tekstnøgler!G698)</f>
        <v>0</v>
      </c>
      <c r="D698" s="298" t="s">
        <v>183</v>
      </c>
      <c r="F698" s="298" t="s">
        <v>183</v>
      </c>
      <c r="H698" s="298" t="s">
        <v>183</v>
      </c>
      <c r="L698" s="298" t="s">
        <v>183</v>
      </c>
    </row>
    <row r="699" spans="2:12" x14ac:dyDescent="0.2">
      <c r="B699" s="298" t="s">
        <v>183</v>
      </c>
      <c r="C699" s="339">
        <f>IF(Forside!$D$12="Dansk",Tekstnøgler!E699,Tekstnøgler!G699)</f>
        <v>0</v>
      </c>
      <c r="D699" s="298" t="s">
        <v>183</v>
      </c>
      <c r="F699" s="298" t="s">
        <v>183</v>
      </c>
      <c r="H699" s="298" t="s">
        <v>183</v>
      </c>
      <c r="L699" s="298" t="s">
        <v>183</v>
      </c>
    </row>
    <row r="700" spans="2:12" x14ac:dyDescent="0.2">
      <c r="B700" s="298" t="s">
        <v>183</v>
      </c>
      <c r="C700" s="339">
        <f>IF(Forside!$D$12="Dansk",Tekstnøgler!E700,Tekstnøgler!G700)</f>
        <v>0</v>
      </c>
      <c r="D700" s="298" t="s">
        <v>183</v>
      </c>
      <c r="F700" s="298" t="s">
        <v>183</v>
      </c>
      <c r="H700" s="298" t="s">
        <v>183</v>
      </c>
      <c r="L700" s="298" t="s">
        <v>183</v>
      </c>
    </row>
    <row r="701" spans="2:12" x14ac:dyDescent="0.2">
      <c r="B701" s="298" t="s">
        <v>183</v>
      </c>
      <c r="C701" s="339">
        <f>IF(Forside!$D$12="Dansk",Tekstnøgler!E701,Tekstnøgler!G701)</f>
        <v>0</v>
      </c>
      <c r="D701" s="298" t="s">
        <v>183</v>
      </c>
      <c r="F701" s="298" t="s">
        <v>183</v>
      </c>
      <c r="H701" s="298" t="s">
        <v>183</v>
      </c>
      <c r="L701" s="298" t="s">
        <v>183</v>
      </c>
    </row>
    <row r="702" spans="2:12" x14ac:dyDescent="0.2">
      <c r="B702" s="298" t="s">
        <v>183</v>
      </c>
      <c r="C702" s="339">
        <f>IF(Forside!$D$12="Dansk",Tekstnøgler!E702,Tekstnøgler!G702)</f>
        <v>0</v>
      </c>
      <c r="D702" s="298" t="s">
        <v>183</v>
      </c>
      <c r="F702" s="298" t="s">
        <v>183</v>
      </c>
      <c r="H702" s="298" t="s">
        <v>183</v>
      </c>
      <c r="L702" s="298" t="s">
        <v>183</v>
      </c>
    </row>
    <row r="703" spans="2:12" x14ac:dyDescent="0.2">
      <c r="B703" s="298" t="s">
        <v>183</v>
      </c>
      <c r="C703" s="339">
        <f>IF(Forside!$D$12="Dansk",Tekstnøgler!E703,Tekstnøgler!G703)</f>
        <v>0</v>
      </c>
      <c r="D703" s="298" t="s">
        <v>183</v>
      </c>
      <c r="F703" s="298" t="s">
        <v>183</v>
      </c>
      <c r="H703" s="298" t="s">
        <v>183</v>
      </c>
      <c r="L703" s="298" t="s">
        <v>183</v>
      </c>
    </row>
    <row r="704" spans="2:12" x14ac:dyDescent="0.2">
      <c r="B704" s="298" t="s">
        <v>183</v>
      </c>
      <c r="C704" s="339">
        <f>IF(Forside!$D$12="Dansk",Tekstnøgler!E704,Tekstnøgler!G704)</f>
        <v>0</v>
      </c>
      <c r="D704" s="298" t="s">
        <v>183</v>
      </c>
      <c r="F704" s="298" t="s">
        <v>183</v>
      </c>
      <c r="H704" s="298" t="s">
        <v>183</v>
      </c>
      <c r="L704" s="298" t="s">
        <v>183</v>
      </c>
    </row>
    <row r="705" spans="1:12" x14ac:dyDescent="0.2">
      <c r="B705" s="298" t="s">
        <v>183</v>
      </c>
      <c r="C705" s="339">
        <f>IF(Forside!$D$12="Dansk",Tekstnøgler!E705,Tekstnøgler!G705)</f>
        <v>0</v>
      </c>
      <c r="D705" s="298" t="s">
        <v>183</v>
      </c>
      <c r="F705" s="298" t="s">
        <v>183</v>
      </c>
      <c r="H705" s="298" t="s">
        <v>183</v>
      </c>
      <c r="L705" s="298" t="s">
        <v>183</v>
      </c>
    </row>
    <row r="706" spans="1:12" x14ac:dyDescent="0.2">
      <c r="B706" s="298" t="s">
        <v>183</v>
      </c>
      <c r="C706" s="339">
        <f>IF(Forside!$D$12="Dansk",Tekstnøgler!E706,Tekstnøgler!G706)</f>
        <v>0</v>
      </c>
      <c r="D706" s="298" t="s">
        <v>183</v>
      </c>
      <c r="F706" s="298" t="s">
        <v>183</v>
      </c>
      <c r="H706" s="298" t="s">
        <v>183</v>
      </c>
      <c r="L706" s="298" t="s">
        <v>183</v>
      </c>
    </row>
    <row r="707" spans="1:12" x14ac:dyDescent="0.2">
      <c r="B707" s="298" t="s">
        <v>183</v>
      </c>
      <c r="C707" s="339">
        <f>IF(Forside!$D$12="Dansk",Tekstnøgler!E707,Tekstnøgler!G707)</f>
        <v>0</v>
      </c>
      <c r="D707" s="298" t="s">
        <v>183</v>
      </c>
      <c r="F707" s="298" t="s">
        <v>183</v>
      </c>
      <c r="H707" s="298" t="s">
        <v>183</v>
      </c>
      <c r="L707" s="298" t="s">
        <v>183</v>
      </c>
    </row>
    <row r="708" spans="1:12" x14ac:dyDescent="0.2">
      <c r="A708" s="297" t="s">
        <v>1221</v>
      </c>
      <c r="B708" s="298" t="s">
        <v>183</v>
      </c>
      <c r="C708" s="339">
        <f>IF(Forside!$D$12="Dansk",Tekstnøgler!E708,Tekstnøgler!G708)</f>
        <v>0</v>
      </c>
      <c r="D708" s="298" t="s">
        <v>183</v>
      </c>
      <c r="F708" s="298" t="s">
        <v>183</v>
      </c>
      <c r="H708" s="298" t="s">
        <v>183</v>
      </c>
      <c r="L708" s="298" t="s">
        <v>183</v>
      </c>
    </row>
    <row r="709" spans="1:12" ht="15" x14ac:dyDescent="0.2">
      <c r="A709" s="297" t="s">
        <v>1278</v>
      </c>
      <c r="C709" s="339" t="str">
        <f>IF(Forside!$D$12="Dansk",Tekstnøgler!E709,Tekstnøgler!G709)</f>
        <v>Gipsplade</v>
      </c>
      <c r="E709" t="s">
        <v>2000</v>
      </c>
      <c r="G709" t="s">
        <v>2001</v>
      </c>
    </row>
    <row r="710" spans="1:12" ht="15" x14ac:dyDescent="0.2">
      <c r="A710" s="297" t="s">
        <v>1209</v>
      </c>
      <c r="C710" s="339" t="str">
        <f>IF(Forside!$D$12="Dansk",Tekstnøgler!E710,Tekstnøgler!G710)</f>
        <v>m3</v>
      </c>
      <c r="E710" t="s">
        <v>1212</v>
      </c>
      <c r="G710" t="s">
        <v>1212</v>
      </c>
    </row>
    <row r="711" spans="1:12" ht="15" x14ac:dyDescent="0.2">
      <c r="A711" s="297" t="s">
        <v>1279</v>
      </c>
      <c r="C711" s="339" t="str">
        <f>IF(Forside!$D$12="Dansk",Tekstnøgler!E711,Tekstnøgler!G711)</f>
        <v>Tekstil, garn</v>
      </c>
      <c r="E711" t="s">
        <v>2002</v>
      </c>
      <c r="G711" t="s">
        <v>2003</v>
      </c>
    </row>
    <row r="712" spans="1:12" ht="15" x14ac:dyDescent="0.2">
      <c r="A712" s="297" t="s">
        <v>1280</v>
      </c>
      <c r="C712" s="339" t="str">
        <f>IF(Forside!$D$12="Dansk",Tekstnøgler!E712,Tekstnøgler!G712)</f>
        <v>Ikke-jernholdige metaller (nyt)</v>
      </c>
      <c r="E712" t="s">
        <v>2004</v>
      </c>
      <c r="G712" t="s">
        <v>2005</v>
      </c>
    </row>
    <row r="713" spans="1:12" ht="15" x14ac:dyDescent="0.2">
      <c r="A713" s="297" t="s">
        <v>1281</v>
      </c>
      <c r="C713" s="339" t="str">
        <f>IF(Forside!$D$12="Dansk",Tekstnøgler!E713,Tekstnøgler!G713)</f>
        <v>Benzin (100%)</v>
      </c>
      <c r="E713" t="s">
        <v>2006</v>
      </c>
      <c r="G713" t="s">
        <v>2007</v>
      </c>
    </row>
    <row r="714" spans="1:12" ht="15" x14ac:dyDescent="0.2">
      <c r="A714" s="297" t="s">
        <v>1282</v>
      </c>
      <c r="C714" s="339" t="str">
        <f>IF(Forside!$D$12="Dansk",Tekstnøgler!E714,Tekstnøgler!G714)</f>
        <v>Andre plast (nyt)</v>
      </c>
      <c r="E714" t="s">
        <v>2008</v>
      </c>
      <c r="G714" t="s">
        <v>2009</v>
      </c>
    </row>
    <row r="715" spans="1:12" ht="15" x14ac:dyDescent="0.2">
      <c r="A715" s="297" t="s">
        <v>1283</v>
      </c>
      <c r="C715" s="339" t="str">
        <f>IF(Forside!$D$12="Dansk",Tekstnøgler!E715,Tekstnøgler!G715)</f>
        <v>Tog (Uspecificeret)</v>
      </c>
      <c r="E715" t="s">
        <v>2010</v>
      </c>
      <c r="G715" t="s">
        <v>2011</v>
      </c>
    </row>
    <row r="716" spans="1:12" ht="15" x14ac:dyDescent="0.2">
      <c r="A716" s="297" t="s">
        <v>1284</v>
      </c>
      <c r="C716" s="339" t="str">
        <f>IF(Forside!$D$12="Dansk",Tekstnøgler!E716,Tekstnøgler!G716)</f>
        <v>Drikkevarer</v>
      </c>
      <c r="E716" t="s">
        <v>2012</v>
      </c>
      <c r="G716" t="s">
        <v>2013</v>
      </c>
    </row>
    <row r="717" spans="1:12" ht="15" x14ac:dyDescent="0.2">
      <c r="A717" s="297" t="s">
        <v>1285</v>
      </c>
      <c r="C717" s="339" t="str">
        <f>IF(Forside!$D$12="Dansk",Tekstnøgler!E717,Tekstnøgler!G717)</f>
        <v>Konstruktionstræ</v>
      </c>
      <c r="E717" t="s">
        <v>2014</v>
      </c>
      <c r="G717" t="s">
        <v>2015</v>
      </c>
    </row>
    <row r="718" spans="1:12" ht="15" x14ac:dyDescent="0.2">
      <c r="A718" s="297" t="s">
        <v>1286</v>
      </c>
      <c r="C718" s="339" t="str">
        <f>IF(Forside!$D$12="Dansk",Tekstnøgler!E718,Tekstnøgler!G718)</f>
        <v>LBG</v>
      </c>
      <c r="E718" t="s">
        <v>2016</v>
      </c>
      <c r="G718" t="s">
        <v>2016</v>
      </c>
    </row>
    <row r="719" spans="1:12" ht="15" x14ac:dyDescent="0.2">
      <c r="A719" s="297" t="s">
        <v>1287</v>
      </c>
      <c r="C719" s="339" t="str">
        <f>IF(Forside!$D$12="Dansk",Tekstnøgler!E719,Tekstnøgler!G719)</f>
        <v>Uspecificeret</v>
      </c>
      <c r="E719" t="s">
        <v>77</v>
      </c>
      <c r="G719" t="s">
        <v>2017</v>
      </c>
    </row>
    <row r="720" spans="1:12" ht="15" x14ac:dyDescent="0.2">
      <c r="A720" s="297" t="s">
        <v>1288</v>
      </c>
      <c r="C720" s="339" t="str">
        <f>IF(Forside!$D$12="Dansk",Tekstnøgler!E720,Tekstnøgler!G720)</f>
        <v>Kunstgødning</v>
      </c>
      <c r="E720" t="s">
        <v>2018</v>
      </c>
      <c r="G720" t="s">
        <v>2019</v>
      </c>
    </row>
    <row r="721" spans="1:7" ht="15" x14ac:dyDescent="0.2">
      <c r="A721" s="297" t="s">
        <v>1289</v>
      </c>
      <c r="C721" s="339" t="str">
        <f>IF(Forside!$D$12="Dansk",Tekstnøgler!E721,Tekstnøgler!G721)</f>
        <v>Hør</v>
      </c>
      <c r="E721" t="s">
        <v>2020</v>
      </c>
      <c r="G721" t="s">
        <v>2021</v>
      </c>
    </row>
    <row r="722" spans="1:7" ht="15" x14ac:dyDescent="0.2">
      <c r="A722" s="297" t="s">
        <v>1290</v>
      </c>
      <c r="C722" s="339" t="str">
        <f>IF(Forside!$D$12="Dansk",Tekstnøgler!E722,Tekstnøgler!G722)</f>
        <v>Kobber (nyt)</v>
      </c>
      <c r="E722" t="s">
        <v>2022</v>
      </c>
      <c r="G722" t="s">
        <v>2023</v>
      </c>
    </row>
    <row r="723" spans="1:7" ht="15" x14ac:dyDescent="0.2">
      <c r="A723" s="297" t="s">
        <v>1291</v>
      </c>
      <c r="C723" s="339" t="str">
        <f>IF(Forside!$D$12="Dansk",Tekstnøgler!E723,Tekstnøgler!G723)</f>
        <v>Affaldshåndtering</v>
      </c>
      <c r="E723" t="s">
        <v>2024</v>
      </c>
      <c r="G723" t="s">
        <v>2025</v>
      </c>
    </row>
    <row r="724" spans="1:7" ht="15" x14ac:dyDescent="0.2">
      <c r="A724" s="297" t="s">
        <v>1292</v>
      </c>
      <c r="C724" s="339" t="str">
        <f>IF(Forside!$D$12="Dansk",Tekstnøgler!E724,Tekstnøgler!G724)</f>
        <v>15. Investeringer</v>
      </c>
      <c r="E724" t="s">
        <v>2026</v>
      </c>
      <c r="G724" t="s">
        <v>2027</v>
      </c>
    </row>
    <row r="725" spans="1:7" ht="15" x14ac:dyDescent="0.2">
      <c r="A725" s="297" t="s">
        <v>1293</v>
      </c>
      <c r="C725" s="339" t="str">
        <f>IF(Forside!$D$12="Dansk",Tekstnøgler!E725,Tekstnøgler!G725)</f>
        <v>14. Franchises</v>
      </c>
      <c r="E725" t="s">
        <v>2028</v>
      </c>
      <c r="G725" t="s">
        <v>2028</v>
      </c>
    </row>
    <row r="726" spans="1:7" ht="15" x14ac:dyDescent="0.2">
      <c r="A726" s="297" t="s">
        <v>1294</v>
      </c>
      <c r="C726" s="339" t="str">
        <f>IF(Forside!$D$12="Dansk",Tekstnøgler!E726,Tekstnøgler!G726)</f>
        <v>13. Nedstrøms leasede aktiver</v>
      </c>
      <c r="E726" t="s">
        <v>1835</v>
      </c>
      <c r="G726" t="s">
        <v>1836</v>
      </c>
    </row>
    <row r="727" spans="1:7" ht="15" x14ac:dyDescent="0.2">
      <c r="A727" s="297" t="s">
        <v>1295</v>
      </c>
      <c r="C727" s="339" t="str">
        <f>IF(Forside!$D$12="Dansk",Tekstnøgler!E727,Tekstnøgler!G727)</f>
        <v>12. Behandling af solgte produkter efter endt levetid</v>
      </c>
      <c r="E727" t="s">
        <v>1833</v>
      </c>
      <c r="G727" t="s">
        <v>1834</v>
      </c>
    </row>
    <row r="728" spans="1:7" ht="15" x14ac:dyDescent="0.2">
      <c r="A728" s="297" t="s">
        <v>1296</v>
      </c>
      <c r="C728" s="339" t="str">
        <f>IF(Forside!$D$12="Dansk",Tekstnøgler!E728,Tekstnøgler!G728)</f>
        <v>11. Brug af solgte produkter</v>
      </c>
      <c r="E728" t="s">
        <v>667</v>
      </c>
      <c r="G728" t="s">
        <v>1832</v>
      </c>
    </row>
    <row r="729" spans="1:7" ht="15" x14ac:dyDescent="0.2">
      <c r="A729" s="297" t="s">
        <v>1297</v>
      </c>
      <c r="C729" s="339" t="str">
        <f>IF(Forside!$D$12="Dansk",Tekstnøgler!E729,Tekstnøgler!G729)</f>
        <v>10. Forarbejdning af solgte produkter</v>
      </c>
      <c r="E729" t="s">
        <v>664</v>
      </c>
      <c r="G729" t="s">
        <v>665</v>
      </c>
    </row>
    <row r="730" spans="1:7" ht="15" x14ac:dyDescent="0.2">
      <c r="A730" s="297" t="s">
        <v>1298</v>
      </c>
      <c r="C730" s="339" t="str">
        <f>IF(Forside!$D$12="Dansk",Tekstnøgler!E730,Tekstnøgler!G730)</f>
        <v>Kunstgødning</v>
      </c>
      <c r="E730" t="s">
        <v>2018</v>
      </c>
      <c r="G730" t="s">
        <v>2019</v>
      </c>
    </row>
    <row r="731" spans="1:7" ht="15" x14ac:dyDescent="0.2">
      <c r="A731" s="297" t="s">
        <v>1299</v>
      </c>
      <c r="C731" s="339" t="str">
        <f>IF(Forside!$D$12="Dansk",Tekstnøgler!E731,Tekstnøgler!G731)</f>
        <v>1. Indkøb af varer og tjenesteydelser</v>
      </c>
      <c r="E731" t="s">
        <v>1816</v>
      </c>
      <c r="G731" t="s">
        <v>653</v>
      </c>
    </row>
    <row r="732" spans="1:7" ht="15" x14ac:dyDescent="0.2">
      <c r="A732" s="297" t="s">
        <v>1300</v>
      </c>
      <c r="C732" s="339" t="str">
        <f>IF(Forside!$D$12="Dansk",Tekstnøgler!E732,Tekstnøgler!G732)</f>
        <v>7. Medarbejderpendling</v>
      </c>
      <c r="E732" t="s">
        <v>1826</v>
      </c>
      <c r="G732" t="s">
        <v>1827</v>
      </c>
    </row>
    <row r="733" spans="1:7" ht="15" x14ac:dyDescent="0.2">
      <c r="A733" s="297" t="s">
        <v>1301</v>
      </c>
      <c r="C733" s="339" t="str">
        <f>IF(Forside!$D$12="Dansk",Tekstnøgler!E733,Tekstnøgler!G733)</f>
        <v>6. Forretningsrejser</v>
      </c>
      <c r="E733" t="s">
        <v>659</v>
      </c>
      <c r="G733" t="s">
        <v>1825</v>
      </c>
    </row>
    <row r="734" spans="1:7" ht="15" x14ac:dyDescent="0.2">
      <c r="A734" s="297" t="s">
        <v>1302</v>
      </c>
      <c r="C734" s="339" t="str">
        <f>IF(Forside!$D$12="Dansk",Tekstnøgler!E734,Tekstnøgler!G734)</f>
        <v>9. Nedstrømstransport og distribution</v>
      </c>
      <c r="E734" t="s">
        <v>1830</v>
      </c>
      <c r="G734" t="s">
        <v>1831</v>
      </c>
    </row>
    <row r="735" spans="1:7" ht="15" x14ac:dyDescent="0.2">
      <c r="A735" s="297" t="s">
        <v>1303</v>
      </c>
      <c r="C735" s="339" t="str">
        <f>IF(Forside!$D$12="Dansk",Tekstnøgler!E735,Tekstnøgler!G735)</f>
        <v>Personbiler (Hybrid, Ikke opladning)</v>
      </c>
      <c r="E735" t="s">
        <v>2029</v>
      </c>
      <c r="G735" t="s">
        <v>2030</v>
      </c>
    </row>
    <row r="736" spans="1:7" ht="15" x14ac:dyDescent="0.2">
      <c r="A736" s="297" t="s">
        <v>1304</v>
      </c>
      <c r="C736" s="339" t="str">
        <f>IF(Forside!$D$12="Dansk",Tekstnøgler!E736,Tekstnøgler!G736)</f>
        <v>8. Opstrøms leasede aktiver</v>
      </c>
      <c r="E736" t="s">
        <v>1828</v>
      </c>
      <c r="G736" t="s">
        <v>1829</v>
      </c>
    </row>
    <row r="737" spans="1:7" ht="15" x14ac:dyDescent="0.2">
      <c r="A737" s="297" t="s">
        <v>1305</v>
      </c>
      <c r="C737" s="339" t="str">
        <f>IF(Forside!$D$12="Dansk",Tekstnøgler!E737,Tekstnøgler!G737)</f>
        <v>3. Brændsels- og energirelaterede aktiviteter</v>
      </c>
      <c r="E737" t="s">
        <v>1819</v>
      </c>
      <c r="G737" t="s">
        <v>1820</v>
      </c>
    </row>
    <row r="738" spans="1:7" ht="15" x14ac:dyDescent="0.2">
      <c r="A738" s="297" t="s">
        <v>1306</v>
      </c>
      <c r="C738" s="339" t="str">
        <f>IF(Forside!$D$12="Dansk",Tekstnøgler!E738,Tekstnøgler!G738)</f>
        <v>2. Anlægsaktiver</v>
      </c>
      <c r="E738" t="s">
        <v>1817</v>
      </c>
      <c r="G738" t="s">
        <v>1818</v>
      </c>
    </row>
    <row r="739" spans="1:7" ht="15" x14ac:dyDescent="0.2">
      <c r="A739" s="297" t="s">
        <v>1307</v>
      </c>
      <c r="C739" s="339" t="str">
        <f>IF(Forside!$D$12="Dansk",Tekstnøgler!E739,Tekstnøgler!G739)</f>
        <v>5. Affald fra drift</v>
      </c>
      <c r="E739" t="s">
        <v>1823</v>
      </c>
      <c r="G739" t="s">
        <v>1824</v>
      </c>
    </row>
    <row r="740" spans="1:7" ht="15" x14ac:dyDescent="0.2">
      <c r="A740" s="297" t="s">
        <v>1308</v>
      </c>
      <c r="C740" s="339" t="str">
        <f>IF(Forside!$D$12="Dansk",Tekstnøgler!E740,Tekstnøgler!G740)</f>
        <v>Brød, kartofler, pasta o.lign.</v>
      </c>
      <c r="E740" t="s">
        <v>2031</v>
      </c>
      <c r="G740" t="s">
        <v>2032</v>
      </c>
    </row>
    <row r="741" spans="1:7" ht="15" x14ac:dyDescent="0.2">
      <c r="A741" s="297" t="s">
        <v>1309</v>
      </c>
      <c r="C741" s="339" t="str">
        <f>IF(Forside!$D$12="Dansk",Tekstnøgler!E741,Tekstnøgler!G741)</f>
        <v>4. Opstrømstransport og distribution</v>
      </c>
      <c r="E741" t="s">
        <v>1821</v>
      </c>
      <c r="G741" t="s">
        <v>1822</v>
      </c>
    </row>
    <row r="742" spans="1:7" ht="15" x14ac:dyDescent="0.2">
      <c r="A742" s="297" t="s">
        <v>1310</v>
      </c>
      <c r="C742" s="339" t="str">
        <f>IF(Forside!$D$12="Dansk",Tekstnøgler!E742,Tekstnøgler!G742)</f>
        <v>Generelt</v>
      </c>
      <c r="E742" t="s">
        <v>2033</v>
      </c>
      <c r="G742" t="s">
        <v>2034</v>
      </c>
    </row>
    <row r="743" spans="1:7" ht="15" x14ac:dyDescent="0.2">
      <c r="A743" s="297" t="s">
        <v>1311</v>
      </c>
      <c r="C743" s="339" t="str">
        <f>IF(Forside!$D$12="Dansk",Tekstnøgler!E743,Tekstnøgler!G743)</f>
        <v>Metaller</v>
      </c>
      <c r="E743" t="s">
        <v>2035</v>
      </c>
      <c r="G743" t="s">
        <v>2036</v>
      </c>
    </row>
    <row r="744" spans="1:7" ht="15" x14ac:dyDescent="0.2">
      <c r="A744" s="297" t="s">
        <v>1312</v>
      </c>
      <c r="C744" s="339" t="str">
        <f>IF(Forside!$D$12="Dansk",Tekstnøgler!E744,Tekstnøgler!G744)</f>
        <v>Genbrug</v>
      </c>
      <c r="E744" t="s">
        <v>2037</v>
      </c>
      <c r="G744" t="s">
        <v>2038</v>
      </c>
    </row>
    <row r="745" spans="1:7" ht="15" x14ac:dyDescent="0.2">
      <c r="A745" s="297" t="s">
        <v>1313</v>
      </c>
      <c r="C745" s="339" t="str">
        <f>IF(Forside!$D$12="Dansk",Tekstnøgler!E745,Tekstnøgler!G745)</f>
        <v>Konstrukstionsaluminium</v>
      </c>
      <c r="E745" t="s">
        <v>2039</v>
      </c>
      <c r="G745" t="s">
        <v>2040</v>
      </c>
    </row>
    <row r="746" spans="1:7" ht="15" x14ac:dyDescent="0.2">
      <c r="A746" s="297" t="s">
        <v>1314</v>
      </c>
      <c r="C746" s="339" t="str">
        <f>IF(Forside!$D$12="Dansk",Tekstnøgler!E746,Tekstnøgler!G746)</f>
        <v>NiMH batterier</v>
      </c>
      <c r="E746" t="s">
        <v>2041</v>
      </c>
      <c r="G746" t="s">
        <v>2042</v>
      </c>
    </row>
    <row r="747" spans="1:7" ht="15" x14ac:dyDescent="0.2">
      <c r="A747" s="297" t="s">
        <v>1315</v>
      </c>
      <c r="C747" s="339" t="str">
        <f>IF(Forside!$D$12="Dansk",Tekstnøgler!E747,Tekstnøgler!G747)</f>
        <v>Antal</v>
      </c>
      <c r="E747" t="s">
        <v>2043</v>
      </c>
      <c r="G747" t="s">
        <v>2044</v>
      </c>
    </row>
    <row r="748" spans="1:7" ht="15" x14ac:dyDescent="0.2">
      <c r="A748" s="297" t="s">
        <v>1316</v>
      </c>
      <c r="C748" s="339" t="str">
        <f>IF(Forside!$D$12="Dansk",Tekstnøgler!E748,Tekstnøgler!G748)</f>
        <v>Marine gas oil</v>
      </c>
      <c r="E748" t="s">
        <v>2045</v>
      </c>
      <c r="G748" t="s">
        <v>2045</v>
      </c>
    </row>
    <row r="749" spans="1:7" ht="15" x14ac:dyDescent="0.2">
      <c r="A749" s="297" t="s">
        <v>1317</v>
      </c>
      <c r="C749" s="339" t="str">
        <f>IF(Forside!$D$12="Dansk",Tekstnøgler!E749,Tekstnøgler!G749)</f>
        <v>Beton ≥ 35 Mpa, almindeligt</v>
      </c>
      <c r="E749" t="s">
        <v>2046</v>
      </c>
      <c r="G749" t="s">
        <v>2047</v>
      </c>
    </row>
    <row r="750" spans="1:7" ht="15" x14ac:dyDescent="0.2">
      <c r="A750" s="297" t="s">
        <v>1318</v>
      </c>
      <c r="C750" s="339" t="str">
        <f>IF(Forside!$D$12="Dansk",Tekstnøgler!E750,Tekstnøgler!G750)</f>
        <v>Ton</v>
      </c>
      <c r="E750" t="s">
        <v>96</v>
      </c>
      <c r="G750" t="s">
        <v>96</v>
      </c>
    </row>
    <row r="751" spans="1:7" ht="15" x14ac:dyDescent="0.2">
      <c r="A751" s="297" t="s">
        <v>1319</v>
      </c>
      <c r="C751" s="339" t="str">
        <f>IF(Forside!$D$12="Dansk",Tekstnøgler!E751,Tekstnøgler!G751)</f>
        <v>Nylon (PA6)</v>
      </c>
      <c r="E751" t="s">
        <v>2048</v>
      </c>
      <c r="G751" t="s">
        <v>2048</v>
      </c>
    </row>
    <row r="752" spans="1:7" ht="15" x14ac:dyDescent="0.2">
      <c r="A752" s="297" t="s">
        <v>1320</v>
      </c>
      <c r="C752" s="339" t="str">
        <f>IF(Forside!$D$12="Dansk",Tekstnøgler!E752,Tekstnøgler!G752)</f>
        <v>Materialegruppe</v>
      </c>
      <c r="E752" t="s">
        <v>55</v>
      </c>
      <c r="G752" t="s">
        <v>2049</v>
      </c>
    </row>
    <row r="753" spans="1:7" ht="15" x14ac:dyDescent="0.2">
      <c r="A753" s="297" t="s">
        <v>1321</v>
      </c>
      <c r="C753" s="339" t="str">
        <f>IF(Forside!$D$12="Dansk",Tekstnøgler!E753,Tekstnøgler!G753)</f>
        <v>GWh</v>
      </c>
      <c r="E753" t="s">
        <v>2050</v>
      </c>
      <c r="G753" t="s">
        <v>2050</v>
      </c>
    </row>
    <row r="754" spans="1:7" ht="15" x14ac:dyDescent="0.2">
      <c r="A754" s="297" t="s">
        <v>1322</v>
      </c>
      <c r="C754" s="339" t="str">
        <f>IF(Forside!$D$12="Dansk",Tekstnøgler!E754,Tekstnøgler!G754)</f>
        <v>Biodiesel HVO</v>
      </c>
      <c r="E754" t="s">
        <v>2051</v>
      </c>
      <c r="G754" t="s">
        <v>2051</v>
      </c>
    </row>
    <row r="755" spans="1:7" ht="15" x14ac:dyDescent="0.2">
      <c r="A755" s="297" t="s">
        <v>1323</v>
      </c>
      <c r="C755" s="339" t="str">
        <f>IF(Forside!$D$12="Dansk",Tekstnøgler!E755,Tekstnøgler!G755)</f>
        <v>Valuta</v>
      </c>
      <c r="E755" t="s">
        <v>2052</v>
      </c>
      <c r="G755" t="s">
        <v>2053</v>
      </c>
    </row>
    <row r="756" spans="1:7" ht="15" x14ac:dyDescent="0.2">
      <c r="A756" s="297" t="s">
        <v>1324</v>
      </c>
      <c r="C756" s="339" t="str">
        <f>IF(Forside!$D$12="Dansk",Tekstnøgler!E756,Tekstnøgler!G756)</f>
        <v>Kobber (genanvendt)</v>
      </c>
      <c r="E756" t="s">
        <v>2054</v>
      </c>
      <c r="G756" t="s">
        <v>2055</v>
      </c>
    </row>
    <row r="757" spans="1:7" ht="15" x14ac:dyDescent="0.2">
      <c r="A757" s="297" t="s">
        <v>1325</v>
      </c>
      <c r="C757" s="339" t="str">
        <f>IF(Forside!$D$12="Dansk",Tekstnøgler!E757,Tekstnøgler!G757)</f>
        <v>Plast, granulat</v>
      </c>
      <c r="E757" t="s">
        <v>2056</v>
      </c>
      <c r="G757" t="s">
        <v>2057</v>
      </c>
    </row>
    <row r="758" spans="1:7" ht="15" x14ac:dyDescent="0.2">
      <c r="A758" s="297" t="s">
        <v>1326</v>
      </c>
      <c r="C758" s="339" t="str">
        <f>IF(Forside!$D$12="Dansk",Tekstnøgler!E758,Tekstnøgler!G758)</f>
        <v>Antal ansatte pr. år</v>
      </c>
      <c r="E758" t="s">
        <v>78</v>
      </c>
      <c r="G758" t="s">
        <v>2058</v>
      </c>
    </row>
    <row r="759" spans="1:7" ht="15" x14ac:dyDescent="0.2">
      <c r="A759" s="297" t="s">
        <v>1327</v>
      </c>
      <c r="C759" s="339" t="str">
        <f>IF(Forside!$D$12="Dansk",Tekstnøgler!E759,Tekstnøgler!G759)</f>
        <v>Busser</v>
      </c>
      <c r="E759" t="s">
        <v>2059</v>
      </c>
      <c r="G759" t="s">
        <v>2060</v>
      </c>
    </row>
    <row r="760" spans="1:7" ht="15" x14ac:dyDescent="0.2">
      <c r="A760" s="297" t="s">
        <v>1328</v>
      </c>
      <c r="C760" s="339" t="str">
        <f>IF(Forside!$D$12="Dansk",Tekstnøgler!E760,Tekstnøgler!G760)</f>
        <v>Rengøring</v>
      </c>
      <c r="E760" t="s">
        <v>2061</v>
      </c>
      <c r="G760" t="s">
        <v>2062</v>
      </c>
    </row>
    <row r="761" spans="1:7" ht="15" x14ac:dyDescent="0.2">
      <c r="A761" s="297" t="s">
        <v>1329</v>
      </c>
      <c r="C761" s="339" t="str">
        <f>IF(Forside!$D$12="Dansk",Tekstnøgler!E761,Tekstnøgler!G761)</f>
        <v>LDPE/LLDPE, nyt</v>
      </c>
      <c r="E761" t="s">
        <v>2063</v>
      </c>
      <c r="G761" t="s">
        <v>2064</v>
      </c>
    </row>
    <row r="762" spans="1:7" ht="15" x14ac:dyDescent="0.2">
      <c r="A762" s="297" t="s">
        <v>1330</v>
      </c>
      <c r="C762" s="339" t="str">
        <f>IF(Forside!$D$12="Dansk",Tekstnøgler!E762,Tekstnøgler!G762)</f>
        <v>Fly - nationalt + RFI</v>
      </c>
      <c r="E762" t="s">
        <v>2065</v>
      </c>
      <c r="G762" t="s">
        <v>2066</v>
      </c>
    </row>
    <row r="763" spans="1:7" ht="15" x14ac:dyDescent="0.2">
      <c r="A763" s="297" t="s">
        <v>1331</v>
      </c>
      <c r="C763" s="339" t="str">
        <f>IF(Forside!$D$12="Dansk",Tekstnøgler!E763,Tekstnøgler!G763)</f>
        <v>Toe (ton olieækvivalent)</v>
      </c>
      <c r="E763" t="s">
        <v>2067</v>
      </c>
      <c r="G763" t="s">
        <v>2068</v>
      </c>
    </row>
    <row r="764" spans="1:7" ht="15" x14ac:dyDescent="0.2">
      <c r="A764" s="297" t="s">
        <v>1332</v>
      </c>
      <c r="C764" s="339" t="str">
        <f>IF(Forside!$D$12="Dansk",Tekstnøgler!E764,Tekstnøgler!G764)</f>
        <v>Naturgas (0% biogas)</v>
      </c>
      <c r="E764" t="s">
        <v>2069</v>
      </c>
      <c r="G764" t="s">
        <v>2070</v>
      </c>
    </row>
    <row r="765" spans="1:7" ht="15" x14ac:dyDescent="0.2">
      <c r="A765" s="297" t="s">
        <v>1333</v>
      </c>
      <c r="C765" s="339" t="str">
        <f>IF(Forside!$D$12="Dansk",Tekstnøgler!E765,Tekstnøgler!G765)</f>
        <v>Stål og jern (nyt)</v>
      </c>
      <c r="E765" t="s">
        <v>2071</v>
      </c>
      <c r="G765" t="s">
        <v>2072</v>
      </c>
    </row>
    <row r="766" spans="1:7" ht="15" x14ac:dyDescent="0.2">
      <c r="A766" s="297" t="s">
        <v>1334</v>
      </c>
      <c r="C766" s="339" t="str">
        <f>IF(Forside!$D$12="Dansk",Tekstnøgler!E766,Tekstnøgler!G766)</f>
        <v>Propan</v>
      </c>
      <c r="E766" t="s">
        <v>2073</v>
      </c>
      <c r="G766" t="s">
        <v>2074</v>
      </c>
    </row>
    <row r="767" spans="1:7" ht="15" x14ac:dyDescent="0.2">
      <c r="A767" s="297" t="s">
        <v>1335</v>
      </c>
      <c r="C767" s="339" t="str">
        <f>IF(Forside!$D$12="Dansk",Tekstnøgler!E767,Tekstnøgler!G767)</f>
        <v>Støbejern</v>
      </c>
      <c r="E767" t="s">
        <v>2075</v>
      </c>
      <c r="G767" t="s">
        <v>2076</v>
      </c>
    </row>
    <row r="768" spans="1:7" ht="15" x14ac:dyDescent="0.2">
      <c r="A768" s="297" t="s">
        <v>1336</v>
      </c>
      <c r="C768" s="339" t="str">
        <f>IF(Forside!$D$12="Dansk",Tekstnøgler!E768,Tekstnøgler!G768)</f>
        <v>Benzin</v>
      </c>
      <c r="E768" t="s">
        <v>70</v>
      </c>
      <c r="G768" t="s">
        <v>2077</v>
      </c>
    </row>
    <row r="769" spans="1:7" ht="15" x14ac:dyDescent="0.2">
      <c r="A769" s="297" t="s">
        <v>1337</v>
      </c>
      <c r="C769" s="339" t="str">
        <f>IF(Forside!$D$12="Dansk",Tekstnøgler!E769,Tekstnøgler!G769)</f>
        <v>Nylon (PA6.6)</v>
      </c>
      <c r="E769" t="s">
        <v>2078</v>
      </c>
      <c r="G769" t="s">
        <v>2078</v>
      </c>
    </row>
    <row r="770" spans="1:7" ht="15" x14ac:dyDescent="0.2">
      <c r="A770" s="297" t="s">
        <v>1338</v>
      </c>
      <c r="C770" s="339" t="str">
        <f>IF(Forside!$D$12="Dansk",Tekstnøgler!E770,Tekstnøgler!G770)</f>
        <v>Genanvendt affald</v>
      </c>
      <c r="E770" t="s">
        <v>2079</v>
      </c>
      <c r="G770" t="s">
        <v>2080</v>
      </c>
    </row>
    <row r="771" spans="1:7" ht="15" x14ac:dyDescent="0.2">
      <c r="A771" s="297" t="s">
        <v>1339</v>
      </c>
      <c r="C771" s="339" t="str">
        <f>IF(Forside!$D$12="Dansk",Tekstnøgler!E771,Tekstnøgler!G771)</f>
        <v>Kød, rødt</v>
      </c>
      <c r="E771" t="s">
        <v>64</v>
      </c>
      <c r="G771" t="s">
        <v>2081</v>
      </c>
    </row>
    <row r="772" spans="1:7" ht="15" x14ac:dyDescent="0.2">
      <c r="A772" s="297" t="s">
        <v>1340</v>
      </c>
      <c r="C772" s="339" t="str">
        <f>IF(Forside!$D$12="Dansk",Tekstnøgler!E772,Tekstnøgler!G772)</f>
        <v>Ædelmetaller</v>
      </c>
      <c r="E772" t="s">
        <v>2082</v>
      </c>
      <c r="G772" t="s">
        <v>2083</v>
      </c>
    </row>
    <row r="773" spans="1:7" ht="15" x14ac:dyDescent="0.2">
      <c r="A773" s="297" t="s">
        <v>1341</v>
      </c>
      <c r="C773" s="339" t="str">
        <f>IF(Forside!$D$12="Dansk",Tekstnøgler!E773,Tekstnøgler!G773)</f>
        <v>Jordtyper</v>
      </c>
      <c r="E773" t="s">
        <v>2084</v>
      </c>
      <c r="G773" t="s">
        <v>2085</v>
      </c>
    </row>
    <row r="774" spans="1:7" ht="15" x14ac:dyDescent="0.2">
      <c r="A774" s="297" t="s">
        <v>1342</v>
      </c>
      <c r="C774" s="339" t="str">
        <f>IF(Forside!$D$12="Dansk",Tekstnøgler!E774,Tekstnøgler!G774)</f>
        <v>Ris</v>
      </c>
      <c r="E774" t="s">
        <v>2086</v>
      </c>
      <c r="G774" t="s">
        <v>2087</v>
      </c>
    </row>
    <row r="775" spans="1:7" ht="15" x14ac:dyDescent="0.2">
      <c r="A775" s="297" t="s">
        <v>1343</v>
      </c>
      <c r="C775" s="339" t="str">
        <f>IF(Forside!$D$12="Dansk",Tekstnøgler!E775,Tekstnøgler!G775)</f>
        <v>Gående.person.km</v>
      </c>
      <c r="E775" t="s">
        <v>2088</v>
      </c>
      <c r="G775" t="s">
        <v>2089</v>
      </c>
    </row>
    <row r="776" spans="1:7" ht="15" x14ac:dyDescent="0.2">
      <c r="A776" s="297" t="s">
        <v>1344</v>
      </c>
      <c r="C776" s="339" t="str">
        <f>IF(Forside!$D$12="Dansk",Tekstnøgler!E776,Tekstnøgler!G776)</f>
        <v>PS, nyt</v>
      </c>
      <c r="E776" t="s">
        <v>2090</v>
      </c>
      <c r="G776" t="s">
        <v>2091</v>
      </c>
    </row>
    <row r="777" spans="1:7" ht="15" x14ac:dyDescent="0.2">
      <c r="A777" s="297" t="s">
        <v>1345</v>
      </c>
      <c r="C777" s="339" t="str">
        <f>IF(Forside!$D$12="Dansk",Tekstnøgler!E777,Tekstnøgler!G777)</f>
        <v>PS-E</v>
      </c>
      <c r="E777" t="s">
        <v>2092</v>
      </c>
      <c r="G777" t="s">
        <v>2093</v>
      </c>
    </row>
    <row r="778" spans="1:7" ht="15" x14ac:dyDescent="0.2">
      <c r="A778" s="297" t="s">
        <v>1346</v>
      </c>
      <c r="C778" s="339" t="str">
        <f>IF(Forside!$D$12="Dansk",Tekstnøgler!E778,Tekstnøgler!G778)</f>
        <v>Beton ≤ 30 Mpa, grøn</v>
      </c>
      <c r="E778" t="s">
        <v>2094</v>
      </c>
      <c r="G778" t="s">
        <v>2095</v>
      </c>
    </row>
    <row r="779" spans="1:7" ht="15" x14ac:dyDescent="0.2">
      <c r="A779" s="297" t="s">
        <v>1347</v>
      </c>
      <c r="C779" s="339" t="str">
        <f>IF(Forside!$D$12="Dansk",Tekstnøgler!E779,Tekstnøgler!G779)</f>
        <v>Kød, lyst</v>
      </c>
      <c r="E779" t="s">
        <v>63</v>
      </c>
      <c r="G779" t="s">
        <v>2096</v>
      </c>
    </row>
    <row r="780" spans="1:7" ht="15" x14ac:dyDescent="0.2">
      <c r="A780" s="297" t="s">
        <v>1348</v>
      </c>
      <c r="C780" s="339" t="str">
        <f>IF(Forside!$D$12="Dansk",Tekstnøgler!E780,Tekstnøgler!G780)</f>
        <v>Kompostering</v>
      </c>
      <c r="E780" t="s">
        <v>2097</v>
      </c>
      <c r="G780" t="s">
        <v>2098</v>
      </c>
    </row>
    <row r="781" spans="1:7" ht="15" x14ac:dyDescent="0.2">
      <c r="A781" s="297" t="s">
        <v>965</v>
      </c>
      <c r="C781" s="339" t="str">
        <f>IF(Forside!$D$12="Dansk",Tekstnøgler!E781,Tekstnøgler!G781)</f>
        <v>Ikke relevant</v>
      </c>
      <c r="E781" t="s">
        <v>966</v>
      </c>
      <c r="G781" t="s">
        <v>967</v>
      </c>
    </row>
    <row r="782" spans="1:7" ht="15" x14ac:dyDescent="0.2">
      <c r="A782" s="297" t="s">
        <v>1349</v>
      </c>
      <c r="C782" s="339" t="str">
        <f>IF(Forside!$D$12="Dansk",Tekstnøgler!E782,Tekstnøgler!G782)</f>
        <v>Elektricitet (DK) - faktisk</v>
      </c>
      <c r="E782" t="s">
        <v>2099</v>
      </c>
      <c r="G782" t="s">
        <v>2100</v>
      </c>
    </row>
    <row r="783" spans="1:7" ht="15" x14ac:dyDescent="0.2">
      <c r="A783" s="297" t="s">
        <v>1350</v>
      </c>
      <c r="C783" s="339" t="str">
        <f>IF(Forside!$D$12="Dansk",Tekstnøgler!E783,Tekstnøgler!G783)</f>
        <v>Keramisk</v>
      </c>
      <c r="E783" t="s">
        <v>2101</v>
      </c>
      <c r="G783" t="s">
        <v>2102</v>
      </c>
    </row>
    <row r="784" spans="1:7" ht="15" x14ac:dyDescent="0.2">
      <c r="A784" s="297" t="s">
        <v>1351</v>
      </c>
      <c r="C784" s="339" t="str">
        <f>IF(Forside!$D$12="Dansk",Tekstnøgler!E784,Tekstnøgler!G784)</f>
        <v>LPG</v>
      </c>
      <c r="E784" t="s">
        <v>2103</v>
      </c>
      <c r="G784" t="s">
        <v>2103</v>
      </c>
    </row>
    <row r="785" spans="1:7" ht="15" x14ac:dyDescent="0.2">
      <c r="A785" s="297" t="s">
        <v>1352</v>
      </c>
      <c r="C785" s="339" t="str">
        <f>IF(Forside!$D$12="Dansk",Tekstnøgler!E785,Tekstnøgler!G785)</f>
        <v>Gns.person.km</v>
      </c>
      <c r="E785" t="s">
        <v>2104</v>
      </c>
      <c r="G785" t="s">
        <v>2105</v>
      </c>
    </row>
    <row r="786" spans="1:7" ht="15" x14ac:dyDescent="0.2">
      <c r="A786" s="297" t="s">
        <v>1353</v>
      </c>
      <c r="C786" s="339" t="str">
        <f>IF(Forside!$D$12="Dansk",Tekstnøgler!E786,Tekstnøgler!G786)</f>
        <v>Naturgas (0% biogas)</v>
      </c>
      <c r="E786" t="s">
        <v>2069</v>
      </c>
      <c r="G786" t="s">
        <v>2106</v>
      </c>
    </row>
    <row r="787" spans="1:7" ht="15" x14ac:dyDescent="0.2">
      <c r="A787" s="297" t="s">
        <v>1354</v>
      </c>
      <c r="C787" s="339" t="str">
        <f>IF(Forside!$D$12="Dansk",Tekstnøgler!E787,Tekstnøgler!G787)</f>
        <v>PFC-318 (c-C₄F₈)</v>
      </c>
      <c r="E787" t="s">
        <v>2107</v>
      </c>
      <c r="G787" t="s">
        <v>2107</v>
      </c>
    </row>
    <row r="788" spans="1:7" ht="15" x14ac:dyDescent="0.2">
      <c r="A788" s="297" t="s">
        <v>1355</v>
      </c>
      <c r="C788" s="339" t="str">
        <f>IF(Forside!$D$12="Dansk",Tekstnøgler!E788,Tekstnøgler!G788)</f>
        <v>Varebiler (Benzin)</v>
      </c>
      <c r="E788" t="s">
        <v>2108</v>
      </c>
      <c r="G788" t="s">
        <v>2109</v>
      </c>
    </row>
    <row r="789" spans="1:7" ht="15" x14ac:dyDescent="0.2">
      <c r="A789" s="297" t="s">
        <v>1356</v>
      </c>
      <c r="C789" s="339" t="str">
        <f>IF(Forside!$D$12="Dansk",Tekstnøgler!E789,Tekstnøgler!G789)</f>
        <v>Konstrukstionsstål</v>
      </c>
      <c r="E789" t="s">
        <v>2110</v>
      </c>
      <c r="G789" t="s">
        <v>2111</v>
      </c>
    </row>
    <row r="790" spans="1:7" ht="15" x14ac:dyDescent="0.2">
      <c r="A790" s="297" t="s">
        <v>1357</v>
      </c>
      <c r="C790" s="339" t="str">
        <f>IF(Forside!$D$12="Dansk",Tekstnøgler!E790,Tekstnøgler!G790)</f>
        <v>Trykkeri</v>
      </c>
      <c r="E790" t="s">
        <v>2112</v>
      </c>
      <c r="G790" t="s">
        <v>2113</v>
      </c>
    </row>
    <row r="791" spans="1:7" ht="15" x14ac:dyDescent="0.2">
      <c r="A791" s="297" t="s">
        <v>1358</v>
      </c>
      <c r="C791" s="339" t="str">
        <f>IF(Forside!$D$12="Dansk",Tekstnøgler!E791,Tekstnøgler!G791)</f>
        <v>Lastbiler (Diesel)</v>
      </c>
      <c r="E791" t="s">
        <v>2114</v>
      </c>
      <c r="G791" t="s">
        <v>2115</v>
      </c>
    </row>
    <row r="792" spans="1:7" ht="15" x14ac:dyDescent="0.2">
      <c r="A792" s="297" t="s">
        <v>1359</v>
      </c>
      <c r="C792" s="339" t="str">
        <f>IF(Forside!$D$12="Dansk",Tekstnøgler!E792,Tekstnøgler!G792)</f>
        <v xml:space="preserve"> Frugt og grønt</v>
      </c>
      <c r="E792" t="s">
        <v>2116</v>
      </c>
      <c r="G792" t="s">
        <v>2117</v>
      </c>
    </row>
    <row r="793" spans="1:7" ht="15" x14ac:dyDescent="0.2">
      <c r="A793" s="297" t="s">
        <v>1360</v>
      </c>
      <c r="C793" s="339" t="str">
        <f>IF(Forside!$D$12="Dansk",Tekstnøgler!E793,Tekstnøgler!G793)</f>
        <v>Smartphone</v>
      </c>
      <c r="E793" t="s">
        <v>2118</v>
      </c>
      <c r="G793" t="s">
        <v>2118</v>
      </c>
    </row>
    <row r="794" spans="1:7" ht="15" x14ac:dyDescent="0.2">
      <c r="A794" s="297" t="s">
        <v>1361</v>
      </c>
      <c r="C794" s="339" t="str">
        <f>IF(Forside!$D$12="Dansk",Tekstnøgler!E794,Tekstnøgler!G794)</f>
        <v>Viskose</v>
      </c>
      <c r="E794" t="s">
        <v>2119</v>
      </c>
      <c r="G794" t="s">
        <v>2120</v>
      </c>
    </row>
    <row r="795" spans="1:7" ht="15" x14ac:dyDescent="0.2">
      <c r="A795" s="297" t="s">
        <v>1362</v>
      </c>
      <c r="C795" s="339" t="str">
        <f>IF(Forside!$D$12="Dansk",Tekstnøgler!E795,Tekstnøgler!G795)</f>
        <v>Elektronik</v>
      </c>
      <c r="E795" t="s">
        <v>2121</v>
      </c>
      <c r="G795" t="s">
        <v>2122</v>
      </c>
    </row>
    <row r="796" spans="1:7" ht="15" x14ac:dyDescent="0.2">
      <c r="A796" s="297" t="s">
        <v>1363</v>
      </c>
      <c r="C796" s="339" t="str">
        <f>IF(Forside!$D$12="Dansk",Tekstnøgler!E796,Tekstnøgler!G796)</f>
        <v>SF₆</v>
      </c>
      <c r="E796" t="s">
        <v>2123</v>
      </c>
      <c r="G796" t="s">
        <v>2123</v>
      </c>
    </row>
    <row r="797" spans="1:7" ht="15" x14ac:dyDescent="0.2">
      <c r="A797" s="297" t="s">
        <v>1364</v>
      </c>
      <c r="C797" s="339" t="str">
        <f>IF(Forside!$D$12="Dansk",Tekstnøgler!E797,Tekstnøgler!G797)</f>
        <v>Lastbiler (LNG)</v>
      </c>
      <c r="E797" t="s">
        <v>2124</v>
      </c>
      <c r="G797" t="s">
        <v>2125</v>
      </c>
    </row>
    <row r="798" spans="1:7" ht="15" x14ac:dyDescent="0.2">
      <c r="A798" s="297" t="s">
        <v>1365</v>
      </c>
      <c r="C798" s="339" t="str">
        <f>IF(Forside!$D$12="Dansk",Tekstnøgler!E798,Tekstnøgler!G798)</f>
        <v>El</v>
      </c>
      <c r="E798" t="s">
        <v>2126</v>
      </c>
      <c r="G798" t="s">
        <v>397</v>
      </c>
    </row>
    <row r="799" spans="1:7" ht="15" x14ac:dyDescent="0.2">
      <c r="A799" s="297" t="s">
        <v>1366</v>
      </c>
      <c r="C799" s="339" t="str">
        <f>IF(Forside!$D$12="Dansk",Tekstnøgler!E799,Tekstnøgler!G799)</f>
        <v>Motorcykler (Benzin)</v>
      </c>
      <c r="E799" t="s">
        <v>2127</v>
      </c>
      <c r="G799" t="s">
        <v>2128</v>
      </c>
    </row>
    <row r="800" spans="1:7" ht="15" x14ac:dyDescent="0.2">
      <c r="A800" s="297" t="s">
        <v>1367</v>
      </c>
      <c r="C800" s="339" t="str">
        <f>IF(Forside!$D$12="Dansk",Tekstnøgler!E800,Tekstnøgler!G800)</f>
        <v>Akryl</v>
      </c>
      <c r="E800" t="s">
        <v>2129</v>
      </c>
      <c r="G800" t="s">
        <v>2130</v>
      </c>
    </row>
    <row r="801" spans="1:7" ht="15" x14ac:dyDescent="0.2">
      <c r="A801" s="297" t="s">
        <v>1368</v>
      </c>
      <c r="C801" s="339" t="str">
        <f>IF(Forside!$D$12="Dansk",Tekstnøgler!E801,Tekstnøgler!G801)</f>
        <v>HFC-125 (C₂HF₅)</v>
      </c>
      <c r="E801" t="s">
        <v>2131</v>
      </c>
      <c r="G801" t="s">
        <v>2131</v>
      </c>
    </row>
    <row r="802" spans="1:7" ht="15" x14ac:dyDescent="0.2">
      <c r="A802" s="297" t="s">
        <v>1369</v>
      </c>
      <c r="C802" s="339" t="str">
        <f>IF(Forside!$D$12="Dansk",Tekstnøgler!E802,Tekstnøgler!G802)</f>
        <v>Transporttype</v>
      </c>
      <c r="E802" t="s">
        <v>2132</v>
      </c>
      <c r="G802" t="s">
        <v>2133</v>
      </c>
    </row>
    <row r="803" spans="1:7" ht="15" x14ac:dyDescent="0.2">
      <c r="A803" s="297" t="s">
        <v>1370</v>
      </c>
      <c r="C803" s="339" t="str">
        <f>IF(Forside!$D$12="Dansk",Tekstnøgler!E803,Tekstnøgler!G803)</f>
        <v>Brændselstype</v>
      </c>
      <c r="E803" t="s">
        <v>2134</v>
      </c>
      <c r="G803" t="s">
        <v>2135</v>
      </c>
    </row>
    <row r="804" spans="1:7" ht="15" x14ac:dyDescent="0.2">
      <c r="A804" s="297" t="s">
        <v>1371</v>
      </c>
      <c r="C804" s="339" t="str">
        <f>IF(Forside!$D$12="Dansk",Tekstnøgler!E804,Tekstnøgler!G804)</f>
        <v xml:space="preserve"> Bly, zink og tin (nyt)</v>
      </c>
      <c r="E804" t="s">
        <v>2136</v>
      </c>
      <c r="G804" t="s">
        <v>2137</v>
      </c>
    </row>
    <row r="805" spans="1:7" ht="15" x14ac:dyDescent="0.2">
      <c r="A805" s="297" t="s">
        <v>1372</v>
      </c>
      <c r="C805" s="339" t="str">
        <f>IF(Forside!$D$12="Dansk",Tekstnøgler!E805,Tekstnøgler!G805)</f>
        <v>Vandforbrug</v>
      </c>
      <c r="E805" t="s">
        <v>88</v>
      </c>
      <c r="G805" t="s">
        <v>609</v>
      </c>
    </row>
    <row r="806" spans="1:7" ht="15" x14ac:dyDescent="0.2">
      <c r="A806" s="297" t="s">
        <v>1373</v>
      </c>
      <c r="C806" s="339" t="str">
        <f>IF(Forside!$D$12="Dansk",Tekstnøgler!E806,Tekstnøgler!G806)</f>
        <v>USD</v>
      </c>
      <c r="E806" t="s">
        <v>2138</v>
      </c>
      <c r="G806" t="s">
        <v>2138</v>
      </c>
    </row>
    <row r="807" spans="1:7" ht="15" x14ac:dyDescent="0.2">
      <c r="A807" s="297" t="s">
        <v>1374</v>
      </c>
      <c r="C807" s="339" t="str">
        <f>IF(Forside!$D$12="Dansk",Tekstnøgler!E807,Tekstnøgler!G807)</f>
        <v>Personbiler (Benzin)</v>
      </c>
      <c r="E807" t="s">
        <v>2139</v>
      </c>
      <c r="G807" t="s">
        <v>2140</v>
      </c>
    </row>
    <row r="808" spans="1:7" ht="15" x14ac:dyDescent="0.2">
      <c r="A808" s="297" t="s">
        <v>1375</v>
      </c>
      <c r="C808" s="339" t="str">
        <f>IF(Forside!$D$12="Dansk",Tekstnøgler!E808,Tekstnøgler!G808)</f>
        <v>HFC-43-10mee (C₅H₂F₁₀)</v>
      </c>
      <c r="E808" t="s">
        <v>2141</v>
      </c>
      <c r="G808" t="s">
        <v>2141</v>
      </c>
    </row>
    <row r="809" spans="1:7" ht="15" x14ac:dyDescent="0.2">
      <c r="A809" s="297" t="s">
        <v>1376</v>
      </c>
      <c r="C809" s="339" t="str">
        <f>IF(Forside!$D$12="Dansk",Tekstnøgler!E809,Tekstnøgler!G809)</f>
        <v>Fly + RFI</v>
      </c>
      <c r="E809" t="s">
        <v>2142</v>
      </c>
      <c r="G809" t="s">
        <v>2143</v>
      </c>
    </row>
    <row r="810" spans="1:7" ht="15" x14ac:dyDescent="0.2">
      <c r="A810" s="297" t="s">
        <v>1377</v>
      </c>
      <c r="C810" s="339" t="str">
        <f>IF(Forside!$D$12="Dansk",Tekstnøgler!E810,Tekstnøgler!G810)</f>
        <v>Antal</v>
      </c>
      <c r="E810" t="s">
        <v>2043</v>
      </c>
      <c r="G810" t="s">
        <v>2044</v>
      </c>
    </row>
    <row r="811" spans="1:7" ht="15" x14ac:dyDescent="0.2">
      <c r="A811" s="297" t="s">
        <v>1378</v>
      </c>
      <c r="C811" s="339" t="str">
        <f>IF(Forside!$D$12="Dansk",Tekstnøgler!E811,Tekstnøgler!G811)</f>
        <v>Fjernvarme (DK)</v>
      </c>
      <c r="E811" t="s">
        <v>2144</v>
      </c>
      <c r="G811" t="s">
        <v>2145</v>
      </c>
    </row>
    <row r="812" spans="1:7" ht="15" x14ac:dyDescent="0.2">
      <c r="A812" s="297" t="s">
        <v>1379</v>
      </c>
      <c r="C812" s="339" t="str">
        <f>IF(Forside!$D$12="Dansk",Tekstnøgler!E812,Tekstnøgler!G812)</f>
        <v>Mejeri produkter</v>
      </c>
      <c r="E812" t="s">
        <v>2146</v>
      </c>
      <c r="G812" t="s">
        <v>2147</v>
      </c>
    </row>
    <row r="813" spans="1:7" ht="15" x14ac:dyDescent="0.2">
      <c r="A813" s="297" t="s">
        <v>1380</v>
      </c>
      <c r="C813" s="339" t="str">
        <f>IF(Forside!$D$12="Dansk",Tekstnøgler!E813,Tekstnøgler!G813)</f>
        <v>PMMA</v>
      </c>
      <c r="E813" t="s">
        <v>2148</v>
      </c>
      <c r="G813" t="s">
        <v>2148</v>
      </c>
    </row>
    <row r="814" spans="1:7" ht="15" x14ac:dyDescent="0.2">
      <c r="A814" s="297" t="s">
        <v>1381</v>
      </c>
      <c r="C814" s="339" t="str">
        <f>IF(Forside!$D$12="Dansk",Tekstnøgler!E814,Tekstnøgler!G814)</f>
        <v>HDPE</v>
      </c>
      <c r="E814" t="s">
        <v>2149</v>
      </c>
      <c r="G814" t="s">
        <v>2149</v>
      </c>
    </row>
    <row r="815" spans="1:7" ht="15" x14ac:dyDescent="0.2">
      <c r="A815" s="297" t="s">
        <v>1382</v>
      </c>
      <c r="C815" s="339" t="str">
        <f>IF(Forside!$D$12="Dansk",Tekstnøgler!E815,Tekstnøgler!G815)</f>
        <v>PFC-14 (CF₄)</v>
      </c>
      <c r="E815" t="s">
        <v>2150</v>
      </c>
      <c r="G815" t="s">
        <v>2150</v>
      </c>
    </row>
    <row r="816" spans="1:7" ht="15" x14ac:dyDescent="0.2">
      <c r="A816" s="297" t="s">
        <v>1383</v>
      </c>
      <c r="C816" s="339" t="str">
        <f>IF(Forside!$D$12="Dansk",Tekstnøgler!E816,Tekstnøgler!G816)</f>
        <v>NF₃</v>
      </c>
      <c r="E816" t="s">
        <v>2151</v>
      </c>
      <c r="G816" t="s">
        <v>2151</v>
      </c>
    </row>
    <row r="817" spans="1:7" ht="15" x14ac:dyDescent="0.2">
      <c r="A817" s="297" t="s">
        <v>1384</v>
      </c>
      <c r="C817" s="339" t="str">
        <f>IF(Forside!$D$12="Dansk",Tekstnøgler!E817,Tekstnøgler!G817)</f>
        <v>Fly - internationalt + RFI</v>
      </c>
      <c r="E817" t="s">
        <v>2152</v>
      </c>
      <c r="G817" t="s">
        <v>2153</v>
      </c>
    </row>
    <row r="818" spans="1:7" ht="15" x14ac:dyDescent="0.2">
      <c r="A818" s="297" t="s">
        <v>1385</v>
      </c>
      <c r="C818" s="339" t="str">
        <f>IF(Forside!$D$12="Dansk",Tekstnøgler!E818,Tekstnøgler!G818)</f>
        <v>Elektricitet (DK) - korrigeret</v>
      </c>
      <c r="E818" t="s">
        <v>2154</v>
      </c>
      <c r="G818" t="s">
        <v>2155</v>
      </c>
    </row>
    <row r="819" spans="1:7" ht="15" x14ac:dyDescent="0.2">
      <c r="A819" s="297" t="s">
        <v>1386</v>
      </c>
      <c r="C819" s="339" t="str">
        <f>IF(Forside!$D$12="Dansk",Tekstnøgler!E819,Tekstnøgler!G819)</f>
        <v>Plast, færdigvarer</v>
      </c>
      <c r="E819" t="s">
        <v>2156</v>
      </c>
      <c r="G819" t="s">
        <v>2157</v>
      </c>
    </row>
    <row r="820" spans="1:7" ht="15" x14ac:dyDescent="0.2">
      <c r="A820" s="297" t="s">
        <v>1387</v>
      </c>
      <c r="C820" s="339" t="str">
        <f>IF(Forside!$D$12="Dansk",Tekstnøgler!E820,Tekstnøgler!G820)</f>
        <v>EURO</v>
      </c>
      <c r="E820" t="s">
        <v>2158</v>
      </c>
      <c r="G820" t="s">
        <v>2158</v>
      </c>
    </row>
    <row r="821" spans="1:7" ht="15" x14ac:dyDescent="0.2">
      <c r="A821" s="297" t="s">
        <v>1388</v>
      </c>
      <c r="C821" s="339" t="str">
        <f>IF(Forside!$D$12="Dansk",Tekstnøgler!E821,Tekstnøgler!G821)</f>
        <v>Rådgivning, revisor, advokat, vikar, markedsføring og andre forretningsaktiviteter</v>
      </c>
      <c r="E821" t="s">
        <v>2159</v>
      </c>
      <c r="G821" t="s">
        <v>2160</v>
      </c>
    </row>
    <row r="822" spans="1:7" ht="15" x14ac:dyDescent="0.2">
      <c r="A822" s="297" t="s">
        <v>1389</v>
      </c>
      <c r="C822" s="339" t="str">
        <f>IF(Forside!$D$12="Dansk",Tekstnøgler!E822,Tekstnøgler!G822)</f>
        <v>DKK</v>
      </c>
      <c r="E822" t="s">
        <v>2161</v>
      </c>
      <c r="G822" t="s">
        <v>2161</v>
      </c>
    </row>
    <row r="823" spans="1:7" ht="15" x14ac:dyDescent="0.2">
      <c r="A823" s="297" t="s">
        <v>1390</v>
      </c>
      <c r="C823" s="339" t="str">
        <f>IF(Forside!$D$12="Dansk",Tekstnøgler!E823,Tekstnøgler!G823)</f>
        <v>Forbrug af el fra nettet</v>
      </c>
      <c r="E823" t="s">
        <v>43</v>
      </c>
      <c r="G823" t="s">
        <v>2162</v>
      </c>
    </row>
    <row r="824" spans="1:7" ht="15" x14ac:dyDescent="0.2">
      <c r="A824" s="297" t="s">
        <v>1391</v>
      </c>
      <c r="C824" s="339" t="str">
        <f>IF(Forside!$D$12="Dansk",Tekstnøgler!E824,Tekstnøgler!G824)</f>
        <v>Stål og jern (genanvendt)</v>
      </c>
      <c r="E824" t="s">
        <v>2163</v>
      </c>
      <c r="G824" t="s">
        <v>2164</v>
      </c>
    </row>
    <row r="825" spans="1:7" ht="15" x14ac:dyDescent="0.2">
      <c r="A825" s="297" t="s">
        <v>1392</v>
      </c>
      <c r="C825" s="339" t="str">
        <f>IF(Forside!$D$12="Dansk",Tekstnøgler!E825,Tekstnøgler!G825)</f>
        <v>Lager og opbevaring</v>
      </c>
      <c r="E825" t="s">
        <v>2165</v>
      </c>
      <c r="G825" t="s">
        <v>2166</v>
      </c>
    </row>
    <row r="826" spans="1:7" ht="15" x14ac:dyDescent="0.2">
      <c r="A826" s="297" t="s">
        <v>1393</v>
      </c>
      <c r="C826" s="339" t="str">
        <f>IF(Forside!$D$12="Dansk",Tekstnøgler!E826,Tekstnøgler!G826)</f>
        <v>Ubundne materialer (sand, sten, grus mm.)</v>
      </c>
      <c r="E826" t="s">
        <v>2167</v>
      </c>
      <c r="G826" t="s">
        <v>2168</v>
      </c>
    </row>
    <row r="827" spans="1:7" ht="15" x14ac:dyDescent="0.2">
      <c r="A827" s="297" t="s">
        <v>1394</v>
      </c>
      <c r="C827" s="339" t="str">
        <f>IF(Forside!$D$12="Dansk",Tekstnøgler!E827,Tekstnøgler!G827)</f>
        <v>Tog</v>
      </c>
      <c r="E827" t="s">
        <v>79</v>
      </c>
      <c r="G827" t="s">
        <v>2169</v>
      </c>
    </row>
    <row r="828" spans="1:7" ht="15" x14ac:dyDescent="0.2">
      <c r="A828" s="297" t="s">
        <v>1395</v>
      </c>
      <c r="C828" s="339" t="str">
        <f>IF(Forside!$D$12="Dansk",Tekstnøgler!E828,Tekstnøgler!G828)</f>
        <v>primær</v>
      </c>
      <c r="E828" t="s">
        <v>2170</v>
      </c>
      <c r="G828" t="s">
        <v>2171</v>
      </c>
    </row>
    <row r="829" spans="1:7" ht="15" x14ac:dyDescent="0.2">
      <c r="A829" s="297" t="s">
        <v>1396</v>
      </c>
      <c r="C829" s="339" t="str">
        <f>IF(Forside!$D$12="Dansk",Tekstnøgler!E829,Tekstnøgler!G829)</f>
        <v>Halm</v>
      </c>
      <c r="E829" t="s">
        <v>2172</v>
      </c>
      <c r="G829" t="s">
        <v>2173</v>
      </c>
    </row>
    <row r="830" spans="1:7" ht="15" x14ac:dyDescent="0.2">
      <c r="A830" s="297" t="s">
        <v>1397</v>
      </c>
      <c r="C830" s="339" t="str">
        <f>IF(Forside!$D$12="Dansk",Tekstnøgler!E830,Tekstnøgler!G830)</f>
        <v>HFC-152a (C₂H₄F₂)</v>
      </c>
      <c r="E830" t="s">
        <v>2174</v>
      </c>
      <c r="G830" t="s">
        <v>2174</v>
      </c>
    </row>
    <row r="831" spans="1:7" ht="15" x14ac:dyDescent="0.2">
      <c r="A831" s="297" t="s">
        <v>1398</v>
      </c>
      <c r="C831" s="339" t="str">
        <f>IF(Forside!$D$12="Dansk",Tekstnøgler!E831,Tekstnøgler!G831)</f>
        <v>Lastbiler (LPG)</v>
      </c>
      <c r="E831" t="s">
        <v>2175</v>
      </c>
      <c r="G831" t="s">
        <v>2176</v>
      </c>
    </row>
    <row r="832" spans="1:7" ht="15" x14ac:dyDescent="0.2">
      <c r="A832" s="297" t="s">
        <v>1399</v>
      </c>
      <c r="C832" s="339" t="str">
        <f>IF(Forside!$D$12="Dansk",Tekstnøgler!E832,Tekstnøgler!G832)</f>
        <v>Affaldstype</v>
      </c>
      <c r="E832" t="s">
        <v>2177</v>
      </c>
      <c r="G832" t="s">
        <v>2178</v>
      </c>
    </row>
    <row r="833" spans="1:7" ht="15" x14ac:dyDescent="0.2">
      <c r="A833" s="297" t="s">
        <v>1400</v>
      </c>
      <c r="C833" s="339" t="str">
        <f>IF(Forside!$D$12="Dansk",Tekstnøgler!E833,Tekstnøgler!G833)</f>
        <v>Forbrug af vedvarende el fra egen produktion</v>
      </c>
      <c r="E833" t="s">
        <v>44</v>
      </c>
      <c r="G833" t="s">
        <v>2179</v>
      </c>
    </row>
    <row r="834" spans="1:7" ht="15" x14ac:dyDescent="0.2">
      <c r="A834" s="297" t="s">
        <v>1401</v>
      </c>
      <c r="C834" s="339" t="str">
        <f>IF(Forside!$D$12="Dansk",Tekstnøgler!E834,Tekstnøgler!G834)</f>
        <v>Asfalt</v>
      </c>
      <c r="E834" t="s">
        <v>2180</v>
      </c>
      <c r="G834" t="s">
        <v>2181</v>
      </c>
    </row>
    <row r="835" spans="1:7" ht="15" x14ac:dyDescent="0.2">
      <c r="A835" s="297" t="s">
        <v>1402</v>
      </c>
      <c r="C835" s="339" t="str">
        <f>IF(Forside!$D$12="Dansk",Tekstnøgler!E835,Tekstnøgler!G835)</f>
        <v>Elektricitet</v>
      </c>
      <c r="E835" t="s">
        <v>41</v>
      </c>
      <c r="G835" t="s">
        <v>397</v>
      </c>
    </row>
    <row r="836" spans="1:7" ht="15" x14ac:dyDescent="0.2">
      <c r="A836" s="297" t="s">
        <v>1403</v>
      </c>
      <c r="C836" s="339" t="str">
        <f>IF(Forside!$D$12="Dansk",Tekstnøgler!E836,Tekstnøgler!G836)</f>
        <v>Øvrige</v>
      </c>
      <c r="E836" t="s">
        <v>2182</v>
      </c>
      <c r="G836" t="s">
        <v>2183</v>
      </c>
    </row>
    <row r="837" spans="1:7" ht="15" x14ac:dyDescent="0.2">
      <c r="A837" s="297" t="s">
        <v>1208</v>
      </c>
      <c r="C837" s="339" t="str">
        <f>IF(Forside!$D$12="Dansk",Tekstnøgler!E837,Tekstnøgler!G837)</f>
        <v>MWh</v>
      </c>
      <c r="E837" t="s">
        <v>45</v>
      </c>
      <c r="G837" t="s">
        <v>45</v>
      </c>
    </row>
    <row r="838" spans="1:7" ht="15" x14ac:dyDescent="0.2">
      <c r="A838" s="297" t="s">
        <v>968</v>
      </c>
      <c r="C838" s="339" t="str">
        <f>IF(Forside!$D$12="Dansk",Tekstnøgler!E838,Tekstnøgler!G838)</f>
        <v>Transportmiddel</v>
      </c>
      <c r="E838" t="s">
        <v>67</v>
      </c>
      <c r="G838" t="s">
        <v>969</v>
      </c>
    </row>
    <row r="839" spans="1:7" ht="15" x14ac:dyDescent="0.2">
      <c r="A839" s="297" t="s">
        <v>1404</v>
      </c>
      <c r="C839" s="339" t="str">
        <f>IF(Forside!$D$12="Dansk",Tekstnøgler!E839,Tekstnøgler!G839)</f>
        <v>Nylon (PA6)</v>
      </c>
      <c r="E839" t="s">
        <v>2048</v>
      </c>
      <c r="G839" t="s">
        <v>2048</v>
      </c>
    </row>
    <row r="840" spans="1:7" ht="15" x14ac:dyDescent="0.2">
      <c r="A840" s="297" t="s">
        <v>1405</v>
      </c>
      <c r="C840" s="339" t="str">
        <f>IF(Forside!$D$12="Dansk",Tekstnøgler!E840,Tekstnøgler!G840)</f>
        <v>Personbiler (Hybrid, Ikke opladning)</v>
      </c>
      <c r="E840" t="s">
        <v>2029</v>
      </c>
      <c r="G840" t="s">
        <v>2030</v>
      </c>
    </row>
    <row r="841" spans="1:7" ht="15" x14ac:dyDescent="0.2">
      <c r="A841" s="297" t="s">
        <v>1406</v>
      </c>
      <c r="C841" s="339" t="str">
        <f>IF(Forside!$D$12="Dansk",Tekstnøgler!E841,Tekstnøgler!G841)</f>
        <v>Papir og pap (genanvendt)</v>
      </c>
      <c r="E841" t="s">
        <v>2184</v>
      </c>
      <c r="G841" t="s">
        <v>2185</v>
      </c>
    </row>
    <row r="842" spans="1:7" ht="15" x14ac:dyDescent="0.2">
      <c r="A842" s="297" t="s">
        <v>1407</v>
      </c>
      <c r="C842" s="339" t="str">
        <f>IF(Forside!$D$12="Dansk",Tekstnøgler!E842,Tekstnøgler!G842)</f>
        <v>PET</v>
      </c>
      <c r="E842" t="s">
        <v>2186</v>
      </c>
      <c r="G842" t="s">
        <v>2186</v>
      </c>
    </row>
    <row r="843" spans="1:7" ht="15" x14ac:dyDescent="0.2">
      <c r="A843" s="297" t="s">
        <v>1408</v>
      </c>
      <c r="C843" s="339" t="str">
        <f>IF(Forside!$D$12="Dansk",Tekstnøgler!E843,Tekstnøgler!G843)</f>
        <v>Specifikke produkter</v>
      </c>
      <c r="E843" t="s">
        <v>62</v>
      </c>
      <c r="G843" t="s">
        <v>2187</v>
      </c>
    </row>
    <row r="844" spans="1:7" ht="15" x14ac:dyDescent="0.2">
      <c r="A844" s="297" t="s">
        <v>1409</v>
      </c>
      <c r="C844" s="339" t="str">
        <f>IF(Forside!$D$12="Dansk",Tekstnøgler!E844,Tekstnøgler!G844)</f>
        <v>Sand og ler</v>
      </c>
      <c r="E844" t="s">
        <v>2188</v>
      </c>
      <c r="G844" t="s">
        <v>2189</v>
      </c>
    </row>
    <row r="845" spans="1:7" ht="15" x14ac:dyDescent="0.2">
      <c r="A845" s="297" t="s">
        <v>1410</v>
      </c>
      <c r="C845" s="339" t="str">
        <f>IF(Forside!$D$12="Dansk",Tekstnøgler!E845,Tekstnøgler!G845)</f>
        <v>Tekstil, færdig stof</v>
      </c>
      <c r="E845" t="s">
        <v>2190</v>
      </c>
      <c r="G845" t="s">
        <v>2191</v>
      </c>
    </row>
    <row r="846" spans="1:7" ht="15" x14ac:dyDescent="0.2">
      <c r="A846" s="297" t="s">
        <v>1411</v>
      </c>
      <c r="C846" s="339" t="str">
        <f>IF(Forside!$D$12="Dansk",Tekstnøgler!E846,Tekstnøgler!G846)</f>
        <v>Ikke-jernholdige metaller (genanvendt)</v>
      </c>
      <c r="E846" t="s">
        <v>2192</v>
      </c>
      <c r="G846" t="s">
        <v>2193</v>
      </c>
    </row>
    <row r="847" spans="1:7" ht="15" x14ac:dyDescent="0.2">
      <c r="A847" s="297" t="s">
        <v>1412</v>
      </c>
      <c r="C847" s="339" t="str">
        <f>IF(Forside!$D$12="Dansk",Tekstnøgler!E847,Tekstnøgler!G847)</f>
        <v>Ledningsgas</v>
      </c>
      <c r="E847" t="s">
        <v>2194</v>
      </c>
      <c r="G847" t="s">
        <v>2195</v>
      </c>
    </row>
    <row r="848" spans="1:7" ht="15" x14ac:dyDescent="0.2">
      <c r="A848" s="297" t="s">
        <v>1413</v>
      </c>
      <c r="C848" s="339" t="str">
        <f>IF(Forside!$D$12="Dansk",Tekstnøgler!E848,Tekstnøgler!G848)</f>
        <v>Fødevarer, organisk</v>
      </c>
      <c r="E848" t="s">
        <v>2196</v>
      </c>
      <c r="G848" t="s">
        <v>2197</v>
      </c>
    </row>
    <row r="849" spans="1:7" ht="15" x14ac:dyDescent="0.2">
      <c r="A849" s="297" t="s">
        <v>1414</v>
      </c>
      <c r="C849" s="339" t="str">
        <f>IF(Forside!$D$12="Dansk",Tekstnøgler!E849,Tekstnøgler!G849)</f>
        <v>Blomster og planter</v>
      </c>
      <c r="E849" t="s">
        <v>2198</v>
      </c>
      <c r="G849" t="s">
        <v>2199</v>
      </c>
    </row>
    <row r="850" spans="1:7" ht="15" x14ac:dyDescent="0.2">
      <c r="A850" s="297" t="s">
        <v>1415</v>
      </c>
      <c r="C850" s="339" t="str">
        <f>IF(Forside!$D$12="Dansk",Tekstnøgler!E850,Tekstnøgler!G850)</f>
        <v>Varebiler (Diesel)</v>
      </c>
      <c r="E850" t="s">
        <v>2200</v>
      </c>
      <c r="G850" t="s">
        <v>2201</v>
      </c>
    </row>
    <row r="851" spans="1:7" ht="15" x14ac:dyDescent="0.2">
      <c r="A851" s="297" t="s">
        <v>1416</v>
      </c>
      <c r="C851" s="339" t="str">
        <f>IF(Forside!$D$12="Dansk",Tekstnøgler!E851,Tekstnøgler!G851)</f>
        <v>Fuelolie</v>
      </c>
      <c r="E851" t="s">
        <v>2202</v>
      </c>
      <c r="G851" t="s">
        <v>2203</v>
      </c>
    </row>
    <row r="852" spans="1:7" ht="15" x14ac:dyDescent="0.2">
      <c r="A852" s="297" t="s">
        <v>1417</v>
      </c>
      <c r="C852" s="339" t="str">
        <f>IF(Forside!$D$12="Dansk",Tekstnøgler!E852,Tekstnøgler!G852)</f>
        <v>Personbiler (El)</v>
      </c>
      <c r="E852" t="s">
        <v>2204</v>
      </c>
      <c r="G852" t="s">
        <v>2205</v>
      </c>
    </row>
    <row r="853" spans="1:7" ht="15" x14ac:dyDescent="0.2">
      <c r="A853" s="297" t="s">
        <v>1418</v>
      </c>
      <c r="C853" s="339" t="str">
        <f>IF(Forside!$D$12="Dansk",Tekstnøgler!E853,Tekstnøgler!G853)</f>
        <v>Afstand</v>
      </c>
      <c r="E853" t="s">
        <v>2206</v>
      </c>
      <c r="G853" t="s">
        <v>2207</v>
      </c>
    </row>
    <row r="854" spans="1:7" ht="15" x14ac:dyDescent="0.2">
      <c r="A854" s="297" t="s">
        <v>1419</v>
      </c>
      <c r="C854" s="339" t="str">
        <f>IF(Forside!$D$12="Dansk",Tekstnøgler!E854,Tekstnøgler!G854)</f>
        <v>IT-udstyr</v>
      </c>
      <c r="E854" t="s">
        <v>2208</v>
      </c>
      <c r="G854" t="s">
        <v>2209</v>
      </c>
    </row>
    <row r="855" spans="1:7" ht="15" x14ac:dyDescent="0.2">
      <c r="A855" s="297" t="s">
        <v>1420</v>
      </c>
      <c r="C855" s="339" t="str">
        <f>IF(Forside!$D$12="Dansk",Tekstnøgler!E855,Tekstnøgler!G855)</f>
        <v>Beton ≤ 30 Mpa, almindeligt</v>
      </c>
      <c r="E855" t="s">
        <v>2210</v>
      </c>
      <c r="G855" t="s">
        <v>2211</v>
      </c>
    </row>
    <row r="856" spans="1:7" ht="15" x14ac:dyDescent="0.2">
      <c r="A856" s="297" t="s">
        <v>1421</v>
      </c>
      <c r="C856" s="339" t="str">
        <f>IF(Forside!$D$12="Dansk",Tekstnøgler!E856,Tekstnøgler!G856)</f>
        <v>Plast: Nylon, PC (nyt)</v>
      </c>
      <c r="E856" t="s">
        <v>2212</v>
      </c>
      <c r="G856" t="s">
        <v>2213</v>
      </c>
    </row>
    <row r="857" spans="1:7" ht="15" x14ac:dyDescent="0.2">
      <c r="A857" s="297" t="s">
        <v>1422</v>
      </c>
      <c r="C857" s="339" t="str">
        <f>IF(Forside!$D$12="Dansk",Tekstnøgler!E857,Tekstnøgler!G857)</f>
        <v>HDPE, nyt</v>
      </c>
      <c r="E857" t="s">
        <v>2214</v>
      </c>
      <c r="G857" t="s">
        <v>2215</v>
      </c>
    </row>
    <row r="858" spans="1:7" ht="15" x14ac:dyDescent="0.2">
      <c r="A858" s="297" t="s">
        <v>1423</v>
      </c>
      <c r="C858" s="339" t="str">
        <f>IF(Forside!$D$12="Dansk",Tekstnøgler!E858,Tekstnøgler!G858)</f>
        <v>HFC-41 (CH₃F)</v>
      </c>
      <c r="E858" t="s">
        <v>2216</v>
      </c>
      <c r="G858" t="s">
        <v>2216</v>
      </c>
    </row>
    <row r="859" spans="1:7" ht="15" x14ac:dyDescent="0.2">
      <c r="A859" s="297" t="s">
        <v>1424</v>
      </c>
      <c r="C859" s="339" t="str">
        <f>IF(Forside!$D$12="Dansk",Tekstnøgler!E859,Tekstnøgler!G859)</f>
        <v>HFC-32 (CH₂F₂)</v>
      </c>
      <c r="E859" t="s">
        <v>2217</v>
      </c>
      <c r="G859" t="s">
        <v>2217</v>
      </c>
    </row>
    <row r="860" spans="1:7" ht="15" x14ac:dyDescent="0.2">
      <c r="A860" s="297" t="s">
        <v>1425</v>
      </c>
      <c r="C860" s="339" t="str">
        <f>IF(Forside!$D$12="Dansk",Tekstnøgler!E860,Tekstnøgler!G860)</f>
        <v>Øvrige</v>
      </c>
      <c r="E860" t="s">
        <v>2182</v>
      </c>
      <c r="G860" t="s">
        <v>2183</v>
      </c>
    </row>
    <row r="861" spans="1:7" ht="15" x14ac:dyDescent="0.2">
      <c r="A861" s="297" t="s">
        <v>1426</v>
      </c>
      <c r="C861" s="339" t="str">
        <f>IF(Forside!$D$12="Dansk",Tekstnøgler!E861,Tekstnøgler!G861)</f>
        <v>Stål</v>
      </c>
      <c r="E861" t="s">
        <v>2218</v>
      </c>
      <c r="G861" t="s">
        <v>2219</v>
      </c>
    </row>
    <row r="862" spans="1:7" ht="15" x14ac:dyDescent="0.2">
      <c r="A862" s="297" t="s">
        <v>1427</v>
      </c>
      <c r="C862" s="339" t="str">
        <f>IF(Forside!$D$12="Dansk",Tekstnøgler!E862,Tekstnøgler!G862)</f>
        <v>LLDPE</v>
      </c>
      <c r="E862" t="s">
        <v>2220</v>
      </c>
      <c r="G862" t="s">
        <v>2220</v>
      </c>
    </row>
    <row r="863" spans="1:7" ht="15" x14ac:dyDescent="0.2">
      <c r="A863" s="297" t="s">
        <v>1428</v>
      </c>
      <c r="C863" s="339" t="str">
        <f>IF(Forside!$D$12="Dansk",Tekstnøgler!E863,Tekstnøgler!G863)</f>
        <v>Lastbiler (LBG)</v>
      </c>
      <c r="E863" t="s">
        <v>2221</v>
      </c>
      <c r="G863" t="s">
        <v>2222</v>
      </c>
    </row>
    <row r="864" spans="1:7" ht="15" x14ac:dyDescent="0.2">
      <c r="A864" s="297" t="s">
        <v>1429</v>
      </c>
      <c r="C864" s="339" t="str">
        <f>IF(Forside!$D$12="Dansk",Tekstnøgler!E864,Tekstnøgler!G864)</f>
        <v>Andel af biogas</v>
      </c>
      <c r="E864" t="s">
        <v>2223</v>
      </c>
      <c r="G864" t="s">
        <v>2224</v>
      </c>
    </row>
    <row r="865" spans="1:7" ht="15" x14ac:dyDescent="0.2">
      <c r="A865" s="297" t="s">
        <v>1430</v>
      </c>
      <c r="C865" s="339" t="str">
        <f>IF(Forside!$D$12="Dansk",Tekstnøgler!E865,Tekstnøgler!G865)</f>
        <v>Andet affald</v>
      </c>
      <c r="E865" t="s">
        <v>2225</v>
      </c>
      <c r="G865" t="s">
        <v>2226</v>
      </c>
    </row>
    <row r="866" spans="1:7" ht="15" x14ac:dyDescent="0.2">
      <c r="A866" s="297" t="s">
        <v>1431</v>
      </c>
      <c r="C866" s="339" t="str">
        <f>IF(Forside!$D$12="Dansk",Tekstnøgler!E866,Tekstnøgler!G866)</f>
        <v>HFC-23 (CHF₃)</v>
      </c>
      <c r="E866" t="s">
        <v>2227</v>
      </c>
      <c r="G866" t="s">
        <v>2227</v>
      </c>
    </row>
    <row r="867" spans="1:7" ht="15" x14ac:dyDescent="0.2">
      <c r="A867" s="297" t="s">
        <v>1432</v>
      </c>
      <c r="C867" s="339" t="str">
        <f>IF(Forside!$D$12="Dansk",Tekstnøgler!E867,Tekstnøgler!G867)</f>
        <v>Biobrændstofsandel (%)</v>
      </c>
      <c r="E867" t="s">
        <v>71</v>
      </c>
      <c r="G867" t="s">
        <v>2228</v>
      </c>
    </row>
    <row r="868" spans="1:7" ht="15" x14ac:dyDescent="0.2">
      <c r="A868" s="297" t="s">
        <v>1433</v>
      </c>
      <c r="C868" s="339" t="str">
        <f>IF(Forside!$D$12="Dansk",Tekstnøgler!E868,Tekstnøgler!G868)</f>
        <v>Lastbiler (CNG)</v>
      </c>
      <c r="E868" t="s">
        <v>2229</v>
      </c>
      <c r="G868" t="s">
        <v>2230</v>
      </c>
    </row>
    <row r="869" spans="1:7" ht="15" x14ac:dyDescent="0.2">
      <c r="A869" s="297" t="s">
        <v>1434</v>
      </c>
      <c r="C869" s="339" t="str">
        <f>IF(Forside!$D$12="Dansk",Tekstnøgler!E869,Tekstnøgler!G869)</f>
        <v>Fyringsolie</v>
      </c>
      <c r="E869" t="s">
        <v>2231</v>
      </c>
      <c r="G869" t="s">
        <v>2232</v>
      </c>
    </row>
    <row r="870" spans="1:7" ht="15" x14ac:dyDescent="0.2">
      <c r="A870" s="297" t="s">
        <v>1435</v>
      </c>
      <c r="C870" s="339" t="str">
        <f>IF(Forside!$D$12="Dansk",Tekstnøgler!E870,Tekstnøgler!G870)</f>
        <v>MToe</v>
      </c>
      <c r="E870" t="s">
        <v>2233</v>
      </c>
      <c r="G870" t="s">
        <v>2233</v>
      </c>
    </row>
    <row r="871" spans="1:7" ht="15" x14ac:dyDescent="0.2">
      <c r="A871" s="297" t="s">
        <v>1436</v>
      </c>
      <c r="C871" s="339" t="str">
        <f>IF(Forside!$D$12="Dansk",Tekstnøgler!E871,Tekstnøgler!G871)</f>
        <v>Tekstil</v>
      </c>
      <c r="E871" t="s">
        <v>2234</v>
      </c>
      <c r="G871" t="s">
        <v>2235</v>
      </c>
    </row>
    <row r="872" spans="1:7" ht="15" x14ac:dyDescent="0.2">
      <c r="A872" s="297" t="s">
        <v>1437</v>
      </c>
      <c r="C872" s="339" t="str">
        <f>IF(Forside!$D$12="Dansk",Tekstnøgler!E872,Tekstnøgler!G872)</f>
        <v>Træflis</v>
      </c>
      <c r="E872" t="s">
        <v>2236</v>
      </c>
      <c r="G872" t="s">
        <v>2237</v>
      </c>
    </row>
    <row r="873" spans="1:7" ht="15" x14ac:dyDescent="0.2">
      <c r="A873" s="297" t="s">
        <v>1438</v>
      </c>
      <c r="C873" s="339" t="str">
        <f>IF(Forside!$D$12="Dansk",Tekstnøgler!E873,Tekstnøgler!G873)</f>
        <v>Galvaniseret stål</v>
      </c>
      <c r="E873" t="s">
        <v>2238</v>
      </c>
      <c r="G873" t="s">
        <v>2239</v>
      </c>
    </row>
    <row r="874" spans="1:7" ht="15" x14ac:dyDescent="0.2">
      <c r="A874" s="297" t="s">
        <v>1439</v>
      </c>
      <c r="C874" s="339" t="str">
        <f>IF(Forside!$D$12="Dansk",Tekstnøgler!E874,Tekstnøgler!G874)</f>
        <v>Renseri</v>
      </c>
      <c r="E874" t="s">
        <v>2240</v>
      </c>
      <c r="G874" t="s">
        <v>2241</v>
      </c>
    </row>
    <row r="875" spans="1:7" ht="15" x14ac:dyDescent="0.2">
      <c r="A875" s="297" t="s">
        <v>1440</v>
      </c>
      <c r="C875" s="339" t="str">
        <f>IF(Forside!$D$12="Dansk",Tekstnøgler!E875,Tekstnøgler!G875)</f>
        <v>PFC-41-12 (C₅F₁₂)</v>
      </c>
      <c r="E875" t="s">
        <v>2242</v>
      </c>
      <c r="G875" t="s">
        <v>2242</v>
      </c>
    </row>
    <row r="876" spans="1:7" ht="15" x14ac:dyDescent="0.2">
      <c r="A876" s="297" t="s">
        <v>1441</v>
      </c>
      <c r="C876" s="339" t="str">
        <f>IF(Forside!$D$12="Dansk",Tekstnøgler!E876,Tekstnøgler!G876)</f>
        <v>Vandforbrug</v>
      </c>
      <c r="E876" t="s">
        <v>88</v>
      </c>
      <c r="G876" t="s">
        <v>609</v>
      </c>
    </row>
    <row r="877" spans="1:7" ht="15" x14ac:dyDescent="0.2">
      <c r="A877" s="297" t="s">
        <v>1442</v>
      </c>
      <c r="C877" s="339" t="str">
        <f>IF(Forside!$D$12="Dansk",Tekstnøgler!E877,Tekstnøgler!G877)</f>
        <v>Andet</v>
      </c>
      <c r="E877" t="s">
        <v>1143</v>
      </c>
      <c r="G877" t="s">
        <v>1144</v>
      </c>
    </row>
    <row r="878" spans="1:7" ht="15" x14ac:dyDescent="0.2">
      <c r="A878" s="297" t="s">
        <v>1443</v>
      </c>
      <c r="C878" s="339" t="str">
        <f>IF(Forside!$D$12="Dansk",Tekstnøgler!E878,Tekstnøgler!G878)</f>
        <v>Mineraluld</v>
      </c>
      <c r="E878" t="s">
        <v>2243</v>
      </c>
      <c r="G878" t="s">
        <v>2244</v>
      </c>
    </row>
    <row r="879" spans="1:7" ht="15" x14ac:dyDescent="0.2">
      <c r="A879" s="297" t="s">
        <v>1444</v>
      </c>
      <c r="C879" s="339" t="str">
        <f>IF(Forside!$D$12="Dansk",Tekstnøgler!E879,Tekstnøgler!G879)</f>
        <v>Fly (Flybenzin)</v>
      </c>
      <c r="E879" t="s">
        <v>2245</v>
      </c>
      <c r="G879" t="s">
        <v>2246</v>
      </c>
    </row>
    <row r="880" spans="1:7" ht="15" x14ac:dyDescent="0.2">
      <c r="A880" s="297" t="s">
        <v>1445</v>
      </c>
      <c r="C880" s="339" t="str">
        <f>IF(Forside!$D$12="Dansk",Tekstnøgler!E880,Tekstnøgler!G880)</f>
        <v>Plast (genanvendt)</v>
      </c>
      <c r="E880" t="s">
        <v>2247</v>
      </c>
      <c r="G880" t="s">
        <v>2248</v>
      </c>
    </row>
    <row r="881" spans="1:7" ht="15" x14ac:dyDescent="0.2">
      <c r="A881" s="297" t="s">
        <v>1446</v>
      </c>
      <c r="C881" s="339" t="str">
        <f>IF(Forside!$D$12="Dansk",Tekstnøgler!E881,Tekstnøgler!G881)</f>
        <v>Personbiler (Diesel)</v>
      </c>
      <c r="E881" t="s">
        <v>2249</v>
      </c>
      <c r="G881" t="s">
        <v>2250</v>
      </c>
    </row>
    <row r="882" spans="1:7" ht="15" x14ac:dyDescent="0.2">
      <c r="A882" s="297" t="s">
        <v>1447</v>
      </c>
      <c r="C882" s="339" t="str">
        <f>IF(Forside!$D$12="Dansk",Tekstnøgler!E882,Tekstnøgler!G882)</f>
        <v>Glas (genanvendt)</v>
      </c>
      <c r="E882" t="s">
        <v>2251</v>
      </c>
      <c r="G882" t="s">
        <v>2252</v>
      </c>
    </row>
    <row r="883" spans="1:7" ht="15" x14ac:dyDescent="0.2">
      <c r="A883" s="297" t="s">
        <v>1448</v>
      </c>
      <c r="C883" s="339" t="str">
        <f>IF(Forside!$D$12="Dansk",Tekstnøgler!E883,Tekstnøgler!G883)</f>
        <v>PP</v>
      </c>
      <c r="E883" t="s">
        <v>2253</v>
      </c>
      <c r="G883" t="s">
        <v>2253</v>
      </c>
    </row>
    <row r="884" spans="1:7" ht="15" x14ac:dyDescent="0.2">
      <c r="A884" s="297" t="s">
        <v>1449</v>
      </c>
      <c r="C884" s="339" t="str">
        <f>IF(Forside!$D$12="Dansk",Tekstnøgler!E884,Tekstnøgler!G884)</f>
        <v>Farligt affald</v>
      </c>
      <c r="E884" t="s">
        <v>2254</v>
      </c>
      <c r="G884" t="s">
        <v>2255</v>
      </c>
    </row>
    <row r="885" spans="1:7" ht="15" x14ac:dyDescent="0.2">
      <c r="A885" s="297" t="s">
        <v>1450</v>
      </c>
      <c r="C885" s="339" t="str">
        <f>IF(Forside!$D$12="Dansk",Tekstnøgler!E885,Tekstnøgler!G885)</f>
        <v>Nm3</v>
      </c>
      <c r="E885" t="s">
        <v>2256</v>
      </c>
      <c r="G885" t="s">
        <v>2256</v>
      </c>
    </row>
    <row r="886" spans="1:7" ht="15" x14ac:dyDescent="0.2">
      <c r="A886" s="297" t="s">
        <v>1451</v>
      </c>
      <c r="C886" s="339" t="str">
        <f>IF(Forside!$D$12="Dansk",Tekstnøgler!E886,Tekstnøgler!G886)</f>
        <v>Fødevarer</v>
      </c>
      <c r="E886" t="s">
        <v>61</v>
      </c>
      <c r="G886" t="s">
        <v>2257</v>
      </c>
    </row>
    <row r="887" spans="1:7" ht="15" x14ac:dyDescent="0.2">
      <c r="A887" s="297" t="s">
        <v>1452</v>
      </c>
      <c r="C887" s="339" t="str">
        <f>IF(Forside!$D$12="Dansk",Tekstnøgler!E887,Tekstnøgler!G887)</f>
        <v>Uspecificeret</v>
      </c>
      <c r="E887" t="s">
        <v>77</v>
      </c>
      <c r="G887" t="s">
        <v>2017</v>
      </c>
    </row>
    <row r="888" spans="1:7" ht="15" x14ac:dyDescent="0.2">
      <c r="A888" s="297" t="s">
        <v>1453</v>
      </c>
      <c r="C888" s="339" t="str">
        <f>IF(Forside!$D$12="Dansk",Tekstnøgler!E888,Tekstnøgler!G888)</f>
        <v>Person.km</v>
      </c>
      <c r="E888" t="s">
        <v>80</v>
      </c>
      <c r="G888" t="s">
        <v>80</v>
      </c>
    </row>
    <row r="889" spans="1:7" ht="15" x14ac:dyDescent="0.2">
      <c r="A889" s="297" t="s">
        <v>1454</v>
      </c>
      <c r="C889" s="339" t="str">
        <f>IF(Forside!$D$12="Dansk",Tekstnøgler!E889,Tekstnøgler!G889)</f>
        <v>PS</v>
      </c>
      <c r="E889" t="s">
        <v>2258</v>
      </c>
      <c r="G889" t="s">
        <v>2258</v>
      </c>
    </row>
    <row r="890" spans="1:7" ht="15" x14ac:dyDescent="0.2">
      <c r="A890" s="297" t="s">
        <v>1455</v>
      </c>
      <c r="C890" s="339" t="str">
        <f>IF(Forside!$D$12="Dansk",Tekstnøgler!E890,Tekstnøgler!G890)</f>
        <v>Naturgas (X% biogas)</v>
      </c>
      <c r="E890" t="s">
        <v>2259</v>
      </c>
      <c r="G890" t="s">
        <v>2260</v>
      </c>
    </row>
    <row r="891" spans="1:7" ht="15" x14ac:dyDescent="0.2">
      <c r="A891" s="297" t="s">
        <v>1456</v>
      </c>
      <c r="C891" s="339" t="str">
        <f>IF(Forside!$D$12="Dansk",Tekstnøgler!E891,Tekstnøgler!G891)</f>
        <v>Computer skærm</v>
      </c>
      <c r="E891" t="s">
        <v>2261</v>
      </c>
      <c r="G891" t="s">
        <v>2262</v>
      </c>
    </row>
    <row r="892" spans="1:7" ht="15" x14ac:dyDescent="0.2">
      <c r="A892" s="297" t="s">
        <v>1457</v>
      </c>
      <c r="C892" s="339" t="str">
        <f>IF(Forside!$D$12="Dansk",Tekstnøgler!E892,Tekstnøgler!G892)</f>
        <v>Vægt</v>
      </c>
      <c r="E892" t="s">
        <v>2263</v>
      </c>
      <c r="G892" t="s">
        <v>2264</v>
      </c>
    </row>
    <row r="893" spans="1:7" ht="15" x14ac:dyDescent="0.2">
      <c r="A893" s="297" t="s">
        <v>1458</v>
      </c>
      <c r="C893" s="339" t="str">
        <f>IF(Forside!$D$12="Dansk",Tekstnøgler!E893,Tekstnøgler!G893)</f>
        <v>Diesel</v>
      </c>
      <c r="E893" t="s">
        <v>2265</v>
      </c>
      <c r="G893" t="s">
        <v>2265</v>
      </c>
    </row>
    <row r="894" spans="1:7" ht="15" x14ac:dyDescent="0.2">
      <c r="A894" s="297" t="s">
        <v>1459</v>
      </c>
      <c r="C894" s="339" t="str">
        <f>IF(Forside!$D$12="Dansk",Tekstnøgler!E894,Tekstnøgler!G894)</f>
        <v>Træpiller</v>
      </c>
      <c r="E894" t="s">
        <v>2266</v>
      </c>
      <c r="G894" t="s">
        <v>2267</v>
      </c>
    </row>
    <row r="895" spans="1:7" ht="15" x14ac:dyDescent="0.2">
      <c r="A895" s="297" t="s">
        <v>1460</v>
      </c>
      <c r="C895" s="339" t="str">
        <f>IF(Forside!$D$12="Dansk",Tekstnøgler!E895,Tekstnøgler!G895)</f>
        <v>PP, nyt</v>
      </c>
      <c r="E895" t="s">
        <v>2268</v>
      </c>
      <c r="G895" t="s">
        <v>2269</v>
      </c>
    </row>
    <row r="896" spans="1:7" ht="15" x14ac:dyDescent="0.2">
      <c r="A896" s="297" t="s">
        <v>1461</v>
      </c>
      <c r="C896" s="339" t="str">
        <f>IF(Forside!$D$12="Dansk",Tekstnøgler!E896,Tekstnøgler!G896)</f>
        <v>Lastbiler (CBG)</v>
      </c>
      <c r="E896" t="s">
        <v>2270</v>
      </c>
      <c r="G896" t="s">
        <v>2271</v>
      </c>
    </row>
    <row r="897" spans="1:7" ht="15" x14ac:dyDescent="0.2">
      <c r="A897" s="297" t="s">
        <v>1462</v>
      </c>
      <c r="C897" s="339" t="str">
        <f>IF(Forside!$D$12="Dansk",Tekstnøgler!E897,Tekstnøgler!G897)</f>
        <v>Varebiler</v>
      </c>
      <c r="E897" t="s">
        <v>68</v>
      </c>
      <c r="G897" t="s">
        <v>2272</v>
      </c>
    </row>
    <row r="898" spans="1:7" ht="15" x14ac:dyDescent="0.2">
      <c r="A898" s="297" t="s">
        <v>1463</v>
      </c>
      <c r="C898" s="339" t="str">
        <f>IF(Forside!$D$12="Dansk",Tekstnøgler!E898,Tekstnøgler!G898)</f>
        <v>Tekstil og garn</v>
      </c>
      <c r="E898" t="s">
        <v>2273</v>
      </c>
      <c r="G898" t="s">
        <v>2274</v>
      </c>
    </row>
    <row r="899" spans="1:7" ht="15" x14ac:dyDescent="0.2">
      <c r="A899" s="297" t="s">
        <v>1464</v>
      </c>
      <c r="C899" s="339" t="str">
        <f>IF(Forside!$D$12="Dansk",Tekstnøgler!E899,Tekstnøgler!G899)</f>
        <v>Cement, kalk og gips</v>
      </c>
      <c r="E899" t="s">
        <v>2275</v>
      </c>
      <c r="G899" t="s">
        <v>2276</v>
      </c>
    </row>
    <row r="900" spans="1:7" ht="15" x14ac:dyDescent="0.2">
      <c r="A900" s="297" t="s">
        <v>1465</v>
      </c>
      <c r="C900" s="339" t="str">
        <f>IF(Forside!$D$12="Dansk",Tekstnøgler!E900,Tekstnøgler!G900)</f>
        <v>Materialeproduktgruppe</v>
      </c>
      <c r="E900" t="s">
        <v>2277</v>
      </c>
      <c r="G900" t="s">
        <v>2278</v>
      </c>
    </row>
    <row r="901" spans="1:7" ht="15" x14ac:dyDescent="0.2">
      <c r="A901" s="297" t="s">
        <v>1466</v>
      </c>
      <c r="C901" s="339" t="str">
        <f>IF(Forside!$D$12="Dansk",Tekstnøgler!E901,Tekstnøgler!G901)</f>
        <v>PVC</v>
      </c>
      <c r="E901" t="s">
        <v>2279</v>
      </c>
      <c r="G901" t="s">
        <v>2280</v>
      </c>
    </row>
    <row r="902" spans="1:7" ht="15" x14ac:dyDescent="0.2">
      <c r="A902" s="297" t="s">
        <v>1467</v>
      </c>
      <c r="C902" s="339" t="str">
        <f>IF(Forside!$D$12="Dansk",Tekstnøgler!E902,Tekstnøgler!G902)</f>
        <v>Flybenzin</v>
      </c>
      <c r="E902" t="s">
        <v>2281</v>
      </c>
      <c r="G902" t="s">
        <v>2282</v>
      </c>
    </row>
    <row r="903" spans="1:7" ht="15" x14ac:dyDescent="0.2">
      <c r="A903" s="297" t="s">
        <v>1468</v>
      </c>
      <c r="C903" s="339" t="str">
        <f>IF(Forside!$D$12="Dansk",Tekstnøgler!E903,Tekstnøgler!G903)</f>
        <v>PET, genanvendt</v>
      </c>
      <c r="E903" t="s">
        <v>2283</v>
      </c>
      <c r="G903" t="s">
        <v>2284</v>
      </c>
    </row>
    <row r="904" spans="1:7" ht="15" x14ac:dyDescent="0.2">
      <c r="A904" s="297" t="s">
        <v>1469</v>
      </c>
      <c r="C904" s="339" t="str">
        <f>IF(Forside!$D$12="Dansk",Tekstnøgler!E904,Tekstnøgler!G904)</f>
        <v>HFC-143a (C₂H₃F₃)</v>
      </c>
      <c r="E904" t="s">
        <v>2285</v>
      </c>
      <c r="G904" t="s">
        <v>2285</v>
      </c>
    </row>
    <row r="905" spans="1:7" ht="15" x14ac:dyDescent="0.2">
      <c r="A905" s="297" t="s">
        <v>1470</v>
      </c>
      <c r="C905" s="339" t="str">
        <f>IF(Forside!$D$12="Dansk",Tekstnøgler!E905,Tekstnøgler!G905)</f>
        <v>Polypropylene</v>
      </c>
      <c r="E905" t="s">
        <v>2286</v>
      </c>
      <c r="G905" t="s">
        <v>2286</v>
      </c>
    </row>
    <row r="906" spans="1:7" ht="15" x14ac:dyDescent="0.2">
      <c r="A906" s="297" t="s">
        <v>1471</v>
      </c>
      <c r="C906" s="339" t="str">
        <f>IF(Forside!$D$12="Dansk",Tekstnøgler!E906,Tekstnøgler!G906)</f>
        <v>Ton.km</v>
      </c>
      <c r="E906" t="s">
        <v>2287</v>
      </c>
      <c r="G906" t="s">
        <v>2287</v>
      </c>
    </row>
    <row r="907" spans="1:7" ht="15" x14ac:dyDescent="0.2">
      <c r="A907" s="297" t="s">
        <v>1472</v>
      </c>
      <c r="C907" s="339" t="str">
        <f>IF(Forside!$D$12="Dansk",Tekstnøgler!E907,Tekstnøgler!G907)</f>
        <v>Bly, zink og tin (genanvendt)</v>
      </c>
      <c r="E907" t="s">
        <v>2288</v>
      </c>
      <c r="G907" t="s">
        <v>2289</v>
      </c>
    </row>
    <row r="908" spans="1:7" ht="15" x14ac:dyDescent="0.2">
      <c r="A908" s="297" t="s">
        <v>1473</v>
      </c>
      <c r="C908" s="339" t="str">
        <f>IF(Forside!$D$12="Dansk",Tekstnøgler!E908,Tekstnøgler!G908)</f>
        <v>Genbrugte produkter</v>
      </c>
      <c r="E908" t="s">
        <v>2290</v>
      </c>
      <c r="G908" t="s">
        <v>2291</v>
      </c>
    </row>
    <row r="909" spans="1:7" ht="15" x14ac:dyDescent="0.2">
      <c r="A909" s="297" t="s">
        <v>1474</v>
      </c>
      <c r="C909" s="339" t="str">
        <f>IF(Forside!$D$12="Dansk",Tekstnøgler!E909,Tekstnøgler!G909)</f>
        <v>Store elektroniske produkter</v>
      </c>
      <c r="E909" t="s">
        <v>2292</v>
      </c>
      <c r="G909" t="s">
        <v>2293</v>
      </c>
    </row>
    <row r="910" spans="1:7" ht="15" x14ac:dyDescent="0.2">
      <c r="A910" s="297" t="s">
        <v>1475</v>
      </c>
      <c r="C910" s="339" t="str">
        <f>IF(Forside!$D$12="Dansk",Tekstnøgler!E910,Tekstnøgler!G910)</f>
        <v>PVC, genanvendt</v>
      </c>
      <c r="E910" t="s">
        <v>2294</v>
      </c>
      <c r="G910" t="s">
        <v>2295</v>
      </c>
    </row>
    <row r="911" spans="1:7" ht="15" x14ac:dyDescent="0.2">
      <c r="A911" s="297" t="s">
        <v>1476</v>
      </c>
      <c r="C911" s="339" t="str">
        <f>IF(Forside!$D$12="Dansk",Tekstnøgler!E911,Tekstnøgler!G911)</f>
        <v>Spildevand</v>
      </c>
      <c r="E911" t="s">
        <v>2296</v>
      </c>
      <c r="G911" t="s">
        <v>2297</v>
      </c>
    </row>
    <row r="912" spans="1:7" ht="15" x14ac:dyDescent="0.2">
      <c r="A912" s="297" t="s">
        <v>1477</v>
      </c>
      <c r="C912" s="339" t="str">
        <f>IF(Forside!$D$12="Dansk",Tekstnøgler!E912,Tekstnøgler!G912)</f>
        <v>Beton</v>
      </c>
      <c r="E912" t="s">
        <v>2298</v>
      </c>
      <c r="G912" t="s">
        <v>2299</v>
      </c>
    </row>
    <row r="913" spans="1:7" ht="15" x14ac:dyDescent="0.2">
      <c r="A913" s="297" t="s">
        <v>1478</v>
      </c>
      <c r="C913" s="339" t="str">
        <f>IF(Forside!$D$12="Dansk",Tekstnøgler!E913,Tekstnøgler!G913)</f>
        <v>Busser (Diesel)</v>
      </c>
      <c r="E913" t="s">
        <v>2300</v>
      </c>
      <c r="G913" t="s">
        <v>2301</v>
      </c>
    </row>
    <row r="914" spans="1:7" ht="15" x14ac:dyDescent="0.2">
      <c r="A914" s="297" t="s">
        <v>1479</v>
      </c>
      <c r="C914" s="339" t="str">
        <f>IF(Forside!$D$12="Dansk",Tekstnøgler!E914,Tekstnøgler!G914)</f>
        <v>N₂O</v>
      </c>
      <c r="E914" t="s">
        <v>2302</v>
      </c>
      <c r="G914" t="s">
        <v>2302</v>
      </c>
    </row>
    <row r="915" spans="1:7" ht="15" x14ac:dyDescent="0.2">
      <c r="A915" s="297" t="s">
        <v>1480</v>
      </c>
      <c r="C915" s="339" t="str">
        <f>IF(Forside!$D$12="Dansk",Tekstnøgler!E915,Tekstnøgler!G915)</f>
        <v>Deponi</v>
      </c>
      <c r="E915" t="s">
        <v>2303</v>
      </c>
      <c r="G915" t="s">
        <v>2304</v>
      </c>
    </row>
    <row r="916" spans="1:7" ht="15" x14ac:dyDescent="0.2">
      <c r="A916" s="297" t="s">
        <v>1481</v>
      </c>
      <c r="C916" s="339" t="str">
        <f>IF(Forside!$D$12="Dansk",Tekstnøgler!E916,Tekstnøgler!G916)</f>
        <v>Kemikalier</v>
      </c>
      <c r="E916" t="s">
        <v>2305</v>
      </c>
      <c r="G916" t="s">
        <v>2306</v>
      </c>
    </row>
    <row r="917" spans="1:7" ht="15" x14ac:dyDescent="0.2">
      <c r="A917" s="297" t="s">
        <v>1482</v>
      </c>
      <c r="C917" s="339" t="str">
        <f>IF(Forside!$D$12="Dansk",Tekstnøgler!E917,Tekstnøgler!G917)</f>
        <v>Biogas</v>
      </c>
      <c r="E917" t="s">
        <v>2307</v>
      </c>
      <c r="G917" t="s">
        <v>2307</v>
      </c>
    </row>
    <row r="918" spans="1:7" ht="15" x14ac:dyDescent="0.2">
      <c r="A918" s="297" t="s">
        <v>1483</v>
      </c>
      <c r="C918" s="339" t="str">
        <f>IF(Forside!$D$12="Dansk",Tekstnøgler!E918,Tekstnøgler!G918)</f>
        <v>Lastbiler (Biodiesel HVO)</v>
      </c>
      <c r="E918" t="s">
        <v>2308</v>
      </c>
      <c r="G918" t="s">
        <v>2309</v>
      </c>
    </row>
    <row r="919" spans="1:7" ht="15" x14ac:dyDescent="0.2">
      <c r="A919" s="297" t="s">
        <v>1484</v>
      </c>
      <c r="C919" s="339" t="str">
        <f>IF(Forside!$D$12="Dansk",Tekstnøgler!E919,Tekstnøgler!G919)</f>
        <v>Fly, nationalt (Flybenzin)</v>
      </c>
      <c r="E919" t="s">
        <v>2310</v>
      </c>
      <c r="G919" t="s">
        <v>2311</v>
      </c>
    </row>
    <row r="920" spans="1:7" ht="15" x14ac:dyDescent="0.2">
      <c r="A920" s="297" t="s">
        <v>1485</v>
      </c>
      <c r="C920" s="339" t="str">
        <f>IF(Forside!$D$12="Dansk",Tekstnøgler!E920,Tekstnøgler!G920)</f>
        <v>LPG</v>
      </c>
      <c r="E920" t="s">
        <v>2103</v>
      </c>
      <c r="G920" t="s">
        <v>2103</v>
      </c>
    </row>
    <row r="921" spans="1:7" ht="15" x14ac:dyDescent="0.2">
      <c r="A921" s="297" t="s">
        <v>1486</v>
      </c>
      <c r="C921" s="339" t="str">
        <f>IF(Forside!$D$12="Dansk",Tekstnøgler!E921,Tekstnøgler!G921)</f>
        <v>Energi</v>
      </c>
      <c r="E921" t="s">
        <v>2312</v>
      </c>
      <c r="G921" t="s">
        <v>2313</v>
      </c>
    </row>
    <row r="922" spans="1:7" ht="15" x14ac:dyDescent="0.2">
      <c r="A922" s="297" t="s">
        <v>1487</v>
      </c>
      <c r="C922" s="339" t="str">
        <f>IF(Forside!$D$12="Dansk",Tekstnøgler!E922,Tekstnøgler!G922)</f>
        <v>Skib</v>
      </c>
      <c r="E922" t="s">
        <v>2314</v>
      </c>
      <c r="G922" t="s">
        <v>2315</v>
      </c>
    </row>
    <row r="923" spans="1:7" ht="15" x14ac:dyDescent="0.2">
      <c r="A923" s="297" t="s">
        <v>1488</v>
      </c>
      <c r="C923" s="339" t="str">
        <f>IF(Forside!$D$12="Dansk",Tekstnøgler!E923,Tekstnøgler!G923)</f>
        <v>Diesel</v>
      </c>
      <c r="E923" t="s">
        <v>2265</v>
      </c>
      <c r="G923" t="s">
        <v>2265</v>
      </c>
    </row>
    <row r="924" spans="1:7" ht="15" x14ac:dyDescent="0.2">
      <c r="A924" s="297" t="s">
        <v>1489</v>
      </c>
      <c r="C924" s="339" t="str">
        <f>IF(Forside!$D$12="Dansk",Tekstnøgler!E924,Tekstnøgler!G924)</f>
        <v>Stationær PC</v>
      </c>
      <c r="E924" t="s">
        <v>2316</v>
      </c>
      <c r="G924" t="s">
        <v>2317</v>
      </c>
    </row>
    <row r="925" spans="1:7" ht="15" x14ac:dyDescent="0.2">
      <c r="A925" s="297" t="s">
        <v>1490</v>
      </c>
      <c r="C925" s="339" t="str">
        <f>IF(Forside!$D$12="Dansk",Tekstnøgler!E925,Tekstnøgler!G925)</f>
        <v>Polyester</v>
      </c>
      <c r="E925" t="s">
        <v>2318</v>
      </c>
      <c r="G925" t="s">
        <v>2318</v>
      </c>
    </row>
    <row r="926" spans="1:7" ht="15" x14ac:dyDescent="0.2">
      <c r="A926" s="297" t="s">
        <v>1491</v>
      </c>
      <c r="C926" s="339" t="str">
        <f>IF(Forside!$D$12="Dansk",Tekstnøgler!E926,Tekstnøgler!G926)</f>
        <v>Uld</v>
      </c>
      <c r="E926" t="s">
        <v>2319</v>
      </c>
      <c r="G926" t="s">
        <v>2320</v>
      </c>
    </row>
    <row r="927" spans="1:7" ht="15" x14ac:dyDescent="0.2">
      <c r="A927" s="297" t="s">
        <v>1492</v>
      </c>
      <c r="C927" s="339" t="str">
        <f>IF(Forside!$D$12="Dansk",Tekstnøgler!E927,Tekstnøgler!G927)</f>
        <v>PFC-116 (C₂F₆)</v>
      </c>
      <c r="E927" t="s">
        <v>2321</v>
      </c>
      <c r="G927" t="s">
        <v>2321</v>
      </c>
    </row>
    <row r="928" spans="1:7" ht="15" x14ac:dyDescent="0.2">
      <c r="A928" s="297" t="s">
        <v>1493</v>
      </c>
      <c r="C928" s="339" t="str">
        <f>IF(Forside!$D$12="Dansk",Tekstnøgler!E928,Tekstnøgler!G928)</f>
        <v>Personbiler</v>
      </c>
      <c r="E928" t="s">
        <v>76</v>
      </c>
      <c r="G928" t="s">
        <v>2322</v>
      </c>
    </row>
    <row r="929" spans="1:7" ht="15" x14ac:dyDescent="0.2">
      <c r="A929" s="297" t="s">
        <v>1494</v>
      </c>
      <c r="C929" s="339" t="str">
        <f>IF(Forside!$D$12="Dansk",Tekstnøgler!E929,Tekstnøgler!G929)</f>
        <v>IKKE_VEDVARENDE_ENERGI</v>
      </c>
      <c r="E929" t="s">
        <v>2323</v>
      </c>
      <c r="G929" t="s">
        <v>2324</v>
      </c>
    </row>
    <row r="930" spans="1:7" ht="15" x14ac:dyDescent="0.2">
      <c r="A930" s="297" t="s">
        <v>1495</v>
      </c>
      <c r="C930" s="339" t="str">
        <f>IF(Forside!$D$12="Dansk",Tekstnøgler!E930,Tekstnøgler!G930)</f>
        <v>Hotel og restaurant</v>
      </c>
      <c r="E930" t="s">
        <v>2325</v>
      </c>
      <c r="G930" t="s">
        <v>2326</v>
      </c>
    </row>
    <row r="931" spans="1:7" ht="15" x14ac:dyDescent="0.2">
      <c r="A931" s="297" t="s">
        <v>1496</v>
      </c>
      <c r="C931" s="339" t="str">
        <f>IF(Forside!$D$12="Dansk",Tekstnøgler!E931,Tekstnøgler!G931)</f>
        <v>Fly, internationalt (Flybenzin)</v>
      </c>
      <c r="E931" t="s">
        <v>2327</v>
      </c>
      <c r="G931" t="s">
        <v>2328</v>
      </c>
    </row>
    <row r="932" spans="1:7" ht="15" x14ac:dyDescent="0.2">
      <c r="A932" s="297" t="s">
        <v>1497</v>
      </c>
      <c r="C932" s="339" t="str">
        <f>IF(Forside!$D$12="Dansk",Tekstnøgler!E932,Tekstnøgler!G932)</f>
        <v>Ledningsgas</v>
      </c>
      <c r="E932" t="s">
        <v>2194</v>
      </c>
      <c r="G932" t="s">
        <v>2329</v>
      </c>
    </row>
    <row r="933" spans="1:7" ht="15" x14ac:dyDescent="0.2">
      <c r="A933" s="297" t="s">
        <v>1498</v>
      </c>
      <c r="C933" s="339" t="str">
        <f>IF(Forside!$D$12="Dansk",Tekstnøgler!E933,Tekstnøgler!G933)</f>
        <v>Genanvendelse</v>
      </c>
      <c r="E933" t="s">
        <v>2330</v>
      </c>
      <c r="G933" t="s">
        <v>2331</v>
      </c>
    </row>
    <row r="934" spans="1:7" ht="15" x14ac:dyDescent="0.2">
      <c r="A934" s="297" t="s">
        <v>1499</v>
      </c>
      <c r="C934" s="339" t="str">
        <f>IF(Forside!$D$12="Dansk",Tekstnøgler!E934,Tekstnøgler!G934)</f>
        <v>Lastbiler</v>
      </c>
      <c r="E934" t="s">
        <v>2332</v>
      </c>
      <c r="G934" t="s">
        <v>2333</v>
      </c>
    </row>
    <row r="935" spans="1:7" ht="15" x14ac:dyDescent="0.2">
      <c r="A935" s="297" t="s">
        <v>1500</v>
      </c>
      <c r="C935" s="339" t="str">
        <f>IF(Forside!$D$12="Dansk",Tekstnøgler!E935,Tekstnøgler!G935)</f>
        <v>Byggematerialer</v>
      </c>
      <c r="E935" t="s">
        <v>2334</v>
      </c>
      <c r="G935" t="s">
        <v>2335</v>
      </c>
    </row>
    <row r="936" spans="1:7" ht="15" x14ac:dyDescent="0.2">
      <c r="A936" s="297" t="s">
        <v>1501</v>
      </c>
      <c r="C936" s="339" t="str">
        <f>IF(Forside!$D$12="Dansk",Tekstnøgler!E936,Tekstnøgler!G936)</f>
        <v>Materiale</v>
      </c>
      <c r="E936" t="s">
        <v>2336</v>
      </c>
      <c r="G936" t="s">
        <v>2337</v>
      </c>
    </row>
    <row r="937" spans="1:7" ht="15" x14ac:dyDescent="0.2">
      <c r="A937" s="297" t="s">
        <v>1502</v>
      </c>
      <c r="C937" s="339" t="str">
        <f>IF(Forside!$D$12="Dansk",Tekstnøgler!E937,Tekstnøgler!G937)</f>
        <v>Skib (Uspecificeret)</v>
      </c>
      <c r="E937" t="s">
        <v>2338</v>
      </c>
      <c r="G937" t="s">
        <v>2339</v>
      </c>
    </row>
    <row r="938" spans="1:7" ht="15" x14ac:dyDescent="0.2">
      <c r="A938" s="297" t="s">
        <v>1503</v>
      </c>
      <c r="C938" s="339" t="str">
        <f>IF(Forside!$D$12="Dansk",Tekstnøgler!E938,Tekstnøgler!G938)</f>
        <v>HFC-134 (C₂H₂F₄)</v>
      </c>
      <c r="E938" t="s">
        <v>2340</v>
      </c>
      <c r="G938" t="s">
        <v>2340</v>
      </c>
    </row>
    <row r="939" spans="1:7" ht="15" x14ac:dyDescent="0.2">
      <c r="A939" s="297" t="s">
        <v>1504</v>
      </c>
      <c r="C939" s="339" t="str">
        <f>IF(Forside!$D$12="Dansk",Tekstnøgler!E939,Tekstnøgler!G939)</f>
        <v>Energitype</v>
      </c>
      <c r="E939" t="s">
        <v>2341</v>
      </c>
      <c r="G939" t="s">
        <v>2342</v>
      </c>
    </row>
    <row r="940" spans="1:7" ht="15" x14ac:dyDescent="0.2">
      <c r="A940" s="297" t="s">
        <v>1505</v>
      </c>
      <c r="C940" s="339" t="str">
        <f>IF(Forside!$D$12="Dansk",Tekstnøgler!E940,Tekstnøgler!G940)</f>
        <v>HFC-143 (C₂H₃F₃)</v>
      </c>
      <c r="E940" t="s">
        <v>2343</v>
      </c>
      <c r="G940" t="s">
        <v>2343</v>
      </c>
    </row>
    <row r="941" spans="1:7" ht="15" x14ac:dyDescent="0.2">
      <c r="A941" s="297" t="s">
        <v>1506</v>
      </c>
      <c r="C941" s="339" t="str">
        <f>IF(Forside!$D$12="Dansk",Tekstnøgler!E941,Tekstnøgler!G941)</f>
        <v>Farligt affald</v>
      </c>
      <c r="E941" t="s">
        <v>2254</v>
      </c>
      <c r="G941" t="s">
        <v>2344</v>
      </c>
    </row>
    <row r="942" spans="1:7" ht="15" x14ac:dyDescent="0.2">
      <c r="A942" s="297" t="s">
        <v>1507</v>
      </c>
      <c r="C942" s="339" t="str">
        <f>IF(Forside!$D$12="Dansk",Tekstnøgler!E942,Tekstnøgler!G942)</f>
        <v>PC</v>
      </c>
      <c r="E942" t="s">
        <v>2345</v>
      </c>
      <c r="G942" t="s">
        <v>2345</v>
      </c>
    </row>
    <row r="943" spans="1:7" ht="15" x14ac:dyDescent="0.2">
      <c r="A943" s="297" t="s">
        <v>1508</v>
      </c>
      <c r="C943" s="339" t="str">
        <f>IF(Forside!$D$12="Dansk",Tekstnøgler!E943,Tekstnøgler!G943)</f>
        <v>Skib (Marine gas oil)</v>
      </c>
      <c r="E943" t="s">
        <v>2346</v>
      </c>
      <c r="G943" t="s">
        <v>2347</v>
      </c>
    </row>
    <row r="944" spans="1:7" ht="15" x14ac:dyDescent="0.2">
      <c r="A944" s="297" t="s">
        <v>1509</v>
      </c>
      <c r="C944" s="339" t="str">
        <f>IF(Forside!$D$12="Dansk",Tekstnøgler!E944,Tekstnøgler!G944)</f>
        <v>Aluminium (genanvendt)</v>
      </c>
      <c r="E944" t="s">
        <v>56</v>
      </c>
      <c r="G944" t="s">
        <v>2348</v>
      </c>
    </row>
    <row r="945" spans="1:7" ht="15" x14ac:dyDescent="0.2">
      <c r="A945" s="297" t="s">
        <v>1510</v>
      </c>
      <c r="C945" s="339" t="str">
        <f>IF(Forside!$D$12="Dansk",Tekstnøgler!E945,Tekstnøgler!G945)</f>
        <v>PP, genanvendt</v>
      </c>
      <c r="E945" t="s">
        <v>2349</v>
      </c>
      <c r="G945" t="s">
        <v>2350</v>
      </c>
    </row>
    <row r="946" spans="1:7" ht="15" x14ac:dyDescent="0.2">
      <c r="A946" s="297" t="s">
        <v>1511</v>
      </c>
      <c r="C946" s="339" t="str">
        <f>IF(Forside!$D$12="Dansk",Tekstnøgler!E946,Tekstnøgler!G946)</f>
        <v>PVC, ny</v>
      </c>
      <c r="E946" t="s">
        <v>2351</v>
      </c>
      <c r="G946" t="s">
        <v>2352</v>
      </c>
    </row>
    <row r="947" spans="1:7" ht="15" x14ac:dyDescent="0.2">
      <c r="A947" s="297" t="s">
        <v>1512</v>
      </c>
      <c r="C947" s="339" t="str">
        <f>IF(Forside!$D$12="Dansk",Tekstnøgler!E947,Tekstnøgler!G947)</f>
        <v>Fisk</v>
      </c>
      <c r="E947" t="s">
        <v>2353</v>
      </c>
      <c r="G947" t="s">
        <v>2354</v>
      </c>
    </row>
    <row r="948" spans="1:7" ht="15" x14ac:dyDescent="0.2">
      <c r="A948" s="297" t="s">
        <v>1513</v>
      </c>
      <c r="C948" s="339" t="str">
        <f>IF(Forside!$D$12="Dansk",Tekstnøgler!E948,Tekstnøgler!G948)</f>
        <v>GJ</v>
      </c>
      <c r="E948" t="s">
        <v>84</v>
      </c>
      <c r="G948" t="s">
        <v>84</v>
      </c>
    </row>
    <row r="949" spans="1:7" ht="15" x14ac:dyDescent="0.2">
      <c r="A949" s="297" t="s">
        <v>1514</v>
      </c>
      <c r="C949" s="339" t="str">
        <f>IF(Forside!$D$12="Dansk",Tekstnøgler!E949,Tekstnøgler!G949)</f>
        <v>sekundær</v>
      </c>
      <c r="E949" t="s">
        <v>2355</v>
      </c>
      <c r="G949" t="s">
        <v>2356</v>
      </c>
    </row>
    <row r="950" spans="1:7" ht="15" x14ac:dyDescent="0.2">
      <c r="A950" s="297" t="s">
        <v>1515</v>
      </c>
      <c r="C950" s="339" t="str">
        <f>IF(Forside!$D$12="Dansk",Tekstnøgler!E950,Tekstnøgler!G950)</f>
        <v>Bærbar PC</v>
      </c>
      <c r="E950" t="s">
        <v>2357</v>
      </c>
      <c r="G950" t="s">
        <v>2358</v>
      </c>
    </row>
    <row r="951" spans="1:7" ht="15" x14ac:dyDescent="0.2">
      <c r="A951" s="297" t="s">
        <v>1516</v>
      </c>
      <c r="C951" s="339" t="str">
        <f>IF(Forside!$D$12="Dansk",Tekstnøgler!E951,Tekstnøgler!G951)</f>
        <v>Personbiler (Uspecificeret)</v>
      </c>
      <c r="E951" t="s">
        <v>2359</v>
      </c>
      <c r="G951" t="s">
        <v>2360</v>
      </c>
    </row>
    <row r="952" spans="1:7" ht="15" x14ac:dyDescent="0.2">
      <c r="A952" s="297" t="s">
        <v>1517</v>
      </c>
      <c r="C952" s="339" t="str">
        <f>IF(Forside!$D$12="Dansk",Tekstnøgler!E952,Tekstnøgler!G952)</f>
        <v>Events / personale aktiviteter</v>
      </c>
      <c r="E952" t="s">
        <v>2361</v>
      </c>
      <c r="G952" t="s">
        <v>2362</v>
      </c>
    </row>
    <row r="953" spans="1:7" ht="15" x14ac:dyDescent="0.2">
      <c r="A953" s="297" t="s">
        <v>970</v>
      </c>
      <c r="C953" s="339" t="str">
        <f>IF(Forside!$D$12="Dansk",Tekstnøgler!E953,Tekstnøgler!G953)</f>
        <v>Drivmiddel</v>
      </c>
      <c r="E953" t="s">
        <v>69</v>
      </c>
      <c r="G953" t="s">
        <v>971</v>
      </c>
    </row>
    <row r="954" spans="1:7" ht="15" x14ac:dyDescent="0.2">
      <c r="A954" s="297" t="s">
        <v>1518</v>
      </c>
      <c r="C954" s="339" t="str">
        <f>IF(Forside!$D$12="Dansk",Tekstnøgler!E954,Tekstnøgler!G954)</f>
        <v>CO₂</v>
      </c>
      <c r="E954" t="s">
        <v>2363</v>
      </c>
      <c r="G954" t="s">
        <v>2363</v>
      </c>
    </row>
    <row r="955" spans="1:7" ht="15" x14ac:dyDescent="0.2">
      <c r="A955" s="297" t="s">
        <v>1519</v>
      </c>
      <c r="C955" s="339" t="str">
        <f>IF(Forside!$D$12="Dansk",Tekstnøgler!E955,Tekstnøgler!G955)</f>
        <v>Drivhusgas</v>
      </c>
      <c r="E955" t="s">
        <v>2364</v>
      </c>
      <c r="G955" t="s">
        <v>2365</v>
      </c>
    </row>
    <row r="956" spans="1:7" ht="15" x14ac:dyDescent="0.2">
      <c r="A956" s="297" t="s">
        <v>1520</v>
      </c>
      <c r="C956" s="339" t="str">
        <f>IF(Forside!$D$12="Dansk",Tekstnøgler!E956,Tekstnøgler!G956)</f>
        <v>PET, nyt</v>
      </c>
      <c r="E956" t="s">
        <v>2366</v>
      </c>
      <c r="G956" t="s">
        <v>2367</v>
      </c>
    </row>
    <row r="957" spans="1:7" ht="15" x14ac:dyDescent="0.2">
      <c r="A957" s="297" t="s">
        <v>1521</v>
      </c>
      <c r="C957" s="339" t="str">
        <f>IF(Forside!$D$12="Dansk",Tekstnøgler!E957,Tekstnøgler!G957)</f>
        <v>Glas (nyt)</v>
      </c>
      <c r="E957" t="s">
        <v>2368</v>
      </c>
      <c r="G957" t="s">
        <v>2369</v>
      </c>
    </row>
    <row r="958" spans="1:7" ht="15" x14ac:dyDescent="0.2">
      <c r="A958" s="297" t="s">
        <v>1522</v>
      </c>
      <c r="C958" s="339" t="str">
        <f>IF(Forside!$D$12="Dansk",Tekstnøgler!E958,Tekstnøgler!G958)</f>
        <v>HFC-134a (C₂H₂F₄)</v>
      </c>
      <c r="E958" t="s">
        <v>2370</v>
      </c>
      <c r="G958" t="s">
        <v>2370</v>
      </c>
    </row>
    <row r="959" spans="1:7" ht="15" x14ac:dyDescent="0.2">
      <c r="A959" s="297" t="s">
        <v>1523</v>
      </c>
      <c r="C959" s="339" t="str">
        <f>IF(Forside!$D$12="Dansk",Tekstnøgler!E959,Tekstnøgler!G959)</f>
        <v>Vedvarende energi</v>
      </c>
      <c r="E959" t="s">
        <v>2371</v>
      </c>
      <c r="G959" t="s">
        <v>2372</v>
      </c>
    </row>
    <row r="960" spans="1:7" ht="15" x14ac:dyDescent="0.2">
      <c r="A960" s="297" t="s">
        <v>1524</v>
      </c>
      <c r="C960" s="339" t="str">
        <f>IF(Forside!$D$12="Dansk",Tekstnøgler!E960,Tekstnøgler!G960)</f>
        <v>Køb af maskiner</v>
      </c>
      <c r="E960" t="s">
        <v>2373</v>
      </c>
      <c r="G960" t="s">
        <v>2374</v>
      </c>
    </row>
    <row r="961" spans="1:7" ht="15" x14ac:dyDescent="0.2">
      <c r="A961" s="297" t="s">
        <v>1525</v>
      </c>
      <c r="C961" s="339" t="str">
        <f>IF(Forside!$D$12="Dansk",Tekstnøgler!E961,Tekstnøgler!G961)</f>
        <v>Alkaliske batterier</v>
      </c>
      <c r="E961" t="s">
        <v>2375</v>
      </c>
      <c r="G961" t="s">
        <v>2376</v>
      </c>
    </row>
    <row r="962" spans="1:7" ht="15" x14ac:dyDescent="0.2">
      <c r="A962" s="297" t="s">
        <v>1526</v>
      </c>
      <c r="C962" s="339" t="str">
        <f>IF(Forside!$D$12="Dansk",Tekstnøgler!E962,Tekstnøgler!G962)</f>
        <v>Papir og pap (nyt)</v>
      </c>
      <c r="E962" t="s">
        <v>2377</v>
      </c>
      <c r="G962" t="s">
        <v>2378</v>
      </c>
    </row>
    <row r="963" spans="1:7" ht="15" x14ac:dyDescent="0.2">
      <c r="A963" s="297" t="s">
        <v>1527</v>
      </c>
      <c r="C963" s="339" t="str">
        <f>IF(Forside!$D$12="Dansk",Tekstnøgler!E963,Tekstnøgler!G963)</f>
        <v>Skib (Marine fuel oil)</v>
      </c>
      <c r="E963" t="s">
        <v>2379</v>
      </c>
      <c r="G963" t="s">
        <v>2380</v>
      </c>
    </row>
    <row r="964" spans="1:7" ht="15" x14ac:dyDescent="0.2">
      <c r="A964" s="297" t="s">
        <v>1528</v>
      </c>
      <c r="C964" s="339" t="str">
        <f>IF(Forside!$D$12="Dansk",Tekstnøgler!E964,Tekstnøgler!G964)</f>
        <v>Vandforbrug</v>
      </c>
      <c r="E964" t="s">
        <v>88</v>
      </c>
      <c r="G964" t="s">
        <v>2381</v>
      </c>
    </row>
    <row r="965" spans="1:7" ht="15" x14ac:dyDescent="0.2">
      <c r="A965" s="297" t="s">
        <v>1529</v>
      </c>
      <c r="C965" s="339" t="str">
        <f>IF(Forside!$D$12="Dansk",Tekstnøgler!E965,Tekstnøgler!G965)</f>
        <v>Køleskabe og frysere</v>
      </c>
      <c r="E965" t="s">
        <v>2382</v>
      </c>
      <c r="G965" t="s">
        <v>2383</v>
      </c>
    </row>
    <row r="966" spans="1:7" ht="15" x14ac:dyDescent="0.2">
      <c r="A966" s="297" t="s">
        <v>1530</v>
      </c>
      <c r="C966" s="339" t="str">
        <f>IF(Forside!$D$12="Dansk",Tekstnøgler!E966,Tekstnøgler!G966)</f>
        <v>LDPE/LLDPE, genanvendt</v>
      </c>
      <c r="E966" t="s">
        <v>2384</v>
      </c>
      <c r="G966" t="s">
        <v>2385</v>
      </c>
    </row>
    <row r="967" spans="1:7" ht="15" x14ac:dyDescent="0.2">
      <c r="A967" s="297" t="s">
        <v>1531</v>
      </c>
      <c r="C967" s="339" t="str">
        <f>IF(Forside!$D$12="Dansk",Tekstnøgler!E967,Tekstnøgler!G967)</f>
        <v>HDPE, genanvend</v>
      </c>
      <c r="E967" t="s">
        <v>2386</v>
      </c>
      <c r="G967" t="s">
        <v>2387</v>
      </c>
    </row>
    <row r="968" spans="1:7" ht="15" x14ac:dyDescent="0.2">
      <c r="A968" s="297" t="s">
        <v>1532</v>
      </c>
      <c r="C968" s="339" t="str">
        <f>IF(Forside!$D$12="Dansk",Tekstnøgler!E968,Tekstnøgler!G968)</f>
        <v>PS, genanvendt</v>
      </c>
      <c r="E968" t="s">
        <v>2388</v>
      </c>
      <c r="G968" t="s">
        <v>2389</v>
      </c>
    </row>
    <row r="969" spans="1:7" ht="15" x14ac:dyDescent="0.2">
      <c r="A969" s="297" t="s">
        <v>1533</v>
      </c>
      <c r="C969" s="339" t="str">
        <f>IF(Forside!$D$12="Dansk",Tekstnøgler!E969,Tekstnøgler!G969)</f>
        <v>Ikke vedvarende energi</v>
      </c>
      <c r="E969" t="s">
        <v>2390</v>
      </c>
      <c r="G969" t="s">
        <v>2391</v>
      </c>
    </row>
    <row r="970" spans="1:7" ht="15" x14ac:dyDescent="0.2">
      <c r="A970" s="297" t="s">
        <v>1534</v>
      </c>
      <c r="C970" s="339" t="str">
        <f>IF(Forside!$D$12="Dansk",Tekstnøgler!E970,Tekstnøgler!G970)</f>
        <v>ABS</v>
      </c>
      <c r="E970" t="s">
        <v>2392</v>
      </c>
      <c r="G970" t="s">
        <v>2392</v>
      </c>
    </row>
    <row r="971" spans="1:7" ht="15" x14ac:dyDescent="0.2">
      <c r="A971" s="297" t="s">
        <v>1535</v>
      </c>
      <c r="C971" s="339" t="str">
        <f>IF(Forside!$D$12="Dansk",Tekstnøgler!E971,Tekstnøgler!G971)</f>
        <v>HFC-245ca (C₃H₃F₅)</v>
      </c>
      <c r="E971" t="s">
        <v>2393</v>
      </c>
      <c r="G971" t="s">
        <v>2393</v>
      </c>
    </row>
    <row r="972" spans="1:7" ht="15" x14ac:dyDescent="0.2">
      <c r="A972" s="297" t="s">
        <v>1536</v>
      </c>
      <c r="C972" s="339" t="str">
        <f>IF(Forside!$D$12="Dansk",Tekstnøgler!E972,Tekstnøgler!G972)</f>
        <v>Bomuld</v>
      </c>
      <c r="E972" t="s">
        <v>2394</v>
      </c>
      <c r="G972" t="s">
        <v>2395</v>
      </c>
    </row>
    <row r="973" spans="1:7" ht="15" x14ac:dyDescent="0.2">
      <c r="A973" s="297" t="s">
        <v>1537</v>
      </c>
      <c r="C973" s="339" t="str">
        <f>IF(Forside!$D$12="Dansk",Tekstnøgler!E973,Tekstnøgler!G973)</f>
        <v>CBG</v>
      </c>
      <c r="E973" t="s">
        <v>2396</v>
      </c>
      <c r="G973" t="s">
        <v>2396</v>
      </c>
    </row>
    <row r="974" spans="1:7" ht="15" x14ac:dyDescent="0.2">
      <c r="A974" s="297" t="s">
        <v>1538</v>
      </c>
      <c r="C974" s="339" t="str">
        <f>IF(Forside!$D$12="Dansk",Tekstnøgler!E974,Tekstnøgler!G974)</f>
        <v>Produktgruppe</v>
      </c>
      <c r="E974" t="s">
        <v>60</v>
      </c>
      <c r="G974" t="s">
        <v>2397</v>
      </c>
    </row>
    <row r="975" spans="1:7" ht="15" x14ac:dyDescent="0.2">
      <c r="A975" s="297" t="s">
        <v>1539</v>
      </c>
      <c r="C975" s="339" t="str">
        <f>IF(Forside!$D$12="Dansk",Tekstnøgler!E975,Tekstnøgler!G975)</f>
        <v>Mursten</v>
      </c>
      <c r="E975" t="s">
        <v>2398</v>
      </c>
      <c r="G975" t="s">
        <v>2399</v>
      </c>
    </row>
    <row r="976" spans="1:7" ht="15" x14ac:dyDescent="0.2">
      <c r="A976" s="297" t="s">
        <v>1540</v>
      </c>
      <c r="C976" s="339" t="str">
        <f>IF(Forside!$D$12="Dansk",Tekstnøgler!E976,Tekstnøgler!G976)</f>
        <v>Rustfri stål</v>
      </c>
      <c r="E976" t="s">
        <v>2400</v>
      </c>
      <c r="G976" t="s">
        <v>2401</v>
      </c>
    </row>
    <row r="977" spans="1:7" ht="15" x14ac:dyDescent="0.2">
      <c r="A977" s="297" t="s">
        <v>1541</v>
      </c>
      <c r="C977" s="339" t="str">
        <f>IF(Forside!$D$12="Dansk",Tekstnøgler!E977,Tekstnøgler!G977)</f>
        <v>Varebiler (El)</v>
      </c>
      <c r="E977" t="s">
        <v>2402</v>
      </c>
      <c r="G977" t="s">
        <v>2403</v>
      </c>
    </row>
    <row r="978" spans="1:7" ht="15" x14ac:dyDescent="0.2">
      <c r="A978" s="297" t="s">
        <v>1542</v>
      </c>
      <c r="C978" s="339" t="str">
        <f>IF(Forside!$D$12="Dansk",Tekstnøgler!E978,Tekstnøgler!G978)</f>
        <v>PFC-31-10 (C₄F₁₀)</v>
      </c>
      <c r="E978" t="s">
        <v>2404</v>
      </c>
      <c r="G978" t="s">
        <v>2404</v>
      </c>
    </row>
    <row r="979" spans="1:7" ht="15" x14ac:dyDescent="0.2">
      <c r="A979" s="297" t="s">
        <v>1543</v>
      </c>
      <c r="C979" s="339" t="str">
        <f>IF(Forside!$D$12="Dansk",Tekstnøgler!E979,Tekstnøgler!G979)</f>
        <v>Træ</v>
      </c>
      <c r="E979" t="s">
        <v>2405</v>
      </c>
      <c r="G979" t="s">
        <v>2406</v>
      </c>
    </row>
    <row r="980" spans="1:7" ht="15" x14ac:dyDescent="0.2">
      <c r="A980" s="297" t="s">
        <v>1544</v>
      </c>
      <c r="C980" s="339" t="str">
        <f>IF(Forside!$D$12="Dansk",Tekstnøgler!E980,Tekstnøgler!G980)</f>
        <v>Bil.person.km</v>
      </c>
      <c r="E980" t="s">
        <v>2407</v>
      </c>
      <c r="G980" t="s">
        <v>2408</v>
      </c>
    </row>
    <row r="981" spans="1:7" ht="15" x14ac:dyDescent="0.2">
      <c r="A981" s="297" t="s">
        <v>1545</v>
      </c>
      <c r="C981" s="339" t="str">
        <f>IF(Forside!$D$12="Dansk",Tekstnøgler!E981,Tekstnøgler!G981)</f>
        <v>L</v>
      </c>
      <c r="E981" t="s">
        <v>2409</v>
      </c>
      <c r="G981" t="s">
        <v>2409</v>
      </c>
    </row>
    <row r="982" spans="1:7" ht="15" x14ac:dyDescent="0.2">
      <c r="A982" s="297" t="s">
        <v>1546</v>
      </c>
      <c r="C982" s="339" t="str">
        <f>IF(Forside!$D$12="Dansk",Tekstnøgler!E982,Tekstnøgler!G982)</f>
        <v>Volume</v>
      </c>
      <c r="E982" t="s">
        <v>2410</v>
      </c>
      <c r="G982" t="s">
        <v>2410</v>
      </c>
    </row>
    <row r="983" spans="1:7" ht="15" x14ac:dyDescent="0.2">
      <c r="A983" s="297" t="s">
        <v>1547</v>
      </c>
      <c r="C983" s="339" t="str">
        <f>IF(Forside!$D$12="Dansk",Tekstnøgler!E983,Tekstnøgler!G983)</f>
        <v>Træ (nyt)</v>
      </c>
      <c r="E983" t="s">
        <v>2411</v>
      </c>
      <c r="G983" t="s">
        <v>2412</v>
      </c>
    </row>
    <row r="984" spans="1:7" ht="15" x14ac:dyDescent="0.2">
      <c r="A984" s="297" t="s">
        <v>1548</v>
      </c>
      <c r="C984" s="339" t="str">
        <f>IF(Forside!$D$12="Dansk",Tekstnøgler!E984,Tekstnøgler!G984)</f>
        <v>KWh</v>
      </c>
      <c r="E984" t="s">
        <v>2413</v>
      </c>
      <c r="G984" t="s">
        <v>2413</v>
      </c>
    </row>
    <row r="985" spans="1:7" ht="15" x14ac:dyDescent="0.2">
      <c r="A985" s="297" t="s">
        <v>1549</v>
      </c>
      <c r="C985" s="339" t="str">
        <f>IF(Forside!$D$12="Dansk",Tekstnøgler!E985,Tekstnøgler!G985)</f>
        <v>Li-ion batterier</v>
      </c>
      <c r="E985" t="s">
        <v>2414</v>
      </c>
      <c r="G985" t="s">
        <v>2415</v>
      </c>
    </row>
    <row r="986" spans="1:7" ht="15" x14ac:dyDescent="0.2">
      <c r="A986" s="297" t="s">
        <v>1550</v>
      </c>
      <c r="C986" s="339" t="str">
        <f>IF(Forside!$D$12="Dansk",Tekstnøgler!E986,Tekstnøgler!G986)</f>
        <v>VEDVARENDE_ENERGI</v>
      </c>
      <c r="E986" t="s">
        <v>2416</v>
      </c>
      <c r="G986" t="s">
        <v>2417</v>
      </c>
    </row>
    <row r="987" spans="1:7" ht="15" x14ac:dyDescent="0.2">
      <c r="A987" s="297" t="s">
        <v>1551</v>
      </c>
      <c r="C987" s="339" t="str">
        <f>IF(Forside!$D$12="Dansk",Tekstnøgler!E987,Tekstnøgler!G987)</f>
        <v>Aluminium (nyt)</v>
      </c>
      <c r="E987" t="s">
        <v>2418</v>
      </c>
      <c r="G987" t="s">
        <v>2419</v>
      </c>
    </row>
    <row r="988" spans="1:7" ht="15" x14ac:dyDescent="0.2">
      <c r="A988" s="297" t="s">
        <v>1552</v>
      </c>
      <c r="C988" s="339" t="str">
        <f>IF(Forside!$D$12="Dansk",Tekstnøgler!E988,Tekstnøgler!G988)</f>
        <v>Sand og ler</v>
      </c>
      <c r="E988" t="s">
        <v>2188</v>
      </c>
      <c r="G988" t="s">
        <v>2189</v>
      </c>
    </row>
    <row r="989" spans="1:7" ht="15" x14ac:dyDescent="0.2">
      <c r="A989" s="297" t="s">
        <v>1553</v>
      </c>
      <c r="C989" s="339" t="str">
        <f>IF(Forside!$D$12="Dansk",Tekstnøgler!E989,Tekstnøgler!G989)</f>
        <v>Tj</v>
      </c>
      <c r="E989" t="s">
        <v>2420</v>
      </c>
      <c r="G989" t="s">
        <v>2420</v>
      </c>
    </row>
    <row r="990" spans="1:7" ht="15" x14ac:dyDescent="0.2">
      <c r="A990" s="297" t="s">
        <v>1554</v>
      </c>
      <c r="C990" s="339" t="str">
        <f>IF(Forside!$D$12="Dansk",Tekstnøgler!E990,Tekstnøgler!G990)</f>
        <v>LDPE</v>
      </c>
      <c r="E990" t="s">
        <v>2421</v>
      </c>
      <c r="G990" t="s">
        <v>2421</v>
      </c>
    </row>
    <row r="991" spans="1:7" ht="15" x14ac:dyDescent="0.2">
      <c r="A991" s="297" t="s">
        <v>1555</v>
      </c>
      <c r="C991" s="339" t="str">
        <f>IF(Forside!$D$12="Dansk",Tekstnøgler!E991,Tekstnøgler!G991)</f>
        <v>KToe</v>
      </c>
      <c r="E991" t="s">
        <v>2422</v>
      </c>
      <c r="G991" t="s">
        <v>2422</v>
      </c>
    </row>
    <row r="992" spans="1:7" ht="15" x14ac:dyDescent="0.2">
      <c r="A992" s="297" t="s">
        <v>1556</v>
      </c>
      <c r="C992" s="339" t="str">
        <f>IF(Forside!$D$12="Dansk",Tekstnøgler!E992,Tekstnøgler!G992)</f>
        <v>HFC-227ea (C₃HF₇)</v>
      </c>
      <c r="E992" t="s">
        <v>2423</v>
      </c>
      <c r="G992" t="s">
        <v>2423</v>
      </c>
    </row>
    <row r="993" spans="1:7" ht="15" x14ac:dyDescent="0.2">
      <c r="A993" s="297" t="s">
        <v>1557</v>
      </c>
      <c r="C993" s="339" t="str">
        <f>IF(Forside!$D$12="Dansk",Tekstnøgler!E993,Tekstnøgler!G993)</f>
        <v>Service og tjenesteydelser</v>
      </c>
      <c r="E993" t="s">
        <v>2424</v>
      </c>
      <c r="G993" t="s">
        <v>2425</v>
      </c>
    </row>
    <row r="994" spans="1:7" ht="15" x14ac:dyDescent="0.2">
      <c r="A994" s="297" t="s">
        <v>1558</v>
      </c>
      <c r="C994" s="339" t="str">
        <f>IF(Forside!$D$12="Dansk",Tekstnøgler!E994,Tekstnøgler!G994)</f>
        <v>Mj</v>
      </c>
      <c r="E994" t="s">
        <v>2426</v>
      </c>
      <c r="G994" t="s">
        <v>2426</v>
      </c>
    </row>
    <row r="995" spans="1:7" ht="15" x14ac:dyDescent="0.2">
      <c r="A995" s="297" t="s">
        <v>1559</v>
      </c>
      <c r="C995" s="339" t="str">
        <f>IF(Forside!$D$12="Dansk",Tekstnøgler!E995,Tekstnøgler!G995)</f>
        <v>Leje af lokaler</v>
      </c>
      <c r="E995" t="s">
        <v>2427</v>
      </c>
      <c r="G995" t="s">
        <v>2428</v>
      </c>
    </row>
    <row r="996" spans="1:7" ht="15" x14ac:dyDescent="0.2">
      <c r="A996" s="297" t="s">
        <v>1560</v>
      </c>
      <c r="C996" s="339" t="str">
        <f>IF(Forside!$D$12="Dansk",Tekstnøgler!E996,Tekstnøgler!G996)</f>
        <v>PFC-51-14 (C₆F₁₄)</v>
      </c>
      <c r="E996" t="s">
        <v>2429</v>
      </c>
      <c r="G996" t="s">
        <v>2429</v>
      </c>
    </row>
    <row r="997" spans="1:7" ht="15" x14ac:dyDescent="0.2">
      <c r="A997" s="297" t="s">
        <v>1561</v>
      </c>
      <c r="C997" s="339" t="str">
        <f>IF(Forside!$D$12="Dansk",Tekstnøgler!E997,Tekstnøgler!G997)</f>
        <v>Uspecificeret, genanvendt</v>
      </c>
      <c r="E997" t="s">
        <v>2430</v>
      </c>
      <c r="G997" t="s">
        <v>2431</v>
      </c>
    </row>
    <row r="998" spans="1:7" ht="15" x14ac:dyDescent="0.2">
      <c r="A998" s="297" t="s">
        <v>1562</v>
      </c>
      <c r="C998" s="339" t="str">
        <f>IF(Forside!$D$12="Dansk",Tekstnøgler!E998,Tekstnøgler!G998)</f>
        <v>PFC-218 (C₃F₈)</v>
      </c>
      <c r="E998" t="s">
        <v>2432</v>
      </c>
      <c r="G998" t="s">
        <v>2432</v>
      </c>
    </row>
    <row r="999" spans="1:7" ht="15" x14ac:dyDescent="0.2">
      <c r="A999" s="297" t="s">
        <v>1563</v>
      </c>
      <c r="C999" s="339" t="str">
        <f>IF(Forside!$D$12="Dansk",Tekstnøgler!E999,Tekstnøgler!G999)</f>
        <v>Små elektroniske produkter</v>
      </c>
      <c r="E999" t="s">
        <v>2433</v>
      </c>
      <c r="G999" t="s">
        <v>2434</v>
      </c>
    </row>
    <row r="1000" spans="1:7" ht="15" x14ac:dyDescent="0.2">
      <c r="A1000" s="297" t="s">
        <v>1564</v>
      </c>
      <c r="C1000" s="339" t="str">
        <f>IF(Forside!$D$12="Dansk",Tekstnøgler!E1000,Tekstnøgler!G1000)</f>
        <v>Forbrænding</v>
      </c>
      <c r="E1000" t="s">
        <v>2435</v>
      </c>
      <c r="G1000" t="s">
        <v>2436</v>
      </c>
    </row>
    <row r="1001" spans="1:7" ht="15" x14ac:dyDescent="0.2">
      <c r="A1001" s="297" t="s">
        <v>1565</v>
      </c>
      <c r="C1001" s="339" t="str">
        <f>IF(Forside!$D$12="Dansk",Tekstnøgler!E1001,Tekstnøgler!G1001)</f>
        <v>CH₄</v>
      </c>
      <c r="E1001" t="s">
        <v>2437</v>
      </c>
      <c r="G1001" t="s">
        <v>2437</v>
      </c>
    </row>
    <row r="1002" spans="1:7" ht="15" x14ac:dyDescent="0.2">
      <c r="A1002" s="297" t="s">
        <v>1566</v>
      </c>
      <c r="C1002" s="339" t="str">
        <f>IF(Forside!$D$12="Dansk",Tekstnøgler!E1002,Tekstnøgler!G1002)</f>
        <v>Træ (genanvendt)</v>
      </c>
      <c r="E1002" t="s">
        <v>2438</v>
      </c>
      <c r="G1002" t="s">
        <v>2439</v>
      </c>
    </row>
    <row r="1003" spans="1:7" ht="15" x14ac:dyDescent="0.2">
      <c r="A1003" s="297" t="s">
        <v>1567</v>
      </c>
      <c r="C1003" s="339" t="str">
        <f>IF(Forside!$D$12="Dansk",Tekstnøgler!E1003,Tekstnøgler!G1003)</f>
        <v>HFC-236fa (C₃H₂F₆)</v>
      </c>
      <c r="E1003" t="s">
        <v>2440</v>
      </c>
      <c r="G1003" t="s">
        <v>2440</v>
      </c>
    </row>
    <row r="1004" spans="1:7" ht="15" x14ac:dyDescent="0.2">
      <c r="A1004" s="297" t="s">
        <v>1568</v>
      </c>
      <c r="C1004" s="339" t="str">
        <f>IF(Forside!$D$12="Dansk",Tekstnøgler!E1004,Tekstnøgler!G1004)</f>
        <v>Bioforgasning</v>
      </c>
      <c r="E1004" t="s">
        <v>2441</v>
      </c>
      <c r="G1004" t="s">
        <v>2442</v>
      </c>
    </row>
    <row r="1005" spans="1:7" ht="15" x14ac:dyDescent="0.2">
      <c r="A1005" s="297" t="s">
        <v>1569</v>
      </c>
      <c r="C1005" s="339" t="str">
        <f>IF(Forside!$D$12="Dansk",Tekstnøgler!E1005,Tekstnøgler!G1005)</f>
        <v>Km</v>
      </c>
      <c r="E1005" t="s">
        <v>73</v>
      </c>
      <c r="G1005" t="s">
        <v>73</v>
      </c>
    </row>
    <row r="1006" spans="1:7" ht="15" x14ac:dyDescent="0.2">
      <c r="A1006" s="297" t="s">
        <v>1570</v>
      </c>
      <c r="C1006" s="339" t="str">
        <f>IF(Forside!$D$12="Dansk",Tekstnøgler!E1006,Tekstnøgler!G1006)</f>
        <v>Spildevand rensning</v>
      </c>
      <c r="E1006" t="s">
        <v>2443</v>
      </c>
      <c r="G1006" t="s">
        <v>2444</v>
      </c>
    </row>
    <row r="1007" spans="1:7" ht="15" x14ac:dyDescent="0.2">
      <c r="A1007" s="297" t="s">
        <v>1571</v>
      </c>
      <c r="C1007" s="339" t="str">
        <f>IF(Forside!$D$12="Dansk",Tekstnøgler!E1007,Tekstnøgler!G1007)</f>
        <v>Aluminium</v>
      </c>
      <c r="E1007" t="s">
        <v>2445</v>
      </c>
      <c r="G1007" t="s">
        <v>2445</v>
      </c>
    </row>
    <row r="1008" spans="1:7" ht="15" x14ac:dyDescent="0.2">
      <c r="A1008" s="297" t="s">
        <v>1572</v>
      </c>
      <c r="C1008" s="339" t="str">
        <f>IF(Forside!$D$12="Dansk",Tekstnøgler!E1008,Tekstnøgler!G1008)</f>
        <v>Kg</v>
      </c>
      <c r="E1008" t="s">
        <v>57</v>
      </c>
      <c r="G1008" t="s">
        <v>57</v>
      </c>
    </row>
    <row r="1009" spans="3:3" x14ac:dyDescent="0.2">
      <c r="C1009" s="339">
        <f>IF(Forside!$D$12="Dansk",Tekstnøgler!E1009,Tekstnøgler!G1009)</f>
        <v>0</v>
      </c>
    </row>
    <row r="1010" spans="3:3" x14ac:dyDescent="0.2">
      <c r="C1010" s="339">
        <f>IF(Forside!$D$12="Dansk",Tekstnøgler!E1010,Tekstnøgler!G1010)</f>
        <v>0</v>
      </c>
    </row>
    <row r="1011" spans="3:3" x14ac:dyDescent="0.2">
      <c r="C1011" s="339">
        <f>IF(Forside!$D$12="Dansk",Tekstnøgler!E1011,Tekstnøgler!G1011)</f>
        <v>0</v>
      </c>
    </row>
    <row r="1012" spans="3:3" x14ac:dyDescent="0.2">
      <c r="C1012" s="339">
        <f>IF(Forside!$D$12="Dansk",Tekstnøgler!E1012,Tekstnøgler!G1012)</f>
        <v>0</v>
      </c>
    </row>
    <row r="1013" spans="3:3" x14ac:dyDescent="0.2">
      <c r="C1013" s="339">
        <f>IF(Forside!$D$12="Dansk",Tekstnøgler!E1013,Tekstnøgler!G1013)</f>
        <v>0</v>
      </c>
    </row>
    <row r="1014" spans="3:3" x14ac:dyDescent="0.2">
      <c r="C1014" s="339">
        <f>IF(Forside!$D$12="Dansk",Tekstnøgler!E1014,Tekstnøgler!G1014)</f>
        <v>0</v>
      </c>
    </row>
    <row r="1015" spans="3:3" x14ac:dyDescent="0.2">
      <c r="C1015" s="339">
        <f>IF(Forside!$D$12="Dansk",Tekstnøgler!E1015,Tekstnøgler!G1015)</f>
        <v>0</v>
      </c>
    </row>
    <row r="1016" spans="3:3" x14ac:dyDescent="0.2">
      <c r="C1016" s="339">
        <f>IF(Forside!$D$12="Dansk",Tekstnøgler!E1016,Tekstnøgler!G1016)</f>
        <v>0</v>
      </c>
    </row>
    <row r="1017" spans="3:3" x14ac:dyDescent="0.2">
      <c r="C1017" s="339">
        <f>IF(Forside!$D$12="Dansk",Tekstnøgler!E1017,Tekstnøgler!G1017)</f>
        <v>0</v>
      </c>
    </row>
    <row r="1018" spans="3:3" x14ac:dyDescent="0.2">
      <c r="C1018" s="339">
        <f>IF(Forside!$D$12="Dansk",Tekstnøgler!E1018,Tekstnøgler!G1018)</f>
        <v>0</v>
      </c>
    </row>
    <row r="1019" spans="3:3" x14ac:dyDescent="0.2">
      <c r="C1019" s="339">
        <f>IF(Forside!$D$12="Dansk",Tekstnøgler!E1019,Tekstnøgler!G1019)</f>
        <v>0</v>
      </c>
    </row>
    <row r="1020" spans="3:3" x14ac:dyDescent="0.2">
      <c r="C1020" s="339">
        <f>IF(Forside!$D$12="Dansk",Tekstnøgler!E1020,Tekstnøgler!G1020)</f>
        <v>0</v>
      </c>
    </row>
    <row r="1021" spans="3:3" x14ac:dyDescent="0.2">
      <c r="C1021" s="339">
        <f>IF(Forside!$D$12="Dansk",Tekstnøgler!E1021,Tekstnøgler!G1021)</f>
        <v>0</v>
      </c>
    </row>
    <row r="1022" spans="3:3" x14ac:dyDescent="0.2">
      <c r="C1022" s="339">
        <f>IF(Forside!$D$12="Dansk",Tekstnøgler!E1022,Tekstnøgler!G1022)</f>
        <v>0</v>
      </c>
    </row>
    <row r="1023" spans="3:3" x14ac:dyDescent="0.2">
      <c r="C1023" s="339">
        <f>IF(Forside!$D$12="Dansk",Tekstnøgler!E1023,Tekstnøgler!G1023)</f>
        <v>0</v>
      </c>
    </row>
    <row r="1024" spans="3:3" x14ac:dyDescent="0.2">
      <c r="C1024" s="339">
        <f>IF(Forside!$D$12="Dansk",Tekstnøgler!E1024,Tekstnøgler!G1024)</f>
        <v>0</v>
      </c>
    </row>
    <row r="1025" spans="3:3" x14ac:dyDescent="0.2">
      <c r="C1025" s="339">
        <f>IF(Forside!$D$12="Dansk",Tekstnøgler!E1025,Tekstnøgler!G1025)</f>
        <v>0</v>
      </c>
    </row>
    <row r="1026" spans="3:3" x14ac:dyDescent="0.2">
      <c r="C1026" s="339">
        <f>IF(Forside!$D$12="Dansk",Tekstnøgler!E1026,Tekstnøgler!G1026)</f>
        <v>0</v>
      </c>
    </row>
    <row r="1027" spans="3:3" x14ac:dyDescent="0.2">
      <c r="C1027" s="339">
        <f>IF(Forside!$D$12="Dansk",Tekstnøgler!E1027,Tekstnøgler!G1027)</f>
        <v>0</v>
      </c>
    </row>
    <row r="1028" spans="3:3" x14ac:dyDescent="0.2">
      <c r="C1028" s="339">
        <f>IF(Forside!$D$12="Dansk",Tekstnøgler!E1028,Tekstnøgler!G1028)</f>
        <v>0</v>
      </c>
    </row>
    <row r="1029" spans="3:3" x14ac:dyDescent="0.2">
      <c r="C1029" s="339">
        <f>IF(Forside!$D$12="Dansk",Tekstnøgler!E1029,Tekstnøgler!G1029)</f>
        <v>0</v>
      </c>
    </row>
    <row r="1030" spans="3:3" x14ac:dyDescent="0.2">
      <c r="C1030" s="339">
        <f>IF(Forside!$D$12="Dansk",Tekstnøgler!E1030,Tekstnøgler!G1030)</f>
        <v>0</v>
      </c>
    </row>
    <row r="1031" spans="3:3" x14ac:dyDescent="0.2">
      <c r="C1031" s="339">
        <f>IF(Forside!$D$12="Dansk",Tekstnøgler!E1031,Tekstnøgler!G1031)</f>
        <v>0</v>
      </c>
    </row>
    <row r="1032" spans="3:3" x14ac:dyDescent="0.2">
      <c r="C1032" s="339">
        <f>IF(Forside!$D$12="Dansk",Tekstnøgler!E1032,Tekstnøgler!G1032)</f>
        <v>0</v>
      </c>
    </row>
    <row r="1033" spans="3:3" x14ac:dyDescent="0.2">
      <c r="C1033" s="339">
        <f>IF(Forside!$D$12="Dansk",Tekstnøgler!E1033,Tekstnøgler!G1033)</f>
        <v>0</v>
      </c>
    </row>
    <row r="1034" spans="3:3" x14ac:dyDescent="0.2">
      <c r="C1034" s="339">
        <f>IF(Forside!$D$12="Dansk",Tekstnøgler!E1034,Tekstnøgler!G1034)</f>
        <v>0</v>
      </c>
    </row>
    <row r="1035" spans="3:3" x14ac:dyDescent="0.2">
      <c r="C1035" s="339">
        <f>IF(Forside!$D$12="Dansk",Tekstnøgler!E1035,Tekstnøgler!G1035)</f>
        <v>0</v>
      </c>
    </row>
    <row r="1036" spans="3:3" x14ac:dyDescent="0.2">
      <c r="C1036" s="339">
        <f>IF(Forside!$D$12="Dansk",Tekstnøgler!E1036,Tekstnøgler!G1036)</f>
        <v>0</v>
      </c>
    </row>
    <row r="1037" spans="3:3" x14ac:dyDescent="0.2">
      <c r="C1037" s="339">
        <f>IF(Forside!$D$12="Dansk",Tekstnøgler!E1037,Tekstnøgler!G1037)</f>
        <v>0</v>
      </c>
    </row>
    <row r="1038" spans="3:3" x14ac:dyDescent="0.2">
      <c r="C1038" s="339">
        <f>IF(Forside!$D$12="Dansk",Tekstnøgler!E1038,Tekstnøgler!G1038)</f>
        <v>0</v>
      </c>
    </row>
    <row r="1039" spans="3:3" x14ac:dyDescent="0.2">
      <c r="C1039" s="339">
        <f>IF(Forside!$D$12="Dansk",Tekstnøgler!E1039,Tekstnøgler!G1039)</f>
        <v>0</v>
      </c>
    </row>
    <row r="1040" spans="3:3" x14ac:dyDescent="0.2">
      <c r="C1040" s="339">
        <f>IF(Forside!$D$12="Dansk",Tekstnøgler!E1040,Tekstnøgler!G1040)</f>
        <v>0</v>
      </c>
    </row>
    <row r="1041" spans="3:3" x14ac:dyDescent="0.2">
      <c r="C1041" s="339">
        <f>IF(Forside!$D$12="Dansk",Tekstnøgler!E1041,Tekstnøgler!G1041)</f>
        <v>0</v>
      </c>
    </row>
    <row r="1042" spans="3:3" x14ac:dyDescent="0.2">
      <c r="C1042" s="339">
        <f>IF(Forside!$D$12="Dansk",Tekstnøgler!E1042,Tekstnøgler!G1042)</f>
        <v>0</v>
      </c>
    </row>
    <row r="1043" spans="3:3" x14ac:dyDescent="0.2">
      <c r="C1043" s="339">
        <f>IF(Forside!$D$12="Dansk",Tekstnøgler!E1043,Tekstnøgler!G1043)</f>
        <v>0</v>
      </c>
    </row>
    <row r="1044" spans="3:3" x14ac:dyDescent="0.2">
      <c r="C1044" s="339">
        <f>IF(Forside!$D$12="Dansk",Tekstnøgler!E1044,Tekstnøgler!G1044)</f>
        <v>0</v>
      </c>
    </row>
    <row r="1045" spans="3:3" x14ac:dyDescent="0.2">
      <c r="C1045" s="339">
        <f>IF(Forside!$D$12="Dansk",Tekstnøgler!E1045,Tekstnøgler!G1045)</f>
        <v>0</v>
      </c>
    </row>
    <row r="1046" spans="3:3" x14ac:dyDescent="0.2">
      <c r="C1046" s="339">
        <f>IF(Forside!$D$12="Dansk",Tekstnøgler!E1046,Tekstnøgler!G1046)</f>
        <v>0</v>
      </c>
    </row>
    <row r="1047" spans="3:3" x14ac:dyDescent="0.2">
      <c r="C1047" s="339">
        <f>IF(Forside!$D$12="Dansk",Tekstnøgler!E1047,Tekstnøgler!G1047)</f>
        <v>0</v>
      </c>
    </row>
    <row r="1048" spans="3:3" x14ac:dyDescent="0.2">
      <c r="C1048" s="339">
        <f>IF(Forside!$D$12="Dansk",Tekstnøgler!E1048,Tekstnøgler!G1048)</f>
        <v>0</v>
      </c>
    </row>
    <row r="1049" spans="3:3" x14ac:dyDescent="0.2">
      <c r="C1049" s="339">
        <f>IF(Forside!$D$12="Dansk",Tekstnøgler!E1049,Tekstnøgler!G1049)</f>
        <v>0</v>
      </c>
    </row>
    <row r="1050" spans="3:3" x14ac:dyDescent="0.2">
      <c r="C1050" s="339">
        <f>IF(Forside!$D$12="Dansk",Tekstnøgler!E1050,Tekstnøgler!G1050)</f>
        <v>0</v>
      </c>
    </row>
    <row r="1051" spans="3:3" x14ac:dyDescent="0.2">
      <c r="C1051" s="339">
        <f>IF(Forside!$D$12="Dansk",Tekstnøgler!E1051,Tekstnøgler!G1051)</f>
        <v>0</v>
      </c>
    </row>
    <row r="1052" spans="3:3" x14ac:dyDescent="0.2">
      <c r="C1052" s="339">
        <f>IF(Forside!$D$12="Dansk",Tekstnøgler!E1052,Tekstnøgler!G1052)</f>
        <v>0</v>
      </c>
    </row>
    <row r="1053" spans="3:3" x14ac:dyDescent="0.2">
      <c r="C1053" s="339">
        <f>IF(Forside!$D$12="Dansk",Tekstnøgler!E1053,Tekstnøgler!G1053)</f>
        <v>0</v>
      </c>
    </row>
    <row r="1054" spans="3:3" x14ac:dyDescent="0.2">
      <c r="C1054" s="339">
        <f>IF(Forside!$D$12="Dansk",Tekstnøgler!E1054,Tekstnøgler!G1054)</f>
        <v>0</v>
      </c>
    </row>
    <row r="1055" spans="3:3" x14ac:dyDescent="0.2">
      <c r="C1055" s="339">
        <f>IF(Forside!$D$12="Dansk",Tekstnøgler!E1055,Tekstnøgler!G1055)</f>
        <v>0</v>
      </c>
    </row>
    <row r="1056" spans="3:3" x14ac:dyDescent="0.2">
      <c r="C1056" s="339">
        <f>IF(Forside!$D$12="Dansk",Tekstnøgler!E1056,Tekstnøgler!G1056)</f>
        <v>0</v>
      </c>
    </row>
    <row r="1057" spans="3:3" x14ac:dyDescent="0.2">
      <c r="C1057" s="339">
        <f>IF(Forside!$D$12="Dansk",Tekstnøgler!E1057,Tekstnøgler!G1057)</f>
        <v>0</v>
      </c>
    </row>
    <row r="1058" spans="3:3" x14ac:dyDescent="0.2">
      <c r="C1058" s="339">
        <f>IF(Forside!$D$12="Dansk",Tekstnøgler!E1058,Tekstnøgler!G1058)</f>
        <v>0</v>
      </c>
    </row>
    <row r="1059" spans="3:3" x14ac:dyDescent="0.2">
      <c r="C1059" s="339">
        <f>IF(Forside!$D$12="Dansk",Tekstnøgler!E1059,Tekstnøgler!G1059)</f>
        <v>0</v>
      </c>
    </row>
    <row r="1060" spans="3:3" x14ac:dyDescent="0.2">
      <c r="C1060" s="339">
        <f>IF(Forside!$D$12="Dansk",Tekstnøgler!E1060,Tekstnøgler!G1060)</f>
        <v>0</v>
      </c>
    </row>
    <row r="1061" spans="3:3" x14ac:dyDescent="0.2">
      <c r="C1061" s="339">
        <f>IF(Forside!$D$12="Dansk",Tekstnøgler!E1061,Tekstnøgler!G1061)</f>
        <v>0</v>
      </c>
    </row>
    <row r="1062" spans="3:3" x14ac:dyDescent="0.2">
      <c r="C1062" s="339">
        <f>IF(Forside!$D$12="Dansk",Tekstnøgler!E1062,Tekstnøgler!G1062)</f>
        <v>0</v>
      </c>
    </row>
    <row r="1063" spans="3:3" x14ac:dyDescent="0.2">
      <c r="C1063" s="339">
        <f>IF(Forside!$D$12="Dansk",Tekstnøgler!E1063,Tekstnøgler!G1063)</f>
        <v>0</v>
      </c>
    </row>
    <row r="1064" spans="3:3" x14ac:dyDescent="0.2">
      <c r="C1064" s="339">
        <f>IF(Forside!$D$12="Dansk",Tekstnøgler!E1064,Tekstnøgler!G1064)</f>
        <v>0</v>
      </c>
    </row>
    <row r="1065" spans="3:3" x14ac:dyDescent="0.2">
      <c r="C1065" s="339">
        <f>IF(Forside!$D$12="Dansk",Tekstnøgler!E1065,Tekstnøgler!G1065)</f>
        <v>0</v>
      </c>
    </row>
    <row r="1066" spans="3:3" x14ac:dyDescent="0.2">
      <c r="C1066" s="339">
        <f>IF(Forside!$D$12="Dansk",Tekstnøgler!E1066,Tekstnøgler!G1066)</f>
        <v>0</v>
      </c>
    </row>
    <row r="1067" spans="3:3" x14ac:dyDescent="0.2">
      <c r="C1067" s="339">
        <f>IF(Forside!$D$12="Dansk",Tekstnøgler!E1067,Tekstnøgler!G1067)</f>
        <v>0</v>
      </c>
    </row>
    <row r="1068" spans="3:3" x14ac:dyDescent="0.2">
      <c r="C1068" s="339">
        <f>IF(Forside!$D$12="Dansk",Tekstnøgler!E1068,Tekstnøgler!G1068)</f>
        <v>0</v>
      </c>
    </row>
    <row r="1069" spans="3:3" x14ac:dyDescent="0.2">
      <c r="C1069" s="339">
        <f>IF(Forside!$D$12="Dansk",Tekstnøgler!E1069,Tekstnøgler!G1069)</f>
        <v>0</v>
      </c>
    </row>
    <row r="1070" spans="3:3" x14ac:dyDescent="0.2">
      <c r="C1070" s="339">
        <f>IF(Forside!$D$12="Dansk",Tekstnøgler!E1070,Tekstnøgler!G1070)</f>
        <v>0</v>
      </c>
    </row>
    <row r="1071" spans="3:3" x14ac:dyDescent="0.2">
      <c r="C1071" s="339">
        <f>IF(Forside!$D$12="Dansk",Tekstnøgler!E1071,Tekstnøgler!G1071)</f>
        <v>0</v>
      </c>
    </row>
    <row r="1072" spans="3:3" x14ac:dyDescent="0.2">
      <c r="C1072" s="339">
        <f>IF(Forside!$D$12="Dansk",Tekstnøgler!E1072,Tekstnøgler!G1072)</f>
        <v>0</v>
      </c>
    </row>
    <row r="1073" spans="3:3" x14ac:dyDescent="0.2">
      <c r="C1073" s="339">
        <f>IF(Forside!$D$12="Dansk",Tekstnøgler!E1073,Tekstnøgler!G1073)</f>
        <v>0</v>
      </c>
    </row>
    <row r="1074" spans="3:3" x14ac:dyDescent="0.2">
      <c r="C1074" s="339">
        <f>IF(Forside!$D$12="Dansk",Tekstnøgler!E1074,Tekstnøgler!G1074)</f>
        <v>0</v>
      </c>
    </row>
    <row r="1075" spans="3:3" x14ac:dyDescent="0.2">
      <c r="C1075" s="339">
        <f>IF(Forside!$D$12="Dansk",Tekstnøgler!E1075,Tekstnøgler!G1075)</f>
        <v>0</v>
      </c>
    </row>
    <row r="1076" spans="3:3" x14ac:dyDescent="0.2">
      <c r="C1076" s="339">
        <f>IF(Forside!$D$12="Dansk",Tekstnøgler!E1076,Tekstnøgler!G1076)</f>
        <v>0</v>
      </c>
    </row>
    <row r="1077" spans="3:3" x14ac:dyDescent="0.2">
      <c r="C1077" s="339">
        <f>IF(Forside!$D$12="Dansk",Tekstnøgler!E1077,Tekstnøgler!G1077)</f>
        <v>0</v>
      </c>
    </row>
    <row r="1078" spans="3:3" x14ac:dyDescent="0.2">
      <c r="C1078" s="339">
        <f>IF(Forside!$D$12="Dansk",Tekstnøgler!E1078,Tekstnøgler!G1078)</f>
        <v>0</v>
      </c>
    </row>
    <row r="1079" spans="3:3" x14ac:dyDescent="0.2">
      <c r="C1079" s="339">
        <f>IF(Forside!$D$12="Dansk",Tekstnøgler!E1079,Tekstnøgler!G1079)</f>
        <v>0</v>
      </c>
    </row>
    <row r="1080" spans="3:3" x14ac:dyDescent="0.2">
      <c r="C1080" s="339">
        <f>IF(Forside!$D$12="Dansk",Tekstnøgler!E1080,Tekstnøgler!G1080)</f>
        <v>0</v>
      </c>
    </row>
    <row r="1081" spans="3:3" x14ac:dyDescent="0.2">
      <c r="C1081" s="339">
        <f>IF(Forside!$D$12="Dansk",Tekstnøgler!E1081,Tekstnøgler!G1081)</f>
        <v>0</v>
      </c>
    </row>
    <row r="1082" spans="3:3" x14ac:dyDescent="0.2">
      <c r="C1082" s="339">
        <f>IF(Forside!$D$12="Dansk",Tekstnøgler!E1082,Tekstnøgler!G1082)</f>
        <v>0</v>
      </c>
    </row>
    <row r="1083" spans="3:3" x14ac:dyDescent="0.2">
      <c r="C1083" s="339">
        <f>IF(Forside!$D$12="Dansk",Tekstnøgler!E1083,Tekstnøgler!G1083)</f>
        <v>0</v>
      </c>
    </row>
    <row r="1084" spans="3:3" x14ac:dyDescent="0.2">
      <c r="C1084" s="339">
        <f>IF(Forside!$D$12="Dansk",Tekstnøgler!E1084,Tekstnøgler!G1084)</f>
        <v>0</v>
      </c>
    </row>
    <row r="1085" spans="3:3" x14ac:dyDescent="0.2">
      <c r="C1085" s="339">
        <f>IF(Forside!$D$12="Dansk",Tekstnøgler!E1085,Tekstnøgler!G1085)</f>
        <v>0</v>
      </c>
    </row>
    <row r="1086" spans="3:3" x14ac:dyDescent="0.2">
      <c r="C1086" s="339">
        <f>IF(Forside!$D$12="Dansk",Tekstnøgler!E1086,Tekstnøgler!G1086)</f>
        <v>0</v>
      </c>
    </row>
    <row r="1087" spans="3:3" x14ac:dyDescent="0.2">
      <c r="C1087" s="339">
        <f>IF(Forside!$D$12="Dansk",Tekstnøgler!E1087,Tekstnøgler!G1087)</f>
        <v>0</v>
      </c>
    </row>
    <row r="1088" spans="3:3" x14ac:dyDescent="0.2">
      <c r="C1088" s="339">
        <f>IF(Forside!$D$12="Dansk",Tekstnøgler!E1088,Tekstnøgler!G1088)</f>
        <v>0</v>
      </c>
    </row>
    <row r="1089" spans="3:3" x14ac:dyDescent="0.2">
      <c r="C1089" s="339">
        <f>IF(Forside!$D$12="Dansk",Tekstnøgler!E1089,Tekstnøgler!G1089)</f>
        <v>0</v>
      </c>
    </row>
    <row r="1090" spans="3:3" x14ac:dyDescent="0.2">
      <c r="C1090" s="339">
        <f>IF(Forside!$D$12="Dansk",Tekstnøgler!E1090,Tekstnøgler!G1090)</f>
        <v>0</v>
      </c>
    </row>
    <row r="1091" spans="3:3" x14ac:dyDescent="0.2">
      <c r="C1091" s="339">
        <f>IF(Forside!$D$12="Dansk",Tekstnøgler!E1091,Tekstnøgler!G1091)</f>
        <v>0</v>
      </c>
    </row>
    <row r="1092" spans="3:3" x14ac:dyDescent="0.2">
      <c r="C1092" s="339">
        <f>IF(Forside!$D$12="Dansk",Tekstnøgler!E1092,Tekstnøgler!G1092)</f>
        <v>0</v>
      </c>
    </row>
    <row r="1093" spans="3:3" x14ac:dyDescent="0.2">
      <c r="C1093" s="339">
        <f>IF(Forside!$D$12="Dansk",Tekstnøgler!E1093,Tekstnøgler!G1093)</f>
        <v>0</v>
      </c>
    </row>
    <row r="1094" spans="3:3" x14ac:dyDescent="0.2">
      <c r="C1094" s="339">
        <f>IF(Forside!$D$12="Dansk",Tekstnøgler!E1094,Tekstnøgler!G1094)</f>
        <v>0</v>
      </c>
    </row>
    <row r="1095" spans="3:3" x14ac:dyDescent="0.2">
      <c r="C1095" s="339">
        <f>IF(Forside!$D$12="Dansk",Tekstnøgler!E1095,Tekstnøgler!G1095)</f>
        <v>0</v>
      </c>
    </row>
    <row r="1096" spans="3:3" x14ac:dyDescent="0.2">
      <c r="C1096" s="339">
        <f>IF(Forside!$D$12="Dansk",Tekstnøgler!E1096,Tekstnøgler!G1096)</f>
        <v>0</v>
      </c>
    </row>
    <row r="1097" spans="3:3" x14ac:dyDescent="0.2">
      <c r="C1097" s="339">
        <f>IF(Forside!$D$12="Dansk",Tekstnøgler!E1097,Tekstnøgler!G1097)</f>
        <v>0</v>
      </c>
    </row>
    <row r="1098" spans="3:3" x14ac:dyDescent="0.2">
      <c r="C1098" s="339">
        <f>IF(Forside!$D$12="Dansk",Tekstnøgler!E1098,Tekstnøgler!G1098)</f>
        <v>0</v>
      </c>
    </row>
    <row r="1099" spans="3:3" x14ac:dyDescent="0.2">
      <c r="C1099" s="339">
        <f>IF(Forside!$D$12="Dansk",Tekstnøgler!E1099,Tekstnøgler!G1099)</f>
        <v>0</v>
      </c>
    </row>
    <row r="1100" spans="3:3" x14ac:dyDescent="0.2">
      <c r="C1100" s="339">
        <f>IF(Forside!$D$12="Dansk",Tekstnøgler!E1100,Tekstnøgler!G1100)</f>
        <v>0</v>
      </c>
    </row>
    <row r="1101" spans="3:3" x14ac:dyDescent="0.2">
      <c r="C1101" s="339">
        <f>IF(Forside!$D$12="Dansk",Tekstnøgler!E1101,Tekstnøgler!G1101)</f>
        <v>0</v>
      </c>
    </row>
    <row r="1102" spans="3:3" x14ac:dyDescent="0.2">
      <c r="C1102" s="339">
        <f>IF(Forside!$D$12="Dansk",Tekstnøgler!E1102,Tekstnøgler!G1102)</f>
        <v>0</v>
      </c>
    </row>
    <row r="1103" spans="3:3" x14ac:dyDescent="0.2">
      <c r="C1103" s="339">
        <f>IF(Forside!$D$12="Dansk",Tekstnøgler!E1103,Tekstnøgler!G1103)</f>
        <v>0</v>
      </c>
    </row>
    <row r="1104" spans="3:3" x14ac:dyDescent="0.2">
      <c r="C1104" s="339">
        <f>IF(Forside!$D$12="Dansk",Tekstnøgler!E1104,Tekstnøgler!G1104)</f>
        <v>0</v>
      </c>
    </row>
    <row r="1105" spans="3:3" x14ac:dyDescent="0.2">
      <c r="C1105" s="339">
        <f>IF(Forside!$D$12="Dansk",Tekstnøgler!E1105,Tekstnøgler!G1105)</f>
        <v>0</v>
      </c>
    </row>
    <row r="1106" spans="3:3" x14ac:dyDescent="0.2">
      <c r="C1106" s="339">
        <f>IF(Forside!$D$12="Dansk",Tekstnøgler!E1106,Tekstnøgler!G1106)</f>
        <v>0</v>
      </c>
    </row>
    <row r="1107" spans="3:3" x14ac:dyDescent="0.2">
      <c r="C1107" s="339">
        <f>IF(Forside!$D$12="Dansk",Tekstnøgler!E1107,Tekstnøgler!G1107)</f>
        <v>0</v>
      </c>
    </row>
    <row r="1108" spans="3:3" x14ac:dyDescent="0.2">
      <c r="C1108" s="339">
        <f>IF(Forside!$D$12="Dansk",Tekstnøgler!E1108,Tekstnøgler!G1108)</f>
        <v>0</v>
      </c>
    </row>
    <row r="1109" spans="3:3" x14ac:dyDescent="0.2">
      <c r="C1109" s="339">
        <f>IF(Forside!$D$12="Dansk",Tekstnøgler!E1109,Tekstnøgler!G1109)</f>
        <v>0</v>
      </c>
    </row>
    <row r="1110" spans="3:3" x14ac:dyDescent="0.2">
      <c r="C1110" s="339">
        <f>IF(Forside!$D$12="Dansk",Tekstnøgler!E1110,Tekstnøgler!G1110)</f>
        <v>0</v>
      </c>
    </row>
    <row r="1111" spans="3:3" x14ac:dyDescent="0.2">
      <c r="C1111" s="339">
        <f>IF(Forside!$D$12="Dansk",Tekstnøgler!E1111,Tekstnøgler!G1111)</f>
        <v>0</v>
      </c>
    </row>
    <row r="1112" spans="3:3" x14ac:dyDescent="0.2">
      <c r="C1112" s="339">
        <f>IF(Forside!$D$12="Dansk",Tekstnøgler!E1112,Tekstnøgler!G1112)</f>
        <v>0</v>
      </c>
    </row>
    <row r="1113" spans="3:3" x14ac:dyDescent="0.2">
      <c r="C1113" s="339">
        <f>IF(Forside!$D$12="Dansk",Tekstnøgler!E1113,Tekstnøgler!G1113)</f>
        <v>0</v>
      </c>
    </row>
    <row r="1114" spans="3:3" x14ac:dyDescent="0.2">
      <c r="C1114" s="339">
        <f>IF(Forside!$D$12="Dansk",Tekstnøgler!E1114,Tekstnøgler!G1114)</f>
        <v>0</v>
      </c>
    </row>
    <row r="1115" spans="3:3" x14ac:dyDescent="0.2">
      <c r="C1115" s="339">
        <f>IF(Forside!$D$12="Dansk",Tekstnøgler!E1115,Tekstnøgler!G1115)</f>
        <v>0</v>
      </c>
    </row>
    <row r="1116" spans="3:3" x14ac:dyDescent="0.2">
      <c r="C1116" s="339">
        <f>IF(Forside!$D$12="Dansk",Tekstnøgler!E1116,Tekstnøgler!G1116)</f>
        <v>0</v>
      </c>
    </row>
    <row r="1117" spans="3:3" x14ac:dyDescent="0.2">
      <c r="C1117" s="339">
        <f>IF(Forside!$D$12="Dansk",Tekstnøgler!E1117,Tekstnøgler!G1117)</f>
        <v>0</v>
      </c>
    </row>
    <row r="1118" spans="3:3" x14ac:dyDescent="0.2">
      <c r="C1118" s="339">
        <f>IF(Forside!$D$12="Dansk",Tekstnøgler!E1118,Tekstnøgler!G1118)</f>
        <v>0</v>
      </c>
    </row>
    <row r="1119" spans="3:3" x14ac:dyDescent="0.2">
      <c r="C1119" s="339">
        <f>IF(Forside!$D$12="Dansk",Tekstnøgler!E1119,Tekstnøgler!G1119)</f>
        <v>0</v>
      </c>
    </row>
    <row r="1120" spans="3:3" x14ac:dyDescent="0.2">
      <c r="C1120" s="339">
        <f>IF(Forside!$D$12="Dansk",Tekstnøgler!E1120,Tekstnøgler!G1120)</f>
        <v>0</v>
      </c>
    </row>
    <row r="1121" spans="3:3" x14ac:dyDescent="0.2">
      <c r="C1121" s="339">
        <f>IF(Forside!$D$12="Dansk",Tekstnøgler!E1121,Tekstnøgler!G1121)</f>
        <v>0</v>
      </c>
    </row>
    <row r="1122" spans="3:3" x14ac:dyDescent="0.2">
      <c r="C1122" s="339">
        <f>IF(Forside!$D$12="Dansk",Tekstnøgler!E1122,Tekstnøgler!G1122)</f>
        <v>0</v>
      </c>
    </row>
    <row r="1123" spans="3:3" x14ac:dyDescent="0.2">
      <c r="C1123" s="339">
        <f>IF(Forside!$D$12="Dansk",Tekstnøgler!E1123,Tekstnøgler!G1123)</f>
        <v>0</v>
      </c>
    </row>
    <row r="1124" spans="3:3" x14ac:dyDescent="0.2">
      <c r="C1124" s="339">
        <f>IF(Forside!$D$12="Dansk",Tekstnøgler!E1124,Tekstnøgler!G1124)</f>
        <v>0</v>
      </c>
    </row>
    <row r="1125" spans="3:3" x14ac:dyDescent="0.2">
      <c r="C1125" s="339">
        <f>IF(Forside!$D$12="Dansk",Tekstnøgler!E1125,Tekstnøgler!G1125)</f>
        <v>0</v>
      </c>
    </row>
    <row r="1126" spans="3:3" x14ac:dyDescent="0.2">
      <c r="C1126" s="339">
        <f>IF(Forside!$D$12="Dansk",Tekstnøgler!E1126,Tekstnøgler!G1126)</f>
        <v>0</v>
      </c>
    </row>
    <row r="1127" spans="3:3" x14ac:dyDescent="0.2">
      <c r="C1127" s="339">
        <f>IF(Forside!$D$12="Dansk",Tekstnøgler!E1127,Tekstnøgler!G1127)</f>
        <v>0</v>
      </c>
    </row>
    <row r="1128" spans="3:3" x14ac:dyDescent="0.2">
      <c r="C1128" s="339">
        <f>IF(Forside!$D$12="Dansk",Tekstnøgler!E1128,Tekstnøgler!G1128)</f>
        <v>0</v>
      </c>
    </row>
    <row r="1129" spans="3:3" x14ac:dyDescent="0.2">
      <c r="C1129" s="339">
        <f>IF(Forside!$D$12="Dansk",Tekstnøgler!E1129,Tekstnøgler!G1129)</f>
        <v>0</v>
      </c>
    </row>
    <row r="1130" spans="3:3" x14ac:dyDescent="0.2">
      <c r="C1130" s="339">
        <f>IF(Forside!$D$12="Dansk",Tekstnøgler!E1130,Tekstnøgler!G1130)</f>
        <v>0</v>
      </c>
    </row>
    <row r="1131" spans="3:3" x14ac:dyDescent="0.2">
      <c r="C1131" s="339">
        <f>IF(Forside!$D$12="Dansk",Tekstnøgler!E1131,Tekstnøgler!G1131)</f>
        <v>0</v>
      </c>
    </row>
    <row r="1132" spans="3:3" x14ac:dyDescent="0.2">
      <c r="C1132" s="339">
        <f>IF(Forside!$D$12="Dansk",Tekstnøgler!E1132,Tekstnøgler!G1132)</f>
        <v>0</v>
      </c>
    </row>
    <row r="1133" spans="3:3" x14ac:dyDescent="0.2">
      <c r="C1133" s="339">
        <f>IF(Forside!$D$12="Dansk",Tekstnøgler!E1133,Tekstnøgler!G1133)</f>
        <v>0</v>
      </c>
    </row>
    <row r="1134" spans="3:3" x14ac:dyDescent="0.2">
      <c r="C1134" s="339">
        <f>IF(Forside!$D$12="Dansk",Tekstnøgler!E1134,Tekstnøgler!G1134)</f>
        <v>0</v>
      </c>
    </row>
    <row r="1135" spans="3:3" x14ac:dyDescent="0.2">
      <c r="C1135" s="339">
        <f>IF(Forside!$D$12="Dansk",Tekstnøgler!E1135,Tekstnøgler!G1135)</f>
        <v>0</v>
      </c>
    </row>
    <row r="1136" spans="3:3" x14ac:dyDescent="0.2">
      <c r="C1136" s="339">
        <f>IF(Forside!$D$12="Dansk",Tekstnøgler!E1136,Tekstnøgler!G1136)</f>
        <v>0</v>
      </c>
    </row>
    <row r="1137" spans="3:3" x14ac:dyDescent="0.2">
      <c r="C1137" s="339">
        <f>IF(Forside!$D$12="Dansk",Tekstnøgler!E1137,Tekstnøgler!G1137)</f>
        <v>0</v>
      </c>
    </row>
    <row r="1138" spans="3:3" x14ac:dyDescent="0.2">
      <c r="C1138" s="339">
        <f>IF(Forside!$D$12="Dansk",Tekstnøgler!E1138,Tekstnøgler!G1138)</f>
        <v>0</v>
      </c>
    </row>
    <row r="1139" spans="3:3" x14ac:dyDescent="0.2">
      <c r="C1139" s="339">
        <f>IF(Forside!$D$12="Dansk",Tekstnøgler!E1139,Tekstnøgler!G1139)</f>
        <v>0</v>
      </c>
    </row>
    <row r="1140" spans="3:3" x14ac:dyDescent="0.2">
      <c r="C1140" s="339">
        <f>IF(Forside!$D$12="Dansk",Tekstnøgler!E1140,Tekstnøgler!G1140)</f>
        <v>0</v>
      </c>
    </row>
    <row r="1141" spans="3:3" x14ac:dyDescent="0.2">
      <c r="C1141" s="339">
        <f>IF(Forside!$D$12="Dansk",Tekstnøgler!E1141,Tekstnøgler!G1141)</f>
        <v>0</v>
      </c>
    </row>
    <row r="1142" spans="3:3" x14ac:dyDescent="0.2">
      <c r="C1142" s="339">
        <f>IF(Forside!$D$12="Dansk",Tekstnøgler!E1142,Tekstnøgler!G1142)</f>
        <v>0</v>
      </c>
    </row>
    <row r="1143" spans="3:3" x14ac:dyDescent="0.2">
      <c r="C1143" s="339">
        <f>IF(Forside!$D$12="Dansk",Tekstnøgler!E1143,Tekstnøgler!G1143)</f>
        <v>0</v>
      </c>
    </row>
    <row r="1144" spans="3:3" x14ac:dyDescent="0.2">
      <c r="C1144" s="339">
        <f>IF(Forside!$D$12="Dansk",Tekstnøgler!E1144,Tekstnøgler!G1144)</f>
        <v>0</v>
      </c>
    </row>
    <row r="1145" spans="3:3" x14ac:dyDescent="0.2">
      <c r="C1145" s="339">
        <f>IF(Forside!$D$12="Dansk",Tekstnøgler!E1145,Tekstnøgler!G1145)</f>
        <v>0</v>
      </c>
    </row>
    <row r="1146" spans="3:3" x14ac:dyDescent="0.2">
      <c r="C1146" s="339">
        <f>IF(Forside!$D$12="Dansk",Tekstnøgler!E1146,Tekstnøgler!G1146)</f>
        <v>0</v>
      </c>
    </row>
    <row r="1147" spans="3:3" x14ac:dyDescent="0.2">
      <c r="C1147" s="339">
        <f>IF(Forside!$D$12="Dansk",Tekstnøgler!E1147,Tekstnøgler!G1147)</f>
        <v>0</v>
      </c>
    </row>
    <row r="1148" spans="3:3" x14ac:dyDescent="0.2">
      <c r="C1148" s="339">
        <f>IF(Forside!$D$12="Dansk",Tekstnøgler!E1148,Tekstnøgler!G1148)</f>
        <v>0</v>
      </c>
    </row>
    <row r="1149" spans="3:3" x14ac:dyDescent="0.2">
      <c r="C1149" s="339">
        <f>IF(Forside!$D$12="Dansk",Tekstnøgler!E1149,Tekstnøgler!G1149)</f>
        <v>0</v>
      </c>
    </row>
    <row r="1150" spans="3:3" x14ac:dyDescent="0.2">
      <c r="C1150" s="339">
        <f>IF(Forside!$D$12="Dansk",Tekstnøgler!E1150,Tekstnøgler!G1150)</f>
        <v>0</v>
      </c>
    </row>
    <row r="1151" spans="3:3" x14ac:dyDescent="0.2">
      <c r="C1151" s="339">
        <f>IF(Forside!$D$12="Dansk",Tekstnøgler!E1151,Tekstnøgler!G1151)</f>
        <v>0</v>
      </c>
    </row>
    <row r="1152" spans="3:3" x14ac:dyDescent="0.2">
      <c r="C1152" s="339">
        <f>IF(Forside!$D$12="Dansk",Tekstnøgler!E1152,Tekstnøgler!G1152)</f>
        <v>0</v>
      </c>
    </row>
    <row r="1153" spans="3:3" x14ac:dyDescent="0.2">
      <c r="C1153" s="339">
        <f>IF(Forside!$D$12="Dansk",Tekstnøgler!E1153,Tekstnøgler!G1153)</f>
        <v>0</v>
      </c>
    </row>
    <row r="1154" spans="3:3" x14ac:dyDescent="0.2">
      <c r="C1154" s="339">
        <f>IF(Forside!$D$12="Dansk",Tekstnøgler!E1154,Tekstnøgler!G1154)</f>
        <v>0</v>
      </c>
    </row>
    <row r="1155" spans="3:3" x14ac:dyDescent="0.2">
      <c r="C1155" s="339">
        <f>IF(Forside!$D$12="Dansk",Tekstnøgler!E1155,Tekstnøgler!G1155)</f>
        <v>0</v>
      </c>
    </row>
    <row r="1156" spans="3:3" x14ac:dyDescent="0.2">
      <c r="C1156" s="339">
        <f>IF(Forside!$D$12="Dansk",Tekstnøgler!E1156,Tekstnøgler!G1156)</f>
        <v>0</v>
      </c>
    </row>
    <row r="1157" spans="3:3" x14ac:dyDescent="0.2">
      <c r="C1157" s="339">
        <f>IF(Forside!$D$12="Dansk",Tekstnøgler!E1157,Tekstnøgler!G1157)</f>
        <v>0</v>
      </c>
    </row>
    <row r="1158" spans="3:3" x14ac:dyDescent="0.2">
      <c r="C1158" s="339">
        <f>IF(Forside!$D$12="Dansk",Tekstnøgler!E1158,Tekstnøgler!G1158)</f>
        <v>0</v>
      </c>
    </row>
    <row r="1159" spans="3:3" x14ac:dyDescent="0.2">
      <c r="C1159" s="339">
        <f>IF(Forside!$D$12="Dansk",Tekstnøgler!E1159,Tekstnøgler!G1159)</f>
        <v>0</v>
      </c>
    </row>
    <row r="1160" spans="3:3" x14ac:dyDescent="0.2">
      <c r="C1160" s="339">
        <f>IF(Forside!$D$12="Dansk",Tekstnøgler!E1160,Tekstnøgler!G1160)</f>
        <v>0</v>
      </c>
    </row>
    <row r="1161" spans="3:3" x14ac:dyDescent="0.2">
      <c r="C1161" s="339">
        <f>IF(Forside!$D$12="Dansk",Tekstnøgler!E1161,Tekstnøgler!G1161)</f>
        <v>0</v>
      </c>
    </row>
    <row r="1162" spans="3:3" x14ac:dyDescent="0.2">
      <c r="C1162" s="339">
        <f>IF(Forside!$D$12="Dansk",Tekstnøgler!E1162,Tekstnøgler!G1162)</f>
        <v>0</v>
      </c>
    </row>
    <row r="1163" spans="3:3" x14ac:dyDescent="0.2">
      <c r="C1163" s="339">
        <f>IF(Forside!$D$12="Dansk",Tekstnøgler!E1163,Tekstnøgler!G1163)</f>
        <v>0</v>
      </c>
    </row>
    <row r="1164" spans="3:3" x14ac:dyDescent="0.2">
      <c r="C1164" s="339">
        <f>IF(Forside!$D$12="Dansk",Tekstnøgler!E1164,Tekstnøgler!G1164)</f>
        <v>0</v>
      </c>
    </row>
    <row r="1165" spans="3:3" x14ac:dyDescent="0.2">
      <c r="C1165" s="339">
        <f>IF(Forside!$D$12="Dansk",Tekstnøgler!E1165,Tekstnøgler!G1165)</f>
        <v>0</v>
      </c>
    </row>
    <row r="1166" spans="3:3" x14ac:dyDescent="0.2">
      <c r="C1166" s="339">
        <f>IF(Forside!$D$12="Dansk",Tekstnøgler!E1166,Tekstnøgler!G1166)</f>
        <v>0</v>
      </c>
    </row>
    <row r="1167" spans="3:3" x14ac:dyDescent="0.2">
      <c r="C1167" s="339">
        <f>IF(Forside!$D$12="Dansk",Tekstnøgler!E1167,Tekstnøgler!G1167)</f>
        <v>0</v>
      </c>
    </row>
    <row r="1168" spans="3:3" x14ac:dyDescent="0.2">
      <c r="C1168" s="339">
        <f>IF(Forside!$D$12="Dansk",Tekstnøgler!E1168,Tekstnøgler!G1168)</f>
        <v>0</v>
      </c>
    </row>
    <row r="1169" spans="3:3" x14ac:dyDescent="0.2">
      <c r="C1169" s="339">
        <f>IF(Forside!$D$12="Dansk",Tekstnøgler!E1169,Tekstnøgler!G1169)</f>
        <v>0</v>
      </c>
    </row>
    <row r="1170" spans="3:3" x14ac:dyDescent="0.2">
      <c r="C1170" s="339">
        <f>IF(Forside!$D$12="Dansk",Tekstnøgler!E1170,Tekstnøgler!G1170)</f>
        <v>0</v>
      </c>
    </row>
    <row r="1171" spans="3:3" x14ac:dyDescent="0.2">
      <c r="C1171" s="339">
        <f>IF(Forside!$D$12="Dansk",Tekstnøgler!E1171,Tekstnøgler!G1171)</f>
        <v>0</v>
      </c>
    </row>
    <row r="1172" spans="3:3" x14ac:dyDescent="0.2">
      <c r="C1172" s="339">
        <f>IF(Forside!$D$12="Dansk",Tekstnøgler!E1172,Tekstnøgler!G1172)</f>
        <v>0</v>
      </c>
    </row>
    <row r="1173" spans="3:3" x14ac:dyDescent="0.2">
      <c r="C1173" s="339">
        <f>IF(Forside!$D$12="Dansk",Tekstnøgler!E1173,Tekstnøgler!G1173)</f>
        <v>0</v>
      </c>
    </row>
    <row r="1174" spans="3:3" x14ac:dyDescent="0.2">
      <c r="C1174" s="339">
        <f>IF(Forside!$D$12="Dansk",Tekstnøgler!E1174,Tekstnøgler!G1174)</f>
        <v>0</v>
      </c>
    </row>
    <row r="1175" spans="3:3" x14ac:dyDescent="0.2">
      <c r="C1175" s="339">
        <f>IF(Forside!$D$12="Dansk",Tekstnøgler!E1175,Tekstnøgler!G1175)</f>
        <v>0</v>
      </c>
    </row>
    <row r="1176" spans="3:3" x14ac:dyDescent="0.2">
      <c r="C1176" s="339">
        <f>IF(Forside!$D$12="Dansk",Tekstnøgler!E1176,Tekstnøgler!G1176)</f>
        <v>0</v>
      </c>
    </row>
    <row r="1177" spans="3:3" x14ac:dyDescent="0.2">
      <c r="C1177" s="339">
        <f>IF(Forside!$D$12="Dansk",Tekstnøgler!E1177,Tekstnøgler!G1177)</f>
        <v>0</v>
      </c>
    </row>
    <row r="1178" spans="3:3" x14ac:dyDescent="0.2">
      <c r="C1178" s="339">
        <f>IF(Forside!$D$12="Dansk",Tekstnøgler!E1178,Tekstnøgler!G1178)</f>
        <v>0</v>
      </c>
    </row>
    <row r="1179" spans="3:3" x14ac:dyDescent="0.2">
      <c r="C1179" s="339">
        <f>IF(Forside!$D$12="Dansk",Tekstnøgler!E1179,Tekstnøgler!G1179)</f>
        <v>0</v>
      </c>
    </row>
    <row r="1180" spans="3:3" x14ac:dyDescent="0.2">
      <c r="C1180" s="339">
        <f>IF(Forside!$D$12="Dansk",Tekstnøgler!E1180,Tekstnøgler!G1180)</f>
        <v>0</v>
      </c>
    </row>
    <row r="1181" spans="3:3" x14ac:dyDescent="0.2">
      <c r="C1181" s="339">
        <f>IF(Forside!$D$12="Dansk",Tekstnøgler!E1181,Tekstnøgler!G1181)</f>
        <v>0</v>
      </c>
    </row>
    <row r="1182" spans="3:3" x14ac:dyDescent="0.2">
      <c r="C1182" s="339">
        <f>IF(Forside!$D$12="Dansk",Tekstnøgler!E1182,Tekstnøgler!G1182)</f>
        <v>0</v>
      </c>
    </row>
    <row r="1183" spans="3:3" x14ac:dyDescent="0.2">
      <c r="C1183" s="339">
        <f>IF(Forside!$D$12="Dansk",Tekstnøgler!E1183,Tekstnøgler!G1183)</f>
        <v>0</v>
      </c>
    </row>
    <row r="1184" spans="3:3" x14ac:dyDescent="0.2">
      <c r="C1184" s="339">
        <f>IF(Forside!$D$12="Dansk",Tekstnøgler!E1184,Tekstnøgler!G1184)</f>
        <v>0</v>
      </c>
    </row>
    <row r="1185" spans="3:3" x14ac:dyDescent="0.2">
      <c r="C1185" s="339">
        <f>IF(Forside!$D$12="Dansk",Tekstnøgler!E1185,Tekstnøgler!G1185)</f>
        <v>0</v>
      </c>
    </row>
    <row r="1186" spans="3:3" x14ac:dyDescent="0.2">
      <c r="C1186" s="339">
        <f>IF(Forside!$D$12="Dansk",Tekstnøgler!E1186,Tekstnøgler!G1186)</f>
        <v>0</v>
      </c>
    </row>
    <row r="1187" spans="3:3" x14ac:dyDescent="0.2">
      <c r="C1187" s="339">
        <f>IF(Forside!$D$12="Dansk",Tekstnøgler!E1187,Tekstnøgler!G1187)</f>
        <v>0</v>
      </c>
    </row>
    <row r="1188" spans="3:3" x14ac:dyDescent="0.2">
      <c r="C1188" s="339">
        <f>IF(Forside!$D$12="Dansk",Tekstnøgler!E1188,Tekstnøgler!G1188)</f>
        <v>0</v>
      </c>
    </row>
    <row r="1189" spans="3:3" x14ac:dyDescent="0.2">
      <c r="C1189" s="339">
        <f>IF(Forside!$D$12="Dansk",Tekstnøgler!E1189,Tekstnøgler!G1189)</f>
        <v>0</v>
      </c>
    </row>
    <row r="1190" spans="3:3" x14ac:dyDescent="0.2">
      <c r="C1190" s="339">
        <f>IF(Forside!$D$12="Dansk",Tekstnøgler!E1190,Tekstnøgler!G1190)</f>
        <v>0</v>
      </c>
    </row>
    <row r="1191" spans="3:3" x14ac:dyDescent="0.2">
      <c r="C1191" s="339">
        <f>IF(Forside!$D$12="Dansk",Tekstnøgler!E1191,Tekstnøgler!G1191)</f>
        <v>0</v>
      </c>
    </row>
    <row r="1192" spans="3:3" x14ac:dyDescent="0.2">
      <c r="C1192" s="339">
        <f>IF(Forside!$D$12="Dansk",Tekstnøgler!E1192,Tekstnøgler!G1192)</f>
        <v>0</v>
      </c>
    </row>
    <row r="1193" spans="3:3" x14ac:dyDescent="0.2">
      <c r="C1193" s="339">
        <f>IF(Forside!$D$12="Dansk",Tekstnøgler!E1193,Tekstnøgler!G1193)</f>
        <v>0</v>
      </c>
    </row>
    <row r="1194" spans="3:3" x14ac:dyDescent="0.2">
      <c r="C1194" s="339">
        <f>IF(Forside!$D$12="Dansk",Tekstnøgler!E1194,Tekstnøgler!G1194)</f>
        <v>0</v>
      </c>
    </row>
    <row r="1195" spans="3:3" x14ac:dyDescent="0.2">
      <c r="C1195" s="339">
        <f>IF(Forside!$D$12="Dansk",Tekstnøgler!E1195,Tekstnøgler!G1195)</f>
        <v>0</v>
      </c>
    </row>
    <row r="1196" spans="3:3" x14ac:dyDescent="0.2">
      <c r="C1196" s="339">
        <f>IF(Forside!$D$12="Dansk",Tekstnøgler!E1196,Tekstnøgler!G1196)</f>
        <v>0</v>
      </c>
    </row>
    <row r="1197" spans="3:3" x14ac:dyDescent="0.2">
      <c r="C1197" s="339">
        <f>IF(Forside!$D$12="Dansk",Tekstnøgler!E1197,Tekstnøgler!G1197)</f>
        <v>0</v>
      </c>
    </row>
    <row r="1198" spans="3:3" x14ac:dyDescent="0.2">
      <c r="C1198" s="339">
        <f>IF(Forside!$D$12="Dansk",Tekstnøgler!E1198,Tekstnøgler!G1198)</f>
        <v>0</v>
      </c>
    </row>
    <row r="1199" spans="3:3" x14ac:dyDescent="0.2">
      <c r="C1199" s="339">
        <f>IF(Forside!$D$12="Dansk",Tekstnøgler!E1199,Tekstnøgler!G1199)</f>
        <v>0</v>
      </c>
    </row>
    <row r="1200" spans="3:3" x14ac:dyDescent="0.2">
      <c r="C1200" s="339">
        <f>IF(Forside!$D$12="Dansk",Tekstnøgler!E1200,Tekstnøgler!G1200)</f>
        <v>0</v>
      </c>
    </row>
    <row r="1201" spans="3:3" x14ac:dyDescent="0.2">
      <c r="C1201" s="339">
        <f>IF(Forside!$D$12="Dansk",Tekstnøgler!E1201,Tekstnøgler!G1201)</f>
        <v>0</v>
      </c>
    </row>
    <row r="1202" spans="3:3" x14ac:dyDescent="0.2">
      <c r="C1202" s="339">
        <f>IF(Forside!$D$12="Dansk",Tekstnøgler!E1202,Tekstnøgler!G1202)</f>
        <v>0</v>
      </c>
    </row>
    <row r="1203" spans="3:3" x14ac:dyDescent="0.2">
      <c r="C1203" s="339">
        <f>IF(Forside!$D$12="Dansk",Tekstnøgler!E1203,Tekstnøgler!G1203)</f>
        <v>0</v>
      </c>
    </row>
    <row r="1204" spans="3:3" x14ac:dyDescent="0.2">
      <c r="C1204" s="339">
        <f>IF(Forside!$D$12="Dansk",Tekstnøgler!E1204,Tekstnøgler!G1204)</f>
        <v>0</v>
      </c>
    </row>
    <row r="1205" spans="3:3" x14ac:dyDescent="0.2">
      <c r="C1205" s="339">
        <f>IF(Forside!$D$12="Dansk",Tekstnøgler!E1205,Tekstnøgler!G1205)</f>
        <v>0</v>
      </c>
    </row>
    <row r="1206" spans="3:3" x14ac:dyDescent="0.2">
      <c r="C1206" s="339">
        <f>IF(Forside!$D$12="Dansk",Tekstnøgler!E1206,Tekstnøgler!G1206)</f>
        <v>0</v>
      </c>
    </row>
    <row r="1207" spans="3:3" x14ac:dyDescent="0.2">
      <c r="C1207" s="339">
        <f>IF(Forside!$D$12="Dansk",Tekstnøgler!E1207,Tekstnøgler!G1207)</f>
        <v>0</v>
      </c>
    </row>
    <row r="1208" spans="3:3" x14ac:dyDescent="0.2">
      <c r="C1208" s="339">
        <f>IF(Forside!$D$12="Dansk",Tekstnøgler!E1208,Tekstnøgler!G1208)</f>
        <v>0</v>
      </c>
    </row>
    <row r="1209" spans="3:3" x14ac:dyDescent="0.2">
      <c r="C1209" s="339">
        <f>IF(Forside!$D$12="Dansk",Tekstnøgler!E1209,Tekstnøgler!G1209)</f>
        <v>0</v>
      </c>
    </row>
    <row r="1210" spans="3:3" x14ac:dyDescent="0.2">
      <c r="C1210" s="339">
        <f>IF(Forside!$D$12="Dansk",Tekstnøgler!E1210,Tekstnøgler!G1210)</f>
        <v>0</v>
      </c>
    </row>
    <row r="1211" spans="3:3" x14ac:dyDescent="0.2">
      <c r="C1211" s="339">
        <f>IF(Forside!$D$12="Dansk",Tekstnøgler!E1211,Tekstnøgler!G1211)</f>
        <v>0</v>
      </c>
    </row>
    <row r="1212" spans="3:3" x14ac:dyDescent="0.2">
      <c r="C1212" s="339">
        <f>IF(Forside!$D$12="Dansk",Tekstnøgler!E1212,Tekstnøgler!G1212)</f>
        <v>0</v>
      </c>
    </row>
    <row r="1213" spans="3:3" x14ac:dyDescent="0.2">
      <c r="C1213" s="339">
        <f>IF(Forside!$D$12="Dansk",Tekstnøgler!E1213,Tekstnøgler!G1213)</f>
        <v>0</v>
      </c>
    </row>
  </sheetData>
  <sheetProtection password="D2FD" sheet="1" objects="1" scenarios="1"/>
  <conditionalFormatting sqref="M2:M109 M112:M194 M196:M224 M238:M290 M335:M389 M419:M470 M473:M484 M506:M527">
    <cfRule type="expression" dxfId="23" priority="133">
      <formula>IF(C2=K2,TRUE)</formula>
    </cfRule>
    <cfRule type="expression" dxfId="22" priority="132">
      <formula>IF(C2&lt;&gt;K2,TRUE)</formula>
    </cfRule>
  </conditionalFormatting>
  <conditionalFormatting sqref="M227:M235">
    <cfRule type="expression" dxfId="21" priority="60">
      <formula>IF(C227=K227,TRUE)</formula>
    </cfRule>
    <cfRule type="expression" dxfId="20" priority="59">
      <formula>IF(C227&lt;&gt;K227,TRUE)</formula>
    </cfRule>
  </conditionalFormatting>
  <conditionalFormatting sqref="M299:M322">
    <cfRule type="expression" dxfId="19" priority="56">
      <formula>IF(C299=K299,TRUE)</formula>
    </cfRule>
    <cfRule type="expression" dxfId="18" priority="55">
      <formula>IF(C299&lt;&gt;K299,TRUE)</formula>
    </cfRule>
  </conditionalFormatting>
  <conditionalFormatting sqref="M325:M332">
    <cfRule type="expression" dxfId="17" priority="54">
      <formula>IF(C325=K325,TRUE)</formula>
    </cfRule>
    <cfRule type="expression" dxfId="16" priority="53">
      <formula>IF(C325&lt;&gt;K325,TRUE)</formula>
    </cfRule>
  </conditionalFormatting>
  <conditionalFormatting sqref="M392:M416">
    <cfRule type="expression" dxfId="15" priority="28">
      <formula>IF(C392&lt;&gt;K392,TRUE)</formula>
    </cfRule>
    <cfRule type="expression" dxfId="14" priority="29">
      <formula>IF(C392=K392,TRUE)</formula>
    </cfRule>
  </conditionalFormatting>
  <conditionalFormatting sqref="M487:M497">
    <cfRule type="expression" dxfId="13" priority="12">
      <formula>IF(C487=K487,TRUE)</formula>
    </cfRule>
    <cfRule type="expression" dxfId="12" priority="11">
      <formula>IF(C487&lt;&gt;K487,TRUE)</formula>
    </cfRule>
  </conditionalFormatting>
  <conditionalFormatting sqref="M500:M503">
    <cfRule type="expression" dxfId="11" priority="10">
      <formula>IF(C500=K500,TRUE)</formula>
    </cfRule>
    <cfRule type="expression" dxfId="10" priority="9">
      <formula>IF(C500&lt;&gt;K500,TRUE)</formula>
    </cfRule>
  </conditionalFormatting>
  <conditionalFormatting sqref="M529:M530">
    <cfRule type="expression" dxfId="9" priority="6">
      <formula>IF(C529=K529,TRUE)</formula>
    </cfRule>
    <cfRule type="expression" dxfId="8" priority="5">
      <formula>IF(C529&lt;&gt;K529,TRUE)</formula>
    </cfRule>
  </conditionalFormatting>
  <conditionalFormatting sqref="M533:M539">
    <cfRule type="expression" dxfId="7" priority="2">
      <formula>IF(C533=K533,TRUE)</formula>
    </cfRule>
    <cfRule type="expression" dxfId="6" priority="1">
      <formula>IF(C533&lt;&gt;K533,TRUE)</formula>
    </cfRule>
  </conditionalFormatting>
  <conditionalFormatting sqref="N41:N44">
    <cfRule type="containsText" dxfId="5" priority="48" operator="containsText" text="OK (one is enough)">
      <formula>NOT(ISERROR(SEARCH("OK (one is enough)",N41)))</formula>
    </cfRule>
  </conditionalFormatting>
  <conditionalFormatting sqref="N356:N367">
    <cfRule type="containsText" dxfId="4" priority="32" operator="containsText" text="OK (one is enough)">
      <formula>NOT(ISERROR(SEARCH("OK (one is enough)",N356)))</formula>
    </cfRule>
  </conditionalFormatting>
  <conditionalFormatting sqref="N403:N407">
    <cfRule type="containsText" dxfId="3" priority="25" operator="containsText" text="OK (one is enough)">
      <formula>NOT(ISERROR(SEARCH("OK (one is enough)",N403)))</formula>
    </cfRule>
  </conditionalFormatting>
  <conditionalFormatting sqref="N429:N430">
    <cfRule type="containsText" dxfId="2" priority="15" operator="containsText" text="OK (one is enough)">
      <formula>NOT(ISERROR(SEARCH("OK (one is enough)",N429)))</formula>
    </cfRule>
  </conditionalFormatting>
  <conditionalFormatting sqref="N437:N440">
    <cfRule type="containsText" dxfId="1" priority="17" operator="containsText" text="OK (one is enough)">
      <formula>NOT(ISERROR(SEARCH("OK (one is enough)",N437)))</formula>
    </cfRule>
  </conditionalFormatting>
  <conditionalFormatting sqref="N448:N451">
    <cfRule type="containsText" dxfId="0" priority="20" operator="containsText" text="OK (one is enough)">
      <formula>NOT(ISERROR(SEARCH("OK (one is enough)",N448)))</formula>
    </cfRule>
  </conditionalFormatting>
  <pageMargins left="0.7" right="0.7" top="0.75" bottom="0.75" header="0.3" footer="0.3"/>
  <pageSetup paperSize="9" orientation="portrait" r:id="rId1"/>
  <headerFooter>
    <oddHeader>&amp;R&amp;"Calibri"&amp;10&amp;K000000 INTERNAL&amp;1#_x000D_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idligere_Journaliseret_SBSYSJournalisering xmlns="96a425a4-11d4-4ae0-9dee-646fa49ce066" xsi:nil="true"/>
    <TaxCatchAll xmlns="1991387a-9b36-43b5-9018-019c6a7e9154" xsi:nil="true"/>
    <KLIK_IKKE_JournaliseringsTidspunkter_SBSYSJournalisering xmlns="96a425a4-11d4-4ae0-9dee-646fa49ce066" xsi:nil="true"/>
    <Seneste_Journalisering_SBSYSJournalisering xmlns="96a425a4-11d4-4ae0-9dee-646fa49ce066" xsi:nil="true"/>
    <KLIK_IKKE_JournaliseredeSager_SBSYSJournalisering xmlns="96a425a4-11d4-4ae0-9dee-646fa49ce066" xsi:nil="true"/>
    <lcf76f155ced4ddcb4097134ff3c332f xmlns="96a425a4-11d4-4ae0-9dee-646fa49ce066">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7C9519B7E9B95A4FAC7FDAD440D7542F" ma:contentTypeVersion="19" ma:contentTypeDescription="Opret et nyt dokument." ma:contentTypeScope="" ma:versionID="16411ce2c30379159a0fda27d9cc02d2">
  <xsd:schema xmlns:xsd="http://www.w3.org/2001/XMLSchema" xmlns:xs="http://www.w3.org/2001/XMLSchema" xmlns:p="http://schemas.microsoft.com/office/2006/metadata/properties" xmlns:ns2="96a425a4-11d4-4ae0-9dee-646fa49ce066" xmlns:ns3="1991387a-9b36-43b5-9018-019c6a7e9154" targetNamespace="http://schemas.microsoft.com/office/2006/metadata/properties" ma:root="true" ma:fieldsID="391e497b0701488e6e8cfb311be2a9cb" ns2:_="" ns3:_="">
    <xsd:import namespace="96a425a4-11d4-4ae0-9dee-646fa49ce066"/>
    <xsd:import namespace="1991387a-9b36-43b5-9018-019c6a7e915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DateTaken" minOccurs="0"/>
                <xsd:element ref="ns2:MediaServiceLocation" minOccurs="0"/>
                <xsd:element ref="ns2:MediaServiceOCR" minOccurs="0"/>
                <xsd:element ref="ns2:MediaServiceGenerationTime" minOccurs="0"/>
                <xsd:element ref="ns2:MediaServiceEventHashCode" minOccurs="0"/>
                <xsd:element ref="ns2:MediaLengthInSeconds" minOccurs="0"/>
                <xsd:element ref="ns2:MediaServiceSearchProperties" minOccurs="0"/>
                <xsd:element ref="ns2:Tidligere_Journaliseret_SBSYSJournalisering" minOccurs="0"/>
                <xsd:element ref="ns2:Seneste_Journalisering_SBSYSJournalisering" minOccurs="0"/>
                <xsd:element ref="ns2:KLIK_IKKE_JournaliseredeSager_SBSYSJournalisering" minOccurs="0"/>
                <xsd:element ref="ns2:KLIK_IKKE_JournaliseringsTidspunkter_SBSYSJournalisering"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a425a4-11d4-4ae0-9dee-646fa49ce0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Billedmærker" ma:readOnly="false" ma:fieldId="{5cf76f15-5ced-4ddc-b409-7134ff3c332f}" ma:taxonomyMulti="true" ma:sspId="4a7cdebc-78d2-4742-a55c-ca0afb0961aa"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Tidligere_Journaliseret_SBSYSJournalisering" ma:index="23" nillable="true" ma:displayName="Tidligere_Journaliseret_SBSYSJournalisering" ma:description="" ma:hidden="true" ma:internalName="Tidligere_Journaliseret_SBSYSJournalisering" ma:readOnly="false">
      <xsd:simpleType>
        <xsd:restriction base="dms:Boolean"/>
      </xsd:simpleType>
    </xsd:element>
    <xsd:element name="Seneste_Journalisering_SBSYSJournalisering" ma:index="24" nillable="true" ma:displayName="Seneste_Journalisering_SBSYSJournalisering" ma:description="" ma:format="DateTime" ma:hidden="true" ma:internalName="Seneste_Journalisering_SBSYSJournalisering" ma:readOnly="false">
      <xsd:simpleType>
        <xsd:restriction base="dms:DateTime"/>
      </xsd:simpleType>
    </xsd:element>
    <xsd:element name="KLIK_IKKE_JournaliseredeSager_SBSYSJournalisering" ma:index="25" nillable="true" ma:displayName="KLIK_IKKE_JournaliseredeSager_SBSYSJournalisering" ma:description="" ma:hidden="true" ma:internalName="KLIK_IKKE_JournaliseredeSager_SBSYSJournalisering" ma:readOnly="false">
      <xsd:simpleType>
        <xsd:restriction base="dms:Note"/>
      </xsd:simpleType>
    </xsd:element>
    <xsd:element name="KLIK_IKKE_JournaliseringsTidspunkter_SBSYSJournalisering" ma:index="26" nillable="true" ma:displayName="KLIK_IKKE_JournaliseringsTidspunkter_SBSYSJournalisering" ma:description="" ma:hidden="true" ma:internalName="KLIK_IKKE_JournaliseringsTidspunkter_SBSYSJournalisering" ma:readOnly="fals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991387a-9b36-43b5-9018-019c6a7e9154" elementFormDefault="qualified">
    <xsd:import namespace="http://schemas.microsoft.com/office/2006/documentManagement/types"/>
    <xsd:import namespace="http://schemas.microsoft.com/office/infopath/2007/PartnerControls"/>
    <xsd:element name="SharedWithUsers" ma:index="10" nillable="true" ma:displayName="Del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lt med detaljer" ma:internalName="SharedWithDetails" ma:readOnly="true">
      <xsd:simpleType>
        <xsd:restriction base="dms:Note">
          <xsd:maxLength value="255"/>
        </xsd:restriction>
      </xsd:simpleType>
    </xsd:element>
    <xsd:element name="TaxCatchAll" ma:index="15" nillable="true" ma:displayName="Taxonomy Catch All Column" ma:hidden="true" ma:list="{a2464446-5648-4f0b-92a6-f17e8d72db5c}" ma:internalName="TaxCatchAll" ma:showField="CatchAllData" ma:web="1991387a-9b36-43b5-9018-019c6a7e915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2A323E1-1010-464D-807F-F7AF8B4E93A1}">
  <ds:schemaRefs>
    <ds:schemaRef ds:uri="http://www.w3.org/XML/1998/namespace"/>
    <ds:schemaRef ds:uri="http://purl.org/dc/dcmitype/"/>
    <ds:schemaRef ds:uri="96a425a4-11d4-4ae0-9dee-646fa49ce066"/>
    <ds:schemaRef ds:uri="http://purl.org/dc/terms/"/>
    <ds:schemaRef ds:uri="http://purl.org/dc/elements/1.1/"/>
    <ds:schemaRef ds:uri="http://schemas.microsoft.com/office/2006/documentManagement/types"/>
    <ds:schemaRef ds:uri="http://schemas.microsoft.com/office/2006/metadata/properties"/>
    <ds:schemaRef ds:uri="http://schemas.microsoft.com/office/infopath/2007/PartnerControls"/>
    <ds:schemaRef ds:uri="http://schemas.openxmlformats.org/package/2006/metadata/core-properties"/>
    <ds:schemaRef ds:uri="1991387a-9b36-43b5-9018-019c6a7e9154"/>
  </ds:schemaRefs>
</ds:datastoreItem>
</file>

<file path=customXml/itemProps2.xml><?xml version="1.0" encoding="utf-8"?>
<ds:datastoreItem xmlns:ds="http://schemas.openxmlformats.org/officeDocument/2006/customXml" ds:itemID="{26D23954-6209-41EC-B32A-A62B957DE899}">
  <ds:schemaRefs>
    <ds:schemaRef ds:uri="http://schemas.microsoft.com/sharepoint/v3/contenttype/forms"/>
  </ds:schemaRefs>
</ds:datastoreItem>
</file>

<file path=customXml/itemProps3.xml><?xml version="1.0" encoding="utf-8"?>
<ds:datastoreItem xmlns:ds="http://schemas.openxmlformats.org/officeDocument/2006/customXml" ds:itemID="{B98B2FBB-3484-493A-B5E3-9B323C8E4F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a425a4-11d4-4ae0-9dee-646fa49ce066"/>
    <ds:schemaRef ds:uri="1991387a-9b36-43b5-9018-019c6a7e915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d9290083-bd2f-48a2-8ac5-09a524b17d15}" enabled="1" method="Privileged" siteId="{b9fec68c-c92d-461e-9a97-3d03a0f18b82}" contentBits="1"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Forside</vt:lpstr>
      <vt:lpstr>Stamdata</vt:lpstr>
      <vt:lpstr>Kontaktoplysninger</vt:lpstr>
      <vt:lpstr>Hovedresultater</vt:lpstr>
      <vt:lpstr>Delresultater</vt:lpstr>
      <vt:lpstr>Hovedresultater (GHG)</vt:lpstr>
      <vt:lpstr>Delresultater (GHG)</vt:lpstr>
      <vt:lpstr>E-nøgletal (ESG)</vt:lpstr>
      <vt:lpstr>Scope 3 kategorier</vt:lpstr>
      <vt:lpstr>Største udledningsposter</vt:lpstr>
      <vt:lpstr>Emissionsfaktorer</vt:lpstr>
      <vt:lpstr>Egne emissionsfaktorer</vt:lpstr>
      <vt:lpstr>Data (alle poster)</vt:lpstr>
      <vt:lpstr>Data (E-nøgletal)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Markus Bjerre</dc:creator>
  <cp:lastModifiedBy>Jack Ord Rasmussen</cp:lastModifiedBy>
  <dcterms:created xsi:type="dcterms:W3CDTF">2024-02-23T10:20:56Z</dcterms:created>
  <dcterms:modified xsi:type="dcterms:W3CDTF">2025-10-16T06:37:28Z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0x0101007C9519B7E9B95A4FAC7FDAD440D7542F</vt:lpwstr>
  </property>
  <property fmtid="{D5CDD505-2E9C-101B-9397-08002B2CF9AE}" pid="3" name="MSIP_Label_9d5db446-495a-4673-b520-40e75ceab3c4_Enabled">
    <vt:lpwstr>true</vt:lpwstr>
  </property>
  <property fmtid="{D5CDD505-2E9C-101B-9397-08002B2CF9AE}" pid="4" name="MSIP_Label_9d5db446-495a-4673-b520-40e75ceab3c4_SetDate">
    <vt:lpwstr>2025-09-11T13:20:13Z</vt:lpwstr>
  </property>
  <property fmtid="{D5CDD505-2E9C-101B-9397-08002B2CF9AE}" pid="5" name="MSIP_Label_9d5db446-495a-4673-b520-40e75ceab3c4_Method">
    <vt:lpwstr>Standard</vt:lpwstr>
  </property>
  <property fmtid="{D5CDD505-2E9C-101B-9397-08002B2CF9AE}" pid="6" name="MSIP_Label_9d5db446-495a-4673-b520-40e75ceab3c4_Name">
    <vt:lpwstr>Internal</vt:lpwstr>
  </property>
  <property fmtid="{D5CDD505-2E9C-101B-9397-08002B2CF9AE}" pid="7" name="MSIP_Label_9d5db446-495a-4673-b520-40e75ceab3c4_SiteId">
    <vt:lpwstr>4bda23cd-4a87-419b-a47d-7673130b2884</vt:lpwstr>
  </property>
  <property fmtid="{D5CDD505-2E9C-101B-9397-08002B2CF9AE}" pid="8" name="MSIP_Label_9d5db446-495a-4673-b520-40e75ceab3c4_ActionId">
    <vt:lpwstr>3ab5ca16-ee32-4b98-aa87-0c4fa28e53e6</vt:lpwstr>
  </property>
  <property fmtid="{D5CDD505-2E9C-101B-9397-08002B2CF9AE}" pid="9" name="MSIP_Label_9d5db446-495a-4673-b520-40e75ceab3c4_ContentBits">
    <vt:lpwstr>1</vt:lpwstr>
  </property>
  <property fmtid="{D5CDD505-2E9C-101B-9397-08002B2CF9AE}" pid="10" name="MSIP_Label_9d5db446-495a-4673-b520-40e75ceab3c4_Tag">
    <vt:lpwstr>50, 3, 0, 1</vt:lpwstr>
  </property>
</Properties>
</file>